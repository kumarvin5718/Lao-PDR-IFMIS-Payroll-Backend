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sameerkhanna/Documents/Projects/IFMS/docs/"/>
    </mc:Choice>
  </mc:AlternateContent>
  <xr:revisionPtr revIDLastSave="0" documentId="8_{BCB64B26-0918-834C-A732-1C1665ED9900}" xr6:coauthVersionLast="47" xr6:coauthVersionMax="47" xr10:uidLastSave="{00000000-0000-0000-0000-000000000000}"/>
  <bookViews>
    <workbookView xWindow="1500" yWindow="1400" windowWidth="27640" windowHeight="16380" xr2:uid="{FFF21CA9-8F5A-0C44-972D-5F86A9430DBF}"/>
  </bookViews>
  <sheets>
    <sheet name="Infra Sizing" sheetId="2" r:id="rId1"/>
    <sheet name="Components" sheetId="1" r:id="rId2"/>
    <sheet name="Assumptions" sheetId="3" r:id="rId3"/>
    <sheet name="Exclusions" sheetId="4" r:id="rId4"/>
  </sheets>
  <definedNames>
    <definedName name="_xlnm._FilterDatabase" localSheetId="1" hidden="1">Components!$A$1:$E$30</definedName>
    <definedName name="_xlnm.Print_Area" localSheetId="2">Assumptions!$A$1:$C$26</definedName>
    <definedName name="_xlnm.Print_Titles" localSheetId="2">Assumptions!$1:$1</definedName>
    <definedName name="_xlnm.Print_Titles" localSheetId="3">Exclusions!$1:$1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 i="2" l="1"/>
  <c r="E21" i="2"/>
  <c r="F21" i="2"/>
  <c r="C2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Sameer Khanna</author>
  </authors>
  <commentList>
    <comment ref="C13" authorId="0" shapeId="0" xr:uid="{D815A6A4-E9CF-8C4E-BA15-3F3FF7BC1DCB}">
      <text>
        <r>
          <rPr>
            <b/>
            <sz val="10"/>
            <color rgb="FF000000"/>
            <rFont val="Tahoma"/>
            <family val="2"/>
          </rPr>
          <t>Sameer Khanna:</t>
        </r>
        <r>
          <rPr>
            <sz val="10"/>
            <color rgb="FF000000"/>
            <rFont val="Tahoma"/>
            <family val="2"/>
          </rPr>
          <t xml:space="preserve">
</t>
        </r>
        <r>
          <rPr>
            <sz val="10"/>
            <color rgb="FF000000"/>
            <rFont val="Tahoma"/>
            <family val="2"/>
          </rPr>
          <t>Option--Hardware HA Pair</t>
        </r>
      </text>
    </comment>
  </commentList>
</comments>
</file>

<file path=xl/sharedStrings.xml><?xml version="1.0" encoding="utf-8"?>
<sst xmlns="http://schemas.openxmlformats.org/spreadsheetml/2006/main" count="393" uniqueCount="321">
  <si>
    <t>Purpose</t>
  </si>
  <si>
    <t>Tool / Technology</t>
  </si>
  <si>
    <t>Frontend — Payroll + Budget</t>
  </si>
  <si>
    <t>React SPA serving both module UIs on same Nginx instance</t>
  </si>
  <si>
    <t>Nginx (static file server)</t>
  </si>
  <si>
    <t>Payroll frontend + Budget frontend merged</t>
  </si>
  <si>
    <t>API — Payroll + Celery workers Payroll</t>
  </si>
  <si>
    <t>FastAPI REST backend + async Celery workers for payroll runs, exports, bulk upload on same VMs</t>
  </si>
  <si>
    <t>Payroll API + Payroll async workers merged</t>
  </si>
  <si>
    <t>API — Budget + Celery workers Budget</t>
  </si>
  <si>
    <t>Spring Boot REST backend + Spring Batch background jobs for budget consolidation, report generation</t>
  </si>
  <si>
    <t>Spring Boot + Spring Batch (Java)</t>
  </si>
  <si>
    <t>Budget API + Budget async workers merged</t>
  </si>
  <si>
    <t>API — OFBiz (ERP core)</t>
  </si>
  <si>
    <t>Apache OFBiz for accounting, COA, GL</t>
  </si>
  <si>
    <t>Apache OFBiz (Java)</t>
  </si>
  <si>
    <t>Standalone — cannot merge due to JVM isolation requirement</t>
  </si>
  <si>
    <t>IAM / SSO</t>
  </si>
  <si>
    <t>Authentication, authorisation, RBAC, Maker-Checker token issuance, OAuth2/OIDC</t>
  </si>
  <si>
    <t>Keycloak 24 (self-hosted)</t>
  </si>
  <si>
    <t>Standalone — cannot merge; session store is latency-sensitive</t>
  </si>
  <si>
    <t>Primary database</t>
  </si>
  <si>
    <t>All transactional data — employees, payroll, budget proposals, allocations, COA, users, Keycloak realm, Superset config</t>
  </si>
  <si>
    <t>PostgreSQL 16</t>
  </si>
  <si>
    <t>Payroll DB + Budget DB + Keycloak DB + Superset DB merged into one PostgreSQL cluster with separate schemas</t>
  </si>
  <si>
    <t>Read replica</t>
  </si>
  <si>
    <t>Offload reporting queries, Superset dashboard queries, OpenSearch sync, exports</t>
  </si>
  <si>
    <t>PostgreSQL 16 streaming replica</t>
  </si>
  <si>
    <t>Single replica serves all modules</t>
  </si>
  <si>
    <t>PgBouncer + HAProxy DB tier</t>
  </si>
  <si>
    <t>Connection pooling for 100+ API instances + route read vs write to primary vs replica</t>
  </si>
  <si>
    <t>PgBouncer + HAProxy</t>
  </si>
  <si>
    <t>DB load balancer + connection pooler merged on same VM pair</t>
  </si>
  <si>
    <t>Cache + message broker</t>
  </si>
  <si>
    <t>API response cache, Celery task broker, session store, Superset query cache</t>
  </si>
  <si>
    <t>Valkey 7.2</t>
  </si>
  <si>
    <t>Payroll cache + Budget cache + Superset cache + Celery broker all on same Valkey instance</t>
  </si>
  <si>
    <t>Search engine</t>
  </si>
  <si>
    <t>Full-text search across employees, budget heads, audit logs, COA — also serves as audit index store</t>
  </si>
  <si>
    <t>OpenSearch 2.x</t>
  </si>
  <si>
    <t>Application search + audit trail index merged on same OpenSearch cluster with separate indices</t>
  </si>
  <si>
    <t>Document + object store</t>
  </si>
  <si>
    <t>Uploaded Excel files, PDF exports, scanned approvals, budget documents, report archives, payslips</t>
  </si>
  <si>
    <t>Alfresco Community + NFS-backed NAS</t>
  </si>
  <si>
    <t>Alfresco CMS + file storage for both Payroll and Budget modules merged</t>
  </si>
  <si>
    <t>Networking and security</t>
  </si>
  <si>
    <t>Load balancer (application tier)</t>
  </si>
  <si>
    <t>Distribute HTTP/HTTPS traffic across all API and frontend replicas for both modules</t>
  </si>
  <si>
    <t>HAProxy 2.8 OR F5 BIG-IP hardware</t>
  </si>
  <si>
    <t>Single LB handles Payroll + Budget + OFBiz + Keycloak + Superset traffic</t>
  </si>
  <si>
    <t>WAF + Reverse proxy + TLS termination</t>
  </si>
  <si>
    <t>OWASP Top-10 protection, TLS offload, header rewriting — single entry point for all services</t>
  </si>
  <si>
    <t>Nginx 1.25 + ModSecurity 3 + OWASP CRS</t>
  </si>
  <si>
    <t>WAF + Nginx reverse proxy + TLS termination merged onto LB VMs — no separate VMs needed</t>
  </si>
  <si>
    <t>Perimeter firewall</t>
  </si>
  <si>
    <t>Ingress/egress filtering, port whitelisting for entire data centre</t>
  </si>
  <si>
    <t>Fortinet FortiGate OR Cisco ASA</t>
  </si>
  <si>
    <t>Single firewall protects both modules</t>
  </si>
  <si>
    <t>Internal firewall / microsegmentation</t>
  </si>
  <si>
    <t>Isolate tiers — app VMs cannot reach DB directly except on port 5432</t>
  </si>
  <si>
    <t>Covers all modules simultaneously</t>
  </si>
  <si>
    <t>VPN gateway + DNS (internal)</t>
  </si>
  <si>
    <t>Secure remote admin access + internal hostname resolution for service discovery</t>
  </si>
  <si>
    <t>OpenVPN + BIND9</t>
  </si>
  <si>
    <t>VPN gateway + primary DNS + secondary DNS merged on one VM pair</t>
  </si>
  <si>
    <t>SSL/TLS certificate management</t>
  </si>
  <si>
    <t>Issue and renew internal certificates for all services</t>
  </si>
  <si>
    <t>HashiCorp Vault PKI</t>
  </si>
  <si>
    <t>Merged with Vault secrets management</t>
  </si>
  <si>
    <t>IAM / SSO / RBAC</t>
  </si>
  <si>
    <t>Central authentication for all modules, JWT issuance, RBAC, Maker-Checker role enforcement</t>
  </si>
  <si>
    <t>Keycloak 24</t>
  </si>
  <si>
    <t>Single Keycloak instance serves Payroll + Budget + OFBiz + Superset</t>
  </si>
  <si>
    <t>Observability</t>
  </si>
  <si>
    <t>Metrics + alerting + uptime monitoring</t>
  </si>
  <si>
    <t>Scrape all VM metrics (CPU, RAM, disk, JVM, Python, Nginx, PgBouncer, Celery), alert on SLA breaches, check endpoint availability</t>
  </si>
  <si>
    <t>Prometheus + Alertmanager + Blackbox Exporter merged on one VM</t>
  </si>
  <si>
    <t>Dashboards + alert visualisation</t>
  </si>
  <si>
    <t>Infra health, API latency, DB replication lag, Celery queue depth, budget workflow SLA</t>
  </si>
  <si>
    <t>Grafana 10</t>
  </si>
  <si>
    <t>Grafana serves Prometheus metrics + Loki logs + Jaeger traces from one UI — one VM covers all three data sources</t>
  </si>
  <si>
    <t>Node exporter agents</t>
  </si>
  <si>
    <t>Node-level metrics per VM</t>
  </si>
  <si>
    <t>Prometheus Node Exporter</t>
  </si>
  <si>
    <t>No extra VM needed</t>
  </si>
  <si>
    <t>Log and audit management</t>
  </si>
  <si>
    <t>Log aggregation + visualisation</t>
  </si>
  <si>
    <t>Collect application logs from all VMs (FastAPI, Spring Boot, Nginx, Keycloak, PostgreSQL, OFBiz) and query/trace by request ID</t>
  </si>
  <si>
    <t>Promtail (agent on each VM) + Loki + Grafana</t>
  </si>
  <si>
    <t>Application audit trail</t>
  </si>
  <si>
    <t>Immutable record of all user actions — budget approvals, payroll modifications, Maker-Checker decisions, role changes</t>
  </si>
  <si>
    <t>OpenSearch 2.x (dedicated audit index, write-once)</t>
  </si>
  <si>
    <t>Audit index runs on same OpenSearch cluster as search — no extra VM</t>
  </si>
  <si>
    <t>SIEM</t>
  </si>
  <si>
    <t>Log archival (cold)</t>
  </si>
  <si>
    <t>Long-term retention 7+ years for government compliance</t>
  </si>
  <si>
    <t>Compressed NAS cold tier</t>
  </si>
  <si>
    <t>Shared NAS appliance — dedicated cold partition</t>
  </si>
  <si>
    <t>BI dashboards + report generation</t>
  </si>
  <si>
    <t>Budget utilisation, payroll summary, headcount analytics, ceiling vs expenditure, payslip and register PDF/Excel generation</t>
  </si>
  <si>
    <t>Apache Superset + WeasyPrint + openpyxl</t>
  </si>
  <si>
    <t>DB backup + restore testing</t>
  </si>
  <si>
    <t>Automated daily full backup + continuous WAL archiving + weekly automated restore test</t>
  </si>
  <si>
    <t>pgBackRest + dedicated restore-test VM</t>
  </si>
  <si>
    <t>Backup target VM doubles as restore test VM — same machine, scheduled restore job weekly</t>
  </si>
  <si>
    <t>App config + code backup</t>
  </si>
  <si>
    <t>Version-controlled backup of all Nginx configs, Keycloak realm exports, Docker Compose manifests, Vault policies</t>
  </si>
  <si>
    <t>Gitea (self-hosted Git) + cron rsync</t>
  </si>
  <si>
    <t>No extra VM</t>
  </si>
  <si>
    <t>VM snapshots</t>
  </si>
  <si>
    <t>Hypervisor-level snapshots before major deployments</t>
  </si>
  <si>
    <t>VMware vSphere OR Proxmox VE</t>
  </si>
  <si>
    <t>Container, orchestration and management platform</t>
  </si>
  <si>
    <t>Container runtime</t>
  </si>
  <si>
    <t>Run all application containers across all VMs</t>
  </si>
  <si>
    <t>Docker Engine 26 + Docker Compose</t>
  </si>
  <si>
    <t>Server group</t>
  </si>
  <si>
    <t>Spec per unit</t>
  </si>
  <si>
    <t>Components hosted</t>
  </si>
  <si>
    <t>Frontend servers</t>
  </si>
  <si>
    <t>2 vCPU, 4 GB RAM, 40 GB SSD</t>
  </si>
  <si>
    <t>Payroll UI + Budget UI (Nginx)</t>
  </si>
  <si>
    <t>Payroll API + worker servers</t>
  </si>
  <si>
    <t>8 vCPU, 16 GB RAM, 100 GB SSD</t>
  </si>
  <si>
    <t>FastAPI + Celery (Payroll)</t>
  </si>
  <si>
    <t>Budget API + worker servers</t>
  </si>
  <si>
    <t>Spring Boot + Spring Batch (Budget)</t>
  </si>
  <si>
    <t>OFBiz ERP servers</t>
  </si>
  <si>
    <t>Apache OFBiz</t>
  </si>
  <si>
    <t>Keycloak IAM servers</t>
  </si>
  <si>
    <t>4 vCPU, 8 GB RAM, 50 GB SSD</t>
  </si>
  <si>
    <t>Keycloak Active + Standby</t>
  </si>
  <si>
    <t>Database primary</t>
  </si>
  <si>
    <t>16 vCPU, 64 GB RAM, 2 TB NVMe SSD</t>
  </si>
  <si>
    <t>PostgreSQL 16 primary — all schemas</t>
  </si>
  <si>
    <t>Database replica</t>
  </si>
  <si>
    <t>8 vCPU, 32 GB RAM, 2 TB SSD</t>
  </si>
  <si>
    <t>PostgreSQL 16 read replica</t>
  </si>
  <si>
    <t>PgBouncer + DB LB</t>
  </si>
  <si>
    <t>2 vCPU, 4 GB RAM, 20 GB SSD</t>
  </si>
  <si>
    <t>PgBouncer + HAProxy (HA pair)</t>
  </si>
  <si>
    <t>Valkey cache + broker</t>
  </si>
  <si>
    <t>4 vCPU, 16 GB RAM, 50 GB SSD</t>
  </si>
  <si>
    <t>Valkey primary + replica</t>
  </si>
  <si>
    <t>OpenSearch cluster</t>
  </si>
  <si>
    <t>8 vCPU, 32 GB RAM, 1 TB SSD</t>
  </si>
  <si>
    <t>Search + audit index + Wazuh index</t>
  </si>
  <si>
    <t>Alfresco document store</t>
  </si>
  <si>
    <t>8 vCPU, 16 GB RAM, NAS-backed</t>
  </si>
  <si>
    <t>Alfresco CMS + file storage</t>
  </si>
  <si>
    <t>Load balancer + WAF</t>
  </si>
  <si>
    <t>4 vCPU, 4 GB RAM, 20 GB SSD</t>
  </si>
  <si>
    <t>HAProxy + Nginx + ModSecurity + TLS</t>
  </si>
  <si>
    <t>VPN + DNS</t>
  </si>
  <si>
    <t>2 vCPU, 4 GB RAM, 50 GB SSD</t>
  </si>
  <si>
    <t>Observability — metrics + traces</t>
  </si>
  <si>
    <t>4 vCPU, 8 GB RAM, 500 GB SSD</t>
  </si>
  <si>
    <t>Observability — dashboards + APM</t>
  </si>
  <si>
    <t>4 vCPU, 8 GB RAM, 100 GB SSD</t>
  </si>
  <si>
    <t>Log aggregation</t>
  </si>
  <si>
    <t>8 vCPU, 16 GB RAM, 2 TB HDD</t>
  </si>
  <si>
    <t>Loki + Promtail coordinator</t>
  </si>
  <si>
    <t>BI / Superset</t>
  </si>
  <si>
    <t>Superset web + worker</t>
  </si>
  <si>
    <t>8 vCPU, 32 GB RAM, NAS-backed</t>
  </si>
  <si>
    <t>pgBackRest + weekly restore test</t>
  </si>
  <si>
    <t>Management VM</t>
  </si>
  <si>
    <t>8 vCPU, 16 GB RAM, 500 GB SSD</t>
  </si>
  <si>
    <t>Vendor-sized</t>
  </si>
  <si>
    <t>FortiGate / Cisco ASA</t>
  </si>
  <si>
    <t>NAS appliance</t>
  </si>
  <si>
    <t>Alfresco files + backups + cold log archive</t>
  </si>
  <si>
    <t>Category</t>
  </si>
  <si>
    <t>Remarks</t>
  </si>
  <si>
    <t>Application</t>
  </si>
  <si>
    <t>Data Stores</t>
  </si>
  <si>
    <t>IDAM</t>
  </si>
  <si>
    <t>BI</t>
  </si>
  <si>
    <t>Backup</t>
  </si>
  <si>
    <t>vCPU</t>
  </si>
  <si>
    <t>RAM (GB)</t>
  </si>
  <si>
    <t>#</t>
  </si>
  <si>
    <t>Assumption</t>
  </si>
  <si>
    <t>Users</t>
  </si>
  <si>
    <t>Total 6,000 registered users across both modules (Payroll + Budget). Peak concurrent users capped at 500 at any given time.</t>
  </si>
  <si>
    <t>Concurrent users are distributed across modules — not all 500 hitting the same microservice simultaneously. Assumed 60% on Budget module, 40% on Payroll module during peak.</t>
  </si>
  <si>
    <t>User sessions are stateless (JWT-based). No sticky session requirement on load balancer. Session tokens stored in Valkey with 8-hour TTL.</t>
  </si>
  <si>
    <t>Data volume</t>
  </si>
  <si>
    <t>No legacy data migration. Starting data volume is application installation only (~50 GB as stated). Historical payroll and budget data from legacy systems is excluded from this sizing.</t>
  </si>
  <si>
    <t>Annual data growth estimated at 200–300 GB per year including payroll monthly records, budget proposals, audit logs, and uploaded documents. Storage sizing covers 5-year horizon without hardware refresh.</t>
  </si>
  <si>
    <t>Microservices</t>
  </si>
  <si>
    <t>6 microservices as stated, with 100+ APIs total. Each microservice is independently deployable but shares the same PostgreSQL cluster via separate schemas. No separate database per microservice (monolithic DB with schema separation).</t>
  </si>
  <si>
    <t>All microservices communicate over internal HTTP REST. No message queue between services (Valkey used only for Celery task brokering and caching, not inter-service events).</t>
  </si>
  <si>
    <t>Budget workflows</t>
  </si>
  <si>
    <t>Maker-Checker-Approver workflow involves up to 5 levels of hierarchy (Village → Sub-district → District → Province → Ministry → Cabinet). Workflow state is stored in PostgreSQL. No dedicated workflow engine (BPM) is assumed — application-level state machine is sufficient.</t>
  </si>
  <si>
    <t>High availability</t>
  </si>
  <si>
    <t>All application-tier VMs are deployed in pairs (active-active or active-standby) behind the load balancer. Single node failure does not cause downtime. Database uses primary + streaming replica. Valkey uses primary + replica. Keycloak uses Active-Standby.</t>
  </si>
  <si>
    <t>Target uptime is 99.5% (approximately 44 hours downtime per year). 99.9% HA (8.7 hours per year) would require additional infrastructure not included in this sizing (e.g. multi-site replication, automated failover with Patroni for PostgreSQL).</t>
  </si>
  <si>
    <t>Network</t>
  </si>
  <si>
    <t>Internal data centre network is 10 Gbps between all VMs and NAS. 1 Gbps minimum per VM NIC. Network latency between application VMs and database is below 1ms.</t>
  </si>
  <si>
    <t>No CDN is required as explicitly stated. All traffic is served from within the data centre. Users access the system over the government intranet or a dedicated leased line — not the public internet.</t>
  </si>
  <si>
    <t>Security</t>
  </si>
  <si>
    <t>TLS 1.2 minimum is enforced on all internal and external connections. TLS 1.3 preferred. Certificates are managed by internal HashiCorp Vault CA — no public CA certificates required.</t>
  </si>
  <si>
    <t>All VMs run a hardened Linux OS (RHEL 8/9 or Ubuntu 22.04 LTS). OS patching is the responsibility of the data centre operations team. This sizing does not include a patch management tool.</t>
  </si>
  <si>
    <t>Virtualisation</t>
  </si>
  <si>
    <t>All VMs are assumed to run on a hypervisor (VMware vSphere or Proxmox VE). Physical server count depends on oversubscription ratio chosen by the data centre team. Recommended oversubscription: 4:1 for vCPU, 1.2:1 for RAM (no oversubscription on database servers).</t>
  </si>
  <si>
    <t>Physical server specifications for the hypervisor layer are not included in this document. The data centre team is expected to map the VM list to physical servers based on their existing hypervisor estate.</t>
  </si>
  <si>
    <t>Keycloak</t>
  </si>
  <si>
    <t>Keycloak is the single identity provider for all modules — Payroll, Budget, OFBiz, Superset, and admin tooling. Integration with any existing government LDAP/Active Directory is assumed possible but not sized here.</t>
  </si>
  <si>
    <t>OpenSearch</t>
  </si>
  <si>
    <t>OpenSearch cluster is used for both full-text application search and audit log storage. Write-once policy on the audit index is enforced at the application level, not at the OpenSearch cluster level.</t>
  </si>
  <si>
    <t>Alfresco</t>
  </si>
  <si>
    <t>Alfresco Community Edition is used for document management. Alfresco Enterprise Edition features (e.g. advanced rendition, clustering beyond 2 nodes) are not assumed. NAS is NFS-mounted to Alfresco VMs.</t>
  </si>
  <si>
    <t>Superset</t>
  </si>
  <si>
    <t>Apache Superset connects to the PostgreSQL read replica only — never the primary — to avoid OLAP queries impacting OLTP workload.</t>
  </si>
  <si>
    <t>Licensing</t>
  </si>
  <si>
    <t>Time zone</t>
  </si>
  <si>
    <t>System operates in a single time zone (Indochina Time, UTC+7). No multi-timezone complexity assumed.</t>
  </si>
  <si>
    <t>Internet connectivity</t>
  </si>
  <si>
    <t>No internet-facing services are assumed. All access is via government intranet. If internet access is required for any component (e.g. software updates), a proxy server is assumed to be available separately — not sized here.</t>
  </si>
  <si>
    <t>What Is Excluded</t>
  </si>
  <si>
    <t>Reason / Note</t>
  </si>
  <si>
    <t>Legacy data</t>
  </si>
  <si>
    <t>Migration of any legacy payroll or budget data from existing Excel files, legacy systems, or other databases</t>
  </si>
  <si>
    <t>CDN</t>
  </si>
  <si>
    <t>Content Delivery Network of any kind</t>
  </si>
  <si>
    <t>Explicitly excluded as per client requirement. All traffic served from within the data centre.</t>
  </si>
  <si>
    <t>Cloud infrastructure</t>
  </si>
  <si>
    <t>AWS, GCP, Azure, or any hybrid cloud component</t>
  </si>
  <si>
    <t>All infrastructure is on-premises within the client data centre. No cloud bursting or hybrid connectivity assumed.</t>
  </si>
  <si>
    <t>Physical server procurement</t>
  </si>
  <si>
    <t>Physical server specifications, rack units, power consumption, cooling, and cabling</t>
  </si>
  <si>
    <t>The VM list provided is the input to the data centre team for physical server procurement. Physical server design is excluded from this sizing.</t>
  </si>
  <si>
    <t>Network switches and routers</t>
  </si>
  <si>
    <t>Internal LAN switches, core routers, inter-VLAN routing hardware</t>
  </si>
  <si>
    <t>Assumed to be existing data centre infrastructure. Not sized or costed here.</t>
  </si>
  <si>
    <t>Power and cooling (UPS, CRAC)</t>
  </si>
  <si>
    <t>Uninterruptible power supply, precision cooling, generator</t>
  </si>
  <si>
    <t>Data centre facility infrastructure is assumed to be existing and sufficient.</t>
  </si>
  <si>
    <t>OS licensing</t>
  </si>
  <si>
    <t>Commercial OS licences (Windows Server, RHEL with subscription)</t>
  </si>
  <si>
    <t>Sizing assumes open-source OS (Ubuntu 22.04 LTS or Rocky Linux 9). If RHEL subscription is required, additional licence cost applies.</t>
  </si>
  <si>
    <t>Commercial software licences</t>
  </si>
  <si>
    <t>Only open-source tools are included. If the client requires commercial alternatives, licences must be procured separately.</t>
  </si>
  <si>
    <t>Multi-site / active-active DR</t>
  </si>
  <si>
    <t>Full active-active disaster recovery across two data centres with zero RPO</t>
  </si>
  <si>
    <t>Only warm standby DR with 4-hour RTO and 1-hour RPO is assumed. Active-active DR would require doubling of all infrastructure and additional network interconnect.</t>
  </si>
  <si>
    <t>Secondary DR site sizing</t>
  </si>
  <si>
    <t>Physical infrastructure at the DR secondary site</t>
  </si>
  <si>
    <t>End-user devices</t>
  </si>
  <si>
    <t>Laptops, desktops, tablets, or mobile devices for end users</t>
  </si>
  <si>
    <t>Client-side devices are assumed to be existing government-issued hardware.</t>
  </si>
  <si>
    <t>Internet proxy / firewall</t>
  </si>
  <si>
    <t>Proxy server for outbound internet access (e.g. for OS updates, NTP)</t>
  </si>
  <si>
    <t>Assumed to be existing data centre infrastructure or air-gapped with offline update procedures.</t>
  </si>
  <si>
    <t>NTP server</t>
  </si>
  <si>
    <t>Network Time Protocol server for time synchronisation across VMs</t>
  </si>
  <si>
    <t>Assumed to be an existing data centre service. All VMs must sync to a common NTP source for Keycloak JWT and audit log timestamp accuracy.</t>
  </si>
  <si>
    <t>Email / SMTP server</t>
  </si>
  <si>
    <t>Outbound email for system notifications, password reset emails, alerts</t>
  </si>
  <si>
    <t>No email integration is included. If email notifications are required (e.g. Grafana alerts, Keycloak account emails), an SMTP relay must be provided separately by the client.</t>
  </si>
  <si>
    <t>SMS gateway</t>
  </si>
  <si>
    <t>SMS-based OTP or notification delivery</t>
  </si>
  <si>
    <t>Not included. If two-factor authentication via SMS is required for Keycloak, a separate SMS gateway integration must be scoped.</t>
  </si>
  <si>
    <t>Mobile application</t>
  </si>
  <si>
    <t>Native iOS or Android app for any module</t>
  </si>
  <si>
    <t>Not in scope. System is web-based and accessed via browser only.</t>
  </si>
  <si>
    <t>Integration with external government systems</t>
  </si>
  <si>
    <t>External integrations are excluded from this sizing. Each integration adds API gateway traffic and may require additional middleware.</t>
  </si>
  <si>
    <t>Data warehouse</t>
  </si>
  <si>
    <t>Separate OLAP data warehouse for long-term historical analytics beyond what OpenSearch and Superset provide</t>
  </si>
  <si>
    <t>Not included. If complex multi-year cross-module analytics are required, a separate data warehouse (e.g. Apache Doris, ClickHouse) should be evaluated.</t>
  </si>
  <si>
    <t>Print server</t>
  </si>
  <si>
    <t>Centralised print management for payslips, budget orders, reports</t>
  </si>
  <si>
    <t>Not included. PDF generation is handled by WeasyPrint within Celery workers. Printing is assumed to be handled locally by end users from downloaded PDF files.</t>
  </si>
  <si>
    <t>Patch management tooling</t>
  </si>
  <si>
    <t>Automated OS and package patch management across all VMs (e.g. Ansible Tower, Spacewalk)</t>
  </si>
  <si>
    <t>Ansible playbooks for deployment are included in CI/CD pipeline. Scheduled OS patch management tooling is excluded — assumed to be handled by the data centre operations team manually or via existing tooling.</t>
  </si>
  <si>
    <t>Performance load testing environment</t>
  </si>
  <si>
    <t>Separate staging or load testing environment sized to simulate 500 concurrent users</t>
  </si>
  <si>
    <t>Only production environment is sized here. A separate staging environment (typically 50% of production size) should be scoped as a separate line item if required.</t>
  </si>
  <si>
    <t>Training infrastructure</t>
  </si>
  <si>
    <t>Separate training environment for end-user onboarding</t>
  </si>
  <si>
    <t>Not included. If a dedicated training environment is required, it should be a separate sizing exercise.</t>
  </si>
  <si>
    <t>Tape archival hardware</t>
  </si>
  <si>
    <t>Physical tape library for long-term cold archive beyond NAS cold tier</t>
  </si>
  <si>
    <t>NAS cold partition is included for 7-year log and backup retention. If physical tape (LTO) is required as an additional layer, hardware procurement is excluded.</t>
  </si>
  <si>
    <t>Professional services</t>
  </si>
  <si>
    <t>Implementation, deployment, configuration, and go-live support from vendors</t>
  </si>
  <si>
    <t>This is an infrastructure sizing document only. Professional services effort and cost are excluded.</t>
  </si>
  <si>
    <t>VM/Physical Server</t>
  </si>
  <si>
    <t>VM</t>
  </si>
  <si>
    <t>VM/Physical count</t>
  </si>
  <si>
    <t>Storage (GB)</t>
  </si>
  <si>
    <t>Storage Type</t>
  </si>
  <si>
    <t>SSD</t>
  </si>
  <si>
    <t>NVMe SSD</t>
  </si>
  <si>
    <t>NAS Backed</t>
  </si>
  <si>
    <t>HDD</t>
  </si>
  <si>
    <t>Hardware HA Pair</t>
  </si>
  <si>
    <t>Usable, RAID-6</t>
  </si>
  <si>
    <t>Appliance</t>
  </si>
  <si>
    <t>Out of scope for this sizing. If legacy migration is required, additional ETL tooling (Apache NiFi or custom Python scripts) and 3–6 months of additional project time to be planned separately.</t>
  </si>
  <si>
    <t>VMware vSphere Enterprise, Oracle DB, Microsoft SQL Server</t>
  </si>
  <si>
    <t>SSO or any social security portal, Bank of Lao PDR payment gateway, treasury systems</t>
  </si>
  <si>
    <t>PostgreSQL row estimates: 100,000 employee records maximum, 36 months active payroll history (~3.6M payroll rows), budget allocation records estimated at 500,000 rows per year across all hierarchy levels.</t>
  </si>
  <si>
    <t xml:space="preserve">Database backup retention is 7 days on fast NAS (NVMe/SSD-backed) and 7 years on cold NAS (HDD/tape) for government compliance. </t>
  </si>
  <si>
    <t>All tools selected are open-source with Apache 2.0, MIT, BSD, or PostgreSQL licence. No commercial software licence cost is assumed in this sizing. MinIO is excluded (AGPL) — NAS with NFS is used instead.</t>
  </si>
  <si>
    <t>Full secondary site VM and hardware sizing is excluded.</t>
  </si>
  <si>
    <t>Server Group</t>
  </si>
  <si>
    <t>Physical</t>
  </si>
  <si>
    <t xml:space="preserve">Prometheus 2.x + Alertmanager </t>
  </si>
  <si>
    <t>FastAPI + Celery 5 (Python)</t>
  </si>
  <si>
    <t>Installed on each application VM, No extra VM</t>
  </si>
  <si>
    <t>Superset web + Superset worker merged on 2 VMs; PDF/Excel generation runs inside existing Celery workers</t>
  </si>
  <si>
    <t xml:space="preserve">Backup </t>
  </si>
  <si>
    <t>Loki log store merged on dedicated VM; Grafana UI is shared with observability VM above via data source. To be implemented for full fledged solution</t>
  </si>
  <si>
    <t>SIEM tool be used, whatever DC is using for other apps</t>
  </si>
  <si>
    <t>Grafana</t>
  </si>
  <si>
    <t>Prometheus + Alertmanager</t>
  </si>
  <si>
    <t>CI/CD + DNS secondary + VPN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</si>
</sst>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family val="2"/>
      <scheme val="minor"/>
    </font>
    <font>
      <sz val="12"/>
      <color rgb="FF000000"/>
      <name val="Aptos Narrow"/>
      <family val="2"/>
      <scheme val="minor"/>
    </font>
    <font>
      <b/>
      <sz val="12"/>
      <color theme="1"/>
      <name val="Aptos Narrow"/>
      <scheme val="minor"/>
    </font>
    <font>
      <sz val="10"/>
      <color rgb="FF000000"/>
      <name val="Tahoma"/>
      <family val="2"/>
    </font>
    <font>
      <b/>
      <sz val="10"/>
      <color rgb="FF000000"/>
      <name val="Tahoma"/>
      <family val="2"/>
    </font>
  </fonts>
  <fills count="4">
    <fill>
      <patternFill patternType="none"/>
    </fill>
    <fill>
      <patternFill patternType="gray125"/>
    </fill>
    <fill>
      <patternFill patternType="solid">
        <fgColor rgb="FFFFC00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xf numFmtId="0" fontId="0" fillId="0" borderId="0" xfId="0" applyAlignment="1">
      <alignment vertical="top" wrapText="1"/>
    </xf>
    <xf numFmtId="0" fontId="3" fillId="0" borderId="1" xfId="0" applyFont="1" applyBorder="1" applyAlignment="1">
      <alignment horizontal="center" vertical="top" wrapText="1"/>
    </xf>
    <xf numFmtId="0" fontId="0" fillId="0" borderId="1" xfId="0" applyBorder="1" applyAlignment="1">
      <alignment vertical="top" wrapText="1"/>
    </xf>
    <xf numFmtId="0" fontId="2" fillId="0" borderId="1" xfId="0" applyFont="1" applyBorder="1" applyAlignment="1">
      <alignment vertical="top" wrapText="1"/>
    </xf>
    <xf numFmtId="0" fontId="0" fillId="0" borderId="0" xfId="0" applyAlignment="1">
      <alignment horizontal="center" vertical="top"/>
    </xf>
    <xf numFmtId="0" fontId="0" fillId="0" borderId="1" xfId="0" applyBorder="1" applyAlignment="1">
      <alignment horizontal="center" vertical="top"/>
    </xf>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0" borderId="1" xfId="0" applyFont="1" applyBorder="1" applyAlignment="1">
      <alignment horizontal="center" vertical="top" wrapText="1"/>
    </xf>
    <xf numFmtId="0" fontId="0" fillId="0" borderId="1" xfId="0" applyBorder="1" applyAlignment="1">
      <alignment horizontal="center" vertical="top" wrapText="1"/>
    </xf>
    <xf numFmtId="0" fontId="0" fillId="0" borderId="1" xfId="0"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9221-D20F-DD41-9DA6-B2073F02D1B2}">
  <dimension ref="A1:I25"/>
  <sheetViews>
    <sheetView tabSelected="1" zoomScale="120" zoomScaleNormal="120" workbookViewId="0">
      <selection activeCell="D23" sqref="D23"/>
    </sheetView>
  </sheetViews>
  <sheetFormatPr baseColWidth="10" defaultRowHeight="16" x14ac:dyDescent="0.2"/>
  <cols>
    <col min="1" max="1" width="30.6640625" customWidth="1"/>
    <col min="2" max="2" width="17.1640625" bestFit="1" customWidth="1"/>
    <col min="3" max="3" width="17.6640625" customWidth="1"/>
    <col min="4" max="4" width="5.6640625" bestFit="1" customWidth="1"/>
    <col min="5" max="5" width="10.33203125" customWidth="1"/>
    <col min="6" max="7" width="14.5" customWidth="1"/>
    <col min="8" max="8" width="32.5" customWidth="1"/>
    <col min="9" max="9" width="31.83203125" customWidth="1"/>
  </cols>
  <sheetData>
    <row r="1" spans="1:9" ht="17" x14ac:dyDescent="0.2">
      <c r="A1" s="10" t="s">
        <v>116</v>
      </c>
      <c r="B1" s="10" t="s">
        <v>290</v>
      </c>
      <c r="C1" s="10" t="s">
        <v>292</v>
      </c>
      <c r="D1" s="10" t="s">
        <v>179</v>
      </c>
      <c r="E1" s="10" t="s">
        <v>180</v>
      </c>
      <c r="F1" s="10" t="s">
        <v>293</v>
      </c>
      <c r="G1" s="10" t="s">
        <v>294</v>
      </c>
      <c r="H1" s="10" t="s">
        <v>117</v>
      </c>
      <c r="I1" s="10" t="s">
        <v>118</v>
      </c>
    </row>
    <row r="2" spans="1:9" ht="17" x14ac:dyDescent="0.2">
      <c r="A2" s="4" t="s">
        <v>119</v>
      </c>
      <c r="B2" s="4" t="s">
        <v>291</v>
      </c>
      <c r="C2" s="11">
        <v>2</v>
      </c>
      <c r="D2" s="11">
        <v>4</v>
      </c>
      <c r="E2" s="11">
        <v>8</v>
      </c>
      <c r="F2" s="11">
        <v>50</v>
      </c>
      <c r="G2" s="4" t="s">
        <v>295</v>
      </c>
      <c r="H2" s="4" t="s">
        <v>120</v>
      </c>
      <c r="I2" s="4" t="s">
        <v>121</v>
      </c>
    </row>
    <row r="3" spans="1:9" ht="17" x14ac:dyDescent="0.2">
      <c r="A3" s="4" t="s">
        <v>122</v>
      </c>
      <c r="B3" s="4" t="s">
        <v>291</v>
      </c>
      <c r="C3" s="11">
        <v>2</v>
      </c>
      <c r="D3" s="11">
        <v>8</v>
      </c>
      <c r="E3" s="11">
        <v>16</v>
      </c>
      <c r="F3" s="11">
        <v>100</v>
      </c>
      <c r="G3" s="4" t="s">
        <v>295</v>
      </c>
      <c r="H3" s="4" t="s">
        <v>123</v>
      </c>
      <c r="I3" s="4" t="s">
        <v>124</v>
      </c>
    </row>
    <row r="4" spans="1:9" ht="17" x14ac:dyDescent="0.2">
      <c r="A4" s="4" t="s">
        <v>125</v>
      </c>
      <c r="B4" s="4" t="s">
        <v>291</v>
      </c>
      <c r="C4" s="11">
        <v>2</v>
      </c>
      <c r="D4" s="11">
        <v>8</v>
      </c>
      <c r="E4" s="11">
        <v>16</v>
      </c>
      <c r="F4" s="11">
        <v>100</v>
      </c>
      <c r="G4" s="4" t="s">
        <v>295</v>
      </c>
      <c r="H4" s="4" t="s">
        <v>123</v>
      </c>
      <c r="I4" s="4" t="s">
        <v>126</v>
      </c>
    </row>
    <row r="5" spans="1:9" ht="17" x14ac:dyDescent="0.2">
      <c r="A5" s="4" t="s">
        <v>127</v>
      </c>
      <c r="B5" s="4" t="s">
        <v>291</v>
      </c>
      <c r="C5" s="11">
        <v>2</v>
      </c>
      <c r="D5" s="11">
        <v>4</v>
      </c>
      <c r="E5" s="11">
        <v>16</v>
      </c>
      <c r="F5" s="11">
        <v>100</v>
      </c>
      <c r="G5" s="4" t="s">
        <v>295</v>
      </c>
      <c r="H5" s="4" t="s">
        <v>123</v>
      </c>
      <c r="I5" s="4" t="s">
        <v>128</v>
      </c>
    </row>
    <row r="6" spans="1:9" ht="17" x14ac:dyDescent="0.2">
      <c r="A6" s="4" t="s">
        <v>129</v>
      </c>
      <c r="B6" s="4" t="s">
        <v>291</v>
      </c>
      <c r="C6" s="11">
        <v>2</v>
      </c>
      <c r="D6" s="11">
        <v>4</v>
      </c>
      <c r="E6" s="11">
        <v>8</v>
      </c>
      <c r="F6" s="11">
        <v>50</v>
      </c>
      <c r="G6" s="4" t="s">
        <v>295</v>
      </c>
      <c r="H6" s="4" t="s">
        <v>130</v>
      </c>
      <c r="I6" s="4" t="s">
        <v>131</v>
      </c>
    </row>
    <row r="7" spans="1:9" ht="17" x14ac:dyDescent="0.2">
      <c r="A7" s="4" t="s">
        <v>132</v>
      </c>
      <c r="B7" s="4" t="s">
        <v>310</v>
      </c>
      <c r="C7" s="11">
        <v>1</v>
      </c>
      <c r="D7" s="11">
        <v>16</v>
      </c>
      <c r="E7" s="11">
        <v>64</v>
      </c>
      <c r="F7" s="11">
        <v>2000</v>
      </c>
      <c r="G7" s="4" t="s">
        <v>296</v>
      </c>
      <c r="H7" s="4" t="s">
        <v>133</v>
      </c>
      <c r="I7" s="4" t="s">
        <v>134</v>
      </c>
    </row>
    <row r="8" spans="1:9" ht="17" x14ac:dyDescent="0.2">
      <c r="A8" s="4" t="s">
        <v>135</v>
      </c>
      <c r="B8" s="4" t="s">
        <v>310</v>
      </c>
      <c r="C8" s="11">
        <v>1</v>
      </c>
      <c r="D8" s="11">
        <v>8</v>
      </c>
      <c r="E8" s="11">
        <v>32</v>
      </c>
      <c r="F8" s="11">
        <v>2000</v>
      </c>
      <c r="G8" s="4" t="s">
        <v>295</v>
      </c>
      <c r="H8" s="4" t="s">
        <v>136</v>
      </c>
      <c r="I8" s="4" t="s">
        <v>137</v>
      </c>
    </row>
    <row r="9" spans="1:9" ht="17" x14ac:dyDescent="0.2">
      <c r="A9" s="4" t="s">
        <v>138</v>
      </c>
      <c r="B9" s="4" t="s">
        <v>291</v>
      </c>
      <c r="C9" s="11">
        <v>2</v>
      </c>
      <c r="D9" s="11">
        <v>2</v>
      </c>
      <c r="E9" s="11">
        <v>4</v>
      </c>
      <c r="F9" s="11">
        <v>20</v>
      </c>
      <c r="G9" s="4" t="s">
        <v>295</v>
      </c>
      <c r="H9" s="4" t="s">
        <v>139</v>
      </c>
      <c r="I9" s="4" t="s">
        <v>140</v>
      </c>
    </row>
    <row r="10" spans="1:9" ht="17" x14ac:dyDescent="0.2">
      <c r="A10" s="4" t="s">
        <v>141</v>
      </c>
      <c r="B10" s="4" t="s">
        <v>291</v>
      </c>
      <c r="C10" s="11">
        <v>2</v>
      </c>
      <c r="D10" s="11">
        <v>4</v>
      </c>
      <c r="E10" s="11">
        <v>16</v>
      </c>
      <c r="F10" s="11">
        <v>50</v>
      </c>
      <c r="G10" s="4" t="s">
        <v>295</v>
      </c>
      <c r="H10" s="4" t="s">
        <v>142</v>
      </c>
      <c r="I10" s="4" t="s">
        <v>143</v>
      </c>
    </row>
    <row r="11" spans="1:9" ht="17" x14ac:dyDescent="0.2">
      <c r="A11" s="4" t="s">
        <v>144</v>
      </c>
      <c r="B11" s="4" t="s">
        <v>291</v>
      </c>
      <c r="C11" s="11">
        <v>3</v>
      </c>
      <c r="D11" s="11">
        <v>8</v>
      </c>
      <c r="E11" s="11">
        <v>32</v>
      </c>
      <c r="F11" s="11">
        <v>1000</v>
      </c>
      <c r="G11" s="4" t="s">
        <v>295</v>
      </c>
      <c r="H11" s="4" t="s">
        <v>145</v>
      </c>
      <c r="I11" s="4" t="s">
        <v>146</v>
      </c>
    </row>
    <row r="12" spans="1:9" ht="17" x14ac:dyDescent="0.2">
      <c r="A12" s="4" t="s">
        <v>147</v>
      </c>
      <c r="B12" s="4" t="s">
        <v>291</v>
      </c>
      <c r="C12" s="11">
        <v>2</v>
      </c>
      <c r="D12" s="11">
        <v>8</v>
      </c>
      <c r="E12" s="11">
        <v>16</v>
      </c>
      <c r="F12" s="11"/>
      <c r="G12" s="4" t="s">
        <v>297</v>
      </c>
      <c r="H12" s="4" t="s">
        <v>148</v>
      </c>
      <c r="I12" s="4" t="s">
        <v>149</v>
      </c>
    </row>
    <row r="13" spans="1:9" ht="17" x14ac:dyDescent="0.2">
      <c r="A13" s="4" t="s">
        <v>150</v>
      </c>
      <c r="B13" s="4" t="s">
        <v>291</v>
      </c>
      <c r="C13" s="11">
        <v>2</v>
      </c>
      <c r="D13" s="11">
        <v>4</v>
      </c>
      <c r="E13" s="11">
        <v>4</v>
      </c>
      <c r="F13" s="11">
        <v>20</v>
      </c>
      <c r="G13" s="4" t="s">
        <v>295</v>
      </c>
      <c r="H13" s="4" t="s">
        <v>151</v>
      </c>
      <c r="I13" s="4" t="s">
        <v>152</v>
      </c>
    </row>
    <row r="14" spans="1:9" ht="17" x14ac:dyDescent="0.2">
      <c r="A14" s="4" t="s">
        <v>153</v>
      </c>
      <c r="B14" s="4" t="s">
        <v>291</v>
      </c>
      <c r="C14" s="11">
        <v>1</v>
      </c>
      <c r="D14" s="11">
        <v>2</v>
      </c>
      <c r="E14" s="11">
        <v>4</v>
      </c>
      <c r="F14" s="11">
        <v>50</v>
      </c>
      <c r="G14" s="4" t="s">
        <v>295</v>
      </c>
      <c r="H14" s="4" t="s">
        <v>154</v>
      </c>
      <c r="I14" s="4" t="s">
        <v>63</v>
      </c>
    </row>
    <row r="15" spans="1:9" ht="17" x14ac:dyDescent="0.2">
      <c r="A15" s="4" t="s">
        <v>155</v>
      </c>
      <c r="B15" s="4" t="s">
        <v>291</v>
      </c>
      <c r="C15" s="11">
        <v>1</v>
      </c>
      <c r="D15" s="11">
        <v>4</v>
      </c>
      <c r="E15" s="11">
        <v>8</v>
      </c>
      <c r="F15" s="11">
        <v>500</v>
      </c>
      <c r="G15" s="4" t="s">
        <v>295</v>
      </c>
      <c r="H15" s="4" t="s">
        <v>156</v>
      </c>
      <c r="I15" s="4" t="s">
        <v>319</v>
      </c>
    </row>
    <row r="16" spans="1:9" ht="17" x14ac:dyDescent="0.2">
      <c r="A16" s="4" t="s">
        <v>157</v>
      </c>
      <c r="B16" s="4" t="s">
        <v>291</v>
      </c>
      <c r="C16" s="11">
        <v>1</v>
      </c>
      <c r="D16" s="11">
        <v>4</v>
      </c>
      <c r="E16" s="11">
        <v>8</v>
      </c>
      <c r="F16" s="11">
        <v>100</v>
      </c>
      <c r="G16" s="4" t="s">
        <v>295</v>
      </c>
      <c r="H16" s="4" t="s">
        <v>158</v>
      </c>
      <c r="I16" s="4" t="s">
        <v>318</v>
      </c>
    </row>
    <row r="17" spans="1:9" ht="17" x14ac:dyDescent="0.2">
      <c r="A17" s="4" t="s">
        <v>159</v>
      </c>
      <c r="B17" s="4" t="s">
        <v>291</v>
      </c>
      <c r="C17" s="11">
        <v>1</v>
      </c>
      <c r="D17" s="11">
        <v>8</v>
      </c>
      <c r="E17" s="11">
        <v>16</v>
      </c>
      <c r="F17" s="11">
        <v>2000</v>
      </c>
      <c r="G17" s="4" t="s">
        <v>298</v>
      </c>
      <c r="H17" s="4" t="s">
        <v>160</v>
      </c>
      <c r="I17" s="4" t="s">
        <v>161</v>
      </c>
    </row>
    <row r="18" spans="1:9" ht="17" x14ac:dyDescent="0.2">
      <c r="A18" s="4" t="s">
        <v>162</v>
      </c>
      <c r="B18" s="4" t="s">
        <v>291</v>
      </c>
      <c r="C18" s="11">
        <v>2</v>
      </c>
      <c r="D18" s="11">
        <v>4</v>
      </c>
      <c r="E18" s="11">
        <v>8</v>
      </c>
      <c r="F18" s="11">
        <v>100</v>
      </c>
      <c r="G18" s="4" t="s">
        <v>295</v>
      </c>
      <c r="H18" s="4" t="s">
        <v>158</v>
      </c>
      <c r="I18" s="4" t="s">
        <v>163</v>
      </c>
    </row>
    <row r="19" spans="1:9" ht="17" x14ac:dyDescent="0.2">
      <c r="A19" s="4" t="s">
        <v>315</v>
      </c>
      <c r="B19" s="4" t="s">
        <v>291</v>
      </c>
      <c r="C19" s="11">
        <v>1</v>
      </c>
      <c r="D19" s="11">
        <v>8</v>
      </c>
      <c r="E19" s="11">
        <v>32</v>
      </c>
      <c r="F19" s="11"/>
      <c r="G19" s="4" t="s">
        <v>297</v>
      </c>
      <c r="H19" s="4" t="s">
        <v>164</v>
      </c>
      <c r="I19" s="4" t="s">
        <v>165</v>
      </c>
    </row>
    <row r="20" spans="1:9" ht="17" x14ac:dyDescent="0.2">
      <c r="A20" s="4" t="s">
        <v>166</v>
      </c>
      <c r="B20" s="4" t="s">
        <v>291</v>
      </c>
      <c r="C20" s="11">
        <v>1</v>
      </c>
      <c r="D20" s="11">
        <v>8</v>
      </c>
      <c r="E20" s="11">
        <v>16</v>
      </c>
      <c r="F20" s="11">
        <v>500</v>
      </c>
      <c r="G20" s="4" t="s">
        <v>295</v>
      </c>
      <c r="H20" s="4" t="s">
        <v>167</v>
      </c>
      <c r="I20" s="4" t="s">
        <v>320</v>
      </c>
    </row>
    <row r="21" spans="1:9" x14ac:dyDescent="0.2">
      <c r="A21" s="13"/>
      <c r="B21" s="13"/>
      <c r="C21" s="14">
        <f>SUM(C2:C20)</f>
        <v>31</v>
      </c>
      <c r="D21" s="14">
        <f t="shared" ref="D21:F21" si="0">SUM(D2:D20)</f>
        <v>116</v>
      </c>
      <c r="E21" s="14">
        <f t="shared" si="0"/>
        <v>324</v>
      </c>
      <c r="F21" s="14">
        <f t="shared" si="0"/>
        <v>8740</v>
      </c>
      <c r="G21" s="13"/>
      <c r="H21" s="13"/>
      <c r="I21" s="13"/>
    </row>
    <row r="22" spans="1:9" ht="17" x14ac:dyDescent="0.2">
      <c r="A22" s="4" t="s">
        <v>54</v>
      </c>
      <c r="B22" s="4" t="s">
        <v>299</v>
      </c>
      <c r="C22" s="11">
        <v>1</v>
      </c>
      <c r="D22" s="4"/>
      <c r="E22" s="4"/>
      <c r="F22" s="4"/>
      <c r="G22" s="4"/>
      <c r="H22" s="4" t="s">
        <v>168</v>
      </c>
      <c r="I22" s="4" t="s">
        <v>169</v>
      </c>
    </row>
    <row r="23" spans="1:9" ht="34" x14ac:dyDescent="0.2">
      <c r="A23" s="4" t="s">
        <v>170</v>
      </c>
      <c r="B23" s="4" t="s">
        <v>301</v>
      </c>
      <c r="C23" s="11">
        <v>1</v>
      </c>
      <c r="D23" s="4"/>
      <c r="E23" s="4"/>
      <c r="F23" s="4"/>
      <c r="G23" s="4">
        <v>20000</v>
      </c>
      <c r="H23" s="4" t="s">
        <v>300</v>
      </c>
      <c r="I23" s="4" t="s">
        <v>171</v>
      </c>
    </row>
    <row r="25" spans="1:9" x14ac:dyDescent="0.2">
      <c r="A25" s="1"/>
      <c r="B25" s="1"/>
    </row>
  </sheetData>
  <pageMargins left="0.7" right="0.7" top="0.75" bottom="0.75" header="0.3" footer="0.3"/>
  <pageSetup paperSize="9" orientation="portrait" horizontalDpi="0" verticalDpi="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B1072-605F-1540-A11C-D5A59017C60E}">
  <dimension ref="A1:H30"/>
  <sheetViews>
    <sheetView zoomScale="130" zoomScaleNormal="130" workbookViewId="0">
      <pane ySplit="1" topLeftCell="A12" activePane="bottomLeft" state="frozen"/>
      <selection pane="bottomLeft" activeCell="C25" sqref="C25"/>
    </sheetView>
  </sheetViews>
  <sheetFormatPr baseColWidth="10" defaultRowHeight="16" x14ac:dyDescent="0.2"/>
  <cols>
    <col min="1" max="1" width="18.83203125" style="2" customWidth="1"/>
    <col min="2" max="2" width="19" style="2" customWidth="1"/>
    <col min="3" max="3" width="33.1640625" style="2" customWidth="1"/>
    <col min="4" max="4" width="25.6640625" style="2" customWidth="1"/>
    <col min="5" max="5" width="40.1640625" style="2" customWidth="1"/>
    <col min="6" max="8" width="10.83203125" style="2"/>
  </cols>
  <sheetData>
    <row r="1" spans="1:5" ht="17" x14ac:dyDescent="0.2">
      <c r="A1" s="3" t="s">
        <v>172</v>
      </c>
      <c r="B1" s="3" t="s">
        <v>309</v>
      </c>
      <c r="C1" s="3" t="s">
        <v>0</v>
      </c>
      <c r="D1" s="3" t="s">
        <v>1</v>
      </c>
      <c r="E1" s="3" t="s">
        <v>173</v>
      </c>
    </row>
    <row r="2" spans="1:5" ht="34" x14ac:dyDescent="0.2">
      <c r="A2" s="4" t="s">
        <v>174</v>
      </c>
      <c r="B2" s="4" t="s">
        <v>2</v>
      </c>
      <c r="C2" s="4" t="s">
        <v>3</v>
      </c>
      <c r="D2" s="4" t="s">
        <v>4</v>
      </c>
      <c r="E2" s="4" t="s">
        <v>5</v>
      </c>
    </row>
    <row r="3" spans="1:5" ht="51" x14ac:dyDescent="0.2">
      <c r="A3" s="4" t="s">
        <v>174</v>
      </c>
      <c r="B3" s="4" t="s">
        <v>6</v>
      </c>
      <c r="C3" s="4" t="s">
        <v>7</v>
      </c>
      <c r="D3" s="4" t="s">
        <v>312</v>
      </c>
      <c r="E3" s="4" t="s">
        <v>8</v>
      </c>
    </row>
    <row r="4" spans="1:5" ht="51" x14ac:dyDescent="0.2">
      <c r="A4" s="4" t="s">
        <v>174</v>
      </c>
      <c r="B4" s="4" t="s">
        <v>9</v>
      </c>
      <c r="C4" s="4" t="s">
        <v>10</v>
      </c>
      <c r="D4" s="4" t="s">
        <v>11</v>
      </c>
      <c r="E4" s="4" t="s">
        <v>12</v>
      </c>
    </row>
    <row r="5" spans="1:5" ht="34" x14ac:dyDescent="0.2">
      <c r="A5" s="4" t="s">
        <v>174</v>
      </c>
      <c r="B5" s="4" t="s">
        <v>13</v>
      </c>
      <c r="C5" s="4" t="s">
        <v>14</v>
      </c>
      <c r="D5" s="4" t="s">
        <v>15</v>
      </c>
      <c r="E5" s="4" t="s">
        <v>16</v>
      </c>
    </row>
    <row r="6" spans="1:5" ht="51" x14ac:dyDescent="0.2">
      <c r="A6" s="4" t="s">
        <v>174</v>
      </c>
      <c r="B6" s="4" t="s">
        <v>17</v>
      </c>
      <c r="C6" s="4" t="s">
        <v>18</v>
      </c>
      <c r="D6" s="4" t="s">
        <v>19</v>
      </c>
      <c r="E6" s="4" t="s">
        <v>20</v>
      </c>
    </row>
    <row r="7" spans="1:5" ht="68" x14ac:dyDescent="0.2">
      <c r="A7" s="4" t="s">
        <v>175</v>
      </c>
      <c r="B7" s="4" t="s">
        <v>21</v>
      </c>
      <c r="C7" s="4" t="s">
        <v>22</v>
      </c>
      <c r="D7" s="4" t="s">
        <v>23</v>
      </c>
      <c r="E7" s="4" t="s">
        <v>24</v>
      </c>
    </row>
    <row r="8" spans="1:5" ht="51" x14ac:dyDescent="0.2">
      <c r="A8" s="4" t="s">
        <v>175</v>
      </c>
      <c r="B8" s="4" t="s">
        <v>25</v>
      </c>
      <c r="C8" s="4" t="s">
        <v>26</v>
      </c>
      <c r="D8" s="4" t="s">
        <v>27</v>
      </c>
      <c r="E8" s="4" t="s">
        <v>28</v>
      </c>
    </row>
    <row r="9" spans="1:5" ht="51" x14ac:dyDescent="0.2">
      <c r="A9" s="4" t="s">
        <v>175</v>
      </c>
      <c r="B9" s="4" t="s">
        <v>29</v>
      </c>
      <c r="C9" s="4" t="s">
        <v>30</v>
      </c>
      <c r="D9" s="4" t="s">
        <v>31</v>
      </c>
      <c r="E9" s="4" t="s">
        <v>32</v>
      </c>
    </row>
    <row r="10" spans="1:5" ht="34" x14ac:dyDescent="0.2">
      <c r="A10" s="4" t="s">
        <v>175</v>
      </c>
      <c r="B10" s="4" t="s">
        <v>33</v>
      </c>
      <c r="C10" s="4" t="s">
        <v>34</v>
      </c>
      <c r="D10" s="4" t="s">
        <v>35</v>
      </c>
      <c r="E10" s="4" t="s">
        <v>36</v>
      </c>
    </row>
    <row r="11" spans="1:5" ht="51" x14ac:dyDescent="0.2">
      <c r="A11" s="4" t="s">
        <v>175</v>
      </c>
      <c r="B11" s="4" t="s">
        <v>37</v>
      </c>
      <c r="C11" s="4" t="s">
        <v>38</v>
      </c>
      <c r="D11" s="4" t="s">
        <v>39</v>
      </c>
      <c r="E11" s="4" t="s">
        <v>40</v>
      </c>
    </row>
    <row r="12" spans="1:5" ht="51" x14ac:dyDescent="0.2">
      <c r="A12" s="4" t="s">
        <v>175</v>
      </c>
      <c r="B12" s="4" t="s">
        <v>41</v>
      </c>
      <c r="C12" s="4" t="s">
        <v>42</v>
      </c>
      <c r="D12" s="4" t="s">
        <v>43</v>
      </c>
      <c r="E12" s="4" t="s">
        <v>44</v>
      </c>
    </row>
    <row r="13" spans="1:5" ht="51" x14ac:dyDescent="0.2">
      <c r="A13" s="4" t="s">
        <v>45</v>
      </c>
      <c r="B13" s="4" t="s">
        <v>46</v>
      </c>
      <c r="C13" s="4" t="s">
        <v>47</v>
      </c>
      <c r="D13" s="4" t="s">
        <v>48</v>
      </c>
      <c r="E13" s="4" t="s">
        <v>49</v>
      </c>
    </row>
    <row r="14" spans="1:5" ht="51" x14ac:dyDescent="0.2">
      <c r="A14" s="4" t="s">
        <v>45</v>
      </c>
      <c r="B14" s="4" t="s">
        <v>50</v>
      </c>
      <c r="C14" s="4" t="s">
        <v>51</v>
      </c>
      <c r="D14" s="4" t="s">
        <v>52</v>
      </c>
      <c r="E14" s="4" t="s">
        <v>53</v>
      </c>
    </row>
    <row r="15" spans="1:5" ht="34" x14ac:dyDescent="0.2">
      <c r="A15" s="4" t="s">
        <v>45</v>
      </c>
      <c r="B15" s="4" t="s">
        <v>54</v>
      </c>
      <c r="C15" s="4" t="s">
        <v>55</v>
      </c>
      <c r="D15" s="4" t="s">
        <v>56</v>
      </c>
      <c r="E15" s="4" t="s">
        <v>57</v>
      </c>
    </row>
    <row r="16" spans="1:5" ht="34" x14ac:dyDescent="0.2">
      <c r="A16" s="12" t="s">
        <v>45</v>
      </c>
      <c r="B16" s="12" t="s">
        <v>58</v>
      </c>
      <c r="C16" s="12" t="s">
        <v>59</v>
      </c>
      <c r="D16" s="12" t="s">
        <v>58</v>
      </c>
      <c r="E16" s="12" t="s">
        <v>60</v>
      </c>
    </row>
    <row r="17" spans="1:5" ht="51" x14ac:dyDescent="0.2">
      <c r="A17" s="4" t="s">
        <v>45</v>
      </c>
      <c r="B17" s="4" t="s">
        <v>61</v>
      </c>
      <c r="C17" s="4" t="s">
        <v>62</v>
      </c>
      <c r="D17" s="4" t="s">
        <v>63</v>
      </c>
      <c r="E17" s="4" t="s">
        <v>64</v>
      </c>
    </row>
    <row r="18" spans="1:5" ht="34" x14ac:dyDescent="0.2">
      <c r="A18" s="4" t="s">
        <v>45</v>
      </c>
      <c r="B18" s="4" t="s">
        <v>65</v>
      </c>
      <c r="C18" s="4" t="s">
        <v>66</v>
      </c>
      <c r="D18" s="4" t="s">
        <v>67</v>
      </c>
      <c r="E18" s="4" t="s">
        <v>68</v>
      </c>
    </row>
    <row r="19" spans="1:5" ht="51" x14ac:dyDescent="0.2">
      <c r="A19" s="4" t="s">
        <v>176</v>
      </c>
      <c r="B19" s="4" t="s">
        <v>69</v>
      </c>
      <c r="C19" s="4" t="s">
        <v>70</v>
      </c>
      <c r="D19" s="4" t="s">
        <v>71</v>
      </c>
      <c r="E19" s="4" t="s">
        <v>72</v>
      </c>
    </row>
    <row r="20" spans="1:5" ht="68" x14ac:dyDescent="0.2">
      <c r="A20" s="4" t="s">
        <v>73</v>
      </c>
      <c r="B20" s="4" t="s">
        <v>74</v>
      </c>
      <c r="C20" s="4" t="s">
        <v>75</v>
      </c>
      <c r="D20" s="4" t="s">
        <v>311</v>
      </c>
      <c r="E20" s="4" t="s">
        <v>76</v>
      </c>
    </row>
    <row r="21" spans="1:5" ht="51" x14ac:dyDescent="0.2">
      <c r="A21" s="4" t="s">
        <v>73</v>
      </c>
      <c r="B21" s="4" t="s">
        <v>77</v>
      </c>
      <c r="C21" s="4" t="s">
        <v>78</v>
      </c>
      <c r="D21" s="4" t="s">
        <v>79</v>
      </c>
      <c r="E21" s="4" t="s">
        <v>80</v>
      </c>
    </row>
    <row r="22" spans="1:5" ht="17" x14ac:dyDescent="0.2">
      <c r="A22" s="4" t="s">
        <v>73</v>
      </c>
      <c r="B22" s="4" t="s">
        <v>81</v>
      </c>
      <c r="C22" s="4" t="s">
        <v>82</v>
      </c>
      <c r="D22" s="4" t="s">
        <v>83</v>
      </c>
      <c r="E22" s="4" t="s">
        <v>84</v>
      </c>
    </row>
    <row r="23" spans="1:5" ht="68" x14ac:dyDescent="0.2">
      <c r="A23" s="4" t="s">
        <v>85</v>
      </c>
      <c r="B23" s="4" t="s">
        <v>86</v>
      </c>
      <c r="C23" s="4" t="s">
        <v>87</v>
      </c>
      <c r="D23" s="4" t="s">
        <v>88</v>
      </c>
      <c r="E23" s="4" t="s">
        <v>316</v>
      </c>
    </row>
    <row r="24" spans="1:5" ht="68" x14ac:dyDescent="0.2">
      <c r="A24" s="12" t="s">
        <v>85</v>
      </c>
      <c r="B24" s="12" t="s">
        <v>89</v>
      </c>
      <c r="C24" s="12" t="s">
        <v>90</v>
      </c>
      <c r="D24" s="12" t="s">
        <v>91</v>
      </c>
      <c r="E24" s="12" t="s">
        <v>92</v>
      </c>
    </row>
    <row r="25" spans="1:5" ht="34" x14ac:dyDescent="0.2">
      <c r="A25" s="4" t="s">
        <v>85</v>
      </c>
      <c r="B25" s="4" t="s">
        <v>94</v>
      </c>
      <c r="C25" s="4" t="s">
        <v>95</v>
      </c>
      <c r="D25" s="4" t="s">
        <v>96</v>
      </c>
      <c r="E25" s="4" t="s">
        <v>97</v>
      </c>
    </row>
    <row r="26" spans="1:5" ht="68" x14ac:dyDescent="0.2">
      <c r="A26" s="4" t="s">
        <v>177</v>
      </c>
      <c r="B26" s="4" t="s">
        <v>98</v>
      </c>
      <c r="C26" s="4" t="s">
        <v>99</v>
      </c>
      <c r="D26" s="4" t="s">
        <v>100</v>
      </c>
      <c r="E26" s="4" t="s">
        <v>314</v>
      </c>
    </row>
    <row r="27" spans="1:5" ht="51" x14ac:dyDescent="0.2">
      <c r="A27" s="4" t="s">
        <v>178</v>
      </c>
      <c r="B27" s="5" t="s">
        <v>101</v>
      </c>
      <c r="C27" s="5" t="s">
        <v>102</v>
      </c>
      <c r="D27" s="5" t="s">
        <v>103</v>
      </c>
      <c r="E27" s="5" t="s">
        <v>104</v>
      </c>
    </row>
    <row r="28" spans="1:5" ht="68" x14ac:dyDescent="0.2">
      <c r="A28" s="4" t="s">
        <v>178</v>
      </c>
      <c r="B28" s="5" t="s">
        <v>105</v>
      </c>
      <c r="C28" s="5" t="s">
        <v>106</v>
      </c>
      <c r="D28" s="5" t="s">
        <v>107</v>
      </c>
      <c r="E28" s="5" t="s">
        <v>108</v>
      </c>
    </row>
    <row r="29" spans="1:5" ht="34" x14ac:dyDescent="0.2">
      <c r="A29" s="4" t="s">
        <v>178</v>
      </c>
      <c r="B29" s="5" t="s">
        <v>109</v>
      </c>
      <c r="C29" s="5" t="s">
        <v>110</v>
      </c>
      <c r="D29" s="5" t="s">
        <v>111</v>
      </c>
      <c r="E29" s="5" t="s">
        <v>108</v>
      </c>
    </row>
    <row r="30" spans="1:5" ht="68" x14ac:dyDescent="0.2">
      <c r="A30" s="4" t="s">
        <v>112</v>
      </c>
      <c r="B30" s="4" t="s">
        <v>113</v>
      </c>
      <c r="C30" s="4" t="s">
        <v>114</v>
      </c>
      <c r="D30" s="4" t="s">
        <v>115</v>
      </c>
      <c r="E30" s="4" t="s">
        <v>313</v>
      </c>
    </row>
  </sheetData>
  <autoFilter ref="A1:E30" xr:uid="{4D8B1072-605F-1540-A11C-D5A59017C60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5735-73B5-8045-9393-0045C0E21551}">
  <dimension ref="A1:F27"/>
  <sheetViews>
    <sheetView zoomScaleNormal="100" workbookViewId="0">
      <pane ySplit="1" topLeftCell="A16" activePane="bottomLeft" state="frozen"/>
      <selection pane="bottomLeft" activeCell="C27" sqref="A26:C27"/>
    </sheetView>
  </sheetViews>
  <sheetFormatPr baseColWidth="10" defaultRowHeight="16" x14ac:dyDescent="0.2"/>
  <cols>
    <col min="1" max="1" width="4.5" customWidth="1"/>
    <col min="2" max="2" width="18.1640625" bestFit="1" customWidth="1"/>
    <col min="3" max="3" width="97.1640625" customWidth="1"/>
  </cols>
  <sheetData>
    <row r="1" spans="1:6" ht="17" x14ac:dyDescent="0.2">
      <c r="A1" s="9" t="s">
        <v>181</v>
      </c>
      <c r="B1" s="9" t="s">
        <v>172</v>
      </c>
      <c r="C1" s="9" t="s">
        <v>182</v>
      </c>
      <c r="D1" s="2"/>
      <c r="E1" s="2"/>
      <c r="F1" s="2"/>
    </row>
    <row r="2" spans="1:6" ht="17" x14ac:dyDescent="0.2">
      <c r="A2" s="4">
        <v>1</v>
      </c>
      <c r="B2" s="4" t="s">
        <v>183</v>
      </c>
      <c r="C2" s="4" t="s">
        <v>184</v>
      </c>
      <c r="D2" s="2"/>
      <c r="E2" s="2"/>
      <c r="F2" s="2"/>
    </row>
    <row r="3" spans="1:6" ht="34" x14ac:dyDescent="0.2">
      <c r="A3" s="4">
        <v>2</v>
      </c>
      <c r="B3" s="4" t="s">
        <v>183</v>
      </c>
      <c r="C3" s="4" t="s">
        <v>185</v>
      </c>
      <c r="D3" s="2"/>
      <c r="E3" s="2"/>
      <c r="F3" s="2"/>
    </row>
    <row r="4" spans="1:6" ht="34" x14ac:dyDescent="0.2">
      <c r="A4" s="4">
        <v>3</v>
      </c>
      <c r="B4" s="4" t="s">
        <v>183</v>
      </c>
      <c r="C4" s="4" t="s">
        <v>186</v>
      </c>
      <c r="D4" s="2"/>
      <c r="E4" s="2"/>
      <c r="F4" s="2"/>
    </row>
    <row r="5" spans="1:6" ht="34" x14ac:dyDescent="0.2">
      <c r="A5" s="4">
        <v>4</v>
      </c>
      <c r="B5" s="4" t="s">
        <v>187</v>
      </c>
      <c r="C5" s="4" t="s">
        <v>188</v>
      </c>
      <c r="D5" s="2"/>
      <c r="E5" s="2"/>
      <c r="F5" s="2"/>
    </row>
    <row r="6" spans="1:6" ht="34" x14ac:dyDescent="0.2">
      <c r="A6" s="4">
        <v>5</v>
      </c>
      <c r="B6" s="4" t="s">
        <v>187</v>
      </c>
      <c r="C6" s="4" t="s">
        <v>189</v>
      </c>
      <c r="D6" s="2"/>
      <c r="E6" s="2"/>
      <c r="F6" s="2"/>
    </row>
    <row r="7" spans="1:6" ht="34" x14ac:dyDescent="0.2">
      <c r="A7" s="4">
        <v>6</v>
      </c>
      <c r="B7" s="4" t="s">
        <v>187</v>
      </c>
      <c r="C7" s="4" t="s">
        <v>305</v>
      </c>
      <c r="D7" s="2"/>
      <c r="E7" s="2"/>
      <c r="F7" s="2"/>
    </row>
    <row r="8" spans="1:6" ht="50" customHeight="1" x14ac:dyDescent="0.2">
      <c r="A8" s="4">
        <v>7</v>
      </c>
      <c r="B8" s="4" t="s">
        <v>190</v>
      </c>
      <c r="C8" s="4" t="s">
        <v>191</v>
      </c>
      <c r="D8" s="2"/>
      <c r="E8" s="2"/>
      <c r="F8" s="2"/>
    </row>
    <row r="9" spans="1:6" ht="34" x14ac:dyDescent="0.2">
      <c r="A9" s="4">
        <v>8</v>
      </c>
      <c r="B9" s="4" t="s">
        <v>190</v>
      </c>
      <c r="C9" s="4" t="s">
        <v>192</v>
      </c>
      <c r="D9" s="2"/>
      <c r="E9" s="2"/>
      <c r="F9" s="2"/>
    </row>
    <row r="10" spans="1:6" ht="51" x14ac:dyDescent="0.2">
      <c r="A10" s="4">
        <v>9</v>
      </c>
      <c r="B10" s="4" t="s">
        <v>193</v>
      </c>
      <c r="C10" s="4" t="s">
        <v>194</v>
      </c>
      <c r="D10" s="2"/>
      <c r="E10" s="2"/>
      <c r="F10" s="2"/>
    </row>
    <row r="11" spans="1:6" ht="51" customHeight="1" x14ac:dyDescent="0.2">
      <c r="A11" s="4">
        <v>10</v>
      </c>
      <c r="B11" s="4" t="s">
        <v>195</v>
      </c>
      <c r="C11" s="4" t="s">
        <v>196</v>
      </c>
      <c r="D11" s="2"/>
      <c r="E11" s="2"/>
      <c r="F11" s="2"/>
    </row>
    <row r="12" spans="1:6" ht="48" customHeight="1" x14ac:dyDescent="0.2">
      <c r="A12" s="4">
        <v>11</v>
      </c>
      <c r="B12" s="4" t="s">
        <v>195</v>
      </c>
      <c r="C12" s="4" t="s">
        <v>197</v>
      </c>
      <c r="D12" s="2"/>
      <c r="E12" s="2"/>
      <c r="F12" s="2"/>
    </row>
    <row r="13" spans="1:6" ht="34" x14ac:dyDescent="0.2">
      <c r="A13" s="4">
        <v>12</v>
      </c>
      <c r="B13" s="4" t="s">
        <v>198</v>
      </c>
      <c r="C13" s="4" t="s">
        <v>199</v>
      </c>
      <c r="D13" s="2"/>
      <c r="E13" s="2"/>
      <c r="F13" s="2"/>
    </row>
    <row r="14" spans="1:6" ht="34" x14ac:dyDescent="0.2">
      <c r="A14" s="4">
        <v>13</v>
      </c>
      <c r="B14" s="4" t="s">
        <v>198</v>
      </c>
      <c r="C14" s="4" t="s">
        <v>200</v>
      </c>
      <c r="D14" s="2"/>
      <c r="E14" s="2"/>
      <c r="F14" s="2"/>
    </row>
    <row r="15" spans="1:6" ht="34" x14ac:dyDescent="0.2">
      <c r="A15" s="4">
        <v>14</v>
      </c>
      <c r="B15" s="4" t="s">
        <v>201</v>
      </c>
      <c r="C15" s="4" t="s">
        <v>202</v>
      </c>
      <c r="D15" s="2"/>
      <c r="E15" s="2"/>
      <c r="F15" s="2"/>
    </row>
    <row r="16" spans="1:6" ht="34" x14ac:dyDescent="0.2">
      <c r="A16" s="4">
        <v>15</v>
      </c>
      <c r="B16" s="4" t="s">
        <v>201</v>
      </c>
      <c r="C16" s="4" t="s">
        <v>203</v>
      </c>
      <c r="D16" s="2"/>
      <c r="E16" s="2"/>
      <c r="F16" s="2"/>
    </row>
    <row r="17" spans="1:6" ht="51" x14ac:dyDescent="0.2">
      <c r="A17" s="4">
        <v>16</v>
      </c>
      <c r="B17" s="4" t="s">
        <v>204</v>
      </c>
      <c r="C17" s="4" t="s">
        <v>205</v>
      </c>
      <c r="D17" s="2"/>
      <c r="E17" s="2"/>
      <c r="F17" s="2"/>
    </row>
    <row r="18" spans="1:6" ht="34" x14ac:dyDescent="0.2">
      <c r="A18" s="4">
        <v>17</v>
      </c>
      <c r="B18" s="4" t="s">
        <v>204</v>
      </c>
      <c r="C18" s="4" t="s">
        <v>206</v>
      </c>
      <c r="D18" s="2"/>
      <c r="E18" s="2"/>
      <c r="F18" s="2"/>
    </row>
    <row r="19" spans="1:6" ht="34" x14ac:dyDescent="0.2">
      <c r="A19" s="4">
        <v>18</v>
      </c>
      <c r="B19" s="4" t="s">
        <v>207</v>
      </c>
      <c r="C19" s="4" t="s">
        <v>208</v>
      </c>
      <c r="D19" s="2"/>
      <c r="E19" s="2"/>
      <c r="F19" s="2"/>
    </row>
    <row r="20" spans="1:6" ht="34" x14ac:dyDescent="0.2">
      <c r="A20" s="4">
        <v>19</v>
      </c>
      <c r="B20" s="4" t="s">
        <v>209</v>
      </c>
      <c r="C20" s="4" t="s">
        <v>210</v>
      </c>
      <c r="D20" s="2"/>
      <c r="E20" s="2"/>
      <c r="F20" s="2"/>
    </row>
    <row r="21" spans="1:6" ht="34" x14ac:dyDescent="0.2">
      <c r="A21" s="4">
        <v>20</v>
      </c>
      <c r="B21" s="4" t="s">
        <v>211</v>
      </c>
      <c r="C21" s="4" t="s">
        <v>212</v>
      </c>
      <c r="D21" s="2"/>
      <c r="E21" s="2"/>
      <c r="F21" s="2"/>
    </row>
    <row r="22" spans="1:6" ht="34" x14ac:dyDescent="0.2">
      <c r="A22" s="4">
        <v>21</v>
      </c>
      <c r="B22" s="4" t="s">
        <v>213</v>
      </c>
      <c r="C22" s="4" t="s">
        <v>214</v>
      </c>
      <c r="D22" s="2"/>
      <c r="E22" s="2"/>
      <c r="F22" s="2"/>
    </row>
    <row r="23" spans="1:6" ht="34" x14ac:dyDescent="0.2">
      <c r="A23" s="4">
        <v>22</v>
      </c>
      <c r="B23" s="4" t="s">
        <v>178</v>
      </c>
      <c r="C23" s="4" t="s">
        <v>306</v>
      </c>
      <c r="D23" s="2"/>
      <c r="E23" s="2"/>
      <c r="F23" s="2"/>
    </row>
    <row r="24" spans="1:6" ht="34" x14ac:dyDescent="0.2">
      <c r="A24" s="4">
        <v>23</v>
      </c>
      <c r="B24" s="4" t="s">
        <v>215</v>
      </c>
      <c r="C24" s="4" t="s">
        <v>307</v>
      </c>
      <c r="D24" s="2"/>
      <c r="E24" s="2"/>
      <c r="F24" s="2"/>
    </row>
    <row r="25" spans="1:6" ht="17" x14ac:dyDescent="0.2">
      <c r="A25" s="4">
        <v>24</v>
      </c>
      <c r="B25" s="4" t="s">
        <v>216</v>
      </c>
      <c r="C25" s="4" t="s">
        <v>217</v>
      </c>
      <c r="D25" s="2"/>
      <c r="E25" s="2"/>
      <c r="F25" s="2"/>
    </row>
    <row r="26" spans="1:6" ht="34" x14ac:dyDescent="0.2">
      <c r="A26" s="4">
        <v>25</v>
      </c>
      <c r="B26" s="4" t="s">
        <v>218</v>
      </c>
      <c r="C26" s="4" t="s">
        <v>219</v>
      </c>
      <c r="D26" s="2"/>
      <c r="E26" s="2"/>
      <c r="F26" s="2"/>
    </row>
    <row r="27" spans="1:6" ht="17" x14ac:dyDescent="0.2">
      <c r="A27" s="12">
        <v>26</v>
      </c>
      <c r="B27" s="12" t="s">
        <v>93</v>
      </c>
      <c r="C27" s="12" t="s">
        <v>317</v>
      </c>
    </row>
  </sheetData>
  <pageMargins left="0.7" right="0.7" top="0.75" bottom="0.75" header="0.3" footer="0.3"/>
  <pageSetup paperSize="9" orientation="landscape"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3A559-751E-A641-9DA2-9E82DB050BBC}">
  <dimension ref="A1:D25"/>
  <sheetViews>
    <sheetView zoomScaleNormal="100" workbookViewId="0">
      <pane ySplit="1" topLeftCell="A16" activePane="bottomLeft" state="frozen"/>
      <selection pane="bottomLeft" activeCell="A16" sqref="A16:A25"/>
    </sheetView>
  </sheetViews>
  <sheetFormatPr baseColWidth="10" defaultRowHeight="16" x14ac:dyDescent="0.2"/>
  <cols>
    <col min="1" max="1" width="4.5" style="6" customWidth="1"/>
    <col min="2" max="2" width="15.6640625" style="2" customWidth="1"/>
    <col min="3" max="3" width="45.6640625" style="2" customWidth="1"/>
    <col min="4" max="4" width="62.83203125" style="2" customWidth="1"/>
  </cols>
  <sheetData>
    <row r="1" spans="1:4" ht="17" x14ac:dyDescent="0.2">
      <c r="A1" s="8" t="s">
        <v>181</v>
      </c>
      <c r="B1" s="9" t="s">
        <v>172</v>
      </c>
      <c r="C1" s="9" t="s">
        <v>220</v>
      </c>
      <c r="D1" s="9" t="s">
        <v>221</v>
      </c>
    </row>
    <row r="2" spans="1:4" ht="51" x14ac:dyDescent="0.2">
      <c r="A2" s="7">
        <v>1</v>
      </c>
      <c r="B2" s="4" t="s">
        <v>222</v>
      </c>
      <c r="C2" s="4" t="s">
        <v>223</v>
      </c>
      <c r="D2" s="4" t="s">
        <v>302</v>
      </c>
    </row>
    <row r="3" spans="1:4" ht="34" x14ac:dyDescent="0.2">
      <c r="A3" s="7">
        <v>2</v>
      </c>
      <c r="B3" s="4" t="s">
        <v>224</v>
      </c>
      <c r="C3" s="4" t="s">
        <v>225</v>
      </c>
      <c r="D3" s="4" t="s">
        <v>226</v>
      </c>
    </row>
    <row r="4" spans="1:4" ht="34" x14ac:dyDescent="0.2">
      <c r="A4" s="7">
        <v>3</v>
      </c>
      <c r="B4" s="4" t="s">
        <v>227</v>
      </c>
      <c r="C4" s="4" t="s">
        <v>228</v>
      </c>
      <c r="D4" s="4" t="s">
        <v>229</v>
      </c>
    </row>
    <row r="5" spans="1:4" ht="34" x14ac:dyDescent="0.2">
      <c r="A5" s="7">
        <v>4</v>
      </c>
      <c r="B5" s="4" t="s">
        <v>230</v>
      </c>
      <c r="C5" s="4" t="s">
        <v>231</v>
      </c>
      <c r="D5" s="4" t="s">
        <v>232</v>
      </c>
    </row>
    <row r="6" spans="1:4" ht="34" x14ac:dyDescent="0.2">
      <c r="A6" s="7">
        <v>5</v>
      </c>
      <c r="B6" s="4" t="s">
        <v>233</v>
      </c>
      <c r="C6" s="4" t="s">
        <v>234</v>
      </c>
      <c r="D6" s="4" t="s">
        <v>235</v>
      </c>
    </row>
    <row r="7" spans="1:4" ht="34" x14ac:dyDescent="0.2">
      <c r="A7" s="7">
        <v>6</v>
      </c>
      <c r="B7" s="4" t="s">
        <v>236</v>
      </c>
      <c r="C7" s="4" t="s">
        <v>237</v>
      </c>
      <c r="D7" s="4" t="s">
        <v>238</v>
      </c>
    </row>
    <row r="8" spans="1:4" ht="34" x14ac:dyDescent="0.2">
      <c r="A8" s="7">
        <v>7</v>
      </c>
      <c r="B8" s="4" t="s">
        <v>239</v>
      </c>
      <c r="C8" s="4" t="s">
        <v>240</v>
      </c>
      <c r="D8" s="4" t="s">
        <v>241</v>
      </c>
    </row>
    <row r="9" spans="1:4" ht="34" x14ac:dyDescent="0.2">
      <c r="A9" s="7">
        <v>8</v>
      </c>
      <c r="B9" s="4" t="s">
        <v>242</v>
      </c>
      <c r="C9" s="4" t="s">
        <v>303</v>
      </c>
      <c r="D9" s="4" t="s">
        <v>243</v>
      </c>
    </row>
    <row r="10" spans="1:4" ht="51" x14ac:dyDescent="0.2">
      <c r="A10" s="7">
        <v>9</v>
      </c>
      <c r="B10" s="12" t="s">
        <v>244</v>
      </c>
      <c r="C10" s="12" t="s">
        <v>245</v>
      </c>
      <c r="D10" s="12" t="s">
        <v>246</v>
      </c>
    </row>
    <row r="11" spans="1:4" ht="34" x14ac:dyDescent="0.2">
      <c r="A11" s="7">
        <v>10</v>
      </c>
      <c r="B11" s="4" t="s">
        <v>247</v>
      </c>
      <c r="C11" s="4" t="s">
        <v>248</v>
      </c>
      <c r="D11" s="4" t="s">
        <v>308</v>
      </c>
    </row>
    <row r="12" spans="1:4" ht="34" x14ac:dyDescent="0.2">
      <c r="A12" s="7">
        <v>11</v>
      </c>
      <c r="B12" s="4" t="s">
        <v>249</v>
      </c>
      <c r="C12" s="4" t="s">
        <v>250</v>
      </c>
      <c r="D12" s="4" t="s">
        <v>251</v>
      </c>
    </row>
    <row r="13" spans="1:4" ht="34" x14ac:dyDescent="0.2">
      <c r="A13" s="7">
        <v>12</v>
      </c>
      <c r="B13" s="4" t="s">
        <v>252</v>
      </c>
      <c r="C13" s="4" t="s">
        <v>253</v>
      </c>
      <c r="D13" s="4" t="s">
        <v>254</v>
      </c>
    </row>
    <row r="14" spans="1:4" ht="34" x14ac:dyDescent="0.2">
      <c r="A14" s="7">
        <v>13</v>
      </c>
      <c r="B14" s="4" t="s">
        <v>255</v>
      </c>
      <c r="C14" s="4" t="s">
        <v>256</v>
      </c>
      <c r="D14" s="4" t="s">
        <v>257</v>
      </c>
    </row>
    <row r="15" spans="1:4" ht="51" x14ac:dyDescent="0.2">
      <c r="A15" s="7">
        <v>14</v>
      </c>
      <c r="B15" s="4" t="s">
        <v>258</v>
      </c>
      <c r="C15" s="4" t="s">
        <v>259</v>
      </c>
      <c r="D15" s="4" t="s">
        <v>260</v>
      </c>
    </row>
    <row r="16" spans="1:4" ht="34" x14ac:dyDescent="0.2">
      <c r="A16" s="7">
        <v>15</v>
      </c>
      <c r="B16" s="4" t="s">
        <v>261</v>
      </c>
      <c r="C16" s="4" t="s">
        <v>262</v>
      </c>
      <c r="D16" s="4" t="s">
        <v>263</v>
      </c>
    </row>
    <row r="17" spans="1:4" ht="34" x14ac:dyDescent="0.2">
      <c r="A17" s="7">
        <v>16</v>
      </c>
      <c r="B17" s="4" t="s">
        <v>264</v>
      </c>
      <c r="C17" s="4" t="s">
        <v>265</v>
      </c>
      <c r="D17" s="4" t="s">
        <v>266</v>
      </c>
    </row>
    <row r="18" spans="1:4" ht="68" x14ac:dyDescent="0.2">
      <c r="A18" s="7">
        <v>17</v>
      </c>
      <c r="B18" s="4" t="s">
        <v>267</v>
      </c>
      <c r="C18" s="4" t="s">
        <v>304</v>
      </c>
      <c r="D18" s="4" t="s">
        <v>268</v>
      </c>
    </row>
    <row r="19" spans="1:4" ht="51" x14ac:dyDescent="0.2">
      <c r="A19" s="7">
        <v>18</v>
      </c>
      <c r="B19" s="4" t="s">
        <v>269</v>
      </c>
      <c r="C19" s="4" t="s">
        <v>270</v>
      </c>
      <c r="D19" s="4" t="s">
        <v>271</v>
      </c>
    </row>
    <row r="20" spans="1:4" ht="51" x14ac:dyDescent="0.2">
      <c r="A20" s="7">
        <v>19</v>
      </c>
      <c r="B20" s="4" t="s">
        <v>272</v>
      </c>
      <c r="C20" s="4" t="s">
        <v>273</v>
      </c>
      <c r="D20" s="4" t="s">
        <v>274</v>
      </c>
    </row>
    <row r="21" spans="1:4" ht="51" x14ac:dyDescent="0.2">
      <c r="A21" s="7">
        <v>20</v>
      </c>
      <c r="B21" s="4" t="s">
        <v>275</v>
      </c>
      <c r="C21" s="4" t="s">
        <v>276</v>
      </c>
      <c r="D21" s="4" t="s">
        <v>277</v>
      </c>
    </row>
    <row r="22" spans="1:4" ht="51" x14ac:dyDescent="0.2">
      <c r="A22" s="7">
        <v>21</v>
      </c>
      <c r="B22" s="4" t="s">
        <v>278</v>
      </c>
      <c r="C22" s="4" t="s">
        <v>279</v>
      </c>
      <c r="D22" s="4" t="s">
        <v>280</v>
      </c>
    </row>
    <row r="23" spans="1:4" ht="34" x14ac:dyDescent="0.2">
      <c r="A23" s="7">
        <v>22</v>
      </c>
      <c r="B23" s="4" t="s">
        <v>281</v>
      </c>
      <c r="C23" s="4" t="s">
        <v>282</v>
      </c>
      <c r="D23" s="4" t="s">
        <v>283</v>
      </c>
    </row>
    <row r="24" spans="1:4" ht="51" x14ac:dyDescent="0.2">
      <c r="A24" s="7">
        <v>23</v>
      </c>
      <c r="B24" s="4" t="s">
        <v>284</v>
      </c>
      <c r="C24" s="4" t="s">
        <v>285</v>
      </c>
      <c r="D24" s="4" t="s">
        <v>286</v>
      </c>
    </row>
    <row r="25" spans="1:4" ht="34" x14ac:dyDescent="0.2">
      <c r="A25" s="7">
        <v>24</v>
      </c>
      <c r="B25" s="4" t="s">
        <v>287</v>
      </c>
      <c r="C25" s="4" t="s">
        <v>288</v>
      </c>
      <c r="D25" s="4" t="s">
        <v>289</v>
      </c>
    </row>
  </sheetData>
  <pageMargins left="0.25" right="0.25"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Infra Sizing</vt:lpstr>
      <vt:lpstr>Components</vt:lpstr>
      <vt:lpstr>Assumptions</vt:lpstr>
      <vt:lpstr>Exclusions</vt:lpstr>
      <vt:lpstr>Assumptions!Print_Area</vt:lpstr>
      <vt:lpstr>Assumptions!Print_Titles</vt:lpstr>
      <vt:lpstr>Exclusions!Print_Titles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Vansh Khanna</dc:creator>
  <cp:lastModifiedBy>Vansh Khanna</cp:lastModifiedBy>
  <dcterms:created xsi:type="dcterms:W3CDTF">2026-03-31T10:16:19Z</dcterms:created>
  <dcterms:modified xsi:type="dcterms:W3CDTF">2026-03-31T12:01:39Z</dcterms:modified>
</cp:coreProperties>
</file>