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indeloitte-my.sharepoint.com/personal/psanyal_deloitte_com/Documents/Desktop/PF/Project/Lao/PMC/Part 2 - 04012026/Business Processes/Payroll format/"/>
    </mc:Choice>
  </mc:AlternateContent>
  <xr:revisionPtr revIDLastSave="38" documentId="11_0C9F884AD3B273FA60A1C3CA48E6092D78A9F60E" xr6:coauthVersionLast="47" xr6:coauthVersionMax="47" xr10:uidLastSave="{6E18B2CA-C4E0-4907-8822-803F559BBBC4}"/>
  <bookViews>
    <workbookView xWindow="-108" yWindow="-108" windowWidth="23256" windowHeight="12456" tabRatio="500" firstSheet="8" activeTab="9" xr2:uid="{00000000-000D-0000-FFFF-FFFF00000000}"/>
  </bookViews>
  <sheets>
    <sheet name="HOME" sheetId="1" r:id="rId1"/>
    <sheet name="INSTRUCTIONS" sheetId="2" r:id="rId2"/>
    <sheet name="NOTES" sheetId="3" r:id="rId3"/>
    <sheet name="EMPLOYEE_MASTER" sheetId="5" r:id="rId4"/>
    <sheet name="PAYROLL_CALC" sheetId="7" r:id="rId5"/>
    <sheet name="LK_OrgMaster" sheetId="6" r:id="rId6"/>
    <sheet name="LK_LocationMaster" sheetId="4" r:id="rId7"/>
    <sheet name="LK_BankMaster" sheetId="16" r:id="rId8"/>
    <sheet name="LK_GradeDerivation" sheetId="8" r:id="rId9"/>
    <sheet name="LK_GradeStep" sheetId="9" r:id="rId10"/>
    <sheet name="LK_AllowanceRates" sheetId="10" r:id="rId11"/>
    <sheet name="LK_PIT" sheetId="11" r:id="rId12"/>
    <sheet name="LK_DropdownLists" sheetId="14" state="hidden" r:id="rId13"/>
  </sheets>
  <definedNames>
    <definedName name="ALL_BRANCH_CODES">LK_DropdownLists!$FB$2:$FB$21</definedName>
    <definedName name="ALL_BRANCH_NAMES">LK_DropdownLists!$FA$2:$FA$21</definedName>
    <definedName name="ALL_BRANCH_SWIFTS">LK_DropdownLists!$FC$2:$FC$21</definedName>
    <definedName name="ALL_DEPT_KEYS">LK_DropdownLists!$V$2:$V$87</definedName>
    <definedName name="ALL_DEPT_NAMES">LK_DropdownLists!$U$2:$U$87</definedName>
    <definedName name="ALL_PROV_KEYS">LK_DropdownLists!$DJ$2:$DJ$36</definedName>
    <definedName name="ALL_PROV_NAMES">LK_DropdownLists!$DI$2:$DI$36</definedName>
    <definedName name="BANK_KEYS">LK_DropdownLists!$EU$2:$EU$6</definedName>
    <definedName name="BANK_LIST">LK_DropdownLists!$FL$2:$FL$29</definedName>
    <definedName name="BRANCH_ABL">LK_DropdownLists!$GA$2:$GA$4</definedName>
    <definedName name="BRANCH_ANZ">LK_DropdownLists!$GL$2:$GL$2</definedName>
    <definedName name="BRANCH_APB">LK_DropdownLists!$FO$2:$FO$8</definedName>
    <definedName name="BRANCH_BAY">LK_DropdownLists!$GI$2:$GI$2</definedName>
    <definedName name="BRANCH_BBL">LK_DropdownLists!$GH$2:$GH$2</definedName>
    <definedName name="BRANCH_BCEL">LK_DropdownLists!$FM$2:$FM$13</definedName>
    <definedName name="BRANCH_BFL">LK_DropdownLists!$FS$2:$FS$3</definedName>
    <definedName name="BRANCH_BIC">LK_DropdownLists!$FV$2:$FV$3</definedName>
    <definedName name="BRANCH_BOC">LK_DropdownLists!$GN$2:$GN$2</definedName>
    <definedName name="BRANCH_CAB">LK_DropdownLists!$GB$2:$GB$2</definedName>
    <definedName name="BRANCH_ICB">LK_DropdownLists!$FX$2:$FX$2</definedName>
    <definedName name="BRANCH_ICBC">LK_DropdownLists!$GM$2:$GM$2</definedName>
    <definedName name="BRANCH_JDB">LK_DropdownLists!$FQ$2:$FQ$6</definedName>
    <definedName name="BRANCH_KTB">LK_DropdownLists!$GJ$2:$GJ$2</definedName>
    <definedName name="BRANCH_LCNB">LK_DropdownLists!$FT$2:$FT$4</definedName>
    <definedName name="BRANCH_LDB">LK_DropdownLists!$FN$2:$FN$8</definedName>
    <definedName name="BRANCH_LMI">LK_DropdownLists!$FY$2:$FY$2</definedName>
    <definedName name="BRANCH_LVB">LK_DropdownLists!$FR$2:$FR$4</definedName>
    <definedName name="BRANCH_MJBL">LK_DropdownLists!$FZ$2:$FZ$3</definedName>
    <definedName name="BRANCH_NBB">LK_DropdownLists!$FP$2:$FP$4</definedName>
    <definedName name="BRANCH_PBL">LK_DropdownLists!$GC$2:$GC$2</definedName>
    <definedName name="BRANCH_PSV">LK_DropdownLists!$FU$2:$FU$7</definedName>
    <definedName name="BRANCH_SCBV">LK_DropdownLists!$GK$2:$GK$2</definedName>
    <definedName name="BRANCH_SCL">LK_DropdownLists!$GD$2:$GD$3</definedName>
    <definedName name="BRANCH_SHB">LK_DropdownLists!$GE$2:$GE$2</definedName>
    <definedName name="BRANCH_STB">LK_DropdownLists!$FW$2:$FW$3</definedName>
    <definedName name="BRANCH_VCB">LK_DropdownLists!$GF$2:$GF$2</definedName>
    <definedName name="BRANCH_VTB">LK_DropdownLists!$GG$2:$GG$2</definedName>
    <definedName name="COUNTRY_KEYS">LK_DropdownLists!$DF$2:$DF$3</definedName>
    <definedName name="COUNTRY_LIST">LK_DropdownLists!$DE$2:$DE$3</definedName>
    <definedName name="DEPT_CHAM">LK_DropdownLists!$Q$2:$Q$5</definedName>
    <definedName name="DEPT_KHAMM">LK_DropdownLists!$T$2:$T$5</definedName>
    <definedName name="DEPT_LUANGPB">LK_DropdownLists!$R$2:$R$5</definedName>
    <definedName name="DEPT_MFA">LK_DropdownLists!$H$2:$H$6</definedName>
    <definedName name="DEPT_MLSW">LK_DropdownLists!$J$2:$J$6</definedName>
    <definedName name="DEPT_MOAF">LK_DropdownLists!$I$2:$I$6</definedName>
    <definedName name="DEPT_MOES">LK_DropdownLists!$E$2:$E$7</definedName>
    <definedName name="DEPT_MOF">LK_DropdownLists!$C$2:$C$7</definedName>
    <definedName name="DEPT_MOH">LK_DropdownLists!$D$2:$D$7</definedName>
    <definedName name="DEPT_MOHA">LK_DropdownLists!$F$2:$F$6</definedName>
    <definedName name="DEPT_MOIC">LK_DropdownLists!$L$2:$L$5</definedName>
    <definedName name="DEPT_MOJ">LK_DropdownLists!$M$2:$M$5</definedName>
    <definedName name="DEPT_MONRE">LK_DropdownLists!$K$2:$K$5</definedName>
    <definedName name="DEPT_MPI">LK_DropdownLists!$N$2:$N$5</definedName>
    <definedName name="DEPT_MPWT">LK_DropdownLists!$G$2:$G$6</definedName>
    <definedName name="DEPT_NA">LK_DropdownLists!$O$2:$O$7</definedName>
    <definedName name="DEPT_SAVAN">LK_DropdownLists!$S$2:$S$5</definedName>
    <definedName name="DEPT_VTCAP">LK_DropdownLists!$P$2:$P$6</definedName>
    <definedName name="DIST_ATP">LK_DropdownLists!$EA$2:$EA$6</definedName>
    <definedName name="DIST_BKO">LK_DropdownLists!$DO$2:$DO$6</definedName>
    <definedName name="DIST_BLK">LK_DropdownLists!$DU$2:$DU$7</definedName>
    <definedName name="DIST_CHP">LK_DropdownLists!$DZ$2:$DZ$11</definedName>
    <definedName name="DIST_FOR_AUS">LK_DropdownLists!$EI$2:$EI$2</definedName>
    <definedName name="DIST_FOR_CHE">LK_DropdownLists!$ES$2:$ES$2</definedName>
    <definedName name="DIST_FOR_CHN">LK_DropdownLists!$EE$2:$EE$2</definedName>
    <definedName name="DIST_FOR_DEU">LK_DropdownLists!$EJ$2:$EJ$2</definedName>
    <definedName name="DIST_FOR_FRA">LK_DropdownLists!$EF$2:$EF$2</definedName>
    <definedName name="DIST_FOR_IDN">LK_DropdownLists!$ER$2:$ER$2</definedName>
    <definedName name="DIST_FOR_IND">LK_DropdownLists!$EM$2:$EM$2</definedName>
    <definedName name="DIST_FOR_JPN">LK_DropdownLists!$EH$2:$EH$2</definedName>
    <definedName name="DIST_FOR_KHM">LK_DropdownLists!$EO$2:$EO$2</definedName>
    <definedName name="DIST_FOR_KOR">LK_DropdownLists!$EL$2:$EL$2</definedName>
    <definedName name="DIST_FOR_MMR">LK_DropdownLists!$EN$2:$EN$2</definedName>
    <definedName name="DIST_FOR_MYS">LK_DropdownLists!$EP$2:$EP$2</definedName>
    <definedName name="DIST_FOR_RUS">LK_DropdownLists!$EK$2:$EK$2</definedName>
    <definedName name="DIST_FOR_SGP">LK_DropdownLists!$EQ$2:$EQ$2</definedName>
    <definedName name="DIST_FOR_THA">LK_DropdownLists!$EC$2:$EC$2</definedName>
    <definedName name="DIST_FOR_USA">LK_DropdownLists!$EG$2:$EG$2</definedName>
    <definedName name="DIST_FOR_VNM">LK_DropdownLists!$ED$2:$ED$2</definedName>
    <definedName name="DIST_HUA">LK_DropdownLists!$DQ$2:$DQ$8</definedName>
    <definedName name="DIST_KMN">LK_DropdownLists!$DV$2:$DV$11</definedName>
    <definedName name="DIST_LNT">LK_DropdownLists!$DM$2:$DM$6</definedName>
    <definedName name="DIST_LPB">LK_DropdownLists!$DP$2:$DP$12</definedName>
    <definedName name="DIST_ODX">LK_DropdownLists!$DN$2:$DN$8</definedName>
    <definedName name="DIST_PGS">LK_DropdownLists!$DL$2:$DL$8</definedName>
    <definedName name="DIST_SAY">LK_DropdownLists!$DR$2:$DR$11</definedName>
    <definedName name="DIST_SKG">LK_DropdownLists!$DY$2:$DY$5</definedName>
    <definedName name="DIST_SLV">LK_DropdownLists!$DX$2:$DX$9</definedName>
    <definedName name="DIST_SVK">LK_DropdownLists!$DW$2:$DW$14</definedName>
    <definedName name="DIST_VTE">LK_DropdownLists!$DK$2:$DK$10</definedName>
    <definedName name="DIST_VTP">LK_DropdownLists!$DT$2:$DT$10</definedName>
    <definedName name="DIST_XKH">LK_DropdownLists!$DS$2:$DS$7</definedName>
    <definedName name="DIST_XYS">LK_DropdownLists!$EB$2:$EB$6</definedName>
    <definedName name="DIV_CHP_AGR">LK_DropdownLists!$CR$2:$CR$5</definedName>
    <definedName name="DIV_CHP_EDU">LK_DropdownLists!$CP$2:$CP$5</definedName>
    <definedName name="DIV_CHP_FIN">LK_DropdownLists!$CO$2:$CO$5</definedName>
    <definedName name="DIV_CHP_HLT">LK_DropdownLists!$CQ$2:$CQ$5</definedName>
    <definedName name="DIV_KMN_AGR">LK_DropdownLists!$DD$2:$DD$5</definedName>
    <definedName name="DIV_KMN_EDU">LK_DropdownLists!$DB$2:$DB$5</definedName>
    <definedName name="DIV_KMN_FIN">LK_DropdownLists!$DA$2:$DA$5</definedName>
    <definedName name="DIV_KMN_HLT">LK_DropdownLists!$DC$2:$DC$5</definedName>
    <definedName name="DIV_LPB_EDU">LK_DropdownLists!$CT$2:$CT$5</definedName>
    <definedName name="DIV_LPB_FIN">LK_DropdownLists!$CS$2:$CS$5</definedName>
    <definedName name="DIV_LPB_HLT">LK_DropdownLists!$CU$2:$CU$5</definedName>
    <definedName name="DIV_LPB_TCO">LK_DropdownLists!$CV$2:$CV$5</definedName>
    <definedName name="DIV_MFA_ASN">LK_DropdownLists!$BA$2:$BA$5</definedName>
    <definedName name="DIV_MFA_BIL">LK_DropdownLists!$AY$2:$AY$5</definedName>
    <definedName name="DIV_MFA_CON">LK_DropdownLists!$BC$2:$BC$5</definedName>
    <definedName name="DIV_MFA_MUL">LK_DropdownLists!$AZ$2:$AZ$5</definedName>
    <definedName name="DIV_MFA_PRO">LK_DropdownLists!$BB$2:$BB$5</definedName>
    <definedName name="DIV_MLSW_EMP">LK_DropdownLists!$BM$2:$BM$5</definedName>
    <definedName name="DIV_MLSW_LAB">LK_DropdownLists!$BI$2:$BI$5</definedName>
    <definedName name="DIV_MLSW_SKL">LK_DropdownLists!$BK$2:$BK$5</definedName>
    <definedName name="DIV_MLSW_SOC">LK_DropdownLists!$BJ$2:$BJ$5</definedName>
    <definedName name="DIV_MLSW_SSO">LK_DropdownLists!$BL$2:$BL$5</definedName>
    <definedName name="DIV_MOAF_AGR">LK_DropdownLists!$BD$2:$BD$5</definedName>
    <definedName name="DIV_MOAF_FOR">LK_DropdownLists!$BE$2:$BE$5</definedName>
    <definedName name="DIV_MOAF_IRR">LK_DropdownLists!$BF$2:$BF$5</definedName>
    <definedName name="DIV_MOAF_LIV">LK_DropdownLists!$BG$2:$BG$5</definedName>
    <definedName name="DIV_MOAF_LND">LK_DropdownLists!$BH$2:$BH$5</definedName>
    <definedName name="DIV_MOES_HED">LK_DropdownLists!$AK$2:$AK$5</definedName>
    <definedName name="DIV_MOES_NFE">LK_DropdownLists!$AM$2:$AM$5</definedName>
    <definedName name="DIV_MOES_PLN">LK_DropdownLists!$AN$2:$AN$5</definedName>
    <definedName name="DIV_MOES_PRI">LK_DropdownLists!$AI$2:$AI$5</definedName>
    <definedName name="DIV_MOES_SEC">LK_DropdownLists!$AJ$2:$AJ$5</definedName>
    <definedName name="DIV_MOES_TVE">LK_DropdownLists!$AL$2:$AL$5</definedName>
    <definedName name="DIV_MOF_AST">LK_DropdownLists!$AB$2:$AB$5</definedName>
    <definedName name="DIV_MOF_BUD">LK_DropdownLists!$W$2:$W$5</definedName>
    <definedName name="DIV_MOF_CUS">LK_DropdownLists!$Z$2:$Z$5</definedName>
    <definedName name="DIV_MOF_FIN">LK_DropdownLists!$AA$2:$AA$5</definedName>
    <definedName name="DIV_MOF_TAX">LK_DropdownLists!$X$2:$X$5</definedName>
    <definedName name="DIV_MOF_TRY">LK_DropdownLists!$Y$2:$Y$5</definedName>
    <definedName name="DIV_MOH_CUR">LK_DropdownLists!$AC$2:$AC$5</definedName>
    <definedName name="DIV_MOH_EQP">LK_DropdownLists!$AF$2:$AF$5</definedName>
    <definedName name="DIV_MOH_FDD">LK_DropdownLists!$AE$2:$AE$5</definedName>
    <definedName name="DIV_MOH_HYG">LK_DropdownLists!$AD$2:$AD$5</definedName>
    <definedName name="DIV_MOH_PER">LK_DropdownLists!$AG$2:$AG$5</definedName>
    <definedName name="DIV_MOH_PLN">LK_DropdownLists!$AH$2:$AH$5</definedName>
    <definedName name="DIV_MOHA_ADM">LK_DropdownLists!$AP$2:$AP$5</definedName>
    <definedName name="DIV_MOHA_CIV">LK_DropdownLists!$AR$2:$AR$5</definedName>
    <definedName name="DIV_MOHA_COM">LK_DropdownLists!$AS$2:$AS$5</definedName>
    <definedName name="DIV_MOHA_LOC">LK_DropdownLists!$AQ$2:$AQ$5</definedName>
    <definedName name="DIV_MOHA_PER">LK_DropdownLists!$AO$2:$AO$5</definedName>
    <definedName name="DIV_MOIC_DOM">LK_DropdownLists!$BS$2:$BS$5</definedName>
    <definedName name="DIV_MOIC_IMP">LK_DropdownLists!$BT$2:$BT$5</definedName>
    <definedName name="DIV_MOIC_IND">LK_DropdownLists!$BR$2:$BR$5</definedName>
    <definedName name="DIV_MOIC_SME">LK_DropdownLists!$BU$2:$BU$5</definedName>
    <definedName name="DIV_MOJ_ANC">LK_DropdownLists!$BX$2:$BX$5</definedName>
    <definedName name="DIV_MOJ_INT">LK_DropdownLists!$BY$2:$BY$5</definedName>
    <definedName name="DIV_MOJ_JUD">LK_DropdownLists!$BW$2:$BW$5</definedName>
    <definedName name="DIV_MOJ_LEG">LK_DropdownLists!$BV$2:$BV$5</definedName>
    <definedName name="DIV_MONRE_CLM">LK_DropdownLists!$BQ$2:$BQ$5</definedName>
    <definedName name="DIV_MONRE_ENV">LK_DropdownLists!$BO$2:$BO$5</definedName>
    <definedName name="DIV_MONRE_LSV">LK_DropdownLists!$BP$2:$BP$5</definedName>
    <definedName name="DIV_MONRE_NAT">LK_DropdownLists!$BN$2:$BN$5</definedName>
    <definedName name="DIV_MPI_INT">LK_DropdownLists!$CC$2:$CC$5</definedName>
    <definedName name="DIV_MPI_INV">LK_DropdownLists!$CA$2:$CA$5</definedName>
    <definedName name="DIV_MPI_PLN">LK_DropdownLists!$BZ$2:$BZ$5</definedName>
    <definedName name="DIV_MPI_STA">LK_DropdownLists!$CB$2:$CB$5</definedName>
    <definedName name="DIV_MPWT_HOU">LK_DropdownLists!$AV$2:$AV$5</definedName>
    <definedName name="DIV_MPWT_MET">LK_DropdownLists!$AX$2:$AX$5</definedName>
    <definedName name="DIV_MPWT_PUB">LK_DropdownLists!$AW$2:$AW$5</definedName>
    <definedName name="DIV_MPWT_ROD">LK_DropdownLists!$AT$2:$AT$5</definedName>
    <definedName name="DIV_MPWT_TRP">LK_DropdownLists!$AU$2:$AU$5</definedName>
    <definedName name="DIV_NA_ADM">LK_DropdownLists!$CI$2:$CI$5</definedName>
    <definedName name="DIV_NA_CSA">LK_DropdownLists!$CG$2:$CG$5</definedName>
    <definedName name="DIV_NA_ECF">LK_DropdownLists!$CF$2:$CF$5</definedName>
    <definedName name="DIV_NA_LAW">LK_DropdownLists!$CE$2:$CE$5</definedName>
    <definedName name="DIV_NA_NSC">LK_DropdownLists!$CH$2:$CH$5</definedName>
    <definedName name="DIV_NA_SEC">LK_DropdownLists!$CD$2:$CD$5</definedName>
    <definedName name="DIV_SVK_EDU">LK_DropdownLists!$CX$2:$CX$5</definedName>
    <definedName name="DIV_SVK_FIN">LK_DropdownLists!$CW$2:$CW$5</definedName>
    <definedName name="DIV_SVK_HLT">LK_DropdownLists!$CY$2:$CY$5</definedName>
    <definedName name="DIV_SVK_IC">LK_DropdownLists!$CZ$2:$CZ$5</definedName>
    <definedName name="DIV_VTC_ADM">LK_DropdownLists!$CN$2:$CN$5</definedName>
    <definedName name="DIV_VTC_EDU">LK_DropdownLists!$CK$2:$CK$5</definedName>
    <definedName name="DIV_VTC_FIN">LK_DropdownLists!$CJ$2:$CJ$5</definedName>
    <definedName name="DIV_VTC_HLT">LK_DropdownLists!$CL$2:$CL$5</definedName>
    <definedName name="DIV_VTC_PUB">LK_DropdownLists!$CM$2:$CM$5</definedName>
    <definedName name="MINISTRY_KEYS">LK_DropdownLists!$B$2:$B$19</definedName>
    <definedName name="MINISTRY_LIST">LK_DropdownLists!$A$2:$A$19</definedName>
    <definedName name="POS_ADMINISTRATI">LK_DropdownLists!$FG$2:$FG$11</definedName>
    <definedName name="POS_DIPLOMATIC">LK_DropdownLists!$FJ$2:$FJ$9</definedName>
    <definedName name="POS_FINANCE">LK_DropdownLists!$FF$2:$FF$12</definedName>
    <definedName name="POS_GENERAL">LK_DropdownLists!$FK$2:$FK$11</definedName>
    <definedName name="POS_LEGAL">LK_DropdownLists!$FI$2:$FI$8</definedName>
    <definedName name="POS_MEDICAL">LK_DropdownLists!$FE$2:$FE$13</definedName>
    <definedName name="POS_TEACHER">LK_DropdownLists!$FD$2:$FD$10</definedName>
    <definedName name="POS_TECHNICAL">LK_DropdownLists!$FH$2:$FH$11</definedName>
    <definedName name="_xlnm.Print_Titles" localSheetId="3">EMPLOYEE_MASTER!$1:$3</definedName>
    <definedName name="_xlnm.Print_Titles" localSheetId="0">HOME!$1:$3</definedName>
    <definedName name="_xlnm.Print_Titles" localSheetId="1">INSTRUCTIONS!$1:$3</definedName>
    <definedName name="_xlnm.Print_Titles" localSheetId="10">LK_AllowanceRates!$1:$3</definedName>
    <definedName name="_xlnm.Print_Titles" localSheetId="12">LK_DropdownLists!$1:$3</definedName>
    <definedName name="_xlnm.Print_Titles" localSheetId="8">LK_GradeDerivation!$1:$3</definedName>
    <definedName name="_xlnm.Print_Titles" localSheetId="9">LK_GradeStep!$1:$3</definedName>
    <definedName name="_xlnm.Print_Titles" localSheetId="6">LK_LocationMaster!$1:$3</definedName>
    <definedName name="_xlnm.Print_Titles" localSheetId="5">LK_OrgMaster!$1:$3</definedName>
    <definedName name="_xlnm.Print_Titles" localSheetId="11">LK_PIT!$1:$3</definedName>
    <definedName name="_xlnm.Print_Titles" localSheetId="2">NOTES!$1:$3</definedName>
    <definedName name="_xlnm.Print_Titles" localSheetId="4">PAYROLL_CALC!$1:$3</definedName>
    <definedName name="PROV_FOR">LK_DropdownLists!$DH$2:$DH$18</definedName>
    <definedName name="PROV_LAO">LK_DropdownLists!$DG$2:$DG$19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 i="16" l="1"/>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C5" i="9"/>
  <c r="C4" i="9"/>
  <c r="AH504" i="7"/>
  <c r="AG504" i="7"/>
  <c r="AA504" i="7"/>
  <c r="Z504" i="7"/>
  <c r="Y504" i="7"/>
  <c r="X504" i="7"/>
  <c r="W503" i="7"/>
  <c r="V503" i="7"/>
  <c r="E503" i="7"/>
  <c r="D503" i="7"/>
  <c r="C503" i="7"/>
  <c r="B503" i="7"/>
  <c r="A503" i="7"/>
  <c r="W502" i="7"/>
  <c r="V502" i="7"/>
  <c r="E502" i="7"/>
  <c r="D502" i="7"/>
  <c r="C502" i="7"/>
  <c r="B502" i="7"/>
  <c r="A502" i="7"/>
  <c r="W501" i="7"/>
  <c r="V501" i="7"/>
  <c r="E501" i="7"/>
  <c r="D501" i="7"/>
  <c r="C501" i="7"/>
  <c r="B501" i="7"/>
  <c r="A501" i="7"/>
  <c r="W500" i="7"/>
  <c r="V500" i="7"/>
  <c r="E500" i="7"/>
  <c r="D500" i="7"/>
  <c r="C500" i="7"/>
  <c r="B500" i="7"/>
  <c r="A500" i="7"/>
  <c r="W499" i="7"/>
  <c r="V499" i="7"/>
  <c r="E499" i="7"/>
  <c r="D499" i="7"/>
  <c r="C499" i="7"/>
  <c r="B499" i="7"/>
  <c r="A499" i="7"/>
  <c r="W498" i="7"/>
  <c r="V498" i="7"/>
  <c r="E498" i="7"/>
  <c r="D498" i="7"/>
  <c r="C498" i="7"/>
  <c r="B498" i="7"/>
  <c r="A498" i="7"/>
  <c r="W497" i="7"/>
  <c r="V497" i="7"/>
  <c r="E497" i="7"/>
  <c r="D497" i="7"/>
  <c r="C497" i="7"/>
  <c r="B497" i="7"/>
  <c r="A497" i="7"/>
  <c r="W496" i="7"/>
  <c r="V496" i="7"/>
  <c r="E496" i="7"/>
  <c r="D496" i="7"/>
  <c r="C496" i="7"/>
  <c r="B496" i="7"/>
  <c r="A496" i="7"/>
  <c r="W495" i="7"/>
  <c r="V495" i="7"/>
  <c r="E495" i="7"/>
  <c r="D495" i="7"/>
  <c r="C495" i="7"/>
  <c r="B495" i="7"/>
  <c r="A495" i="7"/>
  <c r="W494" i="7"/>
  <c r="V494" i="7"/>
  <c r="E494" i="7"/>
  <c r="D494" i="7"/>
  <c r="C494" i="7"/>
  <c r="B494" i="7"/>
  <c r="A494" i="7"/>
  <c r="W493" i="7"/>
  <c r="V493" i="7"/>
  <c r="E493" i="7"/>
  <c r="D493" i="7"/>
  <c r="C493" i="7"/>
  <c r="B493" i="7"/>
  <c r="A493" i="7"/>
  <c r="W492" i="7"/>
  <c r="V492" i="7"/>
  <c r="E492" i="7"/>
  <c r="D492" i="7"/>
  <c r="C492" i="7"/>
  <c r="B492" i="7"/>
  <c r="A492" i="7"/>
  <c r="W491" i="7"/>
  <c r="V491" i="7"/>
  <c r="E491" i="7"/>
  <c r="D491" i="7"/>
  <c r="C491" i="7"/>
  <c r="B491" i="7"/>
  <c r="A491" i="7"/>
  <c r="W490" i="7"/>
  <c r="V490" i="7"/>
  <c r="E490" i="7"/>
  <c r="D490" i="7"/>
  <c r="C490" i="7"/>
  <c r="B490" i="7"/>
  <c r="A490" i="7"/>
  <c r="W489" i="7"/>
  <c r="V489" i="7"/>
  <c r="E489" i="7"/>
  <c r="D489" i="7"/>
  <c r="C489" i="7"/>
  <c r="B489" i="7"/>
  <c r="A489" i="7"/>
  <c r="W488" i="7"/>
  <c r="V488" i="7"/>
  <c r="E488" i="7"/>
  <c r="D488" i="7"/>
  <c r="C488" i="7"/>
  <c r="B488" i="7"/>
  <c r="A488" i="7"/>
  <c r="W487" i="7"/>
  <c r="V487" i="7"/>
  <c r="E487" i="7"/>
  <c r="D487" i="7"/>
  <c r="C487" i="7"/>
  <c r="B487" i="7"/>
  <c r="A487" i="7"/>
  <c r="W486" i="7"/>
  <c r="V486" i="7"/>
  <c r="E486" i="7"/>
  <c r="D486" i="7"/>
  <c r="C486" i="7"/>
  <c r="B486" i="7"/>
  <c r="A486" i="7"/>
  <c r="W485" i="7"/>
  <c r="V485" i="7"/>
  <c r="E485" i="7"/>
  <c r="D485" i="7"/>
  <c r="C485" i="7"/>
  <c r="B485" i="7"/>
  <c r="A485" i="7"/>
  <c r="W484" i="7"/>
  <c r="V484" i="7"/>
  <c r="E484" i="7"/>
  <c r="D484" i="7"/>
  <c r="C484" i="7"/>
  <c r="B484" i="7"/>
  <c r="A484" i="7"/>
  <c r="W483" i="7"/>
  <c r="V483" i="7"/>
  <c r="E483" i="7"/>
  <c r="D483" i="7"/>
  <c r="C483" i="7"/>
  <c r="B483" i="7"/>
  <c r="A483" i="7"/>
  <c r="W482" i="7"/>
  <c r="V482" i="7"/>
  <c r="E482" i="7"/>
  <c r="D482" i="7"/>
  <c r="C482" i="7"/>
  <c r="B482" i="7"/>
  <c r="A482" i="7"/>
  <c r="W481" i="7"/>
  <c r="V481" i="7"/>
  <c r="E481" i="7"/>
  <c r="D481" i="7"/>
  <c r="C481" i="7"/>
  <c r="B481" i="7"/>
  <c r="A481" i="7"/>
  <c r="W480" i="7"/>
  <c r="V480" i="7"/>
  <c r="E480" i="7"/>
  <c r="D480" i="7"/>
  <c r="C480" i="7"/>
  <c r="B480" i="7"/>
  <c r="A480" i="7"/>
  <c r="W479" i="7"/>
  <c r="V479" i="7"/>
  <c r="E479" i="7"/>
  <c r="D479" i="7"/>
  <c r="C479" i="7"/>
  <c r="B479" i="7"/>
  <c r="A479" i="7"/>
  <c r="W478" i="7"/>
  <c r="V478" i="7"/>
  <c r="E478" i="7"/>
  <c r="D478" i="7"/>
  <c r="C478" i="7"/>
  <c r="B478" i="7"/>
  <c r="A478" i="7"/>
  <c r="W477" i="7"/>
  <c r="V477" i="7"/>
  <c r="E477" i="7"/>
  <c r="D477" i="7"/>
  <c r="C477" i="7"/>
  <c r="B477" i="7"/>
  <c r="A477" i="7"/>
  <c r="W476" i="7"/>
  <c r="V476" i="7"/>
  <c r="E476" i="7"/>
  <c r="D476" i="7"/>
  <c r="C476" i="7"/>
  <c r="B476" i="7"/>
  <c r="A476" i="7"/>
  <c r="W475" i="7"/>
  <c r="V475" i="7"/>
  <c r="E475" i="7"/>
  <c r="D475" i="7"/>
  <c r="C475" i="7"/>
  <c r="B475" i="7"/>
  <c r="A475" i="7"/>
  <c r="W474" i="7"/>
  <c r="V474" i="7"/>
  <c r="E474" i="7"/>
  <c r="D474" i="7"/>
  <c r="C474" i="7"/>
  <c r="B474" i="7"/>
  <c r="A474" i="7"/>
  <c r="W473" i="7"/>
  <c r="V473" i="7"/>
  <c r="E473" i="7"/>
  <c r="D473" i="7"/>
  <c r="C473" i="7"/>
  <c r="B473" i="7"/>
  <c r="A473" i="7"/>
  <c r="W472" i="7"/>
  <c r="V472" i="7"/>
  <c r="E472" i="7"/>
  <c r="D472" i="7"/>
  <c r="C472" i="7"/>
  <c r="B472" i="7"/>
  <c r="A472" i="7"/>
  <c r="W471" i="7"/>
  <c r="V471" i="7"/>
  <c r="E471" i="7"/>
  <c r="D471" i="7"/>
  <c r="C471" i="7"/>
  <c r="B471" i="7"/>
  <c r="A471" i="7"/>
  <c r="W470" i="7"/>
  <c r="V470" i="7"/>
  <c r="E470" i="7"/>
  <c r="D470" i="7"/>
  <c r="C470" i="7"/>
  <c r="B470" i="7"/>
  <c r="A470" i="7"/>
  <c r="W469" i="7"/>
  <c r="V469" i="7"/>
  <c r="E469" i="7"/>
  <c r="D469" i="7"/>
  <c r="C469" i="7"/>
  <c r="B469" i="7"/>
  <c r="A469" i="7"/>
  <c r="W468" i="7"/>
  <c r="V468" i="7"/>
  <c r="E468" i="7"/>
  <c r="D468" i="7"/>
  <c r="C468" i="7"/>
  <c r="B468" i="7"/>
  <c r="A468" i="7"/>
  <c r="W467" i="7"/>
  <c r="V467" i="7"/>
  <c r="E467" i="7"/>
  <c r="D467" i="7"/>
  <c r="C467" i="7"/>
  <c r="B467" i="7"/>
  <c r="A467" i="7"/>
  <c r="W466" i="7"/>
  <c r="V466" i="7"/>
  <c r="E466" i="7"/>
  <c r="D466" i="7"/>
  <c r="C466" i="7"/>
  <c r="B466" i="7"/>
  <c r="A466" i="7"/>
  <c r="W465" i="7"/>
  <c r="V465" i="7"/>
  <c r="E465" i="7"/>
  <c r="D465" i="7"/>
  <c r="C465" i="7"/>
  <c r="B465" i="7"/>
  <c r="A465" i="7"/>
  <c r="W464" i="7"/>
  <c r="V464" i="7"/>
  <c r="E464" i="7"/>
  <c r="D464" i="7"/>
  <c r="C464" i="7"/>
  <c r="B464" i="7"/>
  <c r="A464" i="7"/>
  <c r="W463" i="7"/>
  <c r="V463" i="7"/>
  <c r="E463" i="7"/>
  <c r="D463" i="7"/>
  <c r="C463" i="7"/>
  <c r="B463" i="7"/>
  <c r="A463" i="7"/>
  <c r="W462" i="7"/>
  <c r="V462" i="7"/>
  <c r="E462" i="7"/>
  <c r="D462" i="7"/>
  <c r="C462" i="7"/>
  <c r="B462" i="7"/>
  <c r="A462" i="7"/>
  <c r="W461" i="7"/>
  <c r="V461" i="7"/>
  <c r="E461" i="7"/>
  <c r="D461" i="7"/>
  <c r="C461" i="7"/>
  <c r="B461" i="7"/>
  <c r="A461" i="7"/>
  <c r="W460" i="7"/>
  <c r="V460" i="7"/>
  <c r="E460" i="7"/>
  <c r="D460" i="7"/>
  <c r="C460" i="7"/>
  <c r="B460" i="7"/>
  <c r="A460" i="7"/>
  <c r="W459" i="7"/>
  <c r="V459" i="7"/>
  <c r="E459" i="7"/>
  <c r="D459" i="7"/>
  <c r="C459" i="7"/>
  <c r="B459" i="7"/>
  <c r="A459" i="7"/>
  <c r="W458" i="7"/>
  <c r="V458" i="7"/>
  <c r="E458" i="7"/>
  <c r="D458" i="7"/>
  <c r="C458" i="7"/>
  <c r="B458" i="7"/>
  <c r="A458" i="7"/>
  <c r="W457" i="7"/>
  <c r="V457" i="7"/>
  <c r="E457" i="7"/>
  <c r="D457" i="7"/>
  <c r="C457" i="7"/>
  <c r="B457" i="7"/>
  <c r="A457" i="7"/>
  <c r="W456" i="7"/>
  <c r="V456" i="7"/>
  <c r="E456" i="7"/>
  <c r="D456" i="7"/>
  <c r="C456" i="7"/>
  <c r="B456" i="7"/>
  <c r="A456" i="7"/>
  <c r="W455" i="7"/>
  <c r="V455" i="7"/>
  <c r="E455" i="7"/>
  <c r="D455" i="7"/>
  <c r="C455" i="7"/>
  <c r="B455" i="7"/>
  <c r="A455" i="7"/>
  <c r="W454" i="7"/>
  <c r="V454" i="7"/>
  <c r="E454" i="7"/>
  <c r="D454" i="7"/>
  <c r="C454" i="7"/>
  <c r="B454" i="7"/>
  <c r="A454" i="7"/>
  <c r="W453" i="7"/>
  <c r="V453" i="7"/>
  <c r="E453" i="7"/>
  <c r="D453" i="7"/>
  <c r="C453" i="7"/>
  <c r="B453" i="7"/>
  <c r="A453" i="7"/>
  <c r="W452" i="7"/>
  <c r="V452" i="7"/>
  <c r="E452" i="7"/>
  <c r="D452" i="7"/>
  <c r="C452" i="7"/>
  <c r="B452" i="7"/>
  <c r="A452" i="7"/>
  <c r="W451" i="7"/>
  <c r="V451" i="7"/>
  <c r="E451" i="7"/>
  <c r="D451" i="7"/>
  <c r="C451" i="7"/>
  <c r="B451" i="7"/>
  <c r="A451" i="7"/>
  <c r="W450" i="7"/>
  <c r="V450" i="7"/>
  <c r="E450" i="7"/>
  <c r="D450" i="7"/>
  <c r="C450" i="7"/>
  <c r="B450" i="7"/>
  <c r="A450" i="7"/>
  <c r="W449" i="7"/>
  <c r="V449" i="7"/>
  <c r="E449" i="7"/>
  <c r="D449" i="7"/>
  <c r="C449" i="7"/>
  <c r="B449" i="7"/>
  <c r="A449" i="7"/>
  <c r="W448" i="7"/>
  <c r="V448" i="7"/>
  <c r="E448" i="7"/>
  <c r="D448" i="7"/>
  <c r="C448" i="7"/>
  <c r="B448" i="7"/>
  <c r="A448" i="7"/>
  <c r="W447" i="7"/>
  <c r="V447" i="7"/>
  <c r="E447" i="7"/>
  <c r="D447" i="7"/>
  <c r="C447" i="7"/>
  <c r="B447" i="7"/>
  <c r="A447" i="7"/>
  <c r="W446" i="7"/>
  <c r="V446" i="7"/>
  <c r="E446" i="7"/>
  <c r="D446" i="7"/>
  <c r="C446" i="7"/>
  <c r="B446" i="7"/>
  <c r="A446" i="7"/>
  <c r="W445" i="7"/>
  <c r="V445" i="7"/>
  <c r="E445" i="7"/>
  <c r="D445" i="7"/>
  <c r="C445" i="7"/>
  <c r="B445" i="7"/>
  <c r="A445" i="7"/>
  <c r="W444" i="7"/>
  <c r="V444" i="7"/>
  <c r="E444" i="7"/>
  <c r="D444" i="7"/>
  <c r="C444" i="7"/>
  <c r="B444" i="7"/>
  <c r="A444" i="7"/>
  <c r="W443" i="7"/>
  <c r="V443" i="7"/>
  <c r="E443" i="7"/>
  <c r="D443" i="7"/>
  <c r="C443" i="7"/>
  <c r="B443" i="7"/>
  <c r="A443" i="7"/>
  <c r="W442" i="7"/>
  <c r="V442" i="7"/>
  <c r="E442" i="7"/>
  <c r="D442" i="7"/>
  <c r="C442" i="7"/>
  <c r="B442" i="7"/>
  <c r="A442" i="7"/>
  <c r="W441" i="7"/>
  <c r="V441" i="7"/>
  <c r="E441" i="7"/>
  <c r="D441" i="7"/>
  <c r="C441" i="7"/>
  <c r="B441" i="7"/>
  <c r="A441" i="7"/>
  <c r="W440" i="7"/>
  <c r="V440" i="7"/>
  <c r="E440" i="7"/>
  <c r="D440" i="7"/>
  <c r="C440" i="7"/>
  <c r="B440" i="7"/>
  <c r="A440" i="7"/>
  <c r="W439" i="7"/>
  <c r="V439" i="7"/>
  <c r="E439" i="7"/>
  <c r="D439" i="7"/>
  <c r="C439" i="7"/>
  <c r="B439" i="7"/>
  <c r="A439" i="7"/>
  <c r="W438" i="7"/>
  <c r="V438" i="7"/>
  <c r="E438" i="7"/>
  <c r="D438" i="7"/>
  <c r="C438" i="7"/>
  <c r="B438" i="7"/>
  <c r="A438" i="7"/>
  <c r="W437" i="7"/>
  <c r="V437" i="7"/>
  <c r="E437" i="7"/>
  <c r="D437" i="7"/>
  <c r="C437" i="7"/>
  <c r="B437" i="7"/>
  <c r="A437" i="7"/>
  <c r="W436" i="7"/>
  <c r="V436" i="7"/>
  <c r="E436" i="7"/>
  <c r="D436" i="7"/>
  <c r="C436" i="7"/>
  <c r="B436" i="7"/>
  <c r="A436" i="7"/>
  <c r="W435" i="7"/>
  <c r="V435" i="7"/>
  <c r="E435" i="7"/>
  <c r="D435" i="7"/>
  <c r="C435" i="7"/>
  <c r="B435" i="7"/>
  <c r="A435" i="7"/>
  <c r="W434" i="7"/>
  <c r="V434" i="7"/>
  <c r="E434" i="7"/>
  <c r="D434" i="7"/>
  <c r="C434" i="7"/>
  <c r="B434" i="7"/>
  <c r="A434" i="7"/>
  <c r="W433" i="7"/>
  <c r="V433" i="7"/>
  <c r="E433" i="7"/>
  <c r="D433" i="7"/>
  <c r="C433" i="7"/>
  <c r="B433" i="7"/>
  <c r="A433" i="7"/>
  <c r="W432" i="7"/>
  <c r="V432" i="7"/>
  <c r="E432" i="7"/>
  <c r="D432" i="7"/>
  <c r="C432" i="7"/>
  <c r="B432" i="7"/>
  <c r="A432" i="7"/>
  <c r="W431" i="7"/>
  <c r="V431" i="7"/>
  <c r="E431" i="7"/>
  <c r="D431" i="7"/>
  <c r="C431" i="7"/>
  <c r="B431" i="7"/>
  <c r="A431" i="7"/>
  <c r="W430" i="7"/>
  <c r="V430" i="7"/>
  <c r="E430" i="7"/>
  <c r="D430" i="7"/>
  <c r="C430" i="7"/>
  <c r="B430" i="7"/>
  <c r="A430" i="7"/>
  <c r="W429" i="7"/>
  <c r="V429" i="7"/>
  <c r="E429" i="7"/>
  <c r="D429" i="7"/>
  <c r="C429" i="7"/>
  <c r="B429" i="7"/>
  <c r="A429" i="7"/>
  <c r="W428" i="7"/>
  <c r="V428" i="7"/>
  <c r="E428" i="7"/>
  <c r="D428" i="7"/>
  <c r="C428" i="7"/>
  <c r="B428" i="7"/>
  <c r="A428" i="7"/>
  <c r="W427" i="7"/>
  <c r="V427" i="7"/>
  <c r="E427" i="7"/>
  <c r="D427" i="7"/>
  <c r="C427" i="7"/>
  <c r="B427" i="7"/>
  <c r="A427" i="7"/>
  <c r="W426" i="7"/>
  <c r="V426" i="7"/>
  <c r="E426" i="7"/>
  <c r="D426" i="7"/>
  <c r="C426" i="7"/>
  <c r="B426" i="7"/>
  <c r="A426" i="7"/>
  <c r="W425" i="7"/>
  <c r="V425" i="7"/>
  <c r="E425" i="7"/>
  <c r="D425" i="7"/>
  <c r="C425" i="7"/>
  <c r="B425" i="7"/>
  <c r="A425" i="7"/>
  <c r="W424" i="7"/>
  <c r="V424" i="7"/>
  <c r="E424" i="7"/>
  <c r="D424" i="7"/>
  <c r="C424" i="7"/>
  <c r="B424" i="7"/>
  <c r="A424" i="7"/>
  <c r="W423" i="7"/>
  <c r="V423" i="7"/>
  <c r="E423" i="7"/>
  <c r="D423" i="7"/>
  <c r="C423" i="7"/>
  <c r="B423" i="7"/>
  <c r="A423" i="7"/>
  <c r="W422" i="7"/>
  <c r="V422" i="7"/>
  <c r="E422" i="7"/>
  <c r="D422" i="7"/>
  <c r="C422" i="7"/>
  <c r="B422" i="7"/>
  <c r="A422" i="7"/>
  <c r="W421" i="7"/>
  <c r="V421" i="7"/>
  <c r="E421" i="7"/>
  <c r="D421" i="7"/>
  <c r="C421" i="7"/>
  <c r="B421" i="7"/>
  <c r="A421" i="7"/>
  <c r="W420" i="7"/>
  <c r="V420" i="7"/>
  <c r="E420" i="7"/>
  <c r="D420" i="7"/>
  <c r="C420" i="7"/>
  <c r="B420" i="7"/>
  <c r="A420" i="7"/>
  <c r="W419" i="7"/>
  <c r="V419" i="7"/>
  <c r="E419" i="7"/>
  <c r="D419" i="7"/>
  <c r="C419" i="7"/>
  <c r="B419" i="7"/>
  <c r="A419" i="7"/>
  <c r="W418" i="7"/>
  <c r="V418" i="7"/>
  <c r="E418" i="7"/>
  <c r="D418" i="7"/>
  <c r="C418" i="7"/>
  <c r="B418" i="7"/>
  <c r="A418" i="7"/>
  <c r="W417" i="7"/>
  <c r="V417" i="7"/>
  <c r="E417" i="7"/>
  <c r="D417" i="7"/>
  <c r="C417" i="7"/>
  <c r="B417" i="7"/>
  <c r="A417" i="7"/>
  <c r="W416" i="7"/>
  <c r="V416" i="7"/>
  <c r="E416" i="7"/>
  <c r="D416" i="7"/>
  <c r="C416" i="7"/>
  <c r="B416" i="7"/>
  <c r="A416" i="7"/>
  <c r="W415" i="7"/>
  <c r="V415" i="7"/>
  <c r="E415" i="7"/>
  <c r="D415" i="7"/>
  <c r="C415" i="7"/>
  <c r="B415" i="7"/>
  <c r="A415" i="7"/>
  <c r="W414" i="7"/>
  <c r="V414" i="7"/>
  <c r="E414" i="7"/>
  <c r="D414" i="7"/>
  <c r="C414" i="7"/>
  <c r="B414" i="7"/>
  <c r="A414" i="7"/>
  <c r="W413" i="7"/>
  <c r="V413" i="7"/>
  <c r="E413" i="7"/>
  <c r="D413" i="7"/>
  <c r="C413" i="7"/>
  <c r="B413" i="7"/>
  <c r="A413" i="7"/>
  <c r="W412" i="7"/>
  <c r="V412" i="7"/>
  <c r="E412" i="7"/>
  <c r="D412" i="7"/>
  <c r="C412" i="7"/>
  <c r="B412" i="7"/>
  <c r="A412" i="7"/>
  <c r="W411" i="7"/>
  <c r="V411" i="7"/>
  <c r="E411" i="7"/>
  <c r="D411" i="7"/>
  <c r="C411" i="7"/>
  <c r="B411" i="7"/>
  <c r="A411" i="7"/>
  <c r="W410" i="7"/>
  <c r="V410" i="7"/>
  <c r="E410" i="7"/>
  <c r="D410" i="7"/>
  <c r="C410" i="7"/>
  <c r="B410" i="7"/>
  <c r="A410" i="7"/>
  <c r="W409" i="7"/>
  <c r="V409" i="7"/>
  <c r="E409" i="7"/>
  <c r="D409" i="7"/>
  <c r="C409" i="7"/>
  <c r="B409" i="7"/>
  <c r="A409" i="7"/>
  <c r="W408" i="7"/>
  <c r="V408" i="7"/>
  <c r="E408" i="7"/>
  <c r="D408" i="7"/>
  <c r="C408" i="7"/>
  <c r="B408" i="7"/>
  <c r="A408" i="7"/>
  <c r="W407" i="7"/>
  <c r="V407" i="7"/>
  <c r="E407" i="7"/>
  <c r="D407" i="7"/>
  <c r="C407" i="7"/>
  <c r="B407" i="7"/>
  <c r="A407" i="7"/>
  <c r="W406" i="7"/>
  <c r="V406" i="7"/>
  <c r="E406" i="7"/>
  <c r="D406" i="7"/>
  <c r="C406" i="7"/>
  <c r="B406" i="7"/>
  <c r="A406" i="7"/>
  <c r="W405" i="7"/>
  <c r="V405" i="7"/>
  <c r="E405" i="7"/>
  <c r="D405" i="7"/>
  <c r="C405" i="7"/>
  <c r="B405" i="7"/>
  <c r="A405" i="7"/>
  <c r="W404" i="7"/>
  <c r="V404" i="7"/>
  <c r="E404" i="7"/>
  <c r="D404" i="7"/>
  <c r="C404" i="7"/>
  <c r="B404" i="7"/>
  <c r="A404" i="7"/>
  <c r="W403" i="7"/>
  <c r="V403" i="7"/>
  <c r="E403" i="7"/>
  <c r="D403" i="7"/>
  <c r="C403" i="7"/>
  <c r="B403" i="7"/>
  <c r="A403" i="7"/>
  <c r="W402" i="7"/>
  <c r="V402" i="7"/>
  <c r="E402" i="7"/>
  <c r="D402" i="7"/>
  <c r="C402" i="7"/>
  <c r="B402" i="7"/>
  <c r="A402" i="7"/>
  <c r="W401" i="7"/>
  <c r="V401" i="7"/>
  <c r="E401" i="7"/>
  <c r="D401" i="7"/>
  <c r="C401" i="7"/>
  <c r="B401" i="7"/>
  <c r="A401" i="7"/>
  <c r="W400" i="7"/>
  <c r="V400" i="7"/>
  <c r="E400" i="7"/>
  <c r="D400" i="7"/>
  <c r="C400" i="7"/>
  <c r="B400" i="7"/>
  <c r="A400" i="7"/>
  <c r="W399" i="7"/>
  <c r="V399" i="7"/>
  <c r="E399" i="7"/>
  <c r="D399" i="7"/>
  <c r="C399" i="7"/>
  <c r="B399" i="7"/>
  <c r="A399" i="7"/>
  <c r="W398" i="7"/>
  <c r="V398" i="7"/>
  <c r="E398" i="7"/>
  <c r="D398" i="7"/>
  <c r="C398" i="7"/>
  <c r="B398" i="7"/>
  <c r="A398" i="7"/>
  <c r="W397" i="7"/>
  <c r="V397" i="7"/>
  <c r="E397" i="7"/>
  <c r="D397" i="7"/>
  <c r="C397" i="7"/>
  <c r="B397" i="7"/>
  <c r="A397" i="7"/>
  <c r="W396" i="7"/>
  <c r="V396" i="7"/>
  <c r="E396" i="7"/>
  <c r="D396" i="7"/>
  <c r="C396" i="7"/>
  <c r="B396" i="7"/>
  <c r="A396" i="7"/>
  <c r="W395" i="7"/>
  <c r="V395" i="7"/>
  <c r="E395" i="7"/>
  <c r="D395" i="7"/>
  <c r="C395" i="7"/>
  <c r="B395" i="7"/>
  <c r="A395" i="7"/>
  <c r="W394" i="7"/>
  <c r="V394" i="7"/>
  <c r="E394" i="7"/>
  <c r="D394" i="7"/>
  <c r="C394" i="7"/>
  <c r="B394" i="7"/>
  <c r="A394" i="7"/>
  <c r="W393" i="7"/>
  <c r="V393" i="7"/>
  <c r="E393" i="7"/>
  <c r="D393" i="7"/>
  <c r="C393" i="7"/>
  <c r="B393" i="7"/>
  <c r="A393" i="7"/>
  <c r="W392" i="7"/>
  <c r="V392" i="7"/>
  <c r="E392" i="7"/>
  <c r="D392" i="7"/>
  <c r="C392" i="7"/>
  <c r="B392" i="7"/>
  <c r="A392" i="7"/>
  <c r="W391" i="7"/>
  <c r="V391" i="7"/>
  <c r="E391" i="7"/>
  <c r="D391" i="7"/>
  <c r="C391" i="7"/>
  <c r="B391" i="7"/>
  <c r="A391" i="7"/>
  <c r="W390" i="7"/>
  <c r="V390" i="7"/>
  <c r="E390" i="7"/>
  <c r="D390" i="7"/>
  <c r="C390" i="7"/>
  <c r="B390" i="7"/>
  <c r="A390" i="7"/>
  <c r="W389" i="7"/>
  <c r="V389" i="7"/>
  <c r="E389" i="7"/>
  <c r="D389" i="7"/>
  <c r="C389" i="7"/>
  <c r="B389" i="7"/>
  <c r="A389" i="7"/>
  <c r="W388" i="7"/>
  <c r="V388" i="7"/>
  <c r="E388" i="7"/>
  <c r="D388" i="7"/>
  <c r="C388" i="7"/>
  <c r="B388" i="7"/>
  <c r="A388" i="7"/>
  <c r="W387" i="7"/>
  <c r="V387" i="7"/>
  <c r="E387" i="7"/>
  <c r="D387" i="7"/>
  <c r="C387" i="7"/>
  <c r="B387" i="7"/>
  <c r="A387" i="7"/>
  <c r="W386" i="7"/>
  <c r="V386" i="7"/>
  <c r="E386" i="7"/>
  <c r="D386" i="7"/>
  <c r="C386" i="7"/>
  <c r="B386" i="7"/>
  <c r="A386" i="7"/>
  <c r="W385" i="7"/>
  <c r="V385" i="7"/>
  <c r="E385" i="7"/>
  <c r="D385" i="7"/>
  <c r="C385" i="7"/>
  <c r="B385" i="7"/>
  <c r="A385" i="7"/>
  <c r="W384" i="7"/>
  <c r="V384" i="7"/>
  <c r="E384" i="7"/>
  <c r="D384" i="7"/>
  <c r="C384" i="7"/>
  <c r="B384" i="7"/>
  <c r="A384" i="7"/>
  <c r="W383" i="7"/>
  <c r="V383" i="7"/>
  <c r="E383" i="7"/>
  <c r="D383" i="7"/>
  <c r="C383" i="7"/>
  <c r="B383" i="7"/>
  <c r="A383" i="7"/>
  <c r="W382" i="7"/>
  <c r="V382" i="7"/>
  <c r="E382" i="7"/>
  <c r="D382" i="7"/>
  <c r="C382" i="7"/>
  <c r="B382" i="7"/>
  <c r="A382" i="7"/>
  <c r="W381" i="7"/>
  <c r="V381" i="7"/>
  <c r="E381" i="7"/>
  <c r="D381" i="7"/>
  <c r="C381" i="7"/>
  <c r="B381" i="7"/>
  <c r="A381" i="7"/>
  <c r="W380" i="7"/>
  <c r="V380" i="7"/>
  <c r="E380" i="7"/>
  <c r="D380" i="7"/>
  <c r="C380" i="7"/>
  <c r="B380" i="7"/>
  <c r="A380" i="7"/>
  <c r="W379" i="7"/>
  <c r="V379" i="7"/>
  <c r="E379" i="7"/>
  <c r="D379" i="7"/>
  <c r="C379" i="7"/>
  <c r="B379" i="7"/>
  <c r="A379" i="7"/>
  <c r="W378" i="7"/>
  <c r="V378" i="7"/>
  <c r="E378" i="7"/>
  <c r="D378" i="7"/>
  <c r="C378" i="7"/>
  <c r="B378" i="7"/>
  <c r="A378" i="7"/>
  <c r="W377" i="7"/>
  <c r="V377" i="7"/>
  <c r="E377" i="7"/>
  <c r="D377" i="7"/>
  <c r="C377" i="7"/>
  <c r="B377" i="7"/>
  <c r="A377" i="7"/>
  <c r="W376" i="7"/>
  <c r="V376" i="7"/>
  <c r="E376" i="7"/>
  <c r="D376" i="7"/>
  <c r="C376" i="7"/>
  <c r="B376" i="7"/>
  <c r="A376" i="7"/>
  <c r="W375" i="7"/>
  <c r="V375" i="7"/>
  <c r="E375" i="7"/>
  <c r="D375" i="7"/>
  <c r="C375" i="7"/>
  <c r="B375" i="7"/>
  <c r="A375" i="7"/>
  <c r="W374" i="7"/>
  <c r="V374" i="7"/>
  <c r="E374" i="7"/>
  <c r="D374" i="7"/>
  <c r="C374" i="7"/>
  <c r="B374" i="7"/>
  <c r="A374" i="7"/>
  <c r="W373" i="7"/>
  <c r="V373" i="7"/>
  <c r="E373" i="7"/>
  <c r="D373" i="7"/>
  <c r="C373" i="7"/>
  <c r="B373" i="7"/>
  <c r="A373" i="7"/>
  <c r="W372" i="7"/>
  <c r="V372" i="7"/>
  <c r="E372" i="7"/>
  <c r="D372" i="7"/>
  <c r="C372" i="7"/>
  <c r="B372" i="7"/>
  <c r="A372" i="7"/>
  <c r="W371" i="7"/>
  <c r="V371" i="7"/>
  <c r="E371" i="7"/>
  <c r="D371" i="7"/>
  <c r="C371" i="7"/>
  <c r="B371" i="7"/>
  <c r="A371" i="7"/>
  <c r="W370" i="7"/>
  <c r="V370" i="7"/>
  <c r="E370" i="7"/>
  <c r="D370" i="7"/>
  <c r="C370" i="7"/>
  <c r="B370" i="7"/>
  <c r="A370" i="7"/>
  <c r="W369" i="7"/>
  <c r="V369" i="7"/>
  <c r="E369" i="7"/>
  <c r="D369" i="7"/>
  <c r="C369" i="7"/>
  <c r="B369" i="7"/>
  <c r="A369" i="7"/>
  <c r="W368" i="7"/>
  <c r="V368" i="7"/>
  <c r="E368" i="7"/>
  <c r="D368" i="7"/>
  <c r="C368" i="7"/>
  <c r="B368" i="7"/>
  <c r="A368" i="7"/>
  <c r="W367" i="7"/>
  <c r="V367" i="7"/>
  <c r="E367" i="7"/>
  <c r="D367" i="7"/>
  <c r="C367" i="7"/>
  <c r="B367" i="7"/>
  <c r="A367" i="7"/>
  <c r="W366" i="7"/>
  <c r="V366" i="7"/>
  <c r="E366" i="7"/>
  <c r="D366" i="7"/>
  <c r="C366" i="7"/>
  <c r="B366" i="7"/>
  <c r="A366" i="7"/>
  <c r="W365" i="7"/>
  <c r="V365" i="7"/>
  <c r="E365" i="7"/>
  <c r="D365" i="7"/>
  <c r="C365" i="7"/>
  <c r="B365" i="7"/>
  <c r="A365" i="7"/>
  <c r="W364" i="7"/>
  <c r="V364" i="7"/>
  <c r="E364" i="7"/>
  <c r="D364" i="7"/>
  <c r="C364" i="7"/>
  <c r="B364" i="7"/>
  <c r="A364" i="7"/>
  <c r="W363" i="7"/>
  <c r="V363" i="7"/>
  <c r="E363" i="7"/>
  <c r="D363" i="7"/>
  <c r="C363" i="7"/>
  <c r="B363" i="7"/>
  <c r="A363" i="7"/>
  <c r="W362" i="7"/>
  <c r="V362" i="7"/>
  <c r="E362" i="7"/>
  <c r="D362" i="7"/>
  <c r="C362" i="7"/>
  <c r="B362" i="7"/>
  <c r="A362" i="7"/>
  <c r="W361" i="7"/>
  <c r="V361" i="7"/>
  <c r="E361" i="7"/>
  <c r="D361" i="7"/>
  <c r="C361" i="7"/>
  <c r="B361" i="7"/>
  <c r="A361" i="7"/>
  <c r="W360" i="7"/>
  <c r="V360" i="7"/>
  <c r="E360" i="7"/>
  <c r="D360" i="7"/>
  <c r="C360" i="7"/>
  <c r="B360" i="7"/>
  <c r="A360" i="7"/>
  <c r="W359" i="7"/>
  <c r="V359" i="7"/>
  <c r="E359" i="7"/>
  <c r="D359" i="7"/>
  <c r="C359" i="7"/>
  <c r="B359" i="7"/>
  <c r="A359" i="7"/>
  <c r="W358" i="7"/>
  <c r="V358" i="7"/>
  <c r="E358" i="7"/>
  <c r="D358" i="7"/>
  <c r="C358" i="7"/>
  <c r="B358" i="7"/>
  <c r="A358" i="7"/>
  <c r="W357" i="7"/>
  <c r="V357" i="7"/>
  <c r="E357" i="7"/>
  <c r="D357" i="7"/>
  <c r="C357" i="7"/>
  <c r="B357" i="7"/>
  <c r="A357" i="7"/>
  <c r="W356" i="7"/>
  <c r="V356" i="7"/>
  <c r="E356" i="7"/>
  <c r="D356" i="7"/>
  <c r="C356" i="7"/>
  <c r="B356" i="7"/>
  <c r="A356" i="7"/>
  <c r="W355" i="7"/>
  <c r="V355" i="7"/>
  <c r="E355" i="7"/>
  <c r="D355" i="7"/>
  <c r="C355" i="7"/>
  <c r="B355" i="7"/>
  <c r="A355" i="7"/>
  <c r="W354" i="7"/>
  <c r="V354" i="7"/>
  <c r="E354" i="7"/>
  <c r="D354" i="7"/>
  <c r="C354" i="7"/>
  <c r="B354" i="7"/>
  <c r="A354" i="7"/>
  <c r="W353" i="7"/>
  <c r="V353" i="7"/>
  <c r="E353" i="7"/>
  <c r="D353" i="7"/>
  <c r="C353" i="7"/>
  <c r="B353" i="7"/>
  <c r="A353" i="7"/>
  <c r="W352" i="7"/>
  <c r="V352" i="7"/>
  <c r="E352" i="7"/>
  <c r="D352" i="7"/>
  <c r="C352" i="7"/>
  <c r="B352" i="7"/>
  <c r="A352" i="7"/>
  <c r="W351" i="7"/>
  <c r="V351" i="7"/>
  <c r="E351" i="7"/>
  <c r="D351" i="7"/>
  <c r="C351" i="7"/>
  <c r="B351" i="7"/>
  <c r="A351" i="7"/>
  <c r="W350" i="7"/>
  <c r="V350" i="7"/>
  <c r="E350" i="7"/>
  <c r="D350" i="7"/>
  <c r="C350" i="7"/>
  <c r="B350" i="7"/>
  <c r="A350" i="7"/>
  <c r="W349" i="7"/>
  <c r="V349" i="7"/>
  <c r="E349" i="7"/>
  <c r="D349" i="7"/>
  <c r="C349" i="7"/>
  <c r="B349" i="7"/>
  <c r="A349" i="7"/>
  <c r="W348" i="7"/>
  <c r="V348" i="7"/>
  <c r="E348" i="7"/>
  <c r="D348" i="7"/>
  <c r="C348" i="7"/>
  <c r="B348" i="7"/>
  <c r="A348" i="7"/>
  <c r="W347" i="7"/>
  <c r="V347" i="7"/>
  <c r="E347" i="7"/>
  <c r="D347" i="7"/>
  <c r="C347" i="7"/>
  <c r="B347" i="7"/>
  <c r="A347" i="7"/>
  <c r="W346" i="7"/>
  <c r="V346" i="7"/>
  <c r="E346" i="7"/>
  <c r="D346" i="7"/>
  <c r="C346" i="7"/>
  <c r="B346" i="7"/>
  <c r="A346" i="7"/>
  <c r="W345" i="7"/>
  <c r="V345" i="7"/>
  <c r="E345" i="7"/>
  <c r="D345" i="7"/>
  <c r="C345" i="7"/>
  <c r="B345" i="7"/>
  <c r="A345" i="7"/>
  <c r="W344" i="7"/>
  <c r="V344" i="7"/>
  <c r="E344" i="7"/>
  <c r="D344" i="7"/>
  <c r="C344" i="7"/>
  <c r="B344" i="7"/>
  <c r="A344" i="7"/>
  <c r="W343" i="7"/>
  <c r="V343" i="7"/>
  <c r="E343" i="7"/>
  <c r="D343" i="7"/>
  <c r="C343" i="7"/>
  <c r="B343" i="7"/>
  <c r="A343" i="7"/>
  <c r="W342" i="7"/>
  <c r="V342" i="7"/>
  <c r="E342" i="7"/>
  <c r="D342" i="7"/>
  <c r="C342" i="7"/>
  <c r="B342" i="7"/>
  <c r="A342" i="7"/>
  <c r="W341" i="7"/>
  <c r="V341" i="7"/>
  <c r="E341" i="7"/>
  <c r="D341" i="7"/>
  <c r="C341" i="7"/>
  <c r="B341" i="7"/>
  <c r="A341" i="7"/>
  <c r="W340" i="7"/>
  <c r="V340" i="7"/>
  <c r="E340" i="7"/>
  <c r="D340" i="7"/>
  <c r="C340" i="7"/>
  <c r="B340" i="7"/>
  <c r="A340" i="7"/>
  <c r="W339" i="7"/>
  <c r="V339" i="7"/>
  <c r="E339" i="7"/>
  <c r="D339" i="7"/>
  <c r="C339" i="7"/>
  <c r="B339" i="7"/>
  <c r="A339" i="7"/>
  <c r="W338" i="7"/>
  <c r="V338" i="7"/>
  <c r="E338" i="7"/>
  <c r="D338" i="7"/>
  <c r="C338" i="7"/>
  <c r="B338" i="7"/>
  <c r="A338" i="7"/>
  <c r="W337" i="7"/>
  <c r="V337" i="7"/>
  <c r="E337" i="7"/>
  <c r="D337" i="7"/>
  <c r="C337" i="7"/>
  <c r="B337" i="7"/>
  <c r="A337" i="7"/>
  <c r="W336" i="7"/>
  <c r="V336" i="7"/>
  <c r="E336" i="7"/>
  <c r="D336" i="7"/>
  <c r="C336" i="7"/>
  <c r="B336" i="7"/>
  <c r="A336" i="7"/>
  <c r="W335" i="7"/>
  <c r="V335" i="7"/>
  <c r="E335" i="7"/>
  <c r="D335" i="7"/>
  <c r="C335" i="7"/>
  <c r="B335" i="7"/>
  <c r="A335" i="7"/>
  <c r="W334" i="7"/>
  <c r="V334" i="7"/>
  <c r="E334" i="7"/>
  <c r="D334" i="7"/>
  <c r="C334" i="7"/>
  <c r="B334" i="7"/>
  <c r="A334" i="7"/>
  <c r="W333" i="7"/>
  <c r="V333" i="7"/>
  <c r="E333" i="7"/>
  <c r="D333" i="7"/>
  <c r="C333" i="7"/>
  <c r="B333" i="7"/>
  <c r="A333" i="7"/>
  <c r="W332" i="7"/>
  <c r="V332" i="7"/>
  <c r="E332" i="7"/>
  <c r="D332" i="7"/>
  <c r="C332" i="7"/>
  <c r="B332" i="7"/>
  <c r="A332" i="7"/>
  <c r="W331" i="7"/>
  <c r="V331" i="7"/>
  <c r="E331" i="7"/>
  <c r="D331" i="7"/>
  <c r="C331" i="7"/>
  <c r="B331" i="7"/>
  <c r="A331" i="7"/>
  <c r="W330" i="7"/>
  <c r="V330" i="7"/>
  <c r="E330" i="7"/>
  <c r="D330" i="7"/>
  <c r="C330" i="7"/>
  <c r="B330" i="7"/>
  <c r="A330" i="7"/>
  <c r="W329" i="7"/>
  <c r="V329" i="7"/>
  <c r="E329" i="7"/>
  <c r="D329" i="7"/>
  <c r="C329" i="7"/>
  <c r="B329" i="7"/>
  <c r="A329" i="7"/>
  <c r="W328" i="7"/>
  <c r="V328" i="7"/>
  <c r="E328" i="7"/>
  <c r="D328" i="7"/>
  <c r="C328" i="7"/>
  <c r="B328" i="7"/>
  <c r="A328" i="7"/>
  <c r="W327" i="7"/>
  <c r="V327" i="7"/>
  <c r="E327" i="7"/>
  <c r="D327" i="7"/>
  <c r="C327" i="7"/>
  <c r="B327" i="7"/>
  <c r="A327" i="7"/>
  <c r="W326" i="7"/>
  <c r="V326" i="7"/>
  <c r="E326" i="7"/>
  <c r="D326" i="7"/>
  <c r="C326" i="7"/>
  <c r="B326" i="7"/>
  <c r="A326" i="7"/>
  <c r="W325" i="7"/>
  <c r="V325" i="7"/>
  <c r="E325" i="7"/>
  <c r="D325" i="7"/>
  <c r="C325" i="7"/>
  <c r="B325" i="7"/>
  <c r="A325" i="7"/>
  <c r="W324" i="7"/>
  <c r="V324" i="7"/>
  <c r="E324" i="7"/>
  <c r="D324" i="7"/>
  <c r="C324" i="7"/>
  <c r="B324" i="7"/>
  <c r="A324" i="7"/>
  <c r="W323" i="7"/>
  <c r="V323" i="7"/>
  <c r="E323" i="7"/>
  <c r="D323" i="7"/>
  <c r="C323" i="7"/>
  <c r="B323" i="7"/>
  <c r="A323" i="7"/>
  <c r="W322" i="7"/>
  <c r="V322" i="7"/>
  <c r="E322" i="7"/>
  <c r="D322" i="7"/>
  <c r="C322" i="7"/>
  <c r="B322" i="7"/>
  <c r="A322" i="7"/>
  <c r="W321" i="7"/>
  <c r="V321" i="7"/>
  <c r="E321" i="7"/>
  <c r="D321" i="7"/>
  <c r="C321" i="7"/>
  <c r="B321" i="7"/>
  <c r="A321" i="7"/>
  <c r="W320" i="7"/>
  <c r="V320" i="7"/>
  <c r="E320" i="7"/>
  <c r="D320" i="7"/>
  <c r="C320" i="7"/>
  <c r="B320" i="7"/>
  <c r="A320" i="7"/>
  <c r="W319" i="7"/>
  <c r="V319" i="7"/>
  <c r="E319" i="7"/>
  <c r="D319" i="7"/>
  <c r="C319" i="7"/>
  <c r="B319" i="7"/>
  <c r="A319" i="7"/>
  <c r="W318" i="7"/>
  <c r="V318" i="7"/>
  <c r="E318" i="7"/>
  <c r="D318" i="7"/>
  <c r="C318" i="7"/>
  <c r="B318" i="7"/>
  <c r="A318" i="7"/>
  <c r="W317" i="7"/>
  <c r="V317" i="7"/>
  <c r="E317" i="7"/>
  <c r="D317" i="7"/>
  <c r="C317" i="7"/>
  <c r="B317" i="7"/>
  <c r="A317" i="7"/>
  <c r="W316" i="7"/>
  <c r="V316" i="7"/>
  <c r="E316" i="7"/>
  <c r="D316" i="7"/>
  <c r="C316" i="7"/>
  <c r="B316" i="7"/>
  <c r="A316" i="7"/>
  <c r="W315" i="7"/>
  <c r="V315" i="7"/>
  <c r="E315" i="7"/>
  <c r="D315" i="7"/>
  <c r="C315" i="7"/>
  <c r="B315" i="7"/>
  <c r="A315" i="7"/>
  <c r="W314" i="7"/>
  <c r="V314" i="7"/>
  <c r="E314" i="7"/>
  <c r="D314" i="7"/>
  <c r="C314" i="7"/>
  <c r="B314" i="7"/>
  <c r="A314" i="7"/>
  <c r="W313" i="7"/>
  <c r="V313" i="7"/>
  <c r="E313" i="7"/>
  <c r="D313" i="7"/>
  <c r="C313" i="7"/>
  <c r="B313" i="7"/>
  <c r="A313" i="7"/>
  <c r="W312" i="7"/>
  <c r="V312" i="7"/>
  <c r="E312" i="7"/>
  <c r="D312" i="7"/>
  <c r="C312" i="7"/>
  <c r="B312" i="7"/>
  <c r="A312" i="7"/>
  <c r="W311" i="7"/>
  <c r="V311" i="7"/>
  <c r="E311" i="7"/>
  <c r="D311" i="7"/>
  <c r="C311" i="7"/>
  <c r="B311" i="7"/>
  <c r="A311" i="7"/>
  <c r="W310" i="7"/>
  <c r="V310" i="7"/>
  <c r="E310" i="7"/>
  <c r="D310" i="7"/>
  <c r="C310" i="7"/>
  <c r="B310" i="7"/>
  <c r="A310" i="7"/>
  <c r="W309" i="7"/>
  <c r="V309" i="7"/>
  <c r="E309" i="7"/>
  <c r="D309" i="7"/>
  <c r="C309" i="7"/>
  <c r="B309" i="7"/>
  <c r="A309" i="7"/>
  <c r="W308" i="7"/>
  <c r="V308" i="7"/>
  <c r="E308" i="7"/>
  <c r="D308" i="7"/>
  <c r="C308" i="7"/>
  <c r="B308" i="7"/>
  <c r="A308" i="7"/>
  <c r="W307" i="7"/>
  <c r="V307" i="7"/>
  <c r="E307" i="7"/>
  <c r="D307" i="7"/>
  <c r="C307" i="7"/>
  <c r="B307" i="7"/>
  <c r="A307" i="7"/>
  <c r="W306" i="7"/>
  <c r="V306" i="7"/>
  <c r="E306" i="7"/>
  <c r="D306" i="7"/>
  <c r="C306" i="7"/>
  <c r="B306" i="7"/>
  <c r="A306" i="7"/>
  <c r="W305" i="7"/>
  <c r="V305" i="7"/>
  <c r="E305" i="7"/>
  <c r="D305" i="7"/>
  <c r="C305" i="7"/>
  <c r="B305" i="7"/>
  <c r="A305" i="7"/>
  <c r="W304" i="7"/>
  <c r="V304" i="7"/>
  <c r="E304" i="7"/>
  <c r="D304" i="7"/>
  <c r="C304" i="7"/>
  <c r="B304" i="7"/>
  <c r="A304" i="7"/>
  <c r="W303" i="7"/>
  <c r="V303" i="7"/>
  <c r="E303" i="7"/>
  <c r="D303" i="7"/>
  <c r="C303" i="7"/>
  <c r="B303" i="7"/>
  <c r="A303" i="7"/>
  <c r="W302" i="7"/>
  <c r="V302" i="7"/>
  <c r="E302" i="7"/>
  <c r="D302" i="7"/>
  <c r="C302" i="7"/>
  <c r="B302" i="7"/>
  <c r="A302" i="7"/>
  <c r="W301" i="7"/>
  <c r="V301" i="7"/>
  <c r="E301" i="7"/>
  <c r="D301" i="7"/>
  <c r="C301" i="7"/>
  <c r="B301" i="7"/>
  <c r="A301" i="7"/>
  <c r="W300" i="7"/>
  <c r="V300" i="7"/>
  <c r="E300" i="7"/>
  <c r="D300" i="7"/>
  <c r="C300" i="7"/>
  <c r="B300" i="7"/>
  <c r="A300" i="7"/>
  <c r="W299" i="7"/>
  <c r="V299" i="7"/>
  <c r="E299" i="7"/>
  <c r="D299" i="7"/>
  <c r="C299" i="7"/>
  <c r="B299" i="7"/>
  <c r="A299" i="7"/>
  <c r="W298" i="7"/>
  <c r="V298" i="7"/>
  <c r="E298" i="7"/>
  <c r="D298" i="7"/>
  <c r="C298" i="7"/>
  <c r="B298" i="7"/>
  <c r="A298" i="7"/>
  <c r="W297" i="7"/>
  <c r="V297" i="7"/>
  <c r="E297" i="7"/>
  <c r="D297" i="7"/>
  <c r="C297" i="7"/>
  <c r="B297" i="7"/>
  <c r="A297" i="7"/>
  <c r="W296" i="7"/>
  <c r="V296" i="7"/>
  <c r="E296" i="7"/>
  <c r="D296" i="7"/>
  <c r="C296" i="7"/>
  <c r="B296" i="7"/>
  <c r="A296" i="7"/>
  <c r="W295" i="7"/>
  <c r="V295" i="7"/>
  <c r="E295" i="7"/>
  <c r="D295" i="7"/>
  <c r="C295" i="7"/>
  <c r="B295" i="7"/>
  <c r="A295" i="7"/>
  <c r="W294" i="7"/>
  <c r="V294" i="7"/>
  <c r="E294" i="7"/>
  <c r="D294" i="7"/>
  <c r="C294" i="7"/>
  <c r="B294" i="7"/>
  <c r="A294" i="7"/>
  <c r="W293" i="7"/>
  <c r="V293" i="7"/>
  <c r="E293" i="7"/>
  <c r="D293" i="7"/>
  <c r="C293" i="7"/>
  <c r="B293" i="7"/>
  <c r="A293" i="7"/>
  <c r="W292" i="7"/>
  <c r="V292" i="7"/>
  <c r="E292" i="7"/>
  <c r="D292" i="7"/>
  <c r="C292" i="7"/>
  <c r="B292" i="7"/>
  <c r="A292" i="7"/>
  <c r="W291" i="7"/>
  <c r="V291" i="7"/>
  <c r="E291" i="7"/>
  <c r="D291" i="7"/>
  <c r="C291" i="7"/>
  <c r="B291" i="7"/>
  <c r="A291" i="7"/>
  <c r="W290" i="7"/>
  <c r="V290" i="7"/>
  <c r="E290" i="7"/>
  <c r="D290" i="7"/>
  <c r="C290" i="7"/>
  <c r="B290" i="7"/>
  <c r="A290" i="7"/>
  <c r="W289" i="7"/>
  <c r="V289" i="7"/>
  <c r="E289" i="7"/>
  <c r="D289" i="7"/>
  <c r="C289" i="7"/>
  <c r="B289" i="7"/>
  <c r="A289" i="7"/>
  <c r="W288" i="7"/>
  <c r="V288" i="7"/>
  <c r="E288" i="7"/>
  <c r="D288" i="7"/>
  <c r="C288" i="7"/>
  <c r="B288" i="7"/>
  <c r="A288" i="7"/>
  <c r="W287" i="7"/>
  <c r="V287" i="7"/>
  <c r="E287" i="7"/>
  <c r="D287" i="7"/>
  <c r="C287" i="7"/>
  <c r="B287" i="7"/>
  <c r="A287" i="7"/>
  <c r="W286" i="7"/>
  <c r="V286" i="7"/>
  <c r="E286" i="7"/>
  <c r="D286" i="7"/>
  <c r="C286" i="7"/>
  <c r="B286" i="7"/>
  <c r="A286" i="7"/>
  <c r="W285" i="7"/>
  <c r="V285" i="7"/>
  <c r="E285" i="7"/>
  <c r="D285" i="7"/>
  <c r="C285" i="7"/>
  <c r="B285" i="7"/>
  <c r="A285" i="7"/>
  <c r="W284" i="7"/>
  <c r="V284" i="7"/>
  <c r="E284" i="7"/>
  <c r="D284" i="7"/>
  <c r="C284" i="7"/>
  <c r="B284" i="7"/>
  <c r="A284" i="7"/>
  <c r="W283" i="7"/>
  <c r="V283" i="7"/>
  <c r="E283" i="7"/>
  <c r="D283" i="7"/>
  <c r="C283" i="7"/>
  <c r="B283" i="7"/>
  <c r="A283" i="7"/>
  <c r="W282" i="7"/>
  <c r="V282" i="7"/>
  <c r="E282" i="7"/>
  <c r="D282" i="7"/>
  <c r="C282" i="7"/>
  <c r="B282" i="7"/>
  <c r="A282" i="7"/>
  <c r="W281" i="7"/>
  <c r="V281" i="7"/>
  <c r="E281" i="7"/>
  <c r="D281" i="7"/>
  <c r="C281" i="7"/>
  <c r="B281" i="7"/>
  <c r="A281" i="7"/>
  <c r="W280" i="7"/>
  <c r="V280" i="7"/>
  <c r="E280" i="7"/>
  <c r="D280" i="7"/>
  <c r="C280" i="7"/>
  <c r="B280" i="7"/>
  <c r="A280" i="7"/>
  <c r="W279" i="7"/>
  <c r="V279" i="7"/>
  <c r="E279" i="7"/>
  <c r="D279" i="7"/>
  <c r="C279" i="7"/>
  <c r="B279" i="7"/>
  <c r="A279" i="7"/>
  <c r="W278" i="7"/>
  <c r="V278" i="7"/>
  <c r="E278" i="7"/>
  <c r="D278" i="7"/>
  <c r="C278" i="7"/>
  <c r="B278" i="7"/>
  <c r="A278" i="7"/>
  <c r="W277" i="7"/>
  <c r="V277" i="7"/>
  <c r="E277" i="7"/>
  <c r="D277" i="7"/>
  <c r="C277" i="7"/>
  <c r="B277" i="7"/>
  <c r="A277" i="7"/>
  <c r="W276" i="7"/>
  <c r="V276" i="7"/>
  <c r="E276" i="7"/>
  <c r="D276" i="7"/>
  <c r="C276" i="7"/>
  <c r="B276" i="7"/>
  <c r="A276" i="7"/>
  <c r="W275" i="7"/>
  <c r="V275" i="7"/>
  <c r="E275" i="7"/>
  <c r="D275" i="7"/>
  <c r="C275" i="7"/>
  <c r="B275" i="7"/>
  <c r="A275" i="7"/>
  <c r="W274" i="7"/>
  <c r="V274" i="7"/>
  <c r="E274" i="7"/>
  <c r="D274" i="7"/>
  <c r="C274" i="7"/>
  <c r="B274" i="7"/>
  <c r="A274" i="7"/>
  <c r="W273" i="7"/>
  <c r="V273" i="7"/>
  <c r="E273" i="7"/>
  <c r="D273" i="7"/>
  <c r="C273" i="7"/>
  <c r="B273" i="7"/>
  <c r="A273" i="7"/>
  <c r="W272" i="7"/>
  <c r="V272" i="7"/>
  <c r="E272" i="7"/>
  <c r="D272" i="7"/>
  <c r="C272" i="7"/>
  <c r="B272" i="7"/>
  <c r="A272" i="7"/>
  <c r="W271" i="7"/>
  <c r="V271" i="7"/>
  <c r="E271" i="7"/>
  <c r="D271" i="7"/>
  <c r="C271" i="7"/>
  <c r="B271" i="7"/>
  <c r="A271" i="7"/>
  <c r="W270" i="7"/>
  <c r="V270" i="7"/>
  <c r="E270" i="7"/>
  <c r="D270" i="7"/>
  <c r="C270" i="7"/>
  <c r="B270" i="7"/>
  <c r="A270" i="7"/>
  <c r="W269" i="7"/>
  <c r="V269" i="7"/>
  <c r="E269" i="7"/>
  <c r="D269" i="7"/>
  <c r="C269" i="7"/>
  <c r="B269" i="7"/>
  <c r="A269" i="7"/>
  <c r="W268" i="7"/>
  <c r="V268" i="7"/>
  <c r="E268" i="7"/>
  <c r="D268" i="7"/>
  <c r="C268" i="7"/>
  <c r="B268" i="7"/>
  <c r="A268" i="7"/>
  <c r="W267" i="7"/>
  <c r="V267" i="7"/>
  <c r="E267" i="7"/>
  <c r="D267" i="7"/>
  <c r="C267" i="7"/>
  <c r="B267" i="7"/>
  <c r="A267" i="7"/>
  <c r="W266" i="7"/>
  <c r="V266" i="7"/>
  <c r="E266" i="7"/>
  <c r="D266" i="7"/>
  <c r="C266" i="7"/>
  <c r="B266" i="7"/>
  <c r="A266" i="7"/>
  <c r="W265" i="7"/>
  <c r="V265" i="7"/>
  <c r="E265" i="7"/>
  <c r="D265" i="7"/>
  <c r="C265" i="7"/>
  <c r="B265" i="7"/>
  <c r="A265" i="7"/>
  <c r="W264" i="7"/>
  <c r="V264" i="7"/>
  <c r="E264" i="7"/>
  <c r="D264" i="7"/>
  <c r="C264" i="7"/>
  <c r="B264" i="7"/>
  <c r="A264" i="7"/>
  <c r="W263" i="7"/>
  <c r="V263" i="7"/>
  <c r="E263" i="7"/>
  <c r="D263" i="7"/>
  <c r="C263" i="7"/>
  <c r="B263" i="7"/>
  <c r="A263" i="7"/>
  <c r="W262" i="7"/>
  <c r="V262" i="7"/>
  <c r="E262" i="7"/>
  <c r="D262" i="7"/>
  <c r="C262" i="7"/>
  <c r="B262" i="7"/>
  <c r="A262" i="7"/>
  <c r="W261" i="7"/>
  <c r="V261" i="7"/>
  <c r="E261" i="7"/>
  <c r="D261" i="7"/>
  <c r="C261" i="7"/>
  <c r="B261" i="7"/>
  <c r="A261" i="7"/>
  <c r="W260" i="7"/>
  <c r="V260" i="7"/>
  <c r="E260" i="7"/>
  <c r="D260" i="7"/>
  <c r="C260" i="7"/>
  <c r="B260" i="7"/>
  <c r="A260" i="7"/>
  <c r="W259" i="7"/>
  <c r="V259" i="7"/>
  <c r="E259" i="7"/>
  <c r="D259" i="7"/>
  <c r="C259" i="7"/>
  <c r="B259" i="7"/>
  <c r="A259" i="7"/>
  <c r="W258" i="7"/>
  <c r="V258" i="7"/>
  <c r="E258" i="7"/>
  <c r="D258" i="7"/>
  <c r="C258" i="7"/>
  <c r="B258" i="7"/>
  <c r="A258" i="7"/>
  <c r="W257" i="7"/>
  <c r="V257" i="7"/>
  <c r="E257" i="7"/>
  <c r="D257" i="7"/>
  <c r="C257" i="7"/>
  <c r="B257" i="7"/>
  <c r="A257" i="7"/>
  <c r="W256" i="7"/>
  <c r="V256" i="7"/>
  <c r="E256" i="7"/>
  <c r="D256" i="7"/>
  <c r="C256" i="7"/>
  <c r="B256" i="7"/>
  <c r="A256" i="7"/>
  <c r="W255" i="7"/>
  <c r="V255" i="7"/>
  <c r="E255" i="7"/>
  <c r="D255" i="7"/>
  <c r="C255" i="7"/>
  <c r="B255" i="7"/>
  <c r="A255" i="7"/>
  <c r="W254" i="7"/>
  <c r="V254" i="7"/>
  <c r="E254" i="7"/>
  <c r="D254" i="7"/>
  <c r="C254" i="7"/>
  <c r="B254" i="7"/>
  <c r="A254" i="7"/>
  <c r="W253" i="7"/>
  <c r="V253" i="7"/>
  <c r="E253" i="7"/>
  <c r="D253" i="7"/>
  <c r="C253" i="7"/>
  <c r="B253" i="7"/>
  <c r="A253" i="7"/>
  <c r="W252" i="7"/>
  <c r="V252" i="7"/>
  <c r="E252" i="7"/>
  <c r="D252" i="7"/>
  <c r="C252" i="7"/>
  <c r="B252" i="7"/>
  <c r="A252" i="7"/>
  <c r="W251" i="7"/>
  <c r="V251" i="7"/>
  <c r="E251" i="7"/>
  <c r="D251" i="7"/>
  <c r="C251" i="7"/>
  <c r="B251" i="7"/>
  <c r="A251" i="7"/>
  <c r="W250" i="7"/>
  <c r="V250" i="7"/>
  <c r="E250" i="7"/>
  <c r="D250" i="7"/>
  <c r="C250" i="7"/>
  <c r="B250" i="7"/>
  <c r="A250" i="7"/>
  <c r="W249" i="7"/>
  <c r="V249" i="7"/>
  <c r="E249" i="7"/>
  <c r="D249" i="7"/>
  <c r="C249" i="7"/>
  <c r="B249" i="7"/>
  <c r="A249" i="7"/>
  <c r="W248" i="7"/>
  <c r="V248" i="7"/>
  <c r="E248" i="7"/>
  <c r="D248" i="7"/>
  <c r="C248" i="7"/>
  <c r="B248" i="7"/>
  <c r="A248" i="7"/>
  <c r="W247" i="7"/>
  <c r="V247" i="7"/>
  <c r="E247" i="7"/>
  <c r="D247" i="7"/>
  <c r="C247" i="7"/>
  <c r="B247" i="7"/>
  <c r="A247" i="7"/>
  <c r="W246" i="7"/>
  <c r="V246" i="7"/>
  <c r="E246" i="7"/>
  <c r="D246" i="7"/>
  <c r="C246" i="7"/>
  <c r="B246" i="7"/>
  <c r="A246" i="7"/>
  <c r="W245" i="7"/>
  <c r="V245" i="7"/>
  <c r="E245" i="7"/>
  <c r="D245" i="7"/>
  <c r="C245" i="7"/>
  <c r="B245" i="7"/>
  <c r="A245" i="7"/>
  <c r="W244" i="7"/>
  <c r="V244" i="7"/>
  <c r="E244" i="7"/>
  <c r="D244" i="7"/>
  <c r="C244" i="7"/>
  <c r="B244" i="7"/>
  <c r="A244" i="7"/>
  <c r="W243" i="7"/>
  <c r="V243" i="7"/>
  <c r="E243" i="7"/>
  <c r="D243" i="7"/>
  <c r="C243" i="7"/>
  <c r="B243" i="7"/>
  <c r="A243" i="7"/>
  <c r="W242" i="7"/>
  <c r="V242" i="7"/>
  <c r="E242" i="7"/>
  <c r="D242" i="7"/>
  <c r="C242" i="7"/>
  <c r="B242" i="7"/>
  <c r="A242" i="7"/>
  <c r="W241" i="7"/>
  <c r="V241" i="7"/>
  <c r="E241" i="7"/>
  <c r="D241" i="7"/>
  <c r="C241" i="7"/>
  <c r="B241" i="7"/>
  <c r="A241" i="7"/>
  <c r="W240" i="7"/>
  <c r="V240" i="7"/>
  <c r="E240" i="7"/>
  <c r="D240" i="7"/>
  <c r="C240" i="7"/>
  <c r="B240" i="7"/>
  <c r="A240" i="7"/>
  <c r="W239" i="7"/>
  <c r="V239" i="7"/>
  <c r="E239" i="7"/>
  <c r="D239" i="7"/>
  <c r="C239" i="7"/>
  <c r="B239" i="7"/>
  <c r="A239" i="7"/>
  <c r="W238" i="7"/>
  <c r="V238" i="7"/>
  <c r="E238" i="7"/>
  <c r="D238" i="7"/>
  <c r="C238" i="7"/>
  <c r="B238" i="7"/>
  <c r="A238" i="7"/>
  <c r="W237" i="7"/>
  <c r="V237" i="7"/>
  <c r="E237" i="7"/>
  <c r="D237" i="7"/>
  <c r="C237" i="7"/>
  <c r="B237" i="7"/>
  <c r="A237" i="7"/>
  <c r="W236" i="7"/>
  <c r="V236" i="7"/>
  <c r="E236" i="7"/>
  <c r="D236" i="7"/>
  <c r="C236" i="7"/>
  <c r="B236" i="7"/>
  <c r="A236" i="7"/>
  <c r="W235" i="7"/>
  <c r="V235" i="7"/>
  <c r="E235" i="7"/>
  <c r="D235" i="7"/>
  <c r="C235" i="7"/>
  <c r="B235" i="7"/>
  <c r="A235" i="7"/>
  <c r="W234" i="7"/>
  <c r="V234" i="7"/>
  <c r="E234" i="7"/>
  <c r="D234" i="7"/>
  <c r="C234" i="7"/>
  <c r="B234" i="7"/>
  <c r="A234" i="7"/>
  <c r="W233" i="7"/>
  <c r="V233" i="7"/>
  <c r="E233" i="7"/>
  <c r="D233" i="7"/>
  <c r="C233" i="7"/>
  <c r="B233" i="7"/>
  <c r="A233" i="7"/>
  <c r="W232" i="7"/>
  <c r="V232" i="7"/>
  <c r="E232" i="7"/>
  <c r="D232" i="7"/>
  <c r="C232" i="7"/>
  <c r="B232" i="7"/>
  <c r="A232" i="7"/>
  <c r="W231" i="7"/>
  <c r="V231" i="7"/>
  <c r="E231" i="7"/>
  <c r="D231" i="7"/>
  <c r="C231" i="7"/>
  <c r="B231" i="7"/>
  <c r="A231" i="7"/>
  <c r="W230" i="7"/>
  <c r="V230" i="7"/>
  <c r="E230" i="7"/>
  <c r="D230" i="7"/>
  <c r="C230" i="7"/>
  <c r="B230" i="7"/>
  <c r="A230" i="7"/>
  <c r="W229" i="7"/>
  <c r="V229" i="7"/>
  <c r="E229" i="7"/>
  <c r="D229" i="7"/>
  <c r="C229" i="7"/>
  <c r="B229" i="7"/>
  <c r="A229" i="7"/>
  <c r="W228" i="7"/>
  <c r="V228" i="7"/>
  <c r="E228" i="7"/>
  <c r="D228" i="7"/>
  <c r="C228" i="7"/>
  <c r="B228" i="7"/>
  <c r="A228" i="7"/>
  <c r="W227" i="7"/>
  <c r="V227" i="7"/>
  <c r="E227" i="7"/>
  <c r="D227" i="7"/>
  <c r="C227" i="7"/>
  <c r="B227" i="7"/>
  <c r="A227" i="7"/>
  <c r="W226" i="7"/>
  <c r="V226" i="7"/>
  <c r="E226" i="7"/>
  <c r="D226" i="7"/>
  <c r="C226" i="7"/>
  <c r="B226" i="7"/>
  <c r="A226" i="7"/>
  <c r="W225" i="7"/>
  <c r="V225" i="7"/>
  <c r="E225" i="7"/>
  <c r="D225" i="7"/>
  <c r="C225" i="7"/>
  <c r="B225" i="7"/>
  <c r="A225" i="7"/>
  <c r="W224" i="7"/>
  <c r="V224" i="7"/>
  <c r="E224" i="7"/>
  <c r="D224" i="7"/>
  <c r="C224" i="7"/>
  <c r="B224" i="7"/>
  <c r="A224" i="7"/>
  <c r="W223" i="7"/>
  <c r="V223" i="7"/>
  <c r="E223" i="7"/>
  <c r="D223" i="7"/>
  <c r="C223" i="7"/>
  <c r="B223" i="7"/>
  <c r="A223" i="7"/>
  <c r="W222" i="7"/>
  <c r="V222" i="7"/>
  <c r="E222" i="7"/>
  <c r="D222" i="7"/>
  <c r="C222" i="7"/>
  <c r="B222" i="7"/>
  <c r="A222" i="7"/>
  <c r="W221" i="7"/>
  <c r="V221" i="7"/>
  <c r="E221" i="7"/>
  <c r="D221" i="7"/>
  <c r="C221" i="7"/>
  <c r="B221" i="7"/>
  <c r="A221" i="7"/>
  <c r="W220" i="7"/>
  <c r="V220" i="7"/>
  <c r="E220" i="7"/>
  <c r="D220" i="7"/>
  <c r="C220" i="7"/>
  <c r="B220" i="7"/>
  <c r="A220" i="7"/>
  <c r="W219" i="7"/>
  <c r="V219" i="7"/>
  <c r="E219" i="7"/>
  <c r="D219" i="7"/>
  <c r="C219" i="7"/>
  <c r="B219" i="7"/>
  <c r="A219" i="7"/>
  <c r="W218" i="7"/>
  <c r="V218" i="7"/>
  <c r="E218" i="7"/>
  <c r="D218" i="7"/>
  <c r="C218" i="7"/>
  <c r="B218" i="7"/>
  <c r="A218" i="7"/>
  <c r="W217" i="7"/>
  <c r="V217" i="7"/>
  <c r="E217" i="7"/>
  <c r="D217" i="7"/>
  <c r="C217" i="7"/>
  <c r="B217" i="7"/>
  <c r="A217" i="7"/>
  <c r="W216" i="7"/>
  <c r="V216" i="7"/>
  <c r="E216" i="7"/>
  <c r="D216" i="7"/>
  <c r="C216" i="7"/>
  <c r="B216" i="7"/>
  <c r="A216" i="7"/>
  <c r="W215" i="7"/>
  <c r="V215" i="7"/>
  <c r="E215" i="7"/>
  <c r="D215" i="7"/>
  <c r="C215" i="7"/>
  <c r="B215" i="7"/>
  <c r="A215" i="7"/>
  <c r="W214" i="7"/>
  <c r="V214" i="7"/>
  <c r="E214" i="7"/>
  <c r="D214" i="7"/>
  <c r="C214" i="7"/>
  <c r="B214" i="7"/>
  <c r="A214" i="7"/>
  <c r="W213" i="7"/>
  <c r="V213" i="7"/>
  <c r="E213" i="7"/>
  <c r="D213" i="7"/>
  <c r="C213" i="7"/>
  <c r="B213" i="7"/>
  <c r="A213" i="7"/>
  <c r="W212" i="7"/>
  <c r="V212" i="7"/>
  <c r="E212" i="7"/>
  <c r="D212" i="7"/>
  <c r="C212" i="7"/>
  <c r="B212" i="7"/>
  <c r="A212" i="7"/>
  <c r="W211" i="7"/>
  <c r="V211" i="7"/>
  <c r="E211" i="7"/>
  <c r="D211" i="7"/>
  <c r="C211" i="7"/>
  <c r="B211" i="7"/>
  <c r="A211" i="7"/>
  <c r="W210" i="7"/>
  <c r="V210" i="7"/>
  <c r="E210" i="7"/>
  <c r="D210" i="7"/>
  <c r="C210" i="7"/>
  <c r="B210" i="7"/>
  <c r="A210" i="7"/>
  <c r="W209" i="7"/>
  <c r="V209" i="7"/>
  <c r="E209" i="7"/>
  <c r="D209" i="7"/>
  <c r="C209" i="7"/>
  <c r="B209" i="7"/>
  <c r="A209" i="7"/>
  <c r="W208" i="7"/>
  <c r="V208" i="7"/>
  <c r="E208" i="7"/>
  <c r="D208" i="7"/>
  <c r="C208" i="7"/>
  <c r="B208" i="7"/>
  <c r="A208" i="7"/>
  <c r="W207" i="7"/>
  <c r="V207" i="7"/>
  <c r="E207" i="7"/>
  <c r="D207" i="7"/>
  <c r="C207" i="7"/>
  <c r="B207" i="7"/>
  <c r="A207" i="7"/>
  <c r="W206" i="7"/>
  <c r="V206" i="7"/>
  <c r="E206" i="7"/>
  <c r="D206" i="7"/>
  <c r="C206" i="7"/>
  <c r="B206" i="7"/>
  <c r="A206" i="7"/>
  <c r="W205" i="7"/>
  <c r="V205" i="7"/>
  <c r="E205" i="7"/>
  <c r="D205" i="7"/>
  <c r="C205" i="7"/>
  <c r="B205" i="7"/>
  <c r="A205" i="7"/>
  <c r="W204" i="7"/>
  <c r="V204" i="7"/>
  <c r="E204" i="7"/>
  <c r="D204" i="7"/>
  <c r="C204" i="7"/>
  <c r="B204" i="7"/>
  <c r="A204" i="7"/>
  <c r="W203" i="7"/>
  <c r="V203" i="7"/>
  <c r="E203" i="7"/>
  <c r="D203" i="7"/>
  <c r="C203" i="7"/>
  <c r="B203" i="7"/>
  <c r="A203" i="7"/>
  <c r="W202" i="7"/>
  <c r="V202" i="7"/>
  <c r="E202" i="7"/>
  <c r="D202" i="7"/>
  <c r="C202" i="7"/>
  <c r="B202" i="7"/>
  <c r="A202" i="7"/>
  <c r="W201" i="7"/>
  <c r="V201" i="7"/>
  <c r="E201" i="7"/>
  <c r="D201" i="7"/>
  <c r="C201" i="7"/>
  <c r="B201" i="7"/>
  <c r="A201" i="7"/>
  <c r="W200" i="7"/>
  <c r="V200" i="7"/>
  <c r="E200" i="7"/>
  <c r="D200" i="7"/>
  <c r="C200" i="7"/>
  <c r="B200" i="7"/>
  <c r="A200" i="7"/>
  <c r="W199" i="7"/>
  <c r="V199" i="7"/>
  <c r="E199" i="7"/>
  <c r="D199" i="7"/>
  <c r="C199" i="7"/>
  <c r="B199" i="7"/>
  <c r="A199" i="7"/>
  <c r="W198" i="7"/>
  <c r="V198" i="7"/>
  <c r="E198" i="7"/>
  <c r="D198" i="7"/>
  <c r="C198" i="7"/>
  <c r="B198" i="7"/>
  <c r="A198" i="7"/>
  <c r="W197" i="7"/>
  <c r="V197" i="7"/>
  <c r="E197" i="7"/>
  <c r="D197" i="7"/>
  <c r="C197" i="7"/>
  <c r="B197" i="7"/>
  <c r="A197" i="7"/>
  <c r="W196" i="7"/>
  <c r="V196" i="7"/>
  <c r="E196" i="7"/>
  <c r="D196" i="7"/>
  <c r="C196" i="7"/>
  <c r="B196" i="7"/>
  <c r="A196" i="7"/>
  <c r="W195" i="7"/>
  <c r="V195" i="7"/>
  <c r="E195" i="7"/>
  <c r="D195" i="7"/>
  <c r="C195" i="7"/>
  <c r="B195" i="7"/>
  <c r="A195" i="7"/>
  <c r="W194" i="7"/>
  <c r="V194" i="7"/>
  <c r="E194" i="7"/>
  <c r="D194" i="7"/>
  <c r="C194" i="7"/>
  <c r="B194" i="7"/>
  <c r="A194" i="7"/>
  <c r="W193" i="7"/>
  <c r="V193" i="7"/>
  <c r="E193" i="7"/>
  <c r="D193" i="7"/>
  <c r="C193" i="7"/>
  <c r="B193" i="7"/>
  <c r="A193" i="7"/>
  <c r="W192" i="7"/>
  <c r="V192" i="7"/>
  <c r="E192" i="7"/>
  <c r="D192" i="7"/>
  <c r="C192" i="7"/>
  <c r="B192" i="7"/>
  <c r="A192" i="7"/>
  <c r="W191" i="7"/>
  <c r="V191" i="7"/>
  <c r="E191" i="7"/>
  <c r="D191" i="7"/>
  <c r="C191" i="7"/>
  <c r="B191" i="7"/>
  <c r="A191" i="7"/>
  <c r="W190" i="7"/>
  <c r="V190" i="7"/>
  <c r="E190" i="7"/>
  <c r="D190" i="7"/>
  <c r="C190" i="7"/>
  <c r="B190" i="7"/>
  <c r="A190" i="7"/>
  <c r="W189" i="7"/>
  <c r="V189" i="7"/>
  <c r="E189" i="7"/>
  <c r="D189" i="7"/>
  <c r="C189" i="7"/>
  <c r="B189" i="7"/>
  <c r="A189" i="7"/>
  <c r="W188" i="7"/>
  <c r="V188" i="7"/>
  <c r="E188" i="7"/>
  <c r="D188" i="7"/>
  <c r="C188" i="7"/>
  <c r="B188" i="7"/>
  <c r="A188" i="7"/>
  <c r="W187" i="7"/>
  <c r="V187" i="7"/>
  <c r="E187" i="7"/>
  <c r="D187" i="7"/>
  <c r="C187" i="7"/>
  <c r="B187" i="7"/>
  <c r="A187" i="7"/>
  <c r="W186" i="7"/>
  <c r="V186" i="7"/>
  <c r="E186" i="7"/>
  <c r="D186" i="7"/>
  <c r="C186" i="7"/>
  <c r="B186" i="7"/>
  <c r="A186" i="7"/>
  <c r="W185" i="7"/>
  <c r="V185" i="7"/>
  <c r="E185" i="7"/>
  <c r="D185" i="7"/>
  <c r="C185" i="7"/>
  <c r="B185" i="7"/>
  <c r="A185" i="7"/>
  <c r="W184" i="7"/>
  <c r="V184" i="7"/>
  <c r="E184" i="7"/>
  <c r="D184" i="7"/>
  <c r="C184" i="7"/>
  <c r="B184" i="7"/>
  <c r="A184" i="7"/>
  <c r="W183" i="7"/>
  <c r="V183" i="7"/>
  <c r="E183" i="7"/>
  <c r="D183" i="7"/>
  <c r="C183" i="7"/>
  <c r="B183" i="7"/>
  <c r="A183" i="7"/>
  <c r="W182" i="7"/>
  <c r="V182" i="7"/>
  <c r="E182" i="7"/>
  <c r="D182" i="7"/>
  <c r="C182" i="7"/>
  <c r="B182" i="7"/>
  <c r="A182" i="7"/>
  <c r="W181" i="7"/>
  <c r="V181" i="7"/>
  <c r="E181" i="7"/>
  <c r="D181" i="7"/>
  <c r="C181" i="7"/>
  <c r="B181" i="7"/>
  <c r="A181" i="7"/>
  <c r="W180" i="7"/>
  <c r="V180" i="7"/>
  <c r="E180" i="7"/>
  <c r="D180" i="7"/>
  <c r="C180" i="7"/>
  <c r="B180" i="7"/>
  <c r="A180" i="7"/>
  <c r="W179" i="7"/>
  <c r="V179" i="7"/>
  <c r="E179" i="7"/>
  <c r="D179" i="7"/>
  <c r="C179" i="7"/>
  <c r="B179" i="7"/>
  <c r="A179" i="7"/>
  <c r="W178" i="7"/>
  <c r="V178" i="7"/>
  <c r="E178" i="7"/>
  <c r="D178" i="7"/>
  <c r="C178" i="7"/>
  <c r="B178" i="7"/>
  <c r="A178" i="7"/>
  <c r="W177" i="7"/>
  <c r="V177" i="7"/>
  <c r="E177" i="7"/>
  <c r="D177" i="7"/>
  <c r="C177" i="7"/>
  <c r="B177" i="7"/>
  <c r="A177" i="7"/>
  <c r="W176" i="7"/>
  <c r="V176" i="7"/>
  <c r="E176" i="7"/>
  <c r="D176" i="7"/>
  <c r="C176" i="7"/>
  <c r="B176" i="7"/>
  <c r="A176" i="7"/>
  <c r="W175" i="7"/>
  <c r="V175" i="7"/>
  <c r="E175" i="7"/>
  <c r="D175" i="7"/>
  <c r="C175" i="7"/>
  <c r="B175" i="7"/>
  <c r="A175" i="7"/>
  <c r="W174" i="7"/>
  <c r="V174" i="7"/>
  <c r="E174" i="7"/>
  <c r="D174" i="7"/>
  <c r="C174" i="7"/>
  <c r="B174" i="7"/>
  <c r="A174" i="7"/>
  <c r="W173" i="7"/>
  <c r="V173" i="7"/>
  <c r="E173" i="7"/>
  <c r="D173" i="7"/>
  <c r="C173" i="7"/>
  <c r="B173" i="7"/>
  <c r="A173" i="7"/>
  <c r="W172" i="7"/>
  <c r="V172" i="7"/>
  <c r="E172" i="7"/>
  <c r="D172" i="7"/>
  <c r="C172" i="7"/>
  <c r="B172" i="7"/>
  <c r="A172" i="7"/>
  <c r="W171" i="7"/>
  <c r="V171" i="7"/>
  <c r="E171" i="7"/>
  <c r="D171" i="7"/>
  <c r="C171" i="7"/>
  <c r="B171" i="7"/>
  <c r="A171" i="7"/>
  <c r="W170" i="7"/>
  <c r="V170" i="7"/>
  <c r="E170" i="7"/>
  <c r="D170" i="7"/>
  <c r="C170" i="7"/>
  <c r="B170" i="7"/>
  <c r="A170" i="7"/>
  <c r="W169" i="7"/>
  <c r="V169" i="7"/>
  <c r="E169" i="7"/>
  <c r="D169" i="7"/>
  <c r="C169" i="7"/>
  <c r="B169" i="7"/>
  <c r="A169" i="7"/>
  <c r="W168" i="7"/>
  <c r="V168" i="7"/>
  <c r="E168" i="7"/>
  <c r="D168" i="7"/>
  <c r="C168" i="7"/>
  <c r="B168" i="7"/>
  <c r="A168" i="7"/>
  <c r="W167" i="7"/>
  <c r="V167" i="7"/>
  <c r="E167" i="7"/>
  <c r="D167" i="7"/>
  <c r="C167" i="7"/>
  <c r="B167" i="7"/>
  <c r="A167" i="7"/>
  <c r="W166" i="7"/>
  <c r="V166" i="7"/>
  <c r="E166" i="7"/>
  <c r="D166" i="7"/>
  <c r="C166" i="7"/>
  <c r="B166" i="7"/>
  <c r="A166" i="7"/>
  <c r="W165" i="7"/>
  <c r="V165" i="7"/>
  <c r="E165" i="7"/>
  <c r="D165" i="7"/>
  <c r="C165" i="7"/>
  <c r="B165" i="7"/>
  <c r="A165" i="7"/>
  <c r="W164" i="7"/>
  <c r="V164" i="7"/>
  <c r="E164" i="7"/>
  <c r="D164" i="7"/>
  <c r="C164" i="7"/>
  <c r="B164" i="7"/>
  <c r="A164" i="7"/>
  <c r="W163" i="7"/>
  <c r="V163" i="7"/>
  <c r="E163" i="7"/>
  <c r="D163" i="7"/>
  <c r="C163" i="7"/>
  <c r="B163" i="7"/>
  <c r="A163" i="7"/>
  <c r="W162" i="7"/>
  <c r="V162" i="7"/>
  <c r="E162" i="7"/>
  <c r="D162" i="7"/>
  <c r="C162" i="7"/>
  <c r="B162" i="7"/>
  <c r="A162" i="7"/>
  <c r="W161" i="7"/>
  <c r="V161" i="7"/>
  <c r="E161" i="7"/>
  <c r="D161" i="7"/>
  <c r="C161" i="7"/>
  <c r="B161" i="7"/>
  <c r="A161" i="7"/>
  <c r="W160" i="7"/>
  <c r="V160" i="7"/>
  <c r="E160" i="7"/>
  <c r="D160" i="7"/>
  <c r="C160" i="7"/>
  <c r="B160" i="7"/>
  <c r="A160" i="7"/>
  <c r="W159" i="7"/>
  <c r="V159" i="7"/>
  <c r="E159" i="7"/>
  <c r="D159" i="7"/>
  <c r="C159" i="7"/>
  <c r="B159" i="7"/>
  <c r="A159" i="7"/>
  <c r="W158" i="7"/>
  <c r="V158" i="7"/>
  <c r="E158" i="7"/>
  <c r="D158" i="7"/>
  <c r="C158" i="7"/>
  <c r="B158" i="7"/>
  <c r="A158" i="7"/>
  <c r="W157" i="7"/>
  <c r="V157" i="7"/>
  <c r="E157" i="7"/>
  <c r="D157" i="7"/>
  <c r="C157" i="7"/>
  <c r="B157" i="7"/>
  <c r="A157" i="7"/>
  <c r="W156" i="7"/>
  <c r="V156" i="7"/>
  <c r="E156" i="7"/>
  <c r="D156" i="7"/>
  <c r="C156" i="7"/>
  <c r="B156" i="7"/>
  <c r="A156" i="7"/>
  <c r="W155" i="7"/>
  <c r="V155" i="7"/>
  <c r="E155" i="7"/>
  <c r="D155" i="7"/>
  <c r="C155" i="7"/>
  <c r="B155" i="7"/>
  <c r="A155" i="7"/>
  <c r="W154" i="7"/>
  <c r="V154" i="7"/>
  <c r="E154" i="7"/>
  <c r="D154" i="7"/>
  <c r="C154" i="7"/>
  <c r="B154" i="7"/>
  <c r="A154" i="7"/>
  <c r="W153" i="7"/>
  <c r="V153" i="7"/>
  <c r="E153" i="7"/>
  <c r="D153" i="7"/>
  <c r="C153" i="7"/>
  <c r="B153" i="7"/>
  <c r="A153" i="7"/>
  <c r="W152" i="7"/>
  <c r="V152" i="7"/>
  <c r="E152" i="7"/>
  <c r="D152" i="7"/>
  <c r="C152" i="7"/>
  <c r="B152" i="7"/>
  <c r="A152" i="7"/>
  <c r="W151" i="7"/>
  <c r="V151" i="7"/>
  <c r="E151" i="7"/>
  <c r="D151" i="7"/>
  <c r="C151" i="7"/>
  <c r="B151" i="7"/>
  <c r="A151" i="7"/>
  <c r="W150" i="7"/>
  <c r="V150" i="7"/>
  <c r="E150" i="7"/>
  <c r="D150" i="7"/>
  <c r="C150" i="7"/>
  <c r="B150" i="7"/>
  <c r="A150" i="7"/>
  <c r="W149" i="7"/>
  <c r="V149" i="7"/>
  <c r="E149" i="7"/>
  <c r="D149" i="7"/>
  <c r="C149" i="7"/>
  <c r="B149" i="7"/>
  <c r="A149" i="7"/>
  <c r="W148" i="7"/>
  <c r="V148" i="7"/>
  <c r="E148" i="7"/>
  <c r="D148" i="7"/>
  <c r="C148" i="7"/>
  <c r="B148" i="7"/>
  <c r="A148" i="7"/>
  <c r="W147" i="7"/>
  <c r="V147" i="7"/>
  <c r="E147" i="7"/>
  <c r="D147" i="7"/>
  <c r="C147" i="7"/>
  <c r="B147" i="7"/>
  <c r="A147" i="7"/>
  <c r="W146" i="7"/>
  <c r="V146" i="7"/>
  <c r="E146" i="7"/>
  <c r="D146" i="7"/>
  <c r="C146" i="7"/>
  <c r="B146" i="7"/>
  <c r="A146" i="7"/>
  <c r="W145" i="7"/>
  <c r="V145" i="7"/>
  <c r="E145" i="7"/>
  <c r="D145" i="7"/>
  <c r="C145" i="7"/>
  <c r="B145" i="7"/>
  <c r="A145" i="7"/>
  <c r="W144" i="7"/>
  <c r="V144" i="7"/>
  <c r="E144" i="7"/>
  <c r="D144" i="7"/>
  <c r="C144" i="7"/>
  <c r="B144" i="7"/>
  <c r="A144" i="7"/>
  <c r="W143" i="7"/>
  <c r="V143" i="7"/>
  <c r="E143" i="7"/>
  <c r="D143" i="7"/>
  <c r="C143" i="7"/>
  <c r="B143" i="7"/>
  <c r="A143" i="7"/>
  <c r="W142" i="7"/>
  <c r="V142" i="7"/>
  <c r="E142" i="7"/>
  <c r="D142" i="7"/>
  <c r="C142" i="7"/>
  <c r="B142" i="7"/>
  <c r="A142" i="7"/>
  <c r="W141" i="7"/>
  <c r="V141" i="7"/>
  <c r="E141" i="7"/>
  <c r="D141" i="7"/>
  <c r="C141" i="7"/>
  <c r="B141" i="7"/>
  <c r="A141" i="7"/>
  <c r="W140" i="7"/>
  <c r="V140" i="7"/>
  <c r="E140" i="7"/>
  <c r="D140" i="7"/>
  <c r="C140" i="7"/>
  <c r="B140" i="7"/>
  <c r="A140" i="7"/>
  <c r="W139" i="7"/>
  <c r="V139" i="7"/>
  <c r="E139" i="7"/>
  <c r="D139" i="7"/>
  <c r="C139" i="7"/>
  <c r="B139" i="7"/>
  <c r="A139" i="7"/>
  <c r="W138" i="7"/>
  <c r="V138" i="7"/>
  <c r="E138" i="7"/>
  <c r="D138" i="7"/>
  <c r="C138" i="7"/>
  <c r="B138" i="7"/>
  <c r="A138" i="7"/>
  <c r="W137" i="7"/>
  <c r="V137" i="7"/>
  <c r="E137" i="7"/>
  <c r="D137" i="7"/>
  <c r="C137" i="7"/>
  <c r="B137" i="7"/>
  <c r="A137" i="7"/>
  <c r="W136" i="7"/>
  <c r="V136" i="7"/>
  <c r="E136" i="7"/>
  <c r="D136" i="7"/>
  <c r="C136" i="7"/>
  <c r="B136" i="7"/>
  <c r="A136" i="7"/>
  <c r="W135" i="7"/>
  <c r="V135" i="7"/>
  <c r="E135" i="7"/>
  <c r="D135" i="7"/>
  <c r="C135" i="7"/>
  <c r="B135" i="7"/>
  <c r="A135" i="7"/>
  <c r="W134" i="7"/>
  <c r="V134" i="7"/>
  <c r="E134" i="7"/>
  <c r="D134" i="7"/>
  <c r="C134" i="7"/>
  <c r="B134" i="7"/>
  <c r="A134" i="7"/>
  <c r="W133" i="7"/>
  <c r="V133" i="7"/>
  <c r="E133" i="7"/>
  <c r="D133" i="7"/>
  <c r="C133" i="7"/>
  <c r="B133" i="7"/>
  <c r="A133" i="7"/>
  <c r="W132" i="7"/>
  <c r="V132" i="7"/>
  <c r="E132" i="7"/>
  <c r="D132" i="7"/>
  <c r="C132" i="7"/>
  <c r="B132" i="7"/>
  <c r="A132" i="7"/>
  <c r="W131" i="7"/>
  <c r="V131" i="7"/>
  <c r="E131" i="7"/>
  <c r="D131" i="7"/>
  <c r="C131" i="7"/>
  <c r="B131" i="7"/>
  <c r="A131" i="7"/>
  <c r="W130" i="7"/>
  <c r="V130" i="7"/>
  <c r="E130" i="7"/>
  <c r="D130" i="7"/>
  <c r="C130" i="7"/>
  <c r="B130" i="7"/>
  <c r="A130" i="7"/>
  <c r="W129" i="7"/>
  <c r="V129" i="7"/>
  <c r="E129" i="7"/>
  <c r="D129" i="7"/>
  <c r="C129" i="7"/>
  <c r="B129" i="7"/>
  <c r="A129" i="7"/>
  <c r="W128" i="7"/>
  <c r="V128" i="7"/>
  <c r="E128" i="7"/>
  <c r="D128" i="7"/>
  <c r="C128" i="7"/>
  <c r="B128" i="7"/>
  <c r="A128" i="7"/>
  <c r="W127" i="7"/>
  <c r="V127" i="7"/>
  <c r="E127" i="7"/>
  <c r="D127" i="7"/>
  <c r="C127" i="7"/>
  <c r="B127" i="7"/>
  <c r="A127" i="7"/>
  <c r="W126" i="7"/>
  <c r="V126" i="7"/>
  <c r="E126" i="7"/>
  <c r="D126" i="7"/>
  <c r="C126" i="7"/>
  <c r="B126" i="7"/>
  <c r="A126" i="7"/>
  <c r="W125" i="7"/>
  <c r="V125" i="7"/>
  <c r="E125" i="7"/>
  <c r="D125" i="7"/>
  <c r="C125" i="7"/>
  <c r="B125" i="7"/>
  <c r="A125" i="7"/>
  <c r="W124" i="7"/>
  <c r="V124" i="7"/>
  <c r="E124" i="7"/>
  <c r="D124" i="7"/>
  <c r="C124" i="7"/>
  <c r="B124" i="7"/>
  <c r="A124" i="7"/>
  <c r="W123" i="7"/>
  <c r="V123" i="7"/>
  <c r="E123" i="7"/>
  <c r="D123" i="7"/>
  <c r="C123" i="7"/>
  <c r="B123" i="7"/>
  <c r="A123" i="7"/>
  <c r="W122" i="7"/>
  <c r="V122" i="7"/>
  <c r="E122" i="7"/>
  <c r="D122" i="7"/>
  <c r="C122" i="7"/>
  <c r="B122" i="7"/>
  <c r="A122" i="7"/>
  <c r="W121" i="7"/>
  <c r="V121" i="7"/>
  <c r="E121" i="7"/>
  <c r="D121" i="7"/>
  <c r="C121" i="7"/>
  <c r="B121" i="7"/>
  <c r="A121" i="7"/>
  <c r="W120" i="7"/>
  <c r="V120" i="7"/>
  <c r="E120" i="7"/>
  <c r="D120" i="7"/>
  <c r="C120" i="7"/>
  <c r="B120" i="7"/>
  <c r="A120" i="7"/>
  <c r="W119" i="7"/>
  <c r="V119" i="7"/>
  <c r="E119" i="7"/>
  <c r="D119" i="7"/>
  <c r="C119" i="7"/>
  <c r="B119" i="7"/>
  <c r="A119" i="7"/>
  <c r="W118" i="7"/>
  <c r="V118" i="7"/>
  <c r="E118" i="7"/>
  <c r="D118" i="7"/>
  <c r="C118" i="7"/>
  <c r="B118" i="7"/>
  <c r="A118" i="7"/>
  <c r="W117" i="7"/>
  <c r="V117" i="7"/>
  <c r="E117" i="7"/>
  <c r="D117" i="7"/>
  <c r="C117" i="7"/>
  <c r="B117" i="7"/>
  <c r="A117" i="7"/>
  <c r="W116" i="7"/>
  <c r="V116" i="7"/>
  <c r="E116" i="7"/>
  <c r="D116" i="7"/>
  <c r="C116" i="7"/>
  <c r="B116" i="7"/>
  <c r="A116" i="7"/>
  <c r="W115" i="7"/>
  <c r="V115" i="7"/>
  <c r="E115" i="7"/>
  <c r="D115" i="7"/>
  <c r="C115" i="7"/>
  <c r="B115" i="7"/>
  <c r="A115" i="7"/>
  <c r="W114" i="7"/>
  <c r="V114" i="7"/>
  <c r="E114" i="7"/>
  <c r="D114" i="7"/>
  <c r="C114" i="7"/>
  <c r="B114" i="7"/>
  <c r="A114" i="7"/>
  <c r="W113" i="7"/>
  <c r="V113" i="7"/>
  <c r="E113" i="7"/>
  <c r="D113" i="7"/>
  <c r="C113" i="7"/>
  <c r="B113" i="7"/>
  <c r="A113" i="7"/>
  <c r="W112" i="7"/>
  <c r="V112" i="7"/>
  <c r="E112" i="7"/>
  <c r="D112" i="7"/>
  <c r="C112" i="7"/>
  <c r="B112" i="7"/>
  <c r="A112" i="7"/>
  <c r="W111" i="7"/>
  <c r="V111" i="7"/>
  <c r="E111" i="7"/>
  <c r="D111" i="7"/>
  <c r="C111" i="7"/>
  <c r="B111" i="7"/>
  <c r="A111" i="7"/>
  <c r="W110" i="7"/>
  <c r="V110" i="7"/>
  <c r="E110" i="7"/>
  <c r="D110" i="7"/>
  <c r="C110" i="7"/>
  <c r="B110" i="7"/>
  <c r="A110" i="7"/>
  <c r="W109" i="7"/>
  <c r="V109" i="7"/>
  <c r="E109" i="7"/>
  <c r="D109" i="7"/>
  <c r="C109" i="7"/>
  <c r="B109" i="7"/>
  <c r="A109" i="7"/>
  <c r="W108" i="7"/>
  <c r="V108" i="7"/>
  <c r="E108" i="7"/>
  <c r="D108" i="7"/>
  <c r="C108" i="7"/>
  <c r="B108" i="7"/>
  <c r="A108" i="7"/>
  <c r="W107" i="7"/>
  <c r="V107" i="7"/>
  <c r="E107" i="7"/>
  <c r="D107" i="7"/>
  <c r="C107" i="7"/>
  <c r="B107" i="7"/>
  <c r="A107" i="7"/>
  <c r="W106" i="7"/>
  <c r="V106" i="7"/>
  <c r="E106" i="7"/>
  <c r="D106" i="7"/>
  <c r="C106" i="7"/>
  <c r="B106" i="7"/>
  <c r="A106" i="7"/>
  <c r="W105" i="7"/>
  <c r="V105" i="7"/>
  <c r="E105" i="7"/>
  <c r="D105" i="7"/>
  <c r="C105" i="7"/>
  <c r="B105" i="7"/>
  <c r="A105" i="7"/>
  <c r="W104" i="7"/>
  <c r="V104" i="7"/>
  <c r="E104" i="7"/>
  <c r="D104" i="7"/>
  <c r="C104" i="7"/>
  <c r="B104" i="7"/>
  <c r="A104" i="7"/>
  <c r="W103" i="7"/>
  <c r="V103" i="7"/>
  <c r="E103" i="7"/>
  <c r="D103" i="7"/>
  <c r="C103" i="7"/>
  <c r="B103" i="7"/>
  <c r="A103" i="7"/>
  <c r="W102" i="7"/>
  <c r="V102" i="7"/>
  <c r="E102" i="7"/>
  <c r="D102" i="7"/>
  <c r="C102" i="7"/>
  <c r="B102" i="7"/>
  <c r="A102" i="7"/>
  <c r="W101" i="7"/>
  <c r="V101" i="7"/>
  <c r="E101" i="7"/>
  <c r="D101" i="7"/>
  <c r="C101" i="7"/>
  <c r="B101" i="7"/>
  <c r="A101" i="7"/>
  <c r="W100" i="7"/>
  <c r="V100" i="7"/>
  <c r="E100" i="7"/>
  <c r="D100" i="7"/>
  <c r="C100" i="7"/>
  <c r="B100" i="7"/>
  <c r="A100" i="7"/>
  <c r="W99" i="7"/>
  <c r="V99" i="7"/>
  <c r="E99" i="7"/>
  <c r="D99" i="7"/>
  <c r="C99" i="7"/>
  <c r="B99" i="7"/>
  <c r="A99" i="7"/>
  <c r="W98" i="7"/>
  <c r="V98" i="7"/>
  <c r="E98" i="7"/>
  <c r="D98" i="7"/>
  <c r="C98" i="7"/>
  <c r="B98" i="7"/>
  <c r="A98" i="7"/>
  <c r="W97" i="7"/>
  <c r="V97" i="7"/>
  <c r="E97" i="7"/>
  <c r="D97" i="7"/>
  <c r="C97" i="7"/>
  <c r="B97" i="7"/>
  <c r="A97" i="7"/>
  <c r="W96" i="7"/>
  <c r="V96" i="7"/>
  <c r="E96" i="7"/>
  <c r="D96" i="7"/>
  <c r="C96" i="7"/>
  <c r="B96" i="7"/>
  <c r="A96" i="7"/>
  <c r="W95" i="7"/>
  <c r="V95" i="7"/>
  <c r="E95" i="7"/>
  <c r="D95" i="7"/>
  <c r="C95" i="7"/>
  <c r="B95" i="7"/>
  <c r="A95" i="7"/>
  <c r="W94" i="7"/>
  <c r="V94" i="7"/>
  <c r="E94" i="7"/>
  <c r="D94" i="7"/>
  <c r="C94" i="7"/>
  <c r="B94" i="7"/>
  <c r="A94" i="7"/>
  <c r="W93" i="7"/>
  <c r="V93" i="7"/>
  <c r="E93" i="7"/>
  <c r="D93" i="7"/>
  <c r="C93" i="7"/>
  <c r="B93" i="7"/>
  <c r="A93" i="7"/>
  <c r="W92" i="7"/>
  <c r="V92" i="7"/>
  <c r="E92" i="7"/>
  <c r="D92" i="7"/>
  <c r="C92" i="7"/>
  <c r="B92" i="7"/>
  <c r="A92" i="7"/>
  <c r="W91" i="7"/>
  <c r="V91" i="7"/>
  <c r="E91" i="7"/>
  <c r="D91" i="7"/>
  <c r="C91" i="7"/>
  <c r="B91" i="7"/>
  <c r="A91" i="7"/>
  <c r="W90" i="7"/>
  <c r="V90" i="7"/>
  <c r="E90" i="7"/>
  <c r="D90" i="7"/>
  <c r="C90" i="7"/>
  <c r="B90" i="7"/>
  <c r="A90" i="7"/>
  <c r="W89" i="7"/>
  <c r="V89" i="7"/>
  <c r="E89" i="7"/>
  <c r="D89" i="7"/>
  <c r="C89" i="7"/>
  <c r="B89" i="7"/>
  <c r="A89" i="7"/>
  <c r="W88" i="7"/>
  <c r="V88" i="7"/>
  <c r="E88" i="7"/>
  <c r="D88" i="7"/>
  <c r="C88" i="7"/>
  <c r="B88" i="7"/>
  <c r="A88" i="7"/>
  <c r="W87" i="7"/>
  <c r="V87" i="7"/>
  <c r="E87" i="7"/>
  <c r="D87" i="7"/>
  <c r="C87" i="7"/>
  <c r="B87" i="7"/>
  <c r="A87" i="7"/>
  <c r="W86" i="7"/>
  <c r="V86" i="7"/>
  <c r="E86" i="7"/>
  <c r="D86" i="7"/>
  <c r="C86" i="7"/>
  <c r="B86" i="7"/>
  <c r="A86" i="7"/>
  <c r="W85" i="7"/>
  <c r="V85" i="7"/>
  <c r="E85" i="7"/>
  <c r="D85" i="7"/>
  <c r="C85" i="7"/>
  <c r="B85" i="7"/>
  <c r="A85" i="7"/>
  <c r="W84" i="7"/>
  <c r="V84" i="7"/>
  <c r="E84" i="7"/>
  <c r="D84" i="7"/>
  <c r="C84" i="7"/>
  <c r="B84" i="7"/>
  <c r="A84" i="7"/>
  <c r="W83" i="7"/>
  <c r="V83" i="7"/>
  <c r="E83" i="7"/>
  <c r="D83" i="7"/>
  <c r="C83" i="7"/>
  <c r="B83" i="7"/>
  <c r="A83" i="7"/>
  <c r="W82" i="7"/>
  <c r="V82" i="7"/>
  <c r="E82" i="7"/>
  <c r="D82" i="7"/>
  <c r="C82" i="7"/>
  <c r="B82" i="7"/>
  <c r="A82" i="7"/>
  <c r="W81" i="7"/>
  <c r="V81" i="7"/>
  <c r="E81" i="7"/>
  <c r="D81" i="7"/>
  <c r="C81" i="7"/>
  <c r="B81" i="7"/>
  <c r="A81" i="7"/>
  <c r="W80" i="7"/>
  <c r="V80" i="7"/>
  <c r="E80" i="7"/>
  <c r="D80" i="7"/>
  <c r="C80" i="7"/>
  <c r="B80" i="7"/>
  <c r="A80" i="7"/>
  <c r="W79" i="7"/>
  <c r="V79" i="7"/>
  <c r="E79" i="7"/>
  <c r="D79" i="7"/>
  <c r="C79" i="7"/>
  <c r="B79" i="7"/>
  <c r="A79" i="7"/>
  <c r="W78" i="7"/>
  <c r="V78" i="7"/>
  <c r="E78" i="7"/>
  <c r="D78" i="7"/>
  <c r="C78" i="7"/>
  <c r="B78" i="7"/>
  <c r="A78" i="7"/>
  <c r="W77" i="7"/>
  <c r="V77" i="7"/>
  <c r="E77" i="7"/>
  <c r="D77" i="7"/>
  <c r="C77" i="7"/>
  <c r="B77" i="7"/>
  <c r="A77" i="7"/>
  <c r="W76" i="7"/>
  <c r="V76" i="7"/>
  <c r="E76" i="7"/>
  <c r="D76" i="7"/>
  <c r="C76" i="7"/>
  <c r="B76" i="7"/>
  <c r="A76" i="7"/>
  <c r="W75" i="7"/>
  <c r="V75" i="7"/>
  <c r="E75" i="7"/>
  <c r="D75" i="7"/>
  <c r="C75" i="7"/>
  <c r="B75" i="7"/>
  <c r="A75" i="7"/>
  <c r="W74" i="7"/>
  <c r="V74" i="7"/>
  <c r="E74" i="7"/>
  <c r="D74" i="7"/>
  <c r="C74" i="7"/>
  <c r="B74" i="7"/>
  <c r="A74" i="7"/>
  <c r="W73" i="7"/>
  <c r="V73" i="7"/>
  <c r="E73" i="7"/>
  <c r="D73" i="7"/>
  <c r="C73" i="7"/>
  <c r="B73" i="7"/>
  <c r="A73" i="7"/>
  <c r="W72" i="7"/>
  <c r="V72" i="7"/>
  <c r="E72" i="7"/>
  <c r="D72" i="7"/>
  <c r="C72" i="7"/>
  <c r="B72" i="7"/>
  <c r="A72" i="7"/>
  <c r="W71" i="7"/>
  <c r="V71" i="7"/>
  <c r="E71" i="7"/>
  <c r="D71" i="7"/>
  <c r="C71" i="7"/>
  <c r="B71" i="7"/>
  <c r="A71" i="7"/>
  <c r="W70" i="7"/>
  <c r="V70" i="7"/>
  <c r="E70" i="7"/>
  <c r="D70" i="7"/>
  <c r="C70" i="7"/>
  <c r="B70" i="7"/>
  <c r="A70" i="7"/>
  <c r="W69" i="7"/>
  <c r="V69" i="7"/>
  <c r="E69" i="7"/>
  <c r="D69" i="7"/>
  <c r="C69" i="7"/>
  <c r="B69" i="7"/>
  <c r="A69" i="7"/>
  <c r="W68" i="7"/>
  <c r="V68" i="7"/>
  <c r="E68" i="7"/>
  <c r="D68" i="7"/>
  <c r="C68" i="7"/>
  <c r="B68" i="7"/>
  <c r="A68" i="7"/>
  <c r="W67" i="7"/>
  <c r="V67" i="7"/>
  <c r="E67" i="7"/>
  <c r="D67" i="7"/>
  <c r="C67" i="7"/>
  <c r="B67" i="7"/>
  <c r="A67" i="7"/>
  <c r="W66" i="7"/>
  <c r="V66" i="7"/>
  <c r="E66" i="7"/>
  <c r="D66" i="7"/>
  <c r="C66" i="7"/>
  <c r="B66" i="7"/>
  <c r="A66" i="7"/>
  <c r="W65" i="7"/>
  <c r="V65" i="7"/>
  <c r="E65" i="7"/>
  <c r="D65" i="7"/>
  <c r="C65" i="7"/>
  <c r="B65" i="7"/>
  <c r="A65" i="7"/>
  <c r="W64" i="7"/>
  <c r="V64" i="7"/>
  <c r="E64" i="7"/>
  <c r="D64" i="7"/>
  <c r="C64" i="7"/>
  <c r="B64" i="7"/>
  <c r="A64" i="7"/>
  <c r="W63" i="7"/>
  <c r="V63" i="7"/>
  <c r="E63" i="7"/>
  <c r="D63" i="7"/>
  <c r="C63" i="7"/>
  <c r="B63" i="7"/>
  <c r="A63" i="7"/>
  <c r="W62" i="7"/>
  <c r="V62" i="7"/>
  <c r="E62" i="7"/>
  <c r="D62" i="7"/>
  <c r="C62" i="7"/>
  <c r="B62" i="7"/>
  <c r="A62" i="7"/>
  <c r="W61" i="7"/>
  <c r="V61" i="7"/>
  <c r="E61" i="7"/>
  <c r="D61" i="7"/>
  <c r="C61" i="7"/>
  <c r="B61" i="7"/>
  <c r="A61" i="7"/>
  <c r="W60" i="7"/>
  <c r="V60" i="7"/>
  <c r="E60" i="7"/>
  <c r="D60" i="7"/>
  <c r="C60" i="7"/>
  <c r="B60" i="7"/>
  <c r="A60" i="7"/>
  <c r="W59" i="7"/>
  <c r="V59" i="7"/>
  <c r="E59" i="7"/>
  <c r="D59" i="7"/>
  <c r="C59" i="7"/>
  <c r="B59" i="7"/>
  <c r="A59" i="7"/>
  <c r="W58" i="7"/>
  <c r="V58" i="7"/>
  <c r="E58" i="7"/>
  <c r="D58" i="7"/>
  <c r="C58" i="7"/>
  <c r="B58" i="7"/>
  <c r="A58" i="7"/>
  <c r="W57" i="7"/>
  <c r="V57" i="7"/>
  <c r="E57" i="7"/>
  <c r="D57" i="7"/>
  <c r="C57" i="7"/>
  <c r="B57" i="7"/>
  <c r="A57" i="7"/>
  <c r="W56" i="7"/>
  <c r="V56" i="7"/>
  <c r="E56" i="7"/>
  <c r="D56" i="7"/>
  <c r="C56" i="7"/>
  <c r="B56" i="7"/>
  <c r="A56" i="7"/>
  <c r="W55" i="7"/>
  <c r="V55" i="7"/>
  <c r="E55" i="7"/>
  <c r="D55" i="7"/>
  <c r="C55" i="7"/>
  <c r="B55" i="7"/>
  <c r="A55" i="7"/>
  <c r="W54" i="7"/>
  <c r="V54" i="7"/>
  <c r="E54" i="7"/>
  <c r="D54" i="7"/>
  <c r="C54" i="7"/>
  <c r="B54" i="7"/>
  <c r="A54" i="7"/>
  <c r="W53" i="7"/>
  <c r="V53" i="7"/>
  <c r="E53" i="7"/>
  <c r="D53" i="7"/>
  <c r="C53" i="7"/>
  <c r="B53" i="7"/>
  <c r="A53" i="7"/>
  <c r="W52" i="7"/>
  <c r="V52" i="7"/>
  <c r="E52" i="7"/>
  <c r="D52" i="7"/>
  <c r="C52" i="7"/>
  <c r="B52" i="7"/>
  <c r="A52" i="7"/>
  <c r="W51" i="7"/>
  <c r="V51" i="7"/>
  <c r="E51" i="7"/>
  <c r="D51" i="7"/>
  <c r="C51" i="7"/>
  <c r="B51" i="7"/>
  <c r="A51" i="7"/>
  <c r="W50" i="7"/>
  <c r="V50" i="7"/>
  <c r="E50" i="7"/>
  <c r="D50" i="7"/>
  <c r="C50" i="7"/>
  <c r="B50" i="7"/>
  <c r="A50" i="7"/>
  <c r="W49" i="7"/>
  <c r="V49" i="7"/>
  <c r="E49" i="7"/>
  <c r="D49" i="7"/>
  <c r="C49" i="7"/>
  <c r="B49" i="7"/>
  <c r="A49" i="7"/>
  <c r="W48" i="7"/>
  <c r="V48" i="7"/>
  <c r="E48" i="7"/>
  <c r="D48" i="7"/>
  <c r="C48" i="7"/>
  <c r="B48" i="7"/>
  <c r="A48" i="7"/>
  <c r="W47" i="7"/>
  <c r="V47" i="7"/>
  <c r="E47" i="7"/>
  <c r="D47" i="7"/>
  <c r="C47" i="7"/>
  <c r="B47" i="7"/>
  <c r="A47" i="7"/>
  <c r="W46" i="7"/>
  <c r="V46" i="7"/>
  <c r="E46" i="7"/>
  <c r="D46" i="7"/>
  <c r="C46" i="7"/>
  <c r="B46" i="7"/>
  <c r="A46" i="7"/>
  <c r="W45" i="7"/>
  <c r="V45" i="7"/>
  <c r="E45" i="7"/>
  <c r="D45" i="7"/>
  <c r="C45" i="7"/>
  <c r="B45" i="7"/>
  <c r="A45" i="7"/>
  <c r="W44" i="7"/>
  <c r="V44" i="7"/>
  <c r="E44" i="7"/>
  <c r="D44" i="7"/>
  <c r="C44" i="7"/>
  <c r="B44" i="7"/>
  <c r="A44" i="7"/>
  <c r="W43" i="7"/>
  <c r="V43" i="7"/>
  <c r="E43" i="7"/>
  <c r="D43" i="7"/>
  <c r="C43" i="7"/>
  <c r="B43" i="7"/>
  <c r="A43" i="7"/>
  <c r="W42" i="7"/>
  <c r="V42" i="7"/>
  <c r="E42" i="7"/>
  <c r="D42" i="7"/>
  <c r="C42" i="7"/>
  <c r="B42" i="7"/>
  <c r="A42" i="7"/>
  <c r="W41" i="7"/>
  <c r="V41" i="7"/>
  <c r="E41" i="7"/>
  <c r="D41" i="7"/>
  <c r="C41" i="7"/>
  <c r="B41" i="7"/>
  <c r="A41" i="7"/>
  <c r="W40" i="7"/>
  <c r="V40" i="7"/>
  <c r="E40" i="7"/>
  <c r="D40" i="7"/>
  <c r="C40" i="7"/>
  <c r="B40" i="7"/>
  <c r="A40" i="7"/>
  <c r="W39" i="7"/>
  <c r="V39" i="7"/>
  <c r="E39" i="7"/>
  <c r="D39" i="7"/>
  <c r="C39" i="7"/>
  <c r="B39" i="7"/>
  <c r="A39" i="7"/>
  <c r="W38" i="7"/>
  <c r="V38" i="7"/>
  <c r="E38" i="7"/>
  <c r="D38" i="7"/>
  <c r="C38" i="7"/>
  <c r="B38" i="7"/>
  <c r="A38" i="7"/>
  <c r="W37" i="7"/>
  <c r="V37" i="7"/>
  <c r="E37" i="7"/>
  <c r="D37" i="7"/>
  <c r="C37" i="7"/>
  <c r="B37" i="7"/>
  <c r="A37" i="7"/>
  <c r="W36" i="7"/>
  <c r="V36" i="7"/>
  <c r="E36" i="7"/>
  <c r="D36" i="7"/>
  <c r="C36" i="7"/>
  <c r="B36" i="7"/>
  <c r="A36" i="7"/>
  <c r="W35" i="7"/>
  <c r="V35" i="7"/>
  <c r="E35" i="7"/>
  <c r="D35" i="7"/>
  <c r="C35" i="7"/>
  <c r="B35" i="7"/>
  <c r="A35" i="7"/>
  <c r="W34" i="7"/>
  <c r="V34" i="7"/>
  <c r="E34" i="7"/>
  <c r="D34" i="7"/>
  <c r="C34" i="7"/>
  <c r="B34" i="7"/>
  <c r="A34" i="7"/>
  <c r="W33" i="7"/>
  <c r="V33" i="7"/>
  <c r="E33" i="7"/>
  <c r="D33" i="7"/>
  <c r="C33" i="7"/>
  <c r="B33" i="7"/>
  <c r="A33" i="7"/>
  <c r="W32" i="7"/>
  <c r="V32" i="7"/>
  <c r="E32" i="7"/>
  <c r="D32" i="7"/>
  <c r="C32" i="7"/>
  <c r="B32" i="7"/>
  <c r="A32" i="7"/>
  <c r="W31" i="7"/>
  <c r="V31" i="7"/>
  <c r="E31" i="7"/>
  <c r="D31" i="7"/>
  <c r="C31" i="7"/>
  <c r="B31" i="7"/>
  <c r="A31" i="7"/>
  <c r="W30" i="7"/>
  <c r="V30" i="7"/>
  <c r="E30" i="7"/>
  <c r="D30" i="7"/>
  <c r="C30" i="7"/>
  <c r="B30" i="7"/>
  <c r="A30" i="7"/>
  <c r="W29" i="7"/>
  <c r="V29" i="7"/>
  <c r="E29" i="7"/>
  <c r="D29" i="7"/>
  <c r="C29" i="7"/>
  <c r="B29" i="7"/>
  <c r="A29" i="7"/>
  <c r="W28" i="7"/>
  <c r="V28" i="7"/>
  <c r="E28" i="7"/>
  <c r="D28" i="7"/>
  <c r="C28" i="7"/>
  <c r="B28" i="7"/>
  <c r="A28" i="7"/>
  <c r="W27" i="7"/>
  <c r="V27" i="7"/>
  <c r="E27" i="7"/>
  <c r="D27" i="7"/>
  <c r="C27" i="7"/>
  <c r="B27" i="7"/>
  <c r="A27" i="7"/>
  <c r="W26" i="7"/>
  <c r="V26" i="7"/>
  <c r="E26" i="7"/>
  <c r="D26" i="7"/>
  <c r="C26" i="7"/>
  <c r="B26" i="7"/>
  <c r="A26" i="7"/>
  <c r="W25" i="7"/>
  <c r="V25" i="7"/>
  <c r="E25" i="7"/>
  <c r="D25" i="7"/>
  <c r="C25" i="7"/>
  <c r="B25" i="7"/>
  <c r="A25" i="7"/>
  <c r="W24" i="7"/>
  <c r="V24" i="7"/>
  <c r="E24" i="7"/>
  <c r="D24" i="7"/>
  <c r="C24" i="7"/>
  <c r="B24" i="7"/>
  <c r="A24" i="7"/>
  <c r="W23" i="7"/>
  <c r="V23" i="7"/>
  <c r="E23" i="7"/>
  <c r="D23" i="7"/>
  <c r="C23" i="7"/>
  <c r="B23" i="7"/>
  <c r="A23" i="7"/>
  <c r="W22" i="7"/>
  <c r="V22" i="7"/>
  <c r="E22" i="7"/>
  <c r="D22" i="7"/>
  <c r="C22" i="7"/>
  <c r="B22" i="7"/>
  <c r="A22" i="7"/>
  <c r="W21" i="7"/>
  <c r="V21" i="7"/>
  <c r="E21" i="7"/>
  <c r="D21" i="7"/>
  <c r="C21" i="7"/>
  <c r="B21" i="7"/>
  <c r="A21" i="7"/>
  <c r="W20" i="7"/>
  <c r="V20" i="7"/>
  <c r="E20" i="7"/>
  <c r="D20" i="7"/>
  <c r="C20" i="7"/>
  <c r="B20" i="7"/>
  <c r="A20" i="7"/>
  <c r="W19" i="7"/>
  <c r="V19" i="7"/>
  <c r="E19" i="7"/>
  <c r="D19" i="7"/>
  <c r="C19" i="7"/>
  <c r="B19" i="7"/>
  <c r="A19" i="7"/>
  <c r="W18" i="7"/>
  <c r="V18" i="7"/>
  <c r="E18" i="7"/>
  <c r="D18" i="7"/>
  <c r="C18" i="7"/>
  <c r="B18" i="7"/>
  <c r="A18" i="7"/>
  <c r="W17" i="7"/>
  <c r="V17" i="7"/>
  <c r="E17" i="7"/>
  <c r="D17" i="7"/>
  <c r="C17" i="7"/>
  <c r="B17" i="7"/>
  <c r="A17" i="7"/>
  <c r="W16" i="7"/>
  <c r="V16" i="7"/>
  <c r="E16" i="7"/>
  <c r="D16" i="7"/>
  <c r="C16" i="7"/>
  <c r="B16" i="7"/>
  <c r="A16" i="7"/>
  <c r="W15" i="7"/>
  <c r="V15" i="7"/>
  <c r="E15" i="7"/>
  <c r="D15" i="7"/>
  <c r="C15" i="7"/>
  <c r="B15" i="7"/>
  <c r="A15" i="7"/>
  <c r="W14" i="7"/>
  <c r="V14" i="7"/>
  <c r="E14" i="7"/>
  <c r="D14" i="7"/>
  <c r="C14" i="7"/>
  <c r="B14" i="7"/>
  <c r="A14" i="7"/>
  <c r="W13" i="7"/>
  <c r="V13" i="7"/>
  <c r="E13" i="7"/>
  <c r="D13" i="7"/>
  <c r="C13" i="7"/>
  <c r="B13" i="7"/>
  <c r="A13" i="7"/>
  <c r="W12" i="7"/>
  <c r="V12" i="7"/>
  <c r="E12" i="7"/>
  <c r="D12" i="7"/>
  <c r="C12" i="7"/>
  <c r="B12" i="7"/>
  <c r="A12" i="7"/>
  <c r="W11" i="7"/>
  <c r="V11" i="7"/>
  <c r="E11" i="7"/>
  <c r="D11" i="7"/>
  <c r="C11" i="7"/>
  <c r="B11" i="7"/>
  <c r="A11" i="7"/>
  <c r="W10" i="7"/>
  <c r="V10" i="7"/>
  <c r="E10" i="7"/>
  <c r="D10" i="7"/>
  <c r="C10" i="7"/>
  <c r="B10" i="7"/>
  <c r="A10" i="7"/>
  <c r="W9" i="7"/>
  <c r="V9" i="7"/>
  <c r="E9" i="7"/>
  <c r="D9" i="7"/>
  <c r="C9" i="7"/>
  <c r="B9" i="7"/>
  <c r="A9" i="7"/>
  <c r="W8" i="7"/>
  <c r="V8" i="7"/>
  <c r="E8" i="7"/>
  <c r="D8" i="7"/>
  <c r="C8" i="7"/>
  <c r="B8" i="7"/>
  <c r="A8" i="7"/>
  <c r="W7" i="7"/>
  <c r="V7" i="7"/>
  <c r="E7" i="7"/>
  <c r="D7" i="7"/>
  <c r="C7" i="7"/>
  <c r="B7" i="7"/>
  <c r="A7" i="7"/>
  <c r="W6" i="7"/>
  <c r="V6" i="7"/>
  <c r="E6" i="7"/>
  <c r="D6" i="7"/>
  <c r="C6" i="7"/>
  <c r="B6" i="7"/>
  <c r="A6" i="7"/>
  <c r="W5" i="7"/>
  <c r="V5" i="7"/>
  <c r="E5" i="7"/>
  <c r="D5" i="7"/>
  <c r="C5" i="7"/>
  <c r="B5" i="7"/>
  <c r="A5" i="7"/>
  <c r="W4" i="7"/>
  <c r="V4" i="7"/>
  <c r="E4" i="7"/>
  <c r="D4" i="7"/>
  <c r="C4" i="7"/>
  <c r="B4" i="7"/>
  <c r="A4" i="7"/>
  <c r="AS503" i="5"/>
  <c r="AR503" i="5"/>
  <c r="Q503" i="7" s="1"/>
  <c r="AQ503" i="5"/>
  <c r="M503" i="7" s="1"/>
  <c r="AN503" i="5"/>
  <c r="AL503" i="5"/>
  <c r="AC503" i="5"/>
  <c r="R503" i="7" s="1"/>
  <c r="AB503" i="5"/>
  <c r="T503" i="7" s="1"/>
  <c r="AA503" i="5"/>
  <c r="Z503" i="5"/>
  <c r="F503" i="7" s="1"/>
  <c r="Q503" i="5"/>
  <c r="H503" i="7" s="1"/>
  <c r="P503" i="5"/>
  <c r="K503" i="5"/>
  <c r="J503" i="5"/>
  <c r="N503" i="7" s="1"/>
  <c r="AS502" i="5"/>
  <c r="AR502" i="5"/>
  <c r="Q502" i="7" s="1"/>
  <c r="AQ502" i="5"/>
  <c r="M502" i="7" s="1"/>
  <c r="AN502" i="5"/>
  <c r="AL502" i="5"/>
  <c r="AC502" i="5"/>
  <c r="R502" i="7" s="1"/>
  <c r="AB502" i="5"/>
  <c r="T502" i="7" s="1"/>
  <c r="AA502" i="5"/>
  <c r="S502" i="7" s="1"/>
  <c r="Z502" i="5"/>
  <c r="F502" i="7" s="1"/>
  <c r="Q502" i="5"/>
  <c r="H502" i="7" s="1"/>
  <c r="P502" i="5"/>
  <c r="K502" i="5"/>
  <c r="J502" i="5"/>
  <c r="N502" i="7" s="1"/>
  <c r="AS501" i="5"/>
  <c r="AR501" i="5"/>
  <c r="Q501" i="7" s="1"/>
  <c r="AQ501" i="5"/>
  <c r="M501" i="7" s="1"/>
  <c r="AN501" i="5"/>
  <c r="AL501" i="5"/>
  <c r="AC501" i="5"/>
  <c r="R501" i="7" s="1"/>
  <c r="AB501" i="5"/>
  <c r="T501" i="7" s="1"/>
  <c r="AA501" i="5"/>
  <c r="S501" i="7" s="1"/>
  <c r="Z501" i="5"/>
  <c r="F501" i="7" s="1"/>
  <c r="Q501" i="5"/>
  <c r="H501" i="7" s="1"/>
  <c r="P501" i="5"/>
  <c r="K501" i="5"/>
  <c r="J501" i="5"/>
  <c r="N501" i="7" s="1"/>
  <c r="AS500" i="5"/>
  <c r="AR500" i="5"/>
  <c r="Q500" i="7" s="1"/>
  <c r="AQ500" i="5"/>
  <c r="M500" i="7" s="1"/>
  <c r="AN500" i="5"/>
  <c r="AL500" i="5"/>
  <c r="AC500" i="5"/>
  <c r="R500" i="7" s="1"/>
  <c r="AB500" i="5"/>
  <c r="T500" i="7" s="1"/>
  <c r="AA500" i="5"/>
  <c r="S500" i="7" s="1"/>
  <c r="Z500" i="5"/>
  <c r="F500" i="7" s="1"/>
  <c r="Q500" i="5"/>
  <c r="H500" i="7" s="1"/>
  <c r="P500" i="5"/>
  <c r="K500" i="5"/>
  <c r="J500" i="5"/>
  <c r="N500" i="7" s="1"/>
  <c r="AS499" i="5"/>
  <c r="AR499" i="5"/>
  <c r="Q499" i="7" s="1"/>
  <c r="AQ499" i="5"/>
  <c r="M499" i="7" s="1"/>
  <c r="AN499" i="5"/>
  <c r="AL499" i="5"/>
  <c r="AC499" i="5"/>
  <c r="R499" i="7" s="1"/>
  <c r="AB499" i="5"/>
  <c r="T499" i="7" s="1"/>
  <c r="AA499" i="5"/>
  <c r="S499" i="7" s="1"/>
  <c r="Z499" i="5"/>
  <c r="F499" i="7" s="1"/>
  <c r="Q499" i="5"/>
  <c r="H499" i="7" s="1"/>
  <c r="P499" i="5"/>
  <c r="K499" i="5"/>
  <c r="J499" i="5"/>
  <c r="N499" i="7" s="1"/>
  <c r="AS498" i="5"/>
  <c r="AR498" i="5"/>
  <c r="Q498" i="7" s="1"/>
  <c r="AQ498" i="5"/>
  <c r="M498" i="7" s="1"/>
  <c r="AN498" i="5"/>
  <c r="AL498" i="5"/>
  <c r="AC498" i="5"/>
  <c r="R498" i="7" s="1"/>
  <c r="AB498" i="5"/>
  <c r="T498" i="7" s="1"/>
  <c r="AA498" i="5"/>
  <c r="S498" i="7" s="1"/>
  <c r="Z498" i="5"/>
  <c r="F498" i="7" s="1"/>
  <c r="Q498" i="5"/>
  <c r="H498" i="7" s="1"/>
  <c r="P498" i="5"/>
  <c r="K498" i="5"/>
  <c r="J498" i="5"/>
  <c r="N498" i="7" s="1"/>
  <c r="AS497" i="5"/>
  <c r="AR497" i="5"/>
  <c r="Q497" i="7" s="1"/>
  <c r="AQ497" i="5"/>
  <c r="M497" i="7" s="1"/>
  <c r="AN497" i="5"/>
  <c r="AL497" i="5"/>
  <c r="AC497" i="5"/>
  <c r="R497" i="7" s="1"/>
  <c r="AB497" i="5"/>
  <c r="T497" i="7" s="1"/>
  <c r="AA497" i="5"/>
  <c r="Z497" i="5"/>
  <c r="F497" i="7" s="1"/>
  <c r="Q497" i="5"/>
  <c r="H497" i="7" s="1"/>
  <c r="P497" i="5"/>
  <c r="K497" i="5"/>
  <c r="J497" i="5"/>
  <c r="N497" i="7" s="1"/>
  <c r="AS496" i="5"/>
  <c r="AR496" i="5"/>
  <c r="Q496" i="7" s="1"/>
  <c r="AQ496" i="5"/>
  <c r="M496" i="7" s="1"/>
  <c r="AN496" i="5"/>
  <c r="AL496" i="5"/>
  <c r="AC496" i="5"/>
  <c r="R496" i="7" s="1"/>
  <c r="AB496" i="5"/>
  <c r="T496" i="7" s="1"/>
  <c r="AA496" i="5"/>
  <c r="S496" i="7" s="1"/>
  <c r="Z496" i="5"/>
  <c r="F496" i="7" s="1"/>
  <c r="Q496" i="5"/>
  <c r="H496" i="7" s="1"/>
  <c r="P496" i="5"/>
  <c r="K496" i="5"/>
  <c r="J496" i="5"/>
  <c r="N496" i="7" s="1"/>
  <c r="AS495" i="5"/>
  <c r="AR495" i="5"/>
  <c r="Q495" i="7" s="1"/>
  <c r="AQ495" i="5"/>
  <c r="M495" i="7" s="1"/>
  <c r="AN495" i="5"/>
  <c r="AL495" i="5"/>
  <c r="AC495" i="5"/>
  <c r="R495" i="7" s="1"/>
  <c r="AB495" i="5"/>
  <c r="T495" i="7" s="1"/>
  <c r="AA495" i="5"/>
  <c r="S495" i="7" s="1"/>
  <c r="Z495" i="5"/>
  <c r="F495" i="7" s="1"/>
  <c r="Q495" i="5"/>
  <c r="H495" i="7" s="1"/>
  <c r="P495" i="5"/>
  <c r="K495" i="5"/>
  <c r="J495" i="5"/>
  <c r="N495" i="7" s="1"/>
  <c r="AS494" i="5"/>
  <c r="AR494" i="5"/>
  <c r="Q494" i="7" s="1"/>
  <c r="AQ494" i="5"/>
  <c r="M494" i="7" s="1"/>
  <c r="AN494" i="5"/>
  <c r="AL494" i="5"/>
  <c r="AC494" i="5"/>
  <c r="R494" i="7" s="1"/>
  <c r="AB494" i="5"/>
  <c r="T494" i="7" s="1"/>
  <c r="AA494" i="5"/>
  <c r="Z494" i="5"/>
  <c r="F494" i="7" s="1"/>
  <c r="Q494" i="5"/>
  <c r="H494" i="7" s="1"/>
  <c r="P494" i="5"/>
  <c r="K494" i="5"/>
  <c r="J494" i="5"/>
  <c r="N494" i="7" s="1"/>
  <c r="AS493" i="5"/>
  <c r="AR493" i="5"/>
  <c r="Q493" i="7" s="1"/>
  <c r="AQ493" i="5"/>
  <c r="M493" i="7" s="1"/>
  <c r="AN493" i="5"/>
  <c r="AL493" i="5"/>
  <c r="AC493" i="5"/>
  <c r="R493" i="7" s="1"/>
  <c r="AB493" i="5"/>
  <c r="T493" i="7" s="1"/>
  <c r="AA493" i="5"/>
  <c r="Z493" i="5"/>
  <c r="F493" i="7" s="1"/>
  <c r="Q493" i="5"/>
  <c r="H493" i="7" s="1"/>
  <c r="P493" i="5"/>
  <c r="K493" i="5"/>
  <c r="J493" i="5"/>
  <c r="N493" i="7" s="1"/>
  <c r="AS492" i="5"/>
  <c r="AR492" i="5"/>
  <c r="Q492" i="7" s="1"/>
  <c r="AQ492" i="5"/>
  <c r="M492" i="7" s="1"/>
  <c r="AN492" i="5"/>
  <c r="AL492" i="5"/>
  <c r="AC492" i="5"/>
  <c r="R492" i="7" s="1"/>
  <c r="AB492" i="5"/>
  <c r="T492" i="7" s="1"/>
  <c r="AA492" i="5"/>
  <c r="Z492" i="5"/>
  <c r="F492" i="7" s="1"/>
  <c r="Q492" i="5"/>
  <c r="H492" i="7" s="1"/>
  <c r="P492" i="5"/>
  <c r="K492" i="5"/>
  <c r="J492" i="5"/>
  <c r="N492" i="7" s="1"/>
  <c r="AS491" i="5"/>
  <c r="AR491" i="5"/>
  <c r="Q491" i="7" s="1"/>
  <c r="AQ491" i="5"/>
  <c r="M491" i="7" s="1"/>
  <c r="AN491" i="5"/>
  <c r="AL491" i="5"/>
  <c r="AC491" i="5"/>
  <c r="R491" i="7" s="1"/>
  <c r="AB491" i="5"/>
  <c r="T491" i="7" s="1"/>
  <c r="AA491" i="5"/>
  <c r="S491" i="7" s="1"/>
  <c r="Z491" i="5"/>
  <c r="F491" i="7" s="1"/>
  <c r="Q491" i="5"/>
  <c r="H491" i="7" s="1"/>
  <c r="P491" i="5"/>
  <c r="K491" i="5"/>
  <c r="J491" i="5"/>
  <c r="N491" i="7" s="1"/>
  <c r="AS490" i="5"/>
  <c r="AR490" i="5"/>
  <c r="Q490" i="7" s="1"/>
  <c r="AQ490" i="5"/>
  <c r="M490" i="7" s="1"/>
  <c r="AN490" i="5"/>
  <c r="AL490" i="5"/>
  <c r="AC490" i="5"/>
  <c r="R490" i="7" s="1"/>
  <c r="AB490" i="5"/>
  <c r="T490" i="7" s="1"/>
  <c r="AA490" i="5"/>
  <c r="S490" i="7" s="1"/>
  <c r="Z490" i="5"/>
  <c r="F490" i="7" s="1"/>
  <c r="Q490" i="5"/>
  <c r="H490" i="7" s="1"/>
  <c r="P490" i="5"/>
  <c r="K490" i="5"/>
  <c r="J490" i="5"/>
  <c r="N490" i="7" s="1"/>
  <c r="AS489" i="5"/>
  <c r="AR489" i="5"/>
  <c r="Q489" i="7" s="1"/>
  <c r="AQ489" i="5"/>
  <c r="M489" i="7" s="1"/>
  <c r="AN489" i="5"/>
  <c r="AL489" i="5"/>
  <c r="AC489" i="5"/>
  <c r="R489" i="7" s="1"/>
  <c r="AB489" i="5"/>
  <c r="T489" i="7" s="1"/>
  <c r="AA489" i="5"/>
  <c r="Z489" i="5"/>
  <c r="F489" i="7" s="1"/>
  <c r="Q489" i="5"/>
  <c r="H489" i="7" s="1"/>
  <c r="P489" i="5"/>
  <c r="K489" i="5"/>
  <c r="J489" i="5"/>
  <c r="N489" i="7" s="1"/>
  <c r="AS488" i="5"/>
  <c r="AR488" i="5"/>
  <c r="Q488" i="7" s="1"/>
  <c r="AQ488" i="5"/>
  <c r="M488" i="7" s="1"/>
  <c r="AN488" i="5"/>
  <c r="AL488" i="5"/>
  <c r="AC488" i="5"/>
  <c r="R488" i="7" s="1"/>
  <c r="AB488" i="5"/>
  <c r="T488" i="7" s="1"/>
  <c r="AA488" i="5"/>
  <c r="S488" i="7" s="1"/>
  <c r="Z488" i="5"/>
  <c r="F488" i="7" s="1"/>
  <c r="Q488" i="5"/>
  <c r="H488" i="7" s="1"/>
  <c r="P488" i="5"/>
  <c r="K488" i="5"/>
  <c r="J488" i="5"/>
  <c r="N488" i="7" s="1"/>
  <c r="AS487" i="5"/>
  <c r="AR487" i="5"/>
  <c r="Q487" i="7" s="1"/>
  <c r="AQ487" i="5"/>
  <c r="M487" i="7" s="1"/>
  <c r="AN487" i="5"/>
  <c r="AL487" i="5"/>
  <c r="AC487" i="5"/>
  <c r="R487" i="7" s="1"/>
  <c r="AB487" i="5"/>
  <c r="T487" i="7" s="1"/>
  <c r="AA487" i="5"/>
  <c r="S487" i="7" s="1"/>
  <c r="Z487" i="5"/>
  <c r="F487" i="7" s="1"/>
  <c r="Q487" i="5"/>
  <c r="H487" i="7" s="1"/>
  <c r="P487" i="5"/>
  <c r="K487" i="5"/>
  <c r="J487" i="5"/>
  <c r="N487" i="7" s="1"/>
  <c r="AS486" i="5"/>
  <c r="AR486" i="5"/>
  <c r="Q486" i="7" s="1"/>
  <c r="AQ486" i="5"/>
  <c r="M486" i="7" s="1"/>
  <c r="AN486" i="5"/>
  <c r="AL486" i="5"/>
  <c r="AC486" i="5"/>
  <c r="R486" i="7" s="1"/>
  <c r="AB486" i="5"/>
  <c r="T486" i="7" s="1"/>
  <c r="AA486" i="5"/>
  <c r="Z486" i="5"/>
  <c r="F486" i="7" s="1"/>
  <c r="Q486" i="5"/>
  <c r="H486" i="7" s="1"/>
  <c r="P486" i="5"/>
  <c r="K486" i="5"/>
  <c r="J486" i="5"/>
  <c r="N486" i="7" s="1"/>
  <c r="AS485" i="5"/>
  <c r="AR485" i="5"/>
  <c r="Q485" i="7" s="1"/>
  <c r="AQ485" i="5"/>
  <c r="M485" i="7" s="1"/>
  <c r="AN485" i="5"/>
  <c r="AL485" i="5"/>
  <c r="AC485" i="5"/>
  <c r="R485" i="7" s="1"/>
  <c r="AB485" i="5"/>
  <c r="T485" i="7" s="1"/>
  <c r="AA485" i="5"/>
  <c r="S485" i="7" s="1"/>
  <c r="Z485" i="5"/>
  <c r="F485" i="7" s="1"/>
  <c r="Q485" i="5"/>
  <c r="H485" i="7" s="1"/>
  <c r="P485" i="5"/>
  <c r="K485" i="5"/>
  <c r="J485" i="5"/>
  <c r="N485" i="7" s="1"/>
  <c r="AS484" i="5"/>
  <c r="AR484" i="5"/>
  <c r="Q484" i="7" s="1"/>
  <c r="AQ484" i="5"/>
  <c r="M484" i="7" s="1"/>
  <c r="AN484" i="5"/>
  <c r="AL484" i="5"/>
  <c r="AC484" i="5"/>
  <c r="R484" i="7" s="1"/>
  <c r="AB484" i="5"/>
  <c r="T484" i="7" s="1"/>
  <c r="AA484" i="5"/>
  <c r="Z484" i="5"/>
  <c r="F484" i="7" s="1"/>
  <c r="Q484" i="5"/>
  <c r="H484" i="7" s="1"/>
  <c r="P484" i="5"/>
  <c r="K484" i="5"/>
  <c r="J484" i="5"/>
  <c r="N484" i="7" s="1"/>
  <c r="AS483" i="5"/>
  <c r="AR483" i="5"/>
  <c r="Q483" i="7" s="1"/>
  <c r="AQ483" i="5"/>
  <c r="M483" i="7" s="1"/>
  <c r="AN483" i="5"/>
  <c r="AL483" i="5"/>
  <c r="AC483" i="5"/>
  <c r="R483" i="7" s="1"/>
  <c r="AB483" i="5"/>
  <c r="T483" i="7" s="1"/>
  <c r="AA483" i="5"/>
  <c r="S483" i="7" s="1"/>
  <c r="Z483" i="5"/>
  <c r="F483" i="7" s="1"/>
  <c r="Q483" i="5"/>
  <c r="H483" i="7" s="1"/>
  <c r="P483" i="5"/>
  <c r="K483" i="5"/>
  <c r="J483" i="5"/>
  <c r="N483" i="7" s="1"/>
  <c r="AS482" i="5"/>
  <c r="AR482" i="5"/>
  <c r="Q482" i="7" s="1"/>
  <c r="AQ482" i="5"/>
  <c r="M482" i="7" s="1"/>
  <c r="AN482" i="5"/>
  <c r="AL482" i="5"/>
  <c r="AC482" i="5"/>
  <c r="R482" i="7" s="1"/>
  <c r="AB482" i="5"/>
  <c r="T482" i="7" s="1"/>
  <c r="AA482" i="5"/>
  <c r="Z482" i="5"/>
  <c r="F482" i="7" s="1"/>
  <c r="Q482" i="5"/>
  <c r="H482" i="7" s="1"/>
  <c r="P482" i="5"/>
  <c r="K482" i="5"/>
  <c r="J482" i="5"/>
  <c r="N482" i="7" s="1"/>
  <c r="AS481" i="5"/>
  <c r="AR481" i="5"/>
  <c r="Q481" i="7" s="1"/>
  <c r="AQ481" i="5"/>
  <c r="M481" i="7" s="1"/>
  <c r="AN481" i="5"/>
  <c r="AL481" i="5"/>
  <c r="AC481" i="5"/>
  <c r="R481" i="7" s="1"/>
  <c r="AB481" i="5"/>
  <c r="T481" i="7" s="1"/>
  <c r="AA481" i="5"/>
  <c r="S481" i="7" s="1"/>
  <c r="Z481" i="5"/>
  <c r="F481" i="7" s="1"/>
  <c r="Q481" i="5"/>
  <c r="H481" i="7" s="1"/>
  <c r="P481" i="5"/>
  <c r="K481" i="5"/>
  <c r="J481" i="5"/>
  <c r="N481" i="7" s="1"/>
  <c r="AS480" i="5"/>
  <c r="AR480" i="5"/>
  <c r="Q480" i="7" s="1"/>
  <c r="AQ480" i="5"/>
  <c r="M480" i="7" s="1"/>
  <c r="AN480" i="5"/>
  <c r="AL480" i="5"/>
  <c r="AC480" i="5"/>
  <c r="R480" i="7" s="1"/>
  <c r="AB480" i="5"/>
  <c r="T480" i="7" s="1"/>
  <c r="AA480" i="5"/>
  <c r="Z480" i="5"/>
  <c r="F480" i="7" s="1"/>
  <c r="Q480" i="5"/>
  <c r="H480" i="7" s="1"/>
  <c r="P480" i="5"/>
  <c r="K480" i="5"/>
  <c r="J480" i="5"/>
  <c r="N480" i="7" s="1"/>
  <c r="AS479" i="5"/>
  <c r="AR479" i="5"/>
  <c r="Q479" i="7" s="1"/>
  <c r="AQ479" i="5"/>
  <c r="M479" i="7" s="1"/>
  <c r="AN479" i="5"/>
  <c r="AL479" i="5"/>
  <c r="AC479" i="5"/>
  <c r="R479" i="7" s="1"/>
  <c r="AB479" i="5"/>
  <c r="T479" i="7" s="1"/>
  <c r="AA479" i="5"/>
  <c r="S479" i="7" s="1"/>
  <c r="Z479" i="5"/>
  <c r="F479" i="7" s="1"/>
  <c r="Q479" i="5"/>
  <c r="H479" i="7" s="1"/>
  <c r="P479" i="5"/>
  <c r="K479" i="5"/>
  <c r="J479" i="5"/>
  <c r="N479" i="7" s="1"/>
  <c r="AS478" i="5"/>
  <c r="AR478" i="5"/>
  <c r="Q478" i="7" s="1"/>
  <c r="AQ478" i="5"/>
  <c r="M478" i="7" s="1"/>
  <c r="AN478" i="5"/>
  <c r="AL478" i="5"/>
  <c r="AC478" i="5"/>
  <c r="R478" i="7" s="1"/>
  <c r="AB478" i="5"/>
  <c r="T478" i="7" s="1"/>
  <c r="AA478" i="5"/>
  <c r="Z478" i="5"/>
  <c r="F478" i="7" s="1"/>
  <c r="Q478" i="5"/>
  <c r="H478" i="7" s="1"/>
  <c r="P478" i="5"/>
  <c r="K478" i="5"/>
  <c r="J478" i="5"/>
  <c r="N478" i="7" s="1"/>
  <c r="AS477" i="5"/>
  <c r="AR477" i="5"/>
  <c r="Q477" i="7" s="1"/>
  <c r="AQ477" i="5"/>
  <c r="M477" i="7" s="1"/>
  <c r="AN477" i="5"/>
  <c r="AL477" i="5"/>
  <c r="AC477" i="5"/>
  <c r="R477" i="7" s="1"/>
  <c r="AB477" i="5"/>
  <c r="T477" i="7" s="1"/>
  <c r="AA477" i="5"/>
  <c r="S477" i="7" s="1"/>
  <c r="Z477" i="5"/>
  <c r="F477" i="7" s="1"/>
  <c r="Q477" i="5"/>
  <c r="H477" i="7" s="1"/>
  <c r="P477" i="5"/>
  <c r="K477" i="5"/>
  <c r="J477" i="5"/>
  <c r="N477" i="7" s="1"/>
  <c r="AS476" i="5"/>
  <c r="AR476" i="5"/>
  <c r="Q476" i="7" s="1"/>
  <c r="AQ476" i="5"/>
  <c r="M476" i="7" s="1"/>
  <c r="AN476" i="5"/>
  <c r="AL476" i="5"/>
  <c r="AC476" i="5"/>
  <c r="R476" i="7" s="1"/>
  <c r="AB476" i="5"/>
  <c r="T476" i="7" s="1"/>
  <c r="AA476" i="5"/>
  <c r="S476" i="7" s="1"/>
  <c r="Z476" i="5"/>
  <c r="F476" i="7" s="1"/>
  <c r="Q476" i="5"/>
  <c r="H476" i="7" s="1"/>
  <c r="P476" i="5"/>
  <c r="K476" i="5"/>
  <c r="J476" i="5"/>
  <c r="N476" i="7" s="1"/>
  <c r="AS475" i="5"/>
  <c r="AR475" i="5"/>
  <c r="Q475" i="7" s="1"/>
  <c r="AQ475" i="5"/>
  <c r="M475" i="7" s="1"/>
  <c r="AN475" i="5"/>
  <c r="AL475" i="5"/>
  <c r="AC475" i="5"/>
  <c r="R475" i="7" s="1"/>
  <c r="AB475" i="5"/>
  <c r="T475" i="7" s="1"/>
  <c r="AA475" i="5"/>
  <c r="S475" i="7" s="1"/>
  <c r="Z475" i="5"/>
  <c r="F475" i="7" s="1"/>
  <c r="Q475" i="5"/>
  <c r="H475" i="7" s="1"/>
  <c r="P475" i="5"/>
  <c r="K475" i="5"/>
  <c r="J475" i="5"/>
  <c r="N475" i="7" s="1"/>
  <c r="AS474" i="5"/>
  <c r="AR474" i="5"/>
  <c r="Q474" i="7" s="1"/>
  <c r="AQ474" i="5"/>
  <c r="M474" i="7" s="1"/>
  <c r="AN474" i="5"/>
  <c r="AL474" i="5"/>
  <c r="AC474" i="5"/>
  <c r="R474" i="7" s="1"/>
  <c r="AB474" i="5"/>
  <c r="T474" i="7" s="1"/>
  <c r="AA474" i="5"/>
  <c r="S474" i="7" s="1"/>
  <c r="Z474" i="5"/>
  <c r="F474" i="7" s="1"/>
  <c r="Q474" i="5"/>
  <c r="H474" i="7" s="1"/>
  <c r="P474" i="5"/>
  <c r="K474" i="5"/>
  <c r="J474" i="5"/>
  <c r="N474" i="7" s="1"/>
  <c r="AS473" i="5"/>
  <c r="AR473" i="5"/>
  <c r="Q473" i="7" s="1"/>
  <c r="AQ473" i="5"/>
  <c r="M473" i="7" s="1"/>
  <c r="AN473" i="5"/>
  <c r="AL473" i="5"/>
  <c r="AC473" i="5"/>
  <c r="R473" i="7" s="1"/>
  <c r="AB473" i="5"/>
  <c r="T473" i="7" s="1"/>
  <c r="AA473" i="5"/>
  <c r="S473" i="7" s="1"/>
  <c r="Z473" i="5"/>
  <c r="F473" i="7" s="1"/>
  <c r="Q473" i="5"/>
  <c r="H473" i="7" s="1"/>
  <c r="P473" i="5"/>
  <c r="K473" i="5"/>
  <c r="J473" i="5"/>
  <c r="N473" i="7" s="1"/>
  <c r="AS472" i="5"/>
  <c r="AR472" i="5"/>
  <c r="Q472" i="7" s="1"/>
  <c r="AQ472" i="5"/>
  <c r="M472" i="7" s="1"/>
  <c r="AN472" i="5"/>
  <c r="AL472" i="5"/>
  <c r="AC472" i="5"/>
  <c r="R472" i="7" s="1"/>
  <c r="AB472" i="5"/>
  <c r="T472" i="7" s="1"/>
  <c r="AA472" i="5"/>
  <c r="Z472" i="5"/>
  <c r="F472" i="7" s="1"/>
  <c r="Q472" i="5"/>
  <c r="H472" i="7" s="1"/>
  <c r="P472" i="5"/>
  <c r="K472" i="5"/>
  <c r="J472" i="5"/>
  <c r="N472" i="7" s="1"/>
  <c r="AS471" i="5"/>
  <c r="AR471" i="5"/>
  <c r="Q471" i="7" s="1"/>
  <c r="AQ471" i="5"/>
  <c r="M471" i="7" s="1"/>
  <c r="AN471" i="5"/>
  <c r="AL471" i="5"/>
  <c r="AC471" i="5"/>
  <c r="R471" i="7" s="1"/>
  <c r="AB471" i="5"/>
  <c r="T471" i="7" s="1"/>
  <c r="AA471" i="5"/>
  <c r="Z471" i="5"/>
  <c r="F471" i="7" s="1"/>
  <c r="Q471" i="5"/>
  <c r="H471" i="7" s="1"/>
  <c r="P471" i="5"/>
  <c r="K471" i="5"/>
  <c r="J471" i="5"/>
  <c r="N471" i="7" s="1"/>
  <c r="AS470" i="5"/>
  <c r="AR470" i="5"/>
  <c r="Q470" i="7" s="1"/>
  <c r="AQ470" i="5"/>
  <c r="M470" i="7" s="1"/>
  <c r="AN470" i="5"/>
  <c r="AL470" i="5"/>
  <c r="AC470" i="5"/>
  <c r="R470" i="7" s="1"/>
  <c r="AB470" i="5"/>
  <c r="T470" i="7" s="1"/>
  <c r="AA470" i="5"/>
  <c r="S470" i="7" s="1"/>
  <c r="Z470" i="5"/>
  <c r="F470" i="7" s="1"/>
  <c r="Q470" i="5"/>
  <c r="H470" i="7" s="1"/>
  <c r="P470" i="5"/>
  <c r="K470" i="5"/>
  <c r="J470" i="5"/>
  <c r="N470" i="7" s="1"/>
  <c r="AS469" i="5"/>
  <c r="AR469" i="5"/>
  <c r="Q469" i="7" s="1"/>
  <c r="AQ469" i="5"/>
  <c r="M469" i="7" s="1"/>
  <c r="AN469" i="5"/>
  <c r="AL469" i="5"/>
  <c r="AC469" i="5"/>
  <c r="R469" i="7" s="1"/>
  <c r="AB469" i="5"/>
  <c r="T469" i="7" s="1"/>
  <c r="AA469" i="5"/>
  <c r="S469" i="7" s="1"/>
  <c r="Z469" i="5"/>
  <c r="F469" i="7" s="1"/>
  <c r="Q469" i="5"/>
  <c r="H469" i="7" s="1"/>
  <c r="P469" i="5"/>
  <c r="K469" i="5"/>
  <c r="J469" i="5"/>
  <c r="N469" i="7" s="1"/>
  <c r="AS468" i="5"/>
  <c r="AR468" i="5"/>
  <c r="Q468" i="7" s="1"/>
  <c r="AQ468" i="5"/>
  <c r="M468" i="7" s="1"/>
  <c r="AN468" i="5"/>
  <c r="AL468" i="5"/>
  <c r="AC468" i="5"/>
  <c r="R468" i="7" s="1"/>
  <c r="AB468" i="5"/>
  <c r="T468" i="7" s="1"/>
  <c r="AA468" i="5"/>
  <c r="S468" i="7" s="1"/>
  <c r="Z468" i="5"/>
  <c r="F468" i="7" s="1"/>
  <c r="Q468" i="5"/>
  <c r="H468" i="7" s="1"/>
  <c r="P468" i="5"/>
  <c r="K468" i="5"/>
  <c r="J468" i="5"/>
  <c r="N468" i="7" s="1"/>
  <c r="AS467" i="5"/>
  <c r="AR467" i="5"/>
  <c r="Q467" i="7" s="1"/>
  <c r="AQ467" i="5"/>
  <c r="M467" i="7" s="1"/>
  <c r="AN467" i="5"/>
  <c r="AL467" i="5"/>
  <c r="AC467" i="5"/>
  <c r="R467" i="7" s="1"/>
  <c r="AB467" i="5"/>
  <c r="T467" i="7" s="1"/>
  <c r="AA467" i="5"/>
  <c r="S467" i="7" s="1"/>
  <c r="Z467" i="5"/>
  <c r="F467" i="7" s="1"/>
  <c r="Q467" i="5"/>
  <c r="H467" i="7" s="1"/>
  <c r="P467" i="5"/>
  <c r="K467" i="5"/>
  <c r="J467" i="5"/>
  <c r="N467" i="7" s="1"/>
  <c r="AS466" i="5"/>
  <c r="AR466" i="5"/>
  <c r="Q466" i="7" s="1"/>
  <c r="AQ466" i="5"/>
  <c r="M466" i="7" s="1"/>
  <c r="AN466" i="5"/>
  <c r="AL466" i="5"/>
  <c r="AC466" i="5"/>
  <c r="R466" i="7" s="1"/>
  <c r="AB466" i="5"/>
  <c r="T466" i="7" s="1"/>
  <c r="AA466" i="5"/>
  <c r="S466" i="7" s="1"/>
  <c r="Z466" i="5"/>
  <c r="F466" i="7" s="1"/>
  <c r="Q466" i="5"/>
  <c r="H466" i="7" s="1"/>
  <c r="P466" i="5"/>
  <c r="K466" i="5"/>
  <c r="J466" i="5"/>
  <c r="N466" i="7" s="1"/>
  <c r="AS465" i="5"/>
  <c r="AR465" i="5"/>
  <c r="Q465" i="7" s="1"/>
  <c r="AQ465" i="5"/>
  <c r="M465" i="7" s="1"/>
  <c r="AN465" i="5"/>
  <c r="AL465" i="5"/>
  <c r="AC465" i="5"/>
  <c r="R465" i="7" s="1"/>
  <c r="AB465" i="5"/>
  <c r="T465" i="7" s="1"/>
  <c r="AA465" i="5"/>
  <c r="S465" i="7" s="1"/>
  <c r="Z465" i="5"/>
  <c r="F465" i="7" s="1"/>
  <c r="Q465" i="5"/>
  <c r="H465" i="7" s="1"/>
  <c r="P465" i="5"/>
  <c r="K465" i="5"/>
  <c r="J465" i="5"/>
  <c r="N465" i="7" s="1"/>
  <c r="AS464" i="5"/>
  <c r="AR464" i="5"/>
  <c r="Q464" i="7" s="1"/>
  <c r="AQ464" i="5"/>
  <c r="M464" i="7" s="1"/>
  <c r="AN464" i="5"/>
  <c r="AL464" i="5"/>
  <c r="AC464" i="5"/>
  <c r="R464" i="7" s="1"/>
  <c r="AB464" i="5"/>
  <c r="T464" i="7" s="1"/>
  <c r="AA464" i="5"/>
  <c r="S464" i="7" s="1"/>
  <c r="Z464" i="5"/>
  <c r="F464" i="7" s="1"/>
  <c r="Q464" i="5"/>
  <c r="H464" i="7" s="1"/>
  <c r="P464" i="5"/>
  <c r="K464" i="5"/>
  <c r="J464" i="5"/>
  <c r="N464" i="7" s="1"/>
  <c r="AS463" i="5"/>
  <c r="AR463" i="5"/>
  <c r="Q463" i="7" s="1"/>
  <c r="AQ463" i="5"/>
  <c r="M463" i="7" s="1"/>
  <c r="AN463" i="5"/>
  <c r="AL463" i="5"/>
  <c r="AC463" i="5"/>
  <c r="R463" i="7" s="1"/>
  <c r="AB463" i="5"/>
  <c r="T463" i="7" s="1"/>
  <c r="AA463" i="5"/>
  <c r="S463" i="7" s="1"/>
  <c r="Z463" i="5"/>
  <c r="F463" i="7" s="1"/>
  <c r="Q463" i="5"/>
  <c r="H463" i="7" s="1"/>
  <c r="P463" i="5"/>
  <c r="K463" i="5"/>
  <c r="J463" i="5"/>
  <c r="N463" i="7" s="1"/>
  <c r="AS462" i="5"/>
  <c r="AR462" i="5"/>
  <c r="Q462" i="7" s="1"/>
  <c r="AQ462" i="5"/>
  <c r="M462" i="7" s="1"/>
  <c r="AN462" i="5"/>
  <c r="AL462" i="5"/>
  <c r="AC462" i="5"/>
  <c r="R462" i="7" s="1"/>
  <c r="AB462" i="5"/>
  <c r="T462" i="7" s="1"/>
  <c r="AA462" i="5"/>
  <c r="S462" i="7" s="1"/>
  <c r="Z462" i="5"/>
  <c r="F462" i="7" s="1"/>
  <c r="Q462" i="5"/>
  <c r="H462" i="7" s="1"/>
  <c r="P462" i="5"/>
  <c r="K462" i="5"/>
  <c r="J462" i="5"/>
  <c r="N462" i="7" s="1"/>
  <c r="AS461" i="5"/>
  <c r="AR461" i="5"/>
  <c r="Q461" i="7" s="1"/>
  <c r="AQ461" i="5"/>
  <c r="M461" i="7" s="1"/>
  <c r="AN461" i="5"/>
  <c r="AL461" i="5"/>
  <c r="AC461" i="5"/>
  <c r="R461" i="7" s="1"/>
  <c r="AB461" i="5"/>
  <c r="T461" i="7" s="1"/>
  <c r="AA461" i="5"/>
  <c r="S461" i="7" s="1"/>
  <c r="Z461" i="5"/>
  <c r="F461" i="7" s="1"/>
  <c r="Q461" i="5"/>
  <c r="H461" i="7" s="1"/>
  <c r="P461" i="5"/>
  <c r="K461" i="5"/>
  <c r="J461" i="5"/>
  <c r="N461" i="7" s="1"/>
  <c r="AS460" i="5"/>
  <c r="AR460" i="5"/>
  <c r="Q460" i="7" s="1"/>
  <c r="AQ460" i="5"/>
  <c r="M460" i="7" s="1"/>
  <c r="AN460" i="5"/>
  <c r="AL460" i="5"/>
  <c r="AC460" i="5"/>
  <c r="R460" i="7" s="1"/>
  <c r="AB460" i="5"/>
  <c r="T460" i="7" s="1"/>
  <c r="AA460" i="5"/>
  <c r="Z460" i="5"/>
  <c r="F460" i="7" s="1"/>
  <c r="Q460" i="5"/>
  <c r="H460" i="7" s="1"/>
  <c r="P460" i="5"/>
  <c r="K460" i="5"/>
  <c r="J460" i="5"/>
  <c r="N460" i="7" s="1"/>
  <c r="AS459" i="5"/>
  <c r="AR459" i="5"/>
  <c r="Q459" i="7" s="1"/>
  <c r="AQ459" i="5"/>
  <c r="M459" i="7" s="1"/>
  <c r="AN459" i="5"/>
  <c r="AL459" i="5"/>
  <c r="AC459" i="5"/>
  <c r="R459" i="7" s="1"/>
  <c r="AB459" i="5"/>
  <c r="T459" i="7" s="1"/>
  <c r="AA459" i="5"/>
  <c r="S459" i="7" s="1"/>
  <c r="Z459" i="5"/>
  <c r="F459" i="7" s="1"/>
  <c r="Q459" i="5"/>
  <c r="H459" i="7" s="1"/>
  <c r="P459" i="5"/>
  <c r="K459" i="5"/>
  <c r="J459" i="5"/>
  <c r="N459" i="7" s="1"/>
  <c r="AS458" i="5"/>
  <c r="AR458" i="5"/>
  <c r="Q458" i="7" s="1"/>
  <c r="AQ458" i="5"/>
  <c r="M458" i="7" s="1"/>
  <c r="AN458" i="5"/>
  <c r="AL458" i="5"/>
  <c r="AC458" i="5"/>
  <c r="R458" i="7" s="1"/>
  <c r="AB458" i="5"/>
  <c r="T458" i="7" s="1"/>
  <c r="AA458" i="5"/>
  <c r="Z458" i="5"/>
  <c r="F458" i="7" s="1"/>
  <c r="Q458" i="5"/>
  <c r="H458" i="7" s="1"/>
  <c r="P458" i="5"/>
  <c r="K458" i="5"/>
  <c r="J458" i="5"/>
  <c r="N458" i="7" s="1"/>
  <c r="AS457" i="5"/>
  <c r="AR457" i="5"/>
  <c r="Q457" i="7" s="1"/>
  <c r="AQ457" i="5"/>
  <c r="M457" i="7" s="1"/>
  <c r="AN457" i="5"/>
  <c r="AL457" i="5"/>
  <c r="AC457" i="5"/>
  <c r="R457" i="7" s="1"/>
  <c r="AB457" i="5"/>
  <c r="T457" i="7" s="1"/>
  <c r="AA457" i="5"/>
  <c r="Z457" i="5"/>
  <c r="F457" i="7" s="1"/>
  <c r="Q457" i="5"/>
  <c r="H457" i="7" s="1"/>
  <c r="P457" i="5"/>
  <c r="K457" i="5"/>
  <c r="J457" i="5"/>
  <c r="N457" i="7" s="1"/>
  <c r="AS456" i="5"/>
  <c r="AR456" i="5"/>
  <c r="Q456" i="7" s="1"/>
  <c r="AQ456" i="5"/>
  <c r="M456" i="7" s="1"/>
  <c r="AN456" i="5"/>
  <c r="AL456" i="5"/>
  <c r="AC456" i="5"/>
  <c r="R456" i="7" s="1"/>
  <c r="AB456" i="5"/>
  <c r="T456" i="7" s="1"/>
  <c r="AA456" i="5"/>
  <c r="Z456" i="5"/>
  <c r="F456" i="7" s="1"/>
  <c r="Q456" i="5"/>
  <c r="H456" i="7" s="1"/>
  <c r="P456" i="5"/>
  <c r="K456" i="5"/>
  <c r="J456" i="5"/>
  <c r="N456" i="7" s="1"/>
  <c r="AS455" i="5"/>
  <c r="AR455" i="5"/>
  <c r="Q455" i="7" s="1"/>
  <c r="AQ455" i="5"/>
  <c r="M455" i="7" s="1"/>
  <c r="AN455" i="5"/>
  <c r="AL455" i="5"/>
  <c r="AC455" i="5"/>
  <c r="R455" i="7" s="1"/>
  <c r="AB455" i="5"/>
  <c r="T455" i="7" s="1"/>
  <c r="AA455" i="5"/>
  <c r="S455" i="7" s="1"/>
  <c r="Z455" i="5"/>
  <c r="F455" i="7" s="1"/>
  <c r="Q455" i="5"/>
  <c r="H455" i="7" s="1"/>
  <c r="P455" i="5"/>
  <c r="K455" i="5"/>
  <c r="J455" i="5"/>
  <c r="N455" i="7" s="1"/>
  <c r="AS454" i="5"/>
  <c r="AR454" i="5"/>
  <c r="Q454" i="7" s="1"/>
  <c r="AQ454" i="5"/>
  <c r="M454" i="7" s="1"/>
  <c r="AN454" i="5"/>
  <c r="AL454" i="5"/>
  <c r="AC454" i="5"/>
  <c r="R454" i="7" s="1"/>
  <c r="AB454" i="5"/>
  <c r="T454" i="7" s="1"/>
  <c r="AA454" i="5"/>
  <c r="Z454" i="5"/>
  <c r="F454" i="7" s="1"/>
  <c r="Q454" i="5"/>
  <c r="H454" i="7" s="1"/>
  <c r="P454" i="5"/>
  <c r="K454" i="5"/>
  <c r="J454" i="5"/>
  <c r="N454" i="7" s="1"/>
  <c r="AS453" i="5"/>
  <c r="AR453" i="5"/>
  <c r="Q453" i="7" s="1"/>
  <c r="AQ453" i="5"/>
  <c r="M453" i="7" s="1"/>
  <c r="AN453" i="5"/>
  <c r="AL453" i="5"/>
  <c r="AC453" i="5"/>
  <c r="R453" i="7" s="1"/>
  <c r="AB453" i="5"/>
  <c r="T453" i="7" s="1"/>
  <c r="AA453" i="5"/>
  <c r="Z453" i="5"/>
  <c r="F453" i="7" s="1"/>
  <c r="Q453" i="5"/>
  <c r="H453" i="7" s="1"/>
  <c r="P453" i="5"/>
  <c r="K453" i="5"/>
  <c r="J453" i="5"/>
  <c r="N453" i="7" s="1"/>
  <c r="AS452" i="5"/>
  <c r="AR452" i="5"/>
  <c r="Q452" i="7" s="1"/>
  <c r="AQ452" i="5"/>
  <c r="M452" i="7" s="1"/>
  <c r="AN452" i="5"/>
  <c r="AL452" i="5"/>
  <c r="AC452" i="5"/>
  <c r="R452" i="7" s="1"/>
  <c r="AB452" i="5"/>
  <c r="T452" i="7" s="1"/>
  <c r="AA452" i="5"/>
  <c r="S452" i="7" s="1"/>
  <c r="Z452" i="5"/>
  <c r="F452" i="7" s="1"/>
  <c r="Q452" i="5"/>
  <c r="H452" i="7" s="1"/>
  <c r="P452" i="5"/>
  <c r="K452" i="5"/>
  <c r="J452" i="5"/>
  <c r="N452" i="7" s="1"/>
  <c r="AS451" i="5"/>
  <c r="AR451" i="5"/>
  <c r="Q451" i="7" s="1"/>
  <c r="AQ451" i="5"/>
  <c r="M451" i="7" s="1"/>
  <c r="AN451" i="5"/>
  <c r="AL451" i="5"/>
  <c r="AC451" i="5"/>
  <c r="R451" i="7" s="1"/>
  <c r="AB451" i="5"/>
  <c r="T451" i="7" s="1"/>
  <c r="AA451" i="5"/>
  <c r="Z451" i="5"/>
  <c r="F451" i="7" s="1"/>
  <c r="Q451" i="5"/>
  <c r="H451" i="7" s="1"/>
  <c r="P451" i="5"/>
  <c r="K451" i="5"/>
  <c r="J451" i="5"/>
  <c r="N451" i="7" s="1"/>
  <c r="AS450" i="5"/>
  <c r="AR450" i="5"/>
  <c r="Q450" i="7" s="1"/>
  <c r="AQ450" i="5"/>
  <c r="M450" i="7" s="1"/>
  <c r="AN450" i="5"/>
  <c r="AL450" i="5"/>
  <c r="AC450" i="5"/>
  <c r="R450" i="7" s="1"/>
  <c r="AB450" i="5"/>
  <c r="T450" i="7" s="1"/>
  <c r="AA450" i="5"/>
  <c r="Z450" i="5"/>
  <c r="F450" i="7" s="1"/>
  <c r="Q450" i="5"/>
  <c r="H450" i="7" s="1"/>
  <c r="P450" i="5"/>
  <c r="K450" i="5"/>
  <c r="J450" i="5"/>
  <c r="N450" i="7" s="1"/>
  <c r="AS449" i="5"/>
  <c r="AR449" i="5"/>
  <c r="Q449" i="7" s="1"/>
  <c r="AQ449" i="5"/>
  <c r="M449" i="7" s="1"/>
  <c r="AN449" i="5"/>
  <c r="AL449" i="5"/>
  <c r="AC449" i="5"/>
  <c r="R449" i="7" s="1"/>
  <c r="AB449" i="5"/>
  <c r="T449" i="7" s="1"/>
  <c r="AA449" i="5"/>
  <c r="Z449" i="5"/>
  <c r="F449" i="7" s="1"/>
  <c r="Q449" i="5"/>
  <c r="H449" i="7" s="1"/>
  <c r="P449" i="5"/>
  <c r="K449" i="5"/>
  <c r="J449" i="5"/>
  <c r="N449" i="7" s="1"/>
  <c r="AS448" i="5"/>
  <c r="AR448" i="5"/>
  <c r="Q448" i="7" s="1"/>
  <c r="AQ448" i="5"/>
  <c r="M448" i="7" s="1"/>
  <c r="AN448" i="5"/>
  <c r="AL448" i="5"/>
  <c r="AC448" i="5"/>
  <c r="R448" i="7" s="1"/>
  <c r="AB448" i="5"/>
  <c r="T448" i="7" s="1"/>
  <c r="AA448" i="5"/>
  <c r="S448" i="7" s="1"/>
  <c r="Z448" i="5"/>
  <c r="F448" i="7" s="1"/>
  <c r="Q448" i="5"/>
  <c r="H448" i="7" s="1"/>
  <c r="P448" i="5"/>
  <c r="K448" i="5"/>
  <c r="J448" i="5"/>
  <c r="N448" i="7" s="1"/>
  <c r="AS447" i="5"/>
  <c r="AR447" i="5"/>
  <c r="Q447" i="7" s="1"/>
  <c r="AQ447" i="5"/>
  <c r="M447" i="7" s="1"/>
  <c r="AN447" i="5"/>
  <c r="AL447" i="5"/>
  <c r="AC447" i="5"/>
  <c r="R447" i="7" s="1"/>
  <c r="AB447" i="5"/>
  <c r="T447" i="7" s="1"/>
  <c r="AA447" i="5"/>
  <c r="S447" i="7" s="1"/>
  <c r="Z447" i="5"/>
  <c r="F447" i="7" s="1"/>
  <c r="Q447" i="5"/>
  <c r="H447" i="7" s="1"/>
  <c r="P447" i="5"/>
  <c r="K447" i="5"/>
  <c r="J447" i="5"/>
  <c r="N447" i="7" s="1"/>
  <c r="AS446" i="5"/>
  <c r="AR446" i="5"/>
  <c r="Q446" i="7" s="1"/>
  <c r="AQ446" i="5"/>
  <c r="M446" i="7" s="1"/>
  <c r="AN446" i="5"/>
  <c r="AL446" i="5"/>
  <c r="AC446" i="5"/>
  <c r="R446" i="7" s="1"/>
  <c r="AB446" i="5"/>
  <c r="T446" i="7" s="1"/>
  <c r="AA446" i="5"/>
  <c r="S446" i="7" s="1"/>
  <c r="Z446" i="5"/>
  <c r="F446" i="7" s="1"/>
  <c r="Q446" i="5"/>
  <c r="H446" i="7" s="1"/>
  <c r="P446" i="5"/>
  <c r="K446" i="5"/>
  <c r="J446" i="5"/>
  <c r="N446" i="7" s="1"/>
  <c r="AS445" i="5"/>
  <c r="AR445" i="5"/>
  <c r="Q445" i="7" s="1"/>
  <c r="AQ445" i="5"/>
  <c r="M445" i="7" s="1"/>
  <c r="AN445" i="5"/>
  <c r="AL445" i="5"/>
  <c r="AC445" i="5"/>
  <c r="R445" i="7" s="1"/>
  <c r="AB445" i="5"/>
  <c r="T445" i="7" s="1"/>
  <c r="AA445" i="5"/>
  <c r="S445" i="7" s="1"/>
  <c r="Z445" i="5"/>
  <c r="F445" i="7" s="1"/>
  <c r="Q445" i="5"/>
  <c r="H445" i="7" s="1"/>
  <c r="P445" i="5"/>
  <c r="K445" i="5"/>
  <c r="J445" i="5"/>
  <c r="N445" i="7" s="1"/>
  <c r="AS444" i="5"/>
  <c r="AR444" i="5"/>
  <c r="Q444" i="7" s="1"/>
  <c r="AQ444" i="5"/>
  <c r="M444" i="7" s="1"/>
  <c r="AN444" i="5"/>
  <c r="AL444" i="5"/>
  <c r="AC444" i="5"/>
  <c r="R444" i="7" s="1"/>
  <c r="AB444" i="5"/>
  <c r="T444" i="7" s="1"/>
  <c r="AA444" i="5"/>
  <c r="S444" i="7" s="1"/>
  <c r="Z444" i="5"/>
  <c r="F444" i="7" s="1"/>
  <c r="Q444" i="5"/>
  <c r="H444" i="7" s="1"/>
  <c r="P444" i="5"/>
  <c r="K444" i="5"/>
  <c r="J444" i="5"/>
  <c r="N444" i="7" s="1"/>
  <c r="AS443" i="5"/>
  <c r="AR443" i="5"/>
  <c r="Q443" i="7" s="1"/>
  <c r="AQ443" i="5"/>
  <c r="M443" i="7" s="1"/>
  <c r="AN443" i="5"/>
  <c r="AL443" i="5"/>
  <c r="AC443" i="5"/>
  <c r="R443" i="7" s="1"/>
  <c r="AB443" i="5"/>
  <c r="T443" i="7" s="1"/>
  <c r="AA443" i="5"/>
  <c r="Z443" i="5"/>
  <c r="F443" i="7" s="1"/>
  <c r="Q443" i="5"/>
  <c r="H443" i="7" s="1"/>
  <c r="P443" i="5"/>
  <c r="K443" i="5"/>
  <c r="J443" i="5"/>
  <c r="N443" i="7" s="1"/>
  <c r="AS442" i="5"/>
  <c r="AR442" i="5"/>
  <c r="Q442" i="7" s="1"/>
  <c r="AQ442" i="5"/>
  <c r="M442" i="7" s="1"/>
  <c r="AN442" i="5"/>
  <c r="AL442" i="5"/>
  <c r="AC442" i="5"/>
  <c r="R442" i="7" s="1"/>
  <c r="AB442" i="5"/>
  <c r="T442" i="7" s="1"/>
  <c r="AA442" i="5"/>
  <c r="Z442" i="5"/>
  <c r="F442" i="7" s="1"/>
  <c r="Q442" i="5"/>
  <c r="H442" i="7" s="1"/>
  <c r="P442" i="5"/>
  <c r="K442" i="5"/>
  <c r="J442" i="5"/>
  <c r="N442" i="7" s="1"/>
  <c r="AS441" i="5"/>
  <c r="AR441" i="5"/>
  <c r="Q441" i="7" s="1"/>
  <c r="AQ441" i="5"/>
  <c r="M441" i="7" s="1"/>
  <c r="AN441" i="5"/>
  <c r="AL441" i="5"/>
  <c r="AC441" i="5"/>
  <c r="R441" i="7" s="1"/>
  <c r="AB441" i="5"/>
  <c r="T441" i="7" s="1"/>
  <c r="AA441" i="5"/>
  <c r="Z441" i="5"/>
  <c r="F441" i="7" s="1"/>
  <c r="Q441" i="5"/>
  <c r="H441" i="7" s="1"/>
  <c r="P441" i="5"/>
  <c r="K441" i="5"/>
  <c r="J441" i="5"/>
  <c r="N441" i="7" s="1"/>
  <c r="AS440" i="5"/>
  <c r="AR440" i="5"/>
  <c r="Q440" i="7" s="1"/>
  <c r="AQ440" i="5"/>
  <c r="M440" i="7" s="1"/>
  <c r="AN440" i="5"/>
  <c r="AL440" i="5"/>
  <c r="AC440" i="5"/>
  <c r="R440" i="7" s="1"/>
  <c r="AB440" i="5"/>
  <c r="T440" i="7" s="1"/>
  <c r="AA440" i="5"/>
  <c r="S440" i="7" s="1"/>
  <c r="Z440" i="5"/>
  <c r="F440" i="7" s="1"/>
  <c r="Q440" i="5"/>
  <c r="H440" i="7" s="1"/>
  <c r="P440" i="5"/>
  <c r="K440" i="5"/>
  <c r="J440" i="5"/>
  <c r="N440" i="7" s="1"/>
  <c r="AS439" i="5"/>
  <c r="AR439" i="5"/>
  <c r="Q439" i="7" s="1"/>
  <c r="AQ439" i="5"/>
  <c r="M439" i="7" s="1"/>
  <c r="AN439" i="5"/>
  <c r="AL439" i="5"/>
  <c r="AC439" i="5"/>
  <c r="R439" i="7" s="1"/>
  <c r="AB439" i="5"/>
  <c r="T439" i="7" s="1"/>
  <c r="AA439" i="5"/>
  <c r="S439" i="7" s="1"/>
  <c r="Z439" i="5"/>
  <c r="F439" i="7" s="1"/>
  <c r="Q439" i="5"/>
  <c r="H439" i="7" s="1"/>
  <c r="P439" i="5"/>
  <c r="K439" i="5"/>
  <c r="J439" i="5"/>
  <c r="N439" i="7" s="1"/>
  <c r="AS438" i="5"/>
  <c r="AR438" i="5"/>
  <c r="Q438" i="7" s="1"/>
  <c r="AQ438" i="5"/>
  <c r="M438" i="7" s="1"/>
  <c r="AN438" i="5"/>
  <c r="AL438" i="5"/>
  <c r="AC438" i="5"/>
  <c r="R438" i="7" s="1"/>
  <c r="AB438" i="5"/>
  <c r="T438" i="7" s="1"/>
  <c r="AA438" i="5"/>
  <c r="S438" i="7" s="1"/>
  <c r="Z438" i="5"/>
  <c r="F438" i="7" s="1"/>
  <c r="Q438" i="5"/>
  <c r="H438" i="7" s="1"/>
  <c r="P438" i="5"/>
  <c r="K438" i="5"/>
  <c r="J438" i="5"/>
  <c r="N438" i="7" s="1"/>
  <c r="AS437" i="5"/>
  <c r="AR437" i="5"/>
  <c r="Q437" i="7" s="1"/>
  <c r="AQ437" i="5"/>
  <c r="M437" i="7" s="1"/>
  <c r="AN437" i="5"/>
  <c r="AL437" i="5"/>
  <c r="AC437" i="5"/>
  <c r="R437" i="7" s="1"/>
  <c r="AB437" i="5"/>
  <c r="T437" i="7" s="1"/>
  <c r="AA437" i="5"/>
  <c r="Z437" i="5"/>
  <c r="F437" i="7" s="1"/>
  <c r="Q437" i="5"/>
  <c r="H437" i="7" s="1"/>
  <c r="P437" i="5"/>
  <c r="K437" i="5"/>
  <c r="J437" i="5"/>
  <c r="N437" i="7" s="1"/>
  <c r="AS436" i="5"/>
  <c r="AR436" i="5"/>
  <c r="Q436" i="7" s="1"/>
  <c r="AQ436" i="5"/>
  <c r="M436" i="7" s="1"/>
  <c r="AN436" i="5"/>
  <c r="AL436" i="5"/>
  <c r="AC436" i="5"/>
  <c r="R436" i="7" s="1"/>
  <c r="AB436" i="5"/>
  <c r="T436" i="7" s="1"/>
  <c r="AA436" i="5"/>
  <c r="S436" i="7" s="1"/>
  <c r="Z436" i="5"/>
  <c r="F436" i="7" s="1"/>
  <c r="Q436" i="5"/>
  <c r="H436" i="7" s="1"/>
  <c r="P436" i="5"/>
  <c r="K436" i="5"/>
  <c r="J436" i="5"/>
  <c r="N436" i="7" s="1"/>
  <c r="AS435" i="5"/>
  <c r="AR435" i="5"/>
  <c r="Q435" i="7" s="1"/>
  <c r="AQ435" i="5"/>
  <c r="M435" i="7" s="1"/>
  <c r="AN435" i="5"/>
  <c r="AL435" i="5"/>
  <c r="AC435" i="5"/>
  <c r="R435" i="7" s="1"/>
  <c r="AB435" i="5"/>
  <c r="T435" i="7" s="1"/>
  <c r="AA435" i="5"/>
  <c r="S435" i="7" s="1"/>
  <c r="Z435" i="5"/>
  <c r="F435" i="7" s="1"/>
  <c r="Q435" i="5"/>
  <c r="H435" i="7" s="1"/>
  <c r="P435" i="5"/>
  <c r="K435" i="5"/>
  <c r="J435" i="5"/>
  <c r="N435" i="7" s="1"/>
  <c r="AS434" i="5"/>
  <c r="AR434" i="5"/>
  <c r="Q434" i="7" s="1"/>
  <c r="AQ434" i="5"/>
  <c r="M434" i="7" s="1"/>
  <c r="AN434" i="5"/>
  <c r="AL434" i="5"/>
  <c r="AC434" i="5"/>
  <c r="R434" i="7" s="1"/>
  <c r="AB434" i="5"/>
  <c r="T434" i="7" s="1"/>
  <c r="AA434" i="5"/>
  <c r="S434" i="7" s="1"/>
  <c r="Z434" i="5"/>
  <c r="F434" i="7" s="1"/>
  <c r="Q434" i="5"/>
  <c r="H434" i="7" s="1"/>
  <c r="P434" i="5"/>
  <c r="K434" i="5"/>
  <c r="J434" i="5"/>
  <c r="N434" i="7" s="1"/>
  <c r="AS433" i="5"/>
  <c r="AR433" i="5"/>
  <c r="Q433" i="7" s="1"/>
  <c r="AQ433" i="5"/>
  <c r="M433" i="7" s="1"/>
  <c r="AN433" i="5"/>
  <c r="AL433" i="5"/>
  <c r="AC433" i="5"/>
  <c r="R433" i="7" s="1"/>
  <c r="AB433" i="5"/>
  <c r="T433" i="7" s="1"/>
  <c r="AA433" i="5"/>
  <c r="S433" i="7" s="1"/>
  <c r="Z433" i="5"/>
  <c r="F433" i="7" s="1"/>
  <c r="Q433" i="5"/>
  <c r="H433" i="7" s="1"/>
  <c r="P433" i="5"/>
  <c r="K433" i="5"/>
  <c r="J433" i="5"/>
  <c r="N433" i="7" s="1"/>
  <c r="AS432" i="5"/>
  <c r="AR432" i="5"/>
  <c r="Q432" i="7" s="1"/>
  <c r="AQ432" i="5"/>
  <c r="M432" i="7" s="1"/>
  <c r="AN432" i="5"/>
  <c r="AL432" i="5"/>
  <c r="AC432" i="5"/>
  <c r="R432" i="7" s="1"/>
  <c r="AB432" i="5"/>
  <c r="T432" i="7" s="1"/>
  <c r="AA432" i="5"/>
  <c r="S432" i="7" s="1"/>
  <c r="Z432" i="5"/>
  <c r="F432" i="7" s="1"/>
  <c r="Q432" i="5"/>
  <c r="H432" i="7" s="1"/>
  <c r="P432" i="5"/>
  <c r="K432" i="5"/>
  <c r="J432" i="5"/>
  <c r="N432" i="7" s="1"/>
  <c r="AS431" i="5"/>
  <c r="AR431" i="5"/>
  <c r="Q431" i="7" s="1"/>
  <c r="AQ431" i="5"/>
  <c r="M431" i="7" s="1"/>
  <c r="AN431" i="5"/>
  <c r="AL431" i="5"/>
  <c r="AC431" i="5"/>
  <c r="R431" i="7" s="1"/>
  <c r="AB431" i="5"/>
  <c r="T431" i="7" s="1"/>
  <c r="AA431" i="5"/>
  <c r="Z431" i="5"/>
  <c r="F431" i="7" s="1"/>
  <c r="Q431" i="5"/>
  <c r="H431" i="7" s="1"/>
  <c r="P431" i="5"/>
  <c r="K431" i="5"/>
  <c r="J431" i="5"/>
  <c r="N431" i="7" s="1"/>
  <c r="AS430" i="5"/>
  <c r="AR430" i="5"/>
  <c r="Q430" i="7" s="1"/>
  <c r="AQ430" i="5"/>
  <c r="M430" i="7" s="1"/>
  <c r="AN430" i="5"/>
  <c r="AL430" i="5"/>
  <c r="AC430" i="5"/>
  <c r="R430" i="7" s="1"/>
  <c r="AB430" i="5"/>
  <c r="T430" i="7" s="1"/>
  <c r="AA430" i="5"/>
  <c r="Z430" i="5"/>
  <c r="F430" i="7" s="1"/>
  <c r="Q430" i="5"/>
  <c r="H430" i="7" s="1"/>
  <c r="P430" i="5"/>
  <c r="K430" i="5"/>
  <c r="J430" i="5"/>
  <c r="N430" i="7" s="1"/>
  <c r="AS429" i="5"/>
  <c r="AR429" i="5"/>
  <c r="Q429" i="7" s="1"/>
  <c r="AQ429" i="5"/>
  <c r="M429" i="7" s="1"/>
  <c r="AN429" i="5"/>
  <c r="AL429" i="5"/>
  <c r="AC429" i="5"/>
  <c r="R429" i="7" s="1"/>
  <c r="AB429" i="5"/>
  <c r="T429" i="7" s="1"/>
  <c r="AA429" i="5"/>
  <c r="S429" i="7" s="1"/>
  <c r="Z429" i="5"/>
  <c r="F429" i="7" s="1"/>
  <c r="Q429" i="5"/>
  <c r="H429" i="7" s="1"/>
  <c r="P429" i="5"/>
  <c r="K429" i="5"/>
  <c r="J429" i="5"/>
  <c r="N429" i="7" s="1"/>
  <c r="AS428" i="5"/>
  <c r="AR428" i="5"/>
  <c r="Q428" i="7" s="1"/>
  <c r="AQ428" i="5"/>
  <c r="M428" i="7" s="1"/>
  <c r="AN428" i="5"/>
  <c r="AL428" i="5"/>
  <c r="AC428" i="5"/>
  <c r="R428" i="7" s="1"/>
  <c r="AB428" i="5"/>
  <c r="T428" i="7" s="1"/>
  <c r="AA428" i="5"/>
  <c r="Z428" i="5"/>
  <c r="F428" i="7" s="1"/>
  <c r="Q428" i="5"/>
  <c r="H428" i="7" s="1"/>
  <c r="P428" i="5"/>
  <c r="K428" i="5"/>
  <c r="J428" i="5"/>
  <c r="N428" i="7" s="1"/>
  <c r="AS427" i="5"/>
  <c r="AR427" i="5"/>
  <c r="Q427" i="7" s="1"/>
  <c r="AQ427" i="5"/>
  <c r="M427" i="7" s="1"/>
  <c r="AN427" i="5"/>
  <c r="AL427" i="5"/>
  <c r="AC427" i="5"/>
  <c r="R427" i="7" s="1"/>
  <c r="AB427" i="5"/>
  <c r="T427" i="7" s="1"/>
  <c r="AA427" i="5"/>
  <c r="Z427" i="5"/>
  <c r="F427" i="7" s="1"/>
  <c r="Q427" i="5"/>
  <c r="H427" i="7" s="1"/>
  <c r="P427" i="5"/>
  <c r="K427" i="5"/>
  <c r="J427" i="5"/>
  <c r="N427" i="7" s="1"/>
  <c r="AS426" i="5"/>
  <c r="AR426" i="5"/>
  <c r="Q426" i="7" s="1"/>
  <c r="AQ426" i="5"/>
  <c r="M426" i="7" s="1"/>
  <c r="AN426" i="5"/>
  <c r="AL426" i="5"/>
  <c r="AC426" i="5"/>
  <c r="R426" i="7" s="1"/>
  <c r="AB426" i="5"/>
  <c r="T426" i="7" s="1"/>
  <c r="AA426" i="5"/>
  <c r="S426" i="7" s="1"/>
  <c r="Z426" i="5"/>
  <c r="F426" i="7" s="1"/>
  <c r="Q426" i="5"/>
  <c r="H426" i="7" s="1"/>
  <c r="P426" i="5"/>
  <c r="K426" i="5"/>
  <c r="J426" i="5"/>
  <c r="N426" i="7" s="1"/>
  <c r="AS425" i="5"/>
  <c r="AR425" i="5"/>
  <c r="Q425" i="7" s="1"/>
  <c r="AQ425" i="5"/>
  <c r="M425" i="7" s="1"/>
  <c r="AN425" i="5"/>
  <c r="AL425" i="5"/>
  <c r="AC425" i="5"/>
  <c r="R425" i="7" s="1"/>
  <c r="AB425" i="5"/>
  <c r="T425" i="7" s="1"/>
  <c r="AA425" i="5"/>
  <c r="S425" i="7" s="1"/>
  <c r="Z425" i="5"/>
  <c r="F425" i="7" s="1"/>
  <c r="Q425" i="5"/>
  <c r="H425" i="7" s="1"/>
  <c r="P425" i="5"/>
  <c r="K425" i="5"/>
  <c r="J425" i="5"/>
  <c r="N425" i="7" s="1"/>
  <c r="AS424" i="5"/>
  <c r="AR424" i="5"/>
  <c r="Q424" i="7" s="1"/>
  <c r="AQ424" i="5"/>
  <c r="M424" i="7" s="1"/>
  <c r="AN424" i="5"/>
  <c r="AL424" i="5"/>
  <c r="AC424" i="5"/>
  <c r="R424" i="7" s="1"/>
  <c r="AB424" i="5"/>
  <c r="T424" i="7" s="1"/>
  <c r="AA424" i="5"/>
  <c r="Z424" i="5"/>
  <c r="F424" i="7" s="1"/>
  <c r="Q424" i="5"/>
  <c r="H424" i="7" s="1"/>
  <c r="P424" i="5"/>
  <c r="K424" i="5"/>
  <c r="J424" i="5"/>
  <c r="N424" i="7" s="1"/>
  <c r="AS423" i="5"/>
  <c r="AR423" i="5"/>
  <c r="Q423" i="7" s="1"/>
  <c r="AQ423" i="5"/>
  <c r="M423" i="7" s="1"/>
  <c r="AN423" i="5"/>
  <c r="AL423" i="5"/>
  <c r="AC423" i="5"/>
  <c r="R423" i="7" s="1"/>
  <c r="AB423" i="5"/>
  <c r="T423" i="7" s="1"/>
  <c r="AA423" i="5"/>
  <c r="S423" i="7" s="1"/>
  <c r="Z423" i="5"/>
  <c r="F423" i="7" s="1"/>
  <c r="Q423" i="5"/>
  <c r="H423" i="7" s="1"/>
  <c r="P423" i="5"/>
  <c r="K423" i="5"/>
  <c r="J423" i="5"/>
  <c r="N423" i="7" s="1"/>
  <c r="AS422" i="5"/>
  <c r="AR422" i="5"/>
  <c r="Q422" i="7" s="1"/>
  <c r="AQ422" i="5"/>
  <c r="M422" i="7" s="1"/>
  <c r="AN422" i="5"/>
  <c r="AL422" i="5"/>
  <c r="AC422" i="5"/>
  <c r="R422" i="7" s="1"/>
  <c r="AB422" i="5"/>
  <c r="T422" i="7" s="1"/>
  <c r="AA422" i="5"/>
  <c r="Z422" i="5"/>
  <c r="F422" i="7" s="1"/>
  <c r="Q422" i="5"/>
  <c r="H422" i="7" s="1"/>
  <c r="P422" i="5"/>
  <c r="K422" i="5"/>
  <c r="J422" i="5"/>
  <c r="N422" i="7" s="1"/>
  <c r="AS421" i="5"/>
  <c r="AR421" i="5"/>
  <c r="Q421" i="7" s="1"/>
  <c r="AQ421" i="5"/>
  <c r="M421" i="7" s="1"/>
  <c r="AN421" i="5"/>
  <c r="AL421" i="5"/>
  <c r="AC421" i="5"/>
  <c r="R421" i="7" s="1"/>
  <c r="AB421" i="5"/>
  <c r="T421" i="7" s="1"/>
  <c r="AA421" i="5"/>
  <c r="S421" i="7" s="1"/>
  <c r="Z421" i="5"/>
  <c r="F421" i="7" s="1"/>
  <c r="Q421" i="5"/>
  <c r="H421" i="7" s="1"/>
  <c r="P421" i="5"/>
  <c r="K421" i="5"/>
  <c r="J421" i="5"/>
  <c r="N421" i="7" s="1"/>
  <c r="AS420" i="5"/>
  <c r="AR420" i="5"/>
  <c r="Q420" i="7" s="1"/>
  <c r="AQ420" i="5"/>
  <c r="M420" i="7" s="1"/>
  <c r="AN420" i="5"/>
  <c r="AL420" i="5"/>
  <c r="AC420" i="5"/>
  <c r="R420" i="7" s="1"/>
  <c r="AB420" i="5"/>
  <c r="T420" i="7" s="1"/>
  <c r="AA420" i="5"/>
  <c r="Z420" i="5"/>
  <c r="F420" i="7" s="1"/>
  <c r="Q420" i="5"/>
  <c r="H420" i="7" s="1"/>
  <c r="P420" i="5"/>
  <c r="K420" i="5"/>
  <c r="J420" i="5"/>
  <c r="N420" i="7" s="1"/>
  <c r="AS419" i="5"/>
  <c r="AR419" i="5"/>
  <c r="Q419" i="7" s="1"/>
  <c r="AQ419" i="5"/>
  <c r="M419" i="7" s="1"/>
  <c r="AN419" i="5"/>
  <c r="AL419" i="5"/>
  <c r="AC419" i="5"/>
  <c r="R419" i="7" s="1"/>
  <c r="AB419" i="5"/>
  <c r="T419" i="7" s="1"/>
  <c r="AA419" i="5"/>
  <c r="Z419" i="5"/>
  <c r="F419" i="7" s="1"/>
  <c r="Q419" i="5"/>
  <c r="H419" i="7" s="1"/>
  <c r="P419" i="5"/>
  <c r="K419" i="5"/>
  <c r="J419" i="5"/>
  <c r="N419" i="7" s="1"/>
  <c r="AS418" i="5"/>
  <c r="AR418" i="5"/>
  <c r="Q418" i="7" s="1"/>
  <c r="AQ418" i="5"/>
  <c r="M418" i="7" s="1"/>
  <c r="AN418" i="5"/>
  <c r="AL418" i="5"/>
  <c r="AC418" i="5"/>
  <c r="R418" i="7" s="1"/>
  <c r="AB418" i="5"/>
  <c r="T418" i="7" s="1"/>
  <c r="AA418" i="5"/>
  <c r="Z418" i="5"/>
  <c r="F418" i="7" s="1"/>
  <c r="Q418" i="5"/>
  <c r="H418" i="7" s="1"/>
  <c r="P418" i="5"/>
  <c r="K418" i="5"/>
  <c r="J418" i="5"/>
  <c r="N418" i="7" s="1"/>
  <c r="AS417" i="5"/>
  <c r="AR417" i="5"/>
  <c r="Q417" i="7" s="1"/>
  <c r="AQ417" i="5"/>
  <c r="M417" i="7" s="1"/>
  <c r="AN417" i="5"/>
  <c r="AL417" i="5"/>
  <c r="AC417" i="5"/>
  <c r="R417" i="7" s="1"/>
  <c r="AB417" i="5"/>
  <c r="T417" i="7" s="1"/>
  <c r="AA417" i="5"/>
  <c r="S417" i="7" s="1"/>
  <c r="Z417" i="5"/>
  <c r="F417" i="7" s="1"/>
  <c r="Q417" i="5"/>
  <c r="H417" i="7" s="1"/>
  <c r="P417" i="5"/>
  <c r="K417" i="5"/>
  <c r="J417" i="5"/>
  <c r="N417" i="7" s="1"/>
  <c r="AS416" i="5"/>
  <c r="AR416" i="5"/>
  <c r="Q416" i="7" s="1"/>
  <c r="AQ416" i="5"/>
  <c r="M416" i="7" s="1"/>
  <c r="AN416" i="5"/>
  <c r="AL416" i="5"/>
  <c r="AC416" i="5"/>
  <c r="R416" i="7" s="1"/>
  <c r="AB416" i="5"/>
  <c r="T416" i="7" s="1"/>
  <c r="AA416" i="5"/>
  <c r="S416" i="7" s="1"/>
  <c r="Z416" i="5"/>
  <c r="F416" i="7" s="1"/>
  <c r="Q416" i="5"/>
  <c r="H416" i="7" s="1"/>
  <c r="P416" i="5"/>
  <c r="K416" i="5"/>
  <c r="J416" i="5"/>
  <c r="N416" i="7" s="1"/>
  <c r="AS415" i="5"/>
  <c r="AR415" i="5"/>
  <c r="Q415" i="7" s="1"/>
  <c r="AQ415" i="5"/>
  <c r="M415" i="7" s="1"/>
  <c r="AN415" i="5"/>
  <c r="AL415" i="5"/>
  <c r="AC415" i="5"/>
  <c r="R415" i="7" s="1"/>
  <c r="AB415" i="5"/>
  <c r="T415" i="7" s="1"/>
  <c r="AA415" i="5"/>
  <c r="Z415" i="5"/>
  <c r="F415" i="7" s="1"/>
  <c r="Q415" i="5"/>
  <c r="H415" i="7" s="1"/>
  <c r="P415" i="5"/>
  <c r="K415" i="5"/>
  <c r="J415" i="5"/>
  <c r="N415" i="7" s="1"/>
  <c r="AS414" i="5"/>
  <c r="AR414" i="5"/>
  <c r="Q414" i="7" s="1"/>
  <c r="AQ414" i="5"/>
  <c r="M414" i="7" s="1"/>
  <c r="AN414" i="5"/>
  <c r="AL414" i="5"/>
  <c r="AC414" i="5"/>
  <c r="R414" i="7" s="1"/>
  <c r="AB414" i="5"/>
  <c r="T414" i="7" s="1"/>
  <c r="AA414" i="5"/>
  <c r="Z414" i="5"/>
  <c r="F414" i="7" s="1"/>
  <c r="Q414" i="5"/>
  <c r="H414" i="7" s="1"/>
  <c r="P414" i="5"/>
  <c r="K414" i="5"/>
  <c r="J414" i="5"/>
  <c r="N414" i="7" s="1"/>
  <c r="AS413" i="5"/>
  <c r="AR413" i="5"/>
  <c r="Q413" i="7" s="1"/>
  <c r="AQ413" i="5"/>
  <c r="M413" i="7" s="1"/>
  <c r="AN413" i="5"/>
  <c r="AL413" i="5"/>
  <c r="AC413" i="5"/>
  <c r="R413" i="7" s="1"/>
  <c r="AB413" i="5"/>
  <c r="T413" i="7" s="1"/>
  <c r="AA413" i="5"/>
  <c r="S413" i="7" s="1"/>
  <c r="Z413" i="5"/>
  <c r="F413" i="7" s="1"/>
  <c r="Q413" i="5"/>
  <c r="H413" i="7" s="1"/>
  <c r="P413" i="5"/>
  <c r="K413" i="5"/>
  <c r="J413" i="5"/>
  <c r="N413" i="7" s="1"/>
  <c r="AS412" i="5"/>
  <c r="AR412" i="5"/>
  <c r="Q412" i="7" s="1"/>
  <c r="AQ412" i="5"/>
  <c r="M412" i="7" s="1"/>
  <c r="AN412" i="5"/>
  <c r="AL412" i="5"/>
  <c r="AC412" i="5"/>
  <c r="R412" i="7" s="1"/>
  <c r="AB412" i="5"/>
  <c r="T412" i="7" s="1"/>
  <c r="AA412" i="5"/>
  <c r="Z412" i="5"/>
  <c r="F412" i="7" s="1"/>
  <c r="Q412" i="5"/>
  <c r="H412" i="7" s="1"/>
  <c r="P412" i="5"/>
  <c r="K412" i="5"/>
  <c r="J412" i="5"/>
  <c r="N412" i="7" s="1"/>
  <c r="AS411" i="5"/>
  <c r="AR411" i="5"/>
  <c r="Q411" i="7" s="1"/>
  <c r="AQ411" i="5"/>
  <c r="M411" i="7" s="1"/>
  <c r="AN411" i="5"/>
  <c r="AL411" i="5"/>
  <c r="AC411" i="5"/>
  <c r="R411" i="7" s="1"/>
  <c r="AB411" i="5"/>
  <c r="T411" i="7" s="1"/>
  <c r="AA411" i="5"/>
  <c r="Z411" i="5"/>
  <c r="F411" i="7" s="1"/>
  <c r="Q411" i="5"/>
  <c r="H411" i="7" s="1"/>
  <c r="P411" i="5"/>
  <c r="K411" i="5"/>
  <c r="J411" i="5"/>
  <c r="N411" i="7" s="1"/>
  <c r="AS410" i="5"/>
  <c r="AR410" i="5"/>
  <c r="Q410" i="7" s="1"/>
  <c r="AQ410" i="5"/>
  <c r="M410" i="7" s="1"/>
  <c r="AN410" i="5"/>
  <c r="AL410" i="5"/>
  <c r="AC410" i="5"/>
  <c r="R410" i="7" s="1"/>
  <c r="AB410" i="5"/>
  <c r="T410" i="7" s="1"/>
  <c r="AA410" i="5"/>
  <c r="Z410" i="5"/>
  <c r="F410" i="7" s="1"/>
  <c r="Q410" i="5"/>
  <c r="H410" i="7" s="1"/>
  <c r="P410" i="5"/>
  <c r="K410" i="5"/>
  <c r="J410" i="5"/>
  <c r="N410" i="7" s="1"/>
  <c r="AS409" i="5"/>
  <c r="AR409" i="5"/>
  <c r="Q409" i="7" s="1"/>
  <c r="AQ409" i="5"/>
  <c r="M409" i="7" s="1"/>
  <c r="AN409" i="5"/>
  <c r="AL409" i="5"/>
  <c r="AC409" i="5"/>
  <c r="R409" i="7" s="1"/>
  <c r="AB409" i="5"/>
  <c r="T409" i="7" s="1"/>
  <c r="AA409" i="5"/>
  <c r="S409" i="7" s="1"/>
  <c r="Z409" i="5"/>
  <c r="F409" i="7" s="1"/>
  <c r="Q409" i="5"/>
  <c r="H409" i="7" s="1"/>
  <c r="P409" i="5"/>
  <c r="K409" i="5"/>
  <c r="J409" i="5"/>
  <c r="N409" i="7" s="1"/>
  <c r="AS408" i="5"/>
  <c r="AR408" i="5"/>
  <c r="Q408" i="7" s="1"/>
  <c r="AQ408" i="5"/>
  <c r="M408" i="7" s="1"/>
  <c r="AN408" i="5"/>
  <c r="AL408" i="5"/>
  <c r="AC408" i="5"/>
  <c r="R408" i="7" s="1"/>
  <c r="AB408" i="5"/>
  <c r="T408" i="7" s="1"/>
  <c r="AA408" i="5"/>
  <c r="S408" i="7" s="1"/>
  <c r="Z408" i="5"/>
  <c r="F408" i="7" s="1"/>
  <c r="Q408" i="5"/>
  <c r="H408" i="7" s="1"/>
  <c r="P408" i="5"/>
  <c r="K408" i="5"/>
  <c r="J408" i="5"/>
  <c r="N408" i="7" s="1"/>
  <c r="AS407" i="5"/>
  <c r="AR407" i="5"/>
  <c r="Q407" i="7" s="1"/>
  <c r="AQ407" i="5"/>
  <c r="M407" i="7" s="1"/>
  <c r="AN407" i="5"/>
  <c r="AL407" i="5"/>
  <c r="AC407" i="5"/>
  <c r="R407" i="7" s="1"/>
  <c r="AB407" i="5"/>
  <c r="T407" i="7" s="1"/>
  <c r="AA407" i="5"/>
  <c r="Z407" i="5"/>
  <c r="F407" i="7" s="1"/>
  <c r="Q407" i="5"/>
  <c r="H407" i="7" s="1"/>
  <c r="P407" i="5"/>
  <c r="K407" i="5"/>
  <c r="J407" i="5"/>
  <c r="N407" i="7" s="1"/>
  <c r="AS406" i="5"/>
  <c r="AR406" i="5"/>
  <c r="Q406" i="7" s="1"/>
  <c r="AQ406" i="5"/>
  <c r="M406" i="7" s="1"/>
  <c r="AN406" i="5"/>
  <c r="AL406" i="5"/>
  <c r="AC406" i="5"/>
  <c r="R406" i="7" s="1"/>
  <c r="AB406" i="5"/>
  <c r="T406" i="7" s="1"/>
  <c r="AA406" i="5"/>
  <c r="Z406" i="5"/>
  <c r="F406" i="7" s="1"/>
  <c r="Q406" i="5"/>
  <c r="H406" i="7" s="1"/>
  <c r="P406" i="5"/>
  <c r="K406" i="5"/>
  <c r="J406" i="5"/>
  <c r="N406" i="7" s="1"/>
  <c r="AS405" i="5"/>
  <c r="AR405" i="5"/>
  <c r="Q405" i="7" s="1"/>
  <c r="AQ405" i="5"/>
  <c r="M405" i="7" s="1"/>
  <c r="AN405" i="5"/>
  <c r="AL405" i="5"/>
  <c r="AC405" i="5"/>
  <c r="R405" i="7" s="1"/>
  <c r="AB405" i="5"/>
  <c r="T405" i="7" s="1"/>
  <c r="AA405" i="5"/>
  <c r="Z405" i="5"/>
  <c r="F405" i="7" s="1"/>
  <c r="Q405" i="5"/>
  <c r="H405" i="7" s="1"/>
  <c r="P405" i="5"/>
  <c r="K405" i="5"/>
  <c r="J405" i="5"/>
  <c r="N405" i="7" s="1"/>
  <c r="AS404" i="5"/>
  <c r="AR404" i="5"/>
  <c r="Q404" i="7" s="1"/>
  <c r="AQ404" i="5"/>
  <c r="M404" i="7" s="1"/>
  <c r="AN404" i="5"/>
  <c r="AL404" i="5"/>
  <c r="AC404" i="5"/>
  <c r="R404" i="7" s="1"/>
  <c r="AB404" i="5"/>
  <c r="T404" i="7" s="1"/>
  <c r="AA404" i="5"/>
  <c r="S404" i="7" s="1"/>
  <c r="Z404" i="5"/>
  <c r="F404" i="7" s="1"/>
  <c r="Q404" i="5"/>
  <c r="H404" i="7" s="1"/>
  <c r="P404" i="5"/>
  <c r="K404" i="5"/>
  <c r="J404" i="5"/>
  <c r="N404" i="7" s="1"/>
  <c r="AS403" i="5"/>
  <c r="AR403" i="5"/>
  <c r="Q403" i="7" s="1"/>
  <c r="AQ403" i="5"/>
  <c r="M403" i="7" s="1"/>
  <c r="AN403" i="5"/>
  <c r="AL403" i="5"/>
  <c r="AC403" i="5"/>
  <c r="R403" i="7" s="1"/>
  <c r="AB403" i="5"/>
  <c r="T403" i="7" s="1"/>
  <c r="AA403" i="5"/>
  <c r="S403" i="7" s="1"/>
  <c r="Z403" i="5"/>
  <c r="F403" i="7" s="1"/>
  <c r="Q403" i="5"/>
  <c r="H403" i="7" s="1"/>
  <c r="P403" i="5"/>
  <c r="K403" i="5"/>
  <c r="J403" i="5"/>
  <c r="N403" i="7" s="1"/>
  <c r="AS402" i="5"/>
  <c r="AR402" i="5"/>
  <c r="Q402" i="7" s="1"/>
  <c r="AQ402" i="5"/>
  <c r="M402" i="7" s="1"/>
  <c r="AN402" i="5"/>
  <c r="AL402" i="5"/>
  <c r="AC402" i="5"/>
  <c r="R402" i="7" s="1"/>
  <c r="AB402" i="5"/>
  <c r="T402" i="7" s="1"/>
  <c r="AA402" i="5"/>
  <c r="S402" i="7" s="1"/>
  <c r="Z402" i="5"/>
  <c r="F402" i="7" s="1"/>
  <c r="Q402" i="5"/>
  <c r="H402" i="7" s="1"/>
  <c r="P402" i="5"/>
  <c r="K402" i="5"/>
  <c r="J402" i="5"/>
  <c r="N402" i="7" s="1"/>
  <c r="AS401" i="5"/>
  <c r="AR401" i="5"/>
  <c r="Q401" i="7" s="1"/>
  <c r="AQ401" i="5"/>
  <c r="M401" i="7" s="1"/>
  <c r="AN401" i="5"/>
  <c r="AL401" i="5"/>
  <c r="AC401" i="5"/>
  <c r="R401" i="7" s="1"/>
  <c r="AB401" i="5"/>
  <c r="T401" i="7" s="1"/>
  <c r="AA401" i="5"/>
  <c r="S401" i="7" s="1"/>
  <c r="Z401" i="5"/>
  <c r="F401" i="7" s="1"/>
  <c r="Q401" i="5"/>
  <c r="H401" i="7" s="1"/>
  <c r="P401" i="5"/>
  <c r="K401" i="5"/>
  <c r="J401" i="5"/>
  <c r="N401" i="7" s="1"/>
  <c r="AS400" i="5"/>
  <c r="AR400" i="5"/>
  <c r="Q400" i="7" s="1"/>
  <c r="AQ400" i="5"/>
  <c r="M400" i="7" s="1"/>
  <c r="AN400" i="5"/>
  <c r="AL400" i="5"/>
  <c r="AC400" i="5"/>
  <c r="R400" i="7" s="1"/>
  <c r="AB400" i="5"/>
  <c r="T400" i="7" s="1"/>
  <c r="AA400" i="5"/>
  <c r="S400" i="7" s="1"/>
  <c r="Z400" i="5"/>
  <c r="F400" i="7" s="1"/>
  <c r="Q400" i="5"/>
  <c r="H400" i="7" s="1"/>
  <c r="P400" i="5"/>
  <c r="K400" i="5"/>
  <c r="J400" i="5"/>
  <c r="N400" i="7" s="1"/>
  <c r="AS399" i="5"/>
  <c r="AR399" i="5"/>
  <c r="Q399" i="7" s="1"/>
  <c r="AQ399" i="5"/>
  <c r="M399" i="7" s="1"/>
  <c r="AN399" i="5"/>
  <c r="AL399" i="5"/>
  <c r="AC399" i="5"/>
  <c r="R399" i="7" s="1"/>
  <c r="AB399" i="5"/>
  <c r="T399" i="7" s="1"/>
  <c r="AA399" i="5"/>
  <c r="S399" i="7" s="1"/>
  <c r="Z399" i="5"/>
  <c r="F399" i="7" s="1"/>
  <c r="Q399" i="5"/>
  <c r="H399" i="7" s="1"/>
  <c r="P399" i="5"/>
  <c r="K399" i="5"/>
  <c r="J399" i="5"/>
  <c r="N399" i="7" s="1"/>
  <c r="AS398" i="5"/>
  <c r="AR398" i="5"/>
  <c r="Q398" i="7" s="1"/>
  <c r="AQ398" i="5"/>
  <c r="M398" i="7" s="1"/>
  <c r="AN398" i="5"/>
  <c r="AL398" i="5"/>
  <c r="AC398" i="5"/>
  <c r="R398" i="7" s="1"/>
  <c r="AB398" i="5"/>
  <c r="T398" i="7" s="1"/>
  <c r="AA398" i="5"/>
  <c r="Z398" i="5"/>
  <c r="F398" i="7" s="1"/>
  <c r="Q398" i="5"/>
  <c r="H398" i="7" s="1"/>
  <c r="P398" i="5"/>
  <c r="K398" i="5"/>
  <c r="J398" i="5"/>
  <c r="N398" i="7" s="1"/>
  <c r="AS397" i="5"/>
  <c r="AR397" i="5"/>
  <c r="Q397" i="7" s="1"/>
  <c r="AQ397" i="5"/>
  <c r="M397" i="7" s="1"/>
  <c r="AN397" i="5"/>
  <c r="AL397" i="5"/>
  <c r="AC397" i="5"/>
  <c r="R397" i="7" s="1"/>
  <c r="AB397" i="5"/>
  <c r="T397" i="7" s="1"/>
  <c r="AA397" i="5"/>
  <c r="S397" i="7" s="1"/>
  <c r="Z397" i="5"/>
  <c r="F397" i="7" s="1"/>
  <c r="Q397" i="5"/>
  <c r="H397" i="7" s="1"/>
  <c r="P397" i="5"/>
  <c r="K397" i="5"/>
  <c r="J397" i="5"/>
  <c r="N397" i="7" s="1"/>
  <c r="AS396" i="5"/>
  <c r="AR396" i="5"/>
  <c r="Q396" i="7" s="1"/>
  <c r="AQ396" i="5"/>
  <c r="M396" i="7" s="1"/>
  <c r="AN396" i="5"/>
  <c r="AL396" i="5"/>
  <c r="AC396" i="5"/>
  <c r="R396" i="7" s="1"/>
  <c r="AB396" i="5"/>
  <c r="T396" i="7" s="1"/>
  <c r="AA396" i="5"/>
  <c r="S396" i="7" s="1"/>
  <c r="Z396" i="5"/>
  <c r="F396" i="7" s="1"/>
  <c r="Q396" i="5"/>
  <c r="H396" i="7" s="1"/>
  <c r="P396" i="5"/>
  <c r="K396" i="5"/>
  <c r="J396" i="5"/>
  <c r="N396" i="7" s="1"/>
  <c r="AS395" i="5"/>
  <c r="AR395" i="5"/>
  <c r="Q395" i="7" s="1"/>
  <c r="AQ395" i="5"/>
  <c r="M395" i="7" s="1"/>
  <c r="AN395" i="5"/>
  <c r="AL395" i="5"/>
  <c r="AC395" i="5"/>
  <c r="R395" i="7" s="1"/>
  <c r="AB395" i="5"/>
  <c r="T395" i="7" s="1"/>
  <c r="AA395" i="5"/>
  <c r="Z395" i="5"/>
  <c r="F395" i="7" s="1"/>
  <c r="Q395" i="5"/>
  <c r="H395" i="7" s="1"/>
  <c r="P395" i="5"/>
  <c r="K395" i="5"/>
  <c r="J395" i="5"/>
  <c r="N395" i="7" s="1"/>
  <c r="AS394" i="5"/>
  <c r="AR394" i="5"/>
  <c r="Q394" i="7" s="1"/>
  <c r="AQ394" i="5"/>
  <c r="M394" i="7" s="1"/>
  <c r="AN394" i="5"/>
  <c r="AL394" i="5"/>
  <c r="AC394" i="5"/>
  <c r="R394" i="7" s="1"/>
  <c r="AB394" i="5"/>
  <c r="T394" i="7" s="1"/>
  <c r="AA394" i="5"/>
  <c r="Z394" i="5"/>
  <c r="F394" i="7" s="1"/>
  <c r="Q394" i="5"/>
  <c r="H394" i="7" s="1"/>
  <c r="P394" i="5"/>
  <c r="K394" i="5"/>
  <c r="J394" i="5"/>
  <c r="N394" i="7" s="1"/>
  <c r="AS393" i="5"/>
  <c r="AR393" i="5"/>
  <c r="Q393" i="7" s="1"/>
  <c r="AQ393" i="5"/>
  <c r="M393" i="7" s="1"/>
  <c r="AN393" i="5"/>
  <c r="AL393" i="5"/>
  <c r="AC393" i="5"/>
  <c r="R393" i="7" s="1"/>
  <c r="AB393" i="5"/>
  <c r="T393" i="7" s="1"/>
  <c r="AA393" i="5"/>
  <c r="S393" i="7" s="1"/>
  <c r="Z393" i="5"/>
  <c r="F393" i="7" s="1"/>
  <c r="Q393" i="5"/>
  <c r="H393" i="7" s="1"/>
  <c r="P393" i="5"/>
  <c r="K393" i="5"/>
  <c r="J393" i="5"/>
  <c r="N393" i="7" s="1"/>
  <c r="AS392" i="5"/>
  <c r="AR392" i="5"/>
  <c r="Q392" i="7" s="1"/>
  <c r="AQ392" i="5"/>
  <c r="M392" i="7" s="1"/>
  <c r="AN392" i="5"/>
  <c r="AL392" i="5"/>
  <c r="AC392" i="5"/>
  <c r="R392" i="7" s="1"/>
  <c r="AB392" i="5"/>
  <c r="T392" i="7" s="1"/>
  <c r="AA392" i="5"/>
  <c r="Z392" i="5"/>
  <c r="F392" i="7" s="1"/>
  <c r="Q392" i="5"/>
  <c r="H392" i="7" s="1"/>
  <c r="P392" i="5"/>
  <c r="K392" i="5"/>
  <c r="J392" i="5"/>
  <c r="N392" i="7" s="1"/>
  <c r="AS391" i="5"/>
  <c r="AR391" i="5"/>
  <c r="Q391" i="7" s="1"/>
  <c r="AQ391" i="5"/>
  <c r="M391" i="7" s="1"/>
  <c r="AN391" i="5"/>
  <c r="AL391" i="5"/>
  <c r="AC391" i="5"/>
  <c r="R391" i="7" s="1"/>
  <c r="AB391" i="5"/>
  <c r="T391" i="7" s="1"/>
  <c r="AA391" i="5"/>
  <c r="Z391" i="5"/>
  <c r="F391" i="7" s="1"/>
  <c r="Q391" i="5"/>
  <c r="H391" i="7" s="1"/>
  <c r="P391" i="5"/>
  <c r="K391" i="5"/>
  <c r="J391" i="5"/>
  <c r="N391" i="7" s="1"/>
  <c r="AS390" i="5"/>
  <c r="AR390" i="5"/>
  <c r="Q390" i="7" s="1"/>
  <c r="AQ390" i="5"/>
  <c r="M390" i="7" s="1"/>
  <c r="AN390" i="5"/>
  <c r="AL390" i="5"/>
  <c r="AC390" i="5"/>
  <c r="R390" i="7" s="1"/>
  <c r="AB390" i="5"/>
  <c r="T390" i="7" s="1"/>
  <c r="AA390" i="5"/>
  <c r="S390" i="7" s="1"/>
  <c r="Z390" i="5"/>
  <c r="F390" i="7" s="1"/>
  <c r="Q390" i="5"/>
  <c r="H390" i="7" s="1"/>
  <c r="P390" i="5"/>
  <c r="K390" i="5"/>
  <c r="J390" i="5"/>
  <c r="N390" i="7" s="1"/>
  <c r="AS389" i="5"/>
  <c r="AR389" i="5"/>
  <c r="Q389" i="7" s="1"/>
  <c r="AQ389" i="5"/>
  <c r="M389" i="7" s="1"/>
  <c r="AN389" i="5"/>
  <c r="AL389" i="5"/>
  <c r="AC389" i="5"/>
  <c r="R389" i="7" s="1"/>
  <c r="AB389" i="5"/>
  <c r="T389" i="7" s="1"/>
  <c r="AA389" i="5"/>
  <c r="S389" i="7" s="1"/>
  <c r="Z389" i="5"/>
  <c r="F389" i="7" s="1"/>
  <c r="Q389" i="5"/>
  <c r="H389" i="7" s="1"/>
  <c r="P389" i="5"/>
  <c r="K389" i="5"/>
  <c r="J389" i="5"/>
  <c r="N389" i="7" s="1"/>
  <c r="AS388" i="5"/>
  <c r="AR388" i="5"/>
  <c r="Q388" i="7" s="1"/>
  <c r="AQ388" i="5"/>
  <c r="M388" i="7" s="1"/>
  <c r="AN388" i="5"/>
  <c r="AL388" i="5"/>
  <c r="AC388" i="5"/>
  <c r="R388" i="7" s="1"/>
  <c r="AB388" i="5"/>
  <c r="T388" i="7" s="1"/>
  <c r="AA388" i="5"/>
  <c r="Z388" i="5"/>
  <c r="F388" i="7" s="1"/>
  <c r="Q388" i="5"/>
  <c r="H388" i="7" s="1"/>
  <c r="P388" i="5"/>
  <c r="K388" i="5"/>
  <c r="J388" i="5"/>
  <c r="N388" i="7" s="1"/>
  <c r="AS387" i="5"/>
  <c r="AR387" i="5"/>
  <c r="Q387" i="7" s="1"/>
  <c r="AQ387" i="5"/>
  <c r="M387" i="7" s="1"/>
  <c r="AN387" i="5"/>
  <c r="AL387" i="5"/>
  <c r="AC387" i="5"/>
  <c r="R387" i="7" s="1"/>
  <c r="AB387" i="5"/>
  <c r="T387" i="7" s="1"/>
  <c r="AA387" i="5"/>
  <c r="S387" i="7" s="1"/>
  <c r="Z387" i="5"/>
  <c r="F387" i="7" s="1"/>
  <c r="Q387" i="5"/>
  <c r="H387" i="7" s="1"/>
  <c r="P387" i="5"/>
  <c r="K387" i="5"/>
  <c r="J387" i="5"/>
  <c r="N387" i="7" s="1"/>
  <c r="AS386" i="5"/>
  <c r="AR386" i="5"/>
  <c r="Q386" i="7" s="1"/>
  <c r="AQ386" i="5"/>
  <c r="M386" i="7" s="1"/>
  <c r="AN386" i="5"/>
  <c r="AL386" i="5"/>
  <c r="AC386" i="5"/>
  <c r="R386" i="7" s="1"/>
  <c r="AB386" i="5"/>
  <c r="T386" i="7" s="1"/>
  <c r="AA386" i="5"/>
  <c r="Z386" i="5"/>
  <c r="F386" i="7" s="1"/>
  <c r="Q386" i="5"/>
  <c r="H386" i="7" s="1"/>
  <c r="P386" i="5"/>
  <c r="K386" i="5"/>
  <c r="J386" i="5"/>
  <c r="N386" i="7" s="1"/>
  <c r="AS385" i="5"/>
  <c r="AR385" i="5"/>
  <c r="Q385" i="7" s="1"/>
  <c r="AQ385" i="5"/>
  <c r="M385" i="7" s="1"/>
  <c r="AN385" i="5"/>
  <c r="AL385" i="5"/>
  <c r="AC385" i="5"/>
  <c r="R385" i="7" s="1"/>
  <c r="AB385" i="5"/>
  <c r="T385" i="7" s="1"/>
  <c r="AA385" i="5"/>
  <c r="Z385" i="5"/>
  <c r="F385" i="7" s="1"/>
  <c r="Q385" i="5"/>
  <c r="H385" i="7" s="1"/>
  <c r="P385" i="5"/>
  <c r="K385" i="5"/>
  <c r="J385" i="5"/>
  <c r="N385" i="7" s="1"/>
  <c r="AS384" i="5"/>
  <c r="AR384" i="5"/>
  <c r="Q384" i="7" s="1"/>
  <c r="AQ384" i="5"/>
  <c r="M384" i="7" s="1"/>
  <c r="AN384" i="5"/>
  <c r="AL384" i="5"/>
  <c r="AC384" i="5"/>
  <c r="R384" i="7" s="1"/>
  <c r="AB384" i="5"/>
  <c r="T384" i="7" s="1"/>
  <c r="AA384" i="5"/>
  <c r="S384" i="7" s="1"/>
  <c r="Z384" i="5"/>
  <c r="F384" i="7" s="1"/>
  <c r="Q384" i="5"/>
  <c r="H384" i="7" s="1"/>
  <c r="P384" i="5"/>
  <c r="K384" i="5"/>
  <c r="J384" i="5"/>
  <c r="N384" i="7" s="1"/>
  <c r="AS383" i="5"/>
  <c r="AR383" i="5"/>
  <c r="Q383" i="7" s="1"/>
  <c r="AQ383" i="5"/>
  <c r="M383" i="7" s="1"/>
  <c r="AN383" i="5"/>
  <c r="AL383" i="5"/>
  <c r="AC383" i="5"/>
  <c r="R383" i="7" s="1"/>
  <c r="AB383" i="5"/>
  <c r="T383" i="7" s="1"/>
  <c r="AA383" i="5"/>
  <c r="Z383" i="5"/>
  <c r="F383" i="7" s="1"/>
  <c r="Q383" i="5"/>
  <c r="H383" i="7" s="1"/>
  <c r="P383" i="5"/>
  <c r="K383" i="5"/>
  <c r="J383" i="5"/>
  <c r="N383" i="7" s="1"/>
  <c r="AS382" i="5"/>
  <c r="AR382" i="5"/>
  <c r="Q382" i="7" s="1"/>
  <c r="AQ382" i="5"/>
  <c r="M382" i="7" s="1"/>
  <c r="AN382" i="5"/>
  <c r="AL382" i="5"/>
  <c r="AC382" i="5"/>
  <c r="R382" i="7" s="1"/>
  <c r="AB382" i="5"/>
  <c r="T382" i="7" s="1"/>
  <c r="AA382" i="5"/>
  <c r="Z382" i="5"/>
  <c r="F382" i="7" s="1"/>
  <c r="Q382" i="5"/>
  <c r="H382" i="7" s="1"/>
  <c r="P382" i="5"/>
  <c r="K382" i="5"/>
  <c r="J382" i="5"/>
  <c r="N382" i="7" s="1"/>
  <c r="AS381" i="5"/>
  <c r="AR381" i="5"/>
  <c r="Q381" i="7" s="1"/>
  <c r="AQ381" i="5"/>
  <c r="M381" i="7" s="1"/>
  <c r="AN381" i="5"/>
  <c r="AL381" i="5"/>
  <c r="AC381" i="5"/>
  <c r="R381" i="7" s="1"/>
  <c r="AB381" i="5"/>
  <c r="T381" i="7" s="1"/>
  <c r="AA381" i="5"/>
  <c r="S381" i="7" s="1"/>
  <c r="Z381" i="5"/>
  <c r="F381" i="7" s="1"/>
  <c r="Q381" i="5"/>
  <c r="H381" i="7" s="1"/>
  <c r="P381" i="5"/>
  <c r="K381" i="5"/>
  <c r="J381" i="5"/>
  <c r="N381" i="7" s="1"/>
  <c r="AS380" i="5"/>
  <c r="AR380" i="5"/>
  <c r="Q380" i="7" s="1"/>
  <c r="AQ380" i="5"/>
  <c r="M380" i="7" s="1"/>
  <c r="AN380" i="5"/>
  <c r="AL380" i="5"/>
  <c r="AC380" i="5"/>
  <c r="R380" i="7" s="1"/>
  <c r="AB380" i="5"/>
  <c r="T380" i="7" s="1"/>
  <c r="AA380" i="5"/>
  <c r="Z380" i="5"/>
  <c r="F380" i="7" s="1"/>
  <c r="Q380" i="5"/>
  <c r="H380" i="7" s="1"/>
  <c r="P380" i="5"/>
  <c r="K380" i="5"/>
  <c r="J380" i="5"/>
  <c r="N380" i="7" s="1"/>
  <c r="AS379" i="5"/>
  <c r="AR379" i="5"/>
  <c r="Q379" i="7" s="1"/>
  <c r="AQ379" i="5"/>
  <c r="M379" i="7" s="1"/>
  <c r="AN379" i="5"/>
  <c r="AL379" i="5"/>
  <c r="AC379" i="5"/>
  <c r="R379" i="7" s="1"/>
  <c r="AB379" i="5"/>
  <c r="T379" i="7" s="1"/>
  <c r="AA379" i="5"/>
  <c r="Z379" i="5"/>
  <c r="F379" i="7" s="1"/>
  <c r="Q379" i="5"/>
  <c r="H379" i="7" s="1"/>
  <c r="P379" i="5"/>
  <c r="K379" i="5"/>
  <c r="J379" i="5"/>
  <c r="N379" i="7" s="1"/>
  <c r="AS378" i="5"/>
  <c r="AR378" i="5"/>
  <c r="Q378" i="7" s="1"/>
  <c r="AQ378" i="5"/>
  <c r="M378" i="7" s="1"/>
  <c r="AN378" i="5"/>
  <c r="AL378" i="5"/>
  <c r="AC378" i="5"/>
  <c r="R378" i="7" s="1"/>
  <c r="AB378" i="5"/>
  <c r="T378" i="7" s="1"/>
  <c r="AA378" i="5"/>
  <c r="S378" i="7" s="1"/>
  <c r="Z378" i="5"/>
  <c r="F378" i="7" s="1"/>
  <c r="Q378" i="5"/>
  <c r="H378" i="7" s="1"/>
  <c r="P378" i="5"/>
  <c r="K378" i="5"/>
  <c r="J378" i="5"/>
  <c r="N378" i="7" s="1"/>
  <c r="AS377" i="5"/>
  <c r="AR377" i="5"/>
  <c r="Q377" i="7" s="1"/>
  <c r="AQ377" i="5"/>
  <c r="M377" i="7" s="1"/>
  <c r="AN377" i="5"/>
  <c r="AL377" i="5"/>
  <c r="AC377" i="5"/>
  <c r="R377" i="7" s="1"/>
  <c r="AB377" i="5"/>
  <c r="T377" i="7" s="1"/>
  <c r="AA377" i="5"/>
  <c r="S377" i="7" s="1"/>
  <c r="Z377" i="5"/>
  <c r="F377" i="7" s="1"/>
  <c r="Q377" i="5"/>
  <c r="H377" i="7" s="1"/>
  <c r="P377" i="5"/>
  <c r="K377" i="5"/>
  <c r="J377" i="5"/>
  <c r="N377" i="7" s="1"/>
  <c r="AS376" i="5"/>
  <c r="AR376" i="5"/>
  <c r="Q376" i="7" s="1"/>
  <c r="AQ376" i="5"/>
  <c r="M376" i="7" s="1"/>
  <c r="AN376" i="5"/>
  <c r="AL376" i="5"/>
  <c r="AC376" i="5"/>
  <c r="R376" i="7" s="1"/>
  <c r="AB376" i="5"/>
  <c r="T376" i="7" s="1"/>
  <c r="AA376" i="5"/>
  <c r="S376" i="7" s="1"/>
  <c r="Z376" i="5"/>
  <c r="F376" i="7" s="1"/>
  <c r="Q376" i="5"/>
  <c r="H376" i="7" s="1"/>
  <c r="P376" i="5"/>
  <c r="K376" i="5"/>
  <c r="J376" i="5"/>
  <c r="N376" i="7" s="1"/>
  <c r="AS375" i="5"/>
  <c r="AR375" i="5"/>
  <c r="Q375" i="7" s="1"/>
  <c r="AQ375" i="5"/>
  <c r="M375" i="7" s="1"/>
  <c r="AN375" i="5"/>
  <c r="AL375" i="5"/>
  <c r="AC375" i="5"/>
  <c r="R375" i="7" s="1"/>
  <c r="AB375" i="5"/>
  <c r="T375" i="7" s="1"/>
  <c r="AA375" i="5"/>
  <c r="Z375" i="5"/>
  <c r="F375" i="7" s="1"/>
  <c r="Q375" i="5"/>
  <c r="H375" i="7" s="1"/>
  <c r="P375" i="5"/>
  <c r="K375" i="5"/>
  <c r="J375" i="5"/>
  <c r="N375" i="7" s="1"/>
  <c r="AS374" i="5"/>
  <c r="AR374" i="5"/>
  <c r="Q374" i="7" s="1"/>
  <c r="AQ374" i="5"/>
  <c r="M374" i="7" s="1"/>
  <c r="AN374" i="5"/>
  <c r="AL374" i="5"/>
  <c r="AC374" i="5"/>
  <c r="R374" i="7" s="1"/>
  <c r="AB374" i="5"/>
  <c r="T374" i="7" s="1"/>
  <c r="AA374" i="5"/>
  <c r="Z374" i="5"/>
  <c r="F374" i="7" s="1"/>
  <c r="Q374" i="5"/>
  <c r="H374" i="7" s="1"/>
  <c r="P374" i="5"/>
  <c r="K374" i="5"/>
  <c r="J374" i="5"/>
  <c r="N374" i="7" s="1"/>
  <c r="AS373" i="5"/>
  <c r="AR373" i="5"/>
  <c r="Q373" i="7" s="1"/>
  <c r="AQ373" i="5"/>
  <c r="M373" i="7" s="1"/>
  <c r="AN373" i="5"/>
  <c r="AL373" i="5"/>
  <c r="AC373" i="5"/>
  <c r="R373" i="7" s="1"/>
  <c r="AB373" i="5"/>
  <c r="T373" i="7" s="1"/>
  <c r="AA373" i="5"/>
  <c r="Z373" i="5"/>
  <c r="F373" i="7" s="1"/>
  <c r="Q373" i="5"/>
  <c r="H373" i="7" s="1"/>
  <c r="P373" i="5"/>
  <c r="K373" i="5"/>
  <c r="J373" i="5"/>
  <c r="N373" i="7" s="1"/>
  <c r="AS372" i="5"/>
  <c r="AR372" i="5"/>
  <c r="Q372" i="7" s="1"/>
  <c r="AQ372" i="5"/>
  <c r="M372" i="7" s="1"/>
  <c r="AN372" i="5"/>
  <c r="AL372" i="5"/>
  <c r="AC372" i="5"/>
  <c r="R372" i="7" s="1"/>
  <c r="AB372" i="5"/>
  <c r="T372" i="7" s="1"/>
  <c r="AA372" i="5"/>
  <c r="Z372" i="5"/>
  <c r="F372" i="7" s="1"/>
  <c r="Q372" i="5"/>
  <c r="H372" i="7" s="1"/>
  <c r="P372" i="5"/>
  <c r="K372" i="5"/>
  <c r="J372" i="5"/>
  <c r="N372" i="7" s="1"/>
  <c r="AS371" i="5"/>
  <c r="AR371" i="5"/>
  <c r="Q371" i="7" s="1"/>
  <c r="AQ371" i="5"/>
  <c r="M371" i="7" s="1"/>
  <c r="AN371" i="5"/>
  <c r="AL371" i="5"/>
  <c r="AC371" i="5"/>
  <c r="R371" i="7" s="1"/>
  <c r="AB371" i="5"/>
  <c r="T371" i="7" s="1"/>
  <c r="AA371" i="5"/>
  <c r="S371" i="7" s="1"/>
  <c r="Z371" i="5"/>
  <c r="F371" i="7" s="1"/>
  <c r="Q371" i="5"/>
  <c r="H371" i="7" s="1"/>
  <c r="P371" i="5"/>
  <c r="K371" i="5"/>
  <c r="J371" i="5"/>
  <c r="N371" i="7" s="1"/>
  <c r="AS370" i="5"/>
  <c r="AR370" i="5"/>
  <c r="Q370" i="7" s="1"/>
  <c r="AQ370" i="5"/>
  <c r="M370" i="7" s="1"/>
  <c r="AN370" i="5"/>
  <c r="AL370" i="5"/>
  <c r="AC370" i="5"/>
  <c r="R370" i="7" s="1"/>
  <c r="AB370" i="5"/>
  <c r="T370" i="7" s="1"/>
  <c r="AA370" i="5"/>
  <c r="S370" i="7" s="1"/>
  <c r="Z370" i="5"/>
  <c r="F370" i="7" s="1"/>
  <c r="Q370" i="5"/>
  <c r="H370" i="7" s="1"/>
  <c r="P370" i="5"/>
  <c r="K370" i="5"/>
  <c r="J370" i="5"/>
  <c r="N370" i="7" s="1"/>
  <c r="AS369" i="5"/>
  <c r="AR369" i="5"/>
  <c r="Q369" i="7" s="1"/>
  <c r="AQ369" i="5"/>
  <c r="M369" i="7" s="1"/>
  <c r="AN369" i="5"/>
  <c r="AL369" i="5"/>
  <c r="AC369" i="5"/>
  <c r="R369" i="7" s="1"/>
  <c r="AB369" i="5"/>
  <c r="T369" i="7" s="1"/>
  <c r="AA369" i="5"/>
  <c r="Z369" i="5"/>
  <c r="F369" i="7" s="1"/>
  <c r="Q369" i="5"/>
  <c r="H369" i="7" s="1"/>
  <c r="P369" i="5"/>
  <c r="K369" i="5"/>
  <c r="J369" i="5"/>
  <c r="N369" i="7" s="1"/>
  <c r="AS368" i="5"/>
  <c r="AR368" i="5"/>
  <c r="Q368" i="7" s="1"/>
  <c r="AQ368" i="5"/>
  <c r="M368" i="7" s="1"/>
  <c r="AN368" i="5"/>
  <c r="AL368" i="5"/>
  <c r="AC368" i="5"/>
  <c r="R368" i="7" s="1"/>
  <c r="AB368" i="5"/>
  <c r="T368" i="7" s="1"/>
  <c r="AA368" i="5"/>
  <c r="Z368" i="5"/>
  <c r="F368" i="7" s="1"/>
  <c r="Q368" i="5"/>
  <c r="H368" i="7" s="1"/>
  <c r="P368" i="5"/>
  <c r="K368" i="5"/>
  <c r="J368" i="5"/>
  <c r="N368" i="7" s="1"/>
  <c r="AS367" i="5"/>
  <c r="AR367" i="5"/>
  <c r="Q367" i="7" s="1"/>
  <c r="AQ367" i="5"/>
  <c r="M367" i="7" s="1"/>
  <c r="AN367" i="5"/>
  <c r="AL367" i="5"/>
  <c r="AC367" i="5"/>
  <c r="R367" i="7" s="1"/>
  <c r="AB367" i="5"/>
  <c r="T367" i="7" s="1"/>
  <c r="AA367" i="5"/>
  <c r="S367" i="7" s="1"/>
  <c r="Z367" i="5"/>
  <c r="F367" i="7" s="1"/>
  <c r="Q367" i="5"/>
  <c r="H367" i="7" s="1"/>
  <c r="P367" i="5"/>
  <c r="K367" i="5"/>
  <c r="J367" i="5"/>
  <c r="N367" i="7" s="1"/>
  <c r="AS366" i="5"/>
  <c r="AR366" i="5"/>
  <c r="Q366" i="7" s="1"/>
  <c r="AQ366" i="5"/>
  <c r="M366" i="7" s="1"/>
  <c r="AN366" i="5"/>
  <c r="AL366" i="5"/>
  <c r="AC366" i="5"/>
  <c r="R366" i="7" s="1"/>
  <c r="AB366" i="5"/>
  <c r="T366" i="7" s="1"/>
  <c r="AA366" i="5"/>
  <c r="Z366" i="5"/>
  <c r="F366" i="7" s="1"/>
  <c r="Q366" i="5"/>
  <c r="H366" i="7" s="1"/>
  <c r="P366" i="5"/>
  <c r="K366" i="5"/>
  <c r="J366" i="5"/>
  <c r="N366" i="7" s="1"/>
  <c r="AS365" i="5"/>
  <c r="AR365" i="5"/>
  <c r="Q365" i="7" s="1"/>
  <c r="AQ365" i="5"/>
  <c r="M365" i="7" s="1"/>
  <c r="AN365" i="5"/>
  <c r="AL365" i="5"/>
  <c r="AC365" i="5"/>
  <c r="R365" i="7" s="1"/>
  <c r="AB365" i="5"/>
  <c r="T365" i="7" s="1"/>
  <c r="AA365" i="5"/>
  <c r="S365" i="7" s="1"/>
  <c r="Z365" i="5"/>
  <c r="F365" i="7" s="1"/>
  <c r="Q365" i="5"/>
  <c r="H365" i="7" s="1"/>
  <c r="P365" i="5"/>
  <c r="K365" i="5"/>
  <c r="J365" i="5"/>
  <c r="N365" i="7" s="1"/>
  <c r="AS364" i="5"/>
  <c r="AR364" i="5"/>
  <c r="Q364" i="7" s="1"/>
  <c r="AQ364" i="5"/>
  <c r="M364" i="7" s="1"/>
  <c r="AN364" i="5"/>
  <c r="AL364" i="5"/>
  <c r="AC364" i="5"/>
  <c r="R364" i="7" s="1"/>
  <c r="AB364" i="5"/>
  <c r="T364" i="7" s="1"/>
  <c r="AA364" i="5"/>
  <c r="Z364" i="5"/>
  <c r="F364" i="7" s="1"/>
  <c r="Q364" i="5"/>
  <c r="H364" i="7" s="1"/>
  <c r="P364" i="5"/>
  <c r="K364" i="5"/>
  <c r="J364" i="5"/>
  <c r="N364" i="7" s="1"/>
  <c r="AS363" i="5"/>
  <c r="AR363" i="5"/>
  <c r="Q363" i="7" s="1"/>
  <c r="AQ363" i="5"/>
  <c r="M363" i="7" s="1"/>
  <c r="AN363" i="5"/>
  <c r="AL363" i="5"/>
  <c r="AC363" i="5"/>
  <c r="R363" i="7" s="1"/>
  <c r="AB363" i="5"/>
  <c r="T363" i="7" s="1"/>
  <c r="AA363" i="5"/>
  <c r="S363" i="7" s="1"/>
  <c r="Z363" i="5"/>
  <c r="F363" i="7" s="1"/>
  <c r="Q363" i="5"/>
  <c r="H363" i="7" s="1"/>
  <c r="P363" i="5"/>
  <c r="K363" i="5"/>
  <c r="J363" i="5"/>
  <c r="N363" i="7" s="1"/>
  <c r="AS362" i="5"/>
  <c r="AR362" i="5"/>
  <c r="Q362" i="7" s="1"/>
  <c r="AQ362" i="5"/>
  <c r="M362" i="7" s="1"/>
  <c r="AN362" i="5"/>
  <c r="AL362" i="5"/>
  <c r="AC362" i="5"/>
  <c r="R362" i="7" s="1"/>
  <c r="AB362" i="5"/>
  <c r="T362" i="7" s="1"/>
  <c r="AA362" i="5"/>
  <c r="S362" i="7" s="1"/>
  <c r="Z362" i="5"/>
  <c r="F362" i="7" s="1"/>
  <c r="Q362" i="5"/>
  <c r="H362" i="7" s="1"/>
  <c r="P362" i="5"/>
  <c r="K362" i="5"/>
  <c r="J362" i="5"/>
  <c r="N362" i="7" s="1"/>
  <c r="AS361" i="5"/>
  <c r="AR361" i="5"/>
  <c r="Q361" i="7" s="1"/>
  <c r="AQ361" i="5"/>
  <c r="M361" i="7" s="1"/>
  <c r="AN361" i="5"/>
  <c r="AL361" i="5"/>
  <c r="AC361" i="5"/>
  <c r="R361" i="7" s="1"/>
  <c r="AB361" i="5"/>
  <c r="T361" i="7" s="1"/>
  <c r="AA361" i="5"/>
  <c r="Z361" i="5"/>
  <c r="F361" i="7" s="1"/>
  <c r="Q361" i="5"/>
  <c r="H361" i="7" s="1"/>
  <c r="P361" i="5"/>
  <c r="K361" i="5"/>
  <c r="J361" i="5"/>
  <c r="N361" i="7" s="1"/>
  <c r="AS360" i="5"/>
  <c r="AR360" i="5"/>
  <c r="Q360" i="7" s="1"/>
  <c r="AQ360" i="5"/>
  <c r="M360" i="7" s="1"/>
  <c r="AN360" i="5"/>
  <c r="AL360" i="5"/>
  <c r="AC360" i="5"/>
  <c r="R360" i="7" s="1"/>
  <c r="AB360" i="5"/>
  <c r="T360" i="7" s="1"/>
  <c r="AA360" i="5"/>
  <c r="S360" i="7" s="1"/>
  <c r="Z360" i="5"/>
  <c r="F360" i="7" s="1"/>
  <c r="Q360" i="5"/>
  <c r="H360" i="7" s="1"/>
  <c r="P360" i="5"/>
  <c r="K360" i="5"/>
  <c r="J360" i="5"/>
  <c r="N360" i="7" s="1"/>
  <c r="AS359" i="5"/>
  <c r="AR359" i="5"/>
  <c r="Q359" i="7" s="1"/>
  <c r="AQ359" i="5"/>
  <c r="M359" i="7" s="1"/>
  <c r="AN359" i="5"/>
  <c r="AL359" i="5"/>
  <c r="AC359" i="5"/>
  <c r="R359" i="7" s="1"/>
  <c r="AB359" i="5"/>
  <c r="T359" i="7" s="1"/>
  <c r="AA359" i="5"/>
  <c r="Z359" i="5"/>
  <c r="F359" i="7" s="1"/>
  <c r="Q359" i="5"/>
  <c r="H359" i="7" s="1"/>
  <c r="P359" i="5"/>
  <c r="K359" i="5"/>
  <c r="J359" i="5"/>
  <c r="N359" i="7" s="1"/>
  <c r="AS358" i="5"/>
  <c r="AR358" i="5"/>
  <c r="Q358" i="7" s="1"/>
  <c r="AQ358" i="5"/>
  <c r="M358" i="7" s="1"/>
  <c r="AN358" i="5"/>
  <c r="AL358" i="5"/>
  <c r="AC358" i="5"/>
  <c r="R358" i="7" s="1"/>
  <c r="AB358" i="5"/>
  <c r="T358" i="7" s="1"/>
  <c r="AA358" i="5"/>
  <c r="S358" i="7" s="1"/>
  <c r="Z358" i="5"/>
  <c r="F358" i="7" s="1"/>
  <c r="Q358" i="5"/>
  <c r="H358" i="7" s="1"/>
  <c r="P358" i="5"/>
  <c r="K358" i="5"/>
  <c r="J358" i="5"/>
  <c r="N358" i="7" s="1"/>
  <c r="AS357" i="5"/>
  <c r="AR357" i="5"/>
  <c r="Q357" i="7" s="1"/>
  <c r="AQ357" i="5"/>
  <c r="M357" i="7" s="1"/>
  <c r="AN357" i="5"/>
  <c r="AL357" i="5"/>
  <c r="AC357" i="5"/>
  <c r="R357" i="7" s="1"/>
  <c r="AB357" i="5"/>
  <c r="T357" i="7" s="1"/>
  <c r="AA357" i="5"/>
  <c r="Z357" i="5"/>
  <c r="F357" i="7" s="1"/>
  <c r="Q357" i="5"/>
  <c r="H357" i="7" s="1"/>
  <c r="P357" i="5"/>
  <c r="K357" i="5"/>
  <c r="J357" i="5"/>
  <c r="N357" i="7" s="1"/>
  <c r="AS356" i="5"/>
  <c r="AR356" i="5"/>
  <c r="Q356" i="7" s="1"/>
  <c r="AQ356" i="5"/>
  <c r="M356" i="7" s="1"/>
  <c r="AN356" i="5"/>
  <c r="AL356" i="5"/>
  <c r="AC356" i="5"/>
  <c r="R356" i="7" s="1"/>
  <c r="AB356" i="5"/>
  <c r="T356" i="7" s="1"/>
  <c r="AA356" i="5"/>
  <c r="Z356" i="5"/>
  <c r="F356" i="7" s="1"/>
  <c r="Q356" i="5"/>
  <c r="H356" i="7" s="1"/>
  <c r="P356" i="5"/>
  <c r="K356" i="5"/>
  <c r="J356" i="5"/>
  <c r="N356" i="7" s="1"/>
  <c r="AS355" i="5"/>
  <c r="AR355" i="5"/>
  <c r="Q355" i="7" s="1"/>
  <c r="AQ355" i="5"/>
  <c r="M355" i="7" s="1"/>
  <c r="AN355" i="5"/>
  <c r="AL355" i="5"/>
  <c r="AC355" i="5"/>
  <c r="R355" i="7" s="1"/>
  <c r="AB355" i="5"/>
  <c r="T355" i="7" s="1"/>
  <c r="AA355" i="5"/>
  <c r="S355" i="7" s="1"/>
  <c r="Z355" i="5"/>
  <c r="F355" i="7" s="1"/>
  <c r="Q355" i="5"/>
  <c r="H355" i="7" s="1"/>
  <c r="P355" i="5"/>
  <c r="K355" i="5"/>
  <c r="J355" i="5"/>
  <c r="N355" i="7" s="1"/>
  <c r="AS354" i="5"/>
  <c r="AR354" i="5"/>
  <c r="Q354" i="7" s="1"/>
  <c r="AQ354" i="5"/>
  <c r="M354" i="7" s="1"/>
  <c r="AN354" i="5"/>
  <c r="AL354" i="5"/>
  <c r="AC354" i="5"/>
  <c r="R354" i="7" s="1"/>
  <c r="AB354" i="5"/>
  <c r="T354" i="7" s="1"/>
  <c r="AA354" i="5"/>
  <c r="Z354" i="5"/>
  <c r="F354" i="7" s="1"/>
  <c r="Q354" i="5"/>
  <c r="H354" i="7" s="1"/>
  <c r="P354" i="5"/>
  <c r="K354" i="5"/>
  <c r="J354" i="5"/>
  <c r="N354" i="7" s="1"/>
  <c r="AS353" i="5"/>
  <c r="AR353" i="5"/>
  <c r="Q353" i="7" s="1"/>
  <c r="AQ353" i="5"/>
  <c r="M353" i="7" s="1"/>
  <c r="AN353" i="5"/>
  <c r="AL353" i="5"/>
  <c r="AC353" i="5"/>
  <c r="R353" i="7" s="1"/>
  <c r="AB353" i="5"/>
  <c r="T353" i="7" s="1"/>
  <c r="AA353" i="5"/>
  <c r="Z353" i="5"/>
  <c r="F353" i="7" s="1"/>
  <c r="Q353" i="5"/>
  <c r="H353" i="7" s="1"/>
  <c r="P353" i="5"/>
  <c r="K353" i="5"/>
  <c r="J353" i="5"/>
  <c r="N353" i="7" s="1"/>
  <c r="AS352" i="5"/>
  <c r="AR352" i="5"/>
  <c r="Q352" i="7" s="1"/>
  <c r="AQ352" i="5"/>
  <c r="M352" i="7" s="1"/>
  <c r="AN352" i="5"/>
  <c r="AL352" i="5"/>
  <c r="AC352" i="5"/>
  <c r="R352" i="7" s="1"/>
  <c r="AB352" i="5"/>
  <c r="T352" i="7" s="1"/>
  <c r="AA352" i="5"/>
  <c r="Z352" i="5"/>
  <c r="F352" i="7" s="1"/>
  <c r="Q352" i="5"/>
  <c r="H352" i="7" s="1"/>
  <c r="P352" i="5"/>
  <c r="K352" i="5"/>
  <c r="J352" i="5"/>
  <c r="N352" i="7" s="1"/>
  <c r="AS351" i="5"/>
  <c r="AR351" i="5"/>
  <c r="Q351" i="7" s="1"/>
  <c r="AQ351" i="5"/>
  <c r="M351" i="7" s="1"/>
  <c r="AN351" i="5"/>
  <c r="AL351" i="5"/>
  <c r="AC351" i="5"/>
  <c r="R351" i="7" s="1"/>
  <c r="AB351" i="5"/>
  <c r="T351" i="7" s="1"/>
  <c r="AA351" i="5"/>
  <c r="Z351" i="5"/>
  <c r="F351" i="7" s="1"/>
  <c r="Q351" i="5"/>
  <c r="H351" i="7" s="1"/>
  <c r="P351" i="5"/>
  <c r="K351" i="5"/>
  <c r="J351" i="5"/>
  <c r="N351" i="7" s="1"/>
  <c r="AS350" i="5"/>
  <c r="AR350" i="5"/>
  <c r="Q350" i="7" s="1"/>
  <c r="AQ350" i="5"/>
  <c r="M350" i="7" s="1"/>
  <c r="AN350" i="5"/>
  <c r="AL350" i="5"/>
  <c r="AC350" i="5"/>
  <c r="R350" i="7" s="1"/>
  <c r="AB350" i="5"/>
  <c r="T350" i="7" s="1"/>
  <c r="AA350" i="5"/>
  <c r="Z350" i="5"/>
  <c r="F350" i="7" s="1"/>
  <c r="Q350" i="5"/>
  <c r="H350" i="7" s="1"/>
  <c r="P350" i="5"/>
  <c r="K350" i="5"/>
  <c r="J350" i="5"/>
  <c r="N350" i="7" s="1"/>
  <c r="AS349" i="5"/>
  <c r="AR349" i="5"/>
  <c r="Q349" i="7" s="1"/>
  <c r="AQ349" i="5"/>
  <c r="M349" i="7" s="1"/>
  <c r="AN349" i="5"/>
  <c r="AL349" i="5"/>
  <c r="AC349" i="5"/>
  <c r="R349" i="7" s="1"/>
  <c r="AB349" i="5"/>
  <c r="T349" i="7" s="1"/>
  <c r="AA349" i="5"/>
  <c r="S349" i="7" s="1"/>
  <c r="Z349" i="5"/>
  <c r="F349" i="7" s="1"/>
  <c r="Q349" i="5"/>
  <c r="H349" i="7" s="1"/>
  <c r="P349" i="5"/>
  <c r="K349" i="5"/>
  <c r="J349" i="5"/>
  <c r="N349" i="7" s="1"/>
  <c r="AS348" i="5"/>
  <c r="AR348" i="5"/>
  <c r="Q348" i="7" s="1"/>
  <c r="AQ348" i="5"/>
  <c r="M348" i="7" s="1"/>
  <c r="AN348" i="5"/>
  <c r="AL348" i="5"/>
  <c r="AC348" i="5"/>
  <c r="R348" i="7" s="1"/>
  <c r="AB348" i="5"/>
  <c r="T348" i="7" s="1"/>
  <c r="AA348" i="5"/>
  <c r="S348" i="7" s="1"/>
  <c r="Z348" i="5"/>
  <c r="F348" i="7" s="1"/>
  <c r="Q348" i="5"/>
  <c r="H348" i="7" s="1"/>
  <c r="P348" i="5"/>
  <c r="K348" i="5"/>
  <c r="J348" i="5"/>
  <c r="N348" i="7" s="1"/>
  <c r="AS347" i="5"/>
  <c r="AR347" i="5"/>
  <c r="Q347" i="7" s="1"/>
  <c r="AQ347" i="5"/>
  <c r="M347" i="7" s="1"/>
  <c r="AN347" i="5"/>
  <c r="AL347" i="5"/>
  <c r="AC347" i="5"/>
  <c r="R347" i="7" s="1"/>
  <c r="AB347" i="5"/>
  <c r="T347" i="7" s="1"/>
  <c r="AA347" i="5"/>
  <c r="Z347" i="5"/>
  <c r="F347" i="7" s="1"/>
  <c r="Q347" i="5"/>
  <c r="H347" i="7" s="1"/>
  <c r="P347" i="5"/>
  <c r="K347" i="5"/>
  <c r="J347" i="5"/>
  <c r="N347" i="7" s="1"/>
  <c r="AS346" i="5"/>
  <c r="AR346" i="5"/>
  <c r="Q346" i="7" s="1"/>
  <c r="AQ346" i="5"/>
  <c r="M346" i="7" s="1"/>
  <c r="AN346" i="5"/>
  <c r="AL346" i="5"/>
  <c r="AC346" i="5"/>
  <c r="R346" i="7" s="1"/>
  <c r="AB346" i="5"/>
  <c r="T346" i="7" s="1"/>
  <c r="AA346" i="5"/>
  <c r="Z346" i="5"/>
  <c r="F346" i="7" s="1"/>
  <c r="Q346" i="5"/>
  <c r="H346" i="7" s="1"/>
  <c r="P346" i="5"/>
  <c r="K346" i="5"/>
  <c r="J346" i="5"/>
  <c r="N346" i="7" s="1"/>
  <c r="AS345" i="5"/>
  <c r="AR345" i="5"/>
  <c r="Q345" i="7" s="1"/>
  <c r="AQ345" i="5"/>
  <c r="M345" i="7" s="1"/>
  <c r="AN345" i="5"/>
  <c r="AL345" i="5"/>
  <c r="AC345" i="5"/>
  <c r="R345" i="7" s="1"/>
  <c r="AB345" i="5"/>
  <c r="T345" i="7" s="1"/>
  <c r="AA345" i="5"/>
  <c r="Z345" i="5"/>
  <c r="F345" i="7" s="1"/>
  <c r="Q345" i="5"/>
  <c r="H345" i="7" s="1"/>
  <c r="P345" i="5"/>
  <c r="K345" i="5"/>
  <c r="J345" i="5"/>
  <c r="N345" i="7" s="1"/>
  <c r="AS344" i="5"/>
  <c r="AR344" i="5"/>
  <c r="Q344" i="7" s="1"/>
  <c r="AQ344" i="5"/>
  <c r="M344" i="7" s="1"/>
  <c r="AN344" i="5"/>
  <c r="AL344" i="5"/>
  <c r="AC344" i="5"/>
  <c r="R344" i="7" s="1"/>
  <c r="AB344" i="5"/>
  <c r="T344" i="7" s="1"/>
  <c r="AA344" i="5"/>
  <c r="Z344" i="5"/>
  <c r="F344" i="7" s="1"/>
  <c r="Q344" i="5"/>
  <c r="H344" i="7" s="1"/>
  <c r="P344" i="5"/>
  <c r="K344" i="5"/>
  <c r="J344" i="5"/>
  <c r="N344" i="7" s="1"/>
  <c r="AS343" i="5"/>
  <c r="AR343" i="5"/>
  <c r="Q343" i="7" s="1"/>
  <c r="AQ343" i="5"/>
  <c r="M343" i="7" s="1"/>
  <c r="AN343" i="5"/>
  <c r="AL343" i="5"/>
  <c r="AC343" i="5"/>
  <c r="R343" i="7" s="1"/>
  <c r="AB343" i="5"/>
  <c r="T343" i="7" s="1"/>
  <c r="AA343" i="5"/>
  <c r="S343" i="7" s="1"/>
  <c r="Z343" i="5"/>
  <c r="F343" i="7" s="1"/>
  <c r="Q343" i="5"/>
  <c r="H343" i="7" s="1"/>
  <c r="P343" i="5"/>
  <c r="K343" i="5"/>
  <c r="J343" i="5"/>
  <c r="N343" i="7" s="1"/>
  <c r="AS342" i="5"/>
  <c r="AR342" i="5"/>
  <c r="Q342" i="7" s="1"/>
  <c r="AQ342" i="5"/>
  <c r="M342" i="7" s="1"/>
  <c r="AN342" i="5"/>
  <c r="AL342" i="5"/>
  <c r="AC342" i="5"/>
  <c r="R342" i="7" s="1"/>
  <c r="AB342" i="5"/>
  <c r="T342" i="7" s="1"/>
  <c r="AA342" i="5"/>
  <c r="S342" i="7" s="1"/>
  <c r="Z342" i="5"/>
  <c r="F342" i="7" s="1"/>
  <c r="Q342" i="5"/>
  <c r="H342" i="7" s="1"/>
  <c r="P342" i="5"/>
  <c r="K342" i="5"/>
  <c r="J342" i="5"/>
  <c r="N342" i="7" s="1"/>
  <c r="AS341" i="5"/>
  <c r="AR341" i="5"/>
  <c r="Q341" i="7" s="1"/>
  <c r="AQ341" i="5"/>
  <c r="M341" i="7" s="1"/>
  <c r="AN341" i="5"/>
  <c r="AL341" i="5"/>
  <c r="AC341" i="5"/>
  <c r="R341" i="7" s="1"/>
  <c r="AB341" i="5"/>
  <c r="T341" i="7" s="1"/>
  <c r="AA341" i="5"/>
  <c r="Z341" i="5"/>
  <c r="F341" i="7" s="1"/>
  <c r="Q341" i="5"/>
  <c r="H341" i="7" s="1"/>
  <c r="P341" i="5"/>
  <c r="K341" i="5"/>
  <c r="J341" i="5"/>
  <c r="N341" i="7" s="1"/>
  <c r="AS340" i="5"/>
  <c r="AR340" i="5"/>
  <c r="Q340" i="7" s="1"/>
  <c r="AQ340" i="5"/>
  <c r="M340" i="7" s="1"/>
  <c r="AN340" i="5"/>
  <c r="AL340" i="5"/>
  <c r="AC340" i="5"/>
  <c r="R340" i="7" s="1"/>
  <c r="AB340" i="5"/>
  <c r="T340" i="7" s="1"/>
  <c r="AA340" i="5"/>
  <c r="Z340" i="5"/>
  <c r="F340" i="7" s="1"/>
  <c r="Q340" i="5"/>
  <c r="H340" i="7" s="1"/>
  <c r="P340" i="5"/>
  <c r="K340" i="5"/>
  <c r="J340" i="5"/>
  <c r="N340" i="7" s="1"/>
  <c r="AS339" i="5"/>
  <c r="AR339" i="5"/>
  <c r="Q339" i="7" s="1"/>
  <c r="AQ339" i="5"/>
  <c r="M339" i="7" s="1"/>
  <c r="AN339" i="5"/>
  <c r="AL339" i="5"/>
  <c r="AC339" i="5"/>
  <c r="R339" i="7" s="1"/>
  <c r="AB339" i="5"/>
  <c r="T339" i="7" s="1"/>
  <c r="AA339" i="5"/>
  <c r="S339" i="7" s="1"/>
  <c r="Z339" i="5"/>
  <c r="F339" i="7" s="1"/>
  <c r="Q339" i="5"/>
  <c r="H339" i="7" s="1"/>
  <c r="P339" i="5"/>
  <c r="K339" i="5"/>
  <c r="J339" i="5"/>
  <c r="N339" i="7" s="1"/>
  <c r="AS338" i="5"/>
  <c r="AR338" i="5"/>
  <c r="Q338" i="7" s="1"/>
  <c r="AQ338" i="5"/>
  <c r="M338" i="7" s="1"/>
  <c r="AN338" i="5"/>
  <c r="AL338" i="5"/>
  <c r="AC338" i="5"/>
  <c r="R338" i="7" s="1"/>
  <c r="AB338" i="5"/>
  <c r="T338" i="7" s="1"/>
  <c r="AA338" i="5"/>
  <c r="Z338" i="5"/>
  <c r="F338" i="7" s="1"/>
  <c r="Q338" i="5"/>
  <c r="H338" i="7" s="1"/>
  <c r="P338" i="5"/>
  <c r="K338" i="5"/>
  <c r="J338" i="5"/>
  <c r="N338" i="7" s="1"/>
  <c r="AS337" i="5"/>
  <c r="AR337" i="5"/>
  <c r="Q337" i="7" s="1"/>
  <c r="AQ337" i="5"/>
  <c r="M337" i="7" s="1"/>
  <c r="AN337" i="5"/>
  <c r="AL337" i="5"/>
  <c r="AC337" i="5"/>
  <c r="R337" i="7" s="1"/>
  <c r="AB337" i="5"/>
  <c r="T337" i="7" s="1"/>
  <c r="AA337" i="5"/>
  <c r="Z337" i="5"/>
  <c r="F337" i="7" s="1"/>
  <c r="Q337" i="5"/>
  <c r="H337" i="7" s="1"/>
  <c r="P337" i="5"/>
  <c r="K337" i="5"/>
  <c r="J337" i="5"/>
  <c r="N337" i="7" s="1"/>
  <c r="AS336" i="5"/>
  <c r="AR336" i="5"/>
  <c r="Q336" i="7" s="1"/>
  <c r="AQ336" i="5"/>
  <c r="M336" i="7" s="1"/>
  <c r="AN336" i="5"/>
  <c r="AL336" i="5"/>
  <c r="AC336" i="5"/>
  <c r="R336" i="7" s="1"/>
  <c r="AB336" i="5"/>
  <c r="T336" i="7" s="1"/>
  <c r="AA336" i="5"/>
  <c r="S336" i="7" s="1"/>
  <c r="Z336" i="5"/>
  <c r="F336" i="7" s="1"/>
  <c r="Q336" i="5"/>
  <c r="H336" i="7" s="1"/>
  <c r="P336" i="5"/>
  <c r="K336" i="5"/>
  <c r="J336" i="5"/>
  <c r="N336" i="7" s="1"/>
  <c r="AS335" i="5"/>
  <c r="AR335" i="5"/>
  <c r="Q335" i="7" s="1"/>
  <c r="AQ335" i="5"/>
  <c r="M335" i="7" s="1"/>
  <c r="AN335" i="5"/>
  <c r="AL335" i="5"/>
  <c r="AC335" i="5"/>
  <c r="R335" i="7" s="1"/>
  <c r="AB335" i="5"/>
  <c r="T335" i="7" s="1"/>
  <c r="AA335" i="5"/>
  <c r="S335" i="7" s="1"/>
  <c r="Z335" i="5"/>
  <c r="F335" i="7" s="1"/>
  <c r="Q335" i="5"/>
  <c r="H335" i="7" s="1"/>
  <c r="P335" i="5"/>
  <c r="K335" i="5"/>
  <c r="J335" i="5"/>
  <c r="N335" i="7" s="1"/>
  <c r="AS334" i="5"/>
  <c r="AR334" i="5"/>
  <c r="Q334" i="7" s="1"/>
  <c r="AQ334" i="5"/>
  <c r="M334" i="7" s="1"/>
  <c r="AN334" i="5"/>
  <c r="AL334" i="5"/>
  <c r="AC334" i="5"/>
  <c r="R334" i="7" s="1"/>
  <c r="AB334" i="5"/>
  <c r="T334" i="7" s="1"/>
  <c r="AA334" i="5"/>
  <c r="S334" i="7" s="1"/>
  <c r="Z334" i="5"/>
  <c r="F334" i="7" s="1"/>
  <c r="Q334" i="5"/>
  <c r="H334" i="7" s="1"/>
  <c r="P334" i="5"/>
  <c r="K334" i="5"/>
  <c r="J334" i="5"/>
  <c r="N334" i="7" s="1"/>
  <c r="AS333" i="5"/>
  <c r="AR333" i="5"/>
  <c r="Q333" i="7" s="1"/>
  <c r="AQ333" i="5"/>
  <c r="M333" i="7" s="1"/>
  <c r="AN333" i="5"/>
  <c r="AL333" i="5"/>
  <c r="AC333" i="5"/>
  <c r="R333" i="7" s="1"/>
  <c r="AB333" i="5"/>
  <c r="T333" i="7" s="1"/>
  <c r="AA333" i="5"/>
  <c r="Z333" i="5"/>
  <c r="F333" i="7" s="1"/>
  <c r="Q333" i="5"/>
  <c r="H333" i="7" s="1"/>
  <c r="P333" i="5"/>
  <c r="K333" i="5"/>
  <c r="J333" i="5"/>
  <c r="N333" i="7" s="1"/>
  <c r="AS332" i="5"/>
  <c r="AR332" i="5"/>
  <c r="Q332" i="7" s="1"/>
  <c r="AQ332" i="5"/>
  <c r="M332" i="7" s="1"/>
  <c r="AN332" i="5"/>
  <c r="AL332" i="5"/>
  <c r="AC332" i="5"/>
  <c r="R332" i="7" s="1"/>
  <c r="AB332" i="5"/>
  <c r="T332" i="7" s="1"/>
  <c r="AA332" i="5"/>
  <c r="Z332" i="5"/>
  <c r="F332" i="7" s="1"/>
  <c r="Q332" i="5"/>
  <c r="H332" i="7" s="1"/>
  <c r="P332" i="5"/>
  <c r="K332" i="5"/>
  <c r="J332" i="5"/>
  <c r="N332" i="7" s="1"/>
  <c r="AS331" i="5"/>
  <c r="AR331" i="5"/>
  <c r="Q331" i="7" s="1"/>
  <c r="AQ331" i="5"/>
  <c r="M331" i="7" s="1"/>
  <c r="AN331" i="5"/>
  <c r="AL331" i="5"/>
  <c r="AC331" i="5"/>
  <c r="R331" i="7" s="1"/>
  <c r="AB331" i="5"/>
  <c r="T331" i="7" s="1"/>
  <c r="AA331" i="5"/>
  <c r="S331" i="7" s="1"/>
  <c r="Z331" i="5"/>
  <c r="F331" i="7" s="1"/>
  <c r="Q331" i="5"/>
  <c r="H331" i="7" s="1"/>
  <c r="P331" i="5"/>
  <c r="K331" i="5"/>
  <c r="J331" i="5"/>
  <c r="N331" i="7" s="1"/>
  <c r="AS330" i="5"/>
  <c r="AR330" i="5"/>
  <c r="Q330" i="7" s="1"/>
  <c r="AQ330" i="5"/>
  <c r="M330" i="7" s="1"/>
  <c r="AN330" i="5"/>
  <c r="AL330" i="5"/>
  <c r="AC330" i="5"/>
  <c r="R330" i="7" s="1"/>
  <c r="AB330" i="5"/>
  <c r="T330" i="7" s="1"/>
  <c r="AA330" i="5"/>
  <c r="S330" i="7" s="1"/>
  <c r="Z330" i="5"/>
  <c r="F330" i="7" s="1"/>
  <c r="Q330" i="5"/>
  <c r="H330" i="7" s="1"/>
  <c r="P330" i="5"/>
  <c r="K330" i="5"/>
  <c r="J330" i="5"/>
  <c r="N330" i="7" s="1"/>
  <c r="AS329" i="5"/>
  <c r="AR329" i="5"/>
  <c r="Q329" i="7" s="1"/>
  <c r="AQ329" i="5"/>
  <c r="M329" i="7" s="1"/>
  <c r="AN329" i="5"/>
  <c r="AL329" i="5"/>
  <c r="AC329" i="5"/>
  <c r="R329" i="7" s="1"/>
  <c r="AB329" i="5"/>
  <c r="T329" i="7" s="1"/>
  <c r="AA329" i="5"/>
  <c r="Z329" i="5"/>
  <c r="F329" i="7" s="1"/>
  <c r="Q329" i="5"/>
  <c r="H329" i="7" s="1"/>
  <c r="P329" i="5"/>
  <c r="K329" i="5"/>
  <c r="J329" i="5"/>
  <c r="N329" i="7" s="1"/>
  <c r="AS328" i="5"/>
  <c r="AR328" i="5"/>
  <c r="Q328" i="7" s="1"/>
  <c r="AQ328" i="5"/>
  <c r="M328" i="7" s="1"/>
  <c r="AN328" i="5"/>
  <c r="AL328" i="5"/>
  <c r="AC328" i="5"/>
  <c r="R328" i="7" s="1"/>
  <c r="AB328" i="5"/>
  <c r="T328" i="7" s="1"/>
  <c r="AA328" i="5"/>
  <c r="Z328" i="5"/>
  <c r="F328" i="7" s="1"/>
  <c r="Q328" i="5"/>
  <c r="H328" i="7" s="1"/>
  <c r="P328" i="5"/>
  <c r="K328" i="5"/>
  <c r="J328" i="5"/>
  <c r="N328" i="7" s="1"/>
  <c r="AS327" i="5"/>
  <c r="AR327" i="5"/>
  <c r="Q327" i="7" s="1"/>
  <c r="AQ327" i="5"/>
  <c r="M327" i="7" s="1"/>
  <c r="AN327" i="5"/>
  <c r="AL327" i="5"/>
  <c r="AC327" i="5"/>
  <c r="R327" i="7" s="1"/>
  <c r="AB327" i="5"/>
  <c r="T327" i="7" s="1"/>
  <c r="AA327" i="5"/>
  <c r="Z327" i="5"/>
  <c r="F327" i="7" s="1"/>
  <c r="Q327" i="5"/>
  <c r="H327" i="7" s="1"/>
  <c r="P327" i="5"/>
  <c r="K327" i="5"/>
  <c r="J327" i="5"/>
  <c r="N327" i="7" s="1"/>
  <c r="AS326" i="5"/>
  <c r="AR326" i="5"/>
  <c r="Q326" i="7" s="1"/>
  <c r="AQ326" i="5"/>
  <c r="M326" i="7" s="1"/>
  <c r="AN326" i="5"/>
  <c r="AL326" i="5"/>
  <c r="AC326" i="5"/>
  <c r="R326" i="7" s="1"/>
  <c r="AB326" i="5"/>
  <c r="T326" i="7" s="1"/>
  <c r="AA326" i="5"/>
  <c r="Z326" i="5"/>
  <c r="F326" i="7" s="1"/>
  <c r="Q326" i="5"/>
  <c r="H326" i="7" s="1"/>
  <c r="P326" i="5"/>
  <c r="K326" i="5"/>
  <c r="J326" i="5"/>
  <c r="N326" i="7" s="1"/>
  <c r="AS325" i="5"/>
  <c r="AR325" i="5"/>
  <c r="Q325" i="7" s="1"/>
  <c r="AQ325" i="5"/>
  <c r="M325" i="7" s="1"/>
  <c r="AN325" i="5"/>
  <c r="AL325" i="5"/>
  <c r="AC325" i="5"/>
  <c r="R325" i="7" s="1"/>
  <c r="AB325" i="5"/>
  <c r="T325" i="7" s="1"/>
  <c r="AA325" i="5"/>
  <c r="Z325" i="5"/>
  <c r="F325" i="7" s="1"/>
  <c r="Q325" i="5"/>
  <c r="H325" i="7" s="1"/>
  <c r="P325" i="5"/>
  <c r="K325" i="5"/>
  <c r="J325" i="5"/>
  <c r="N325" i="7" s="1"/>
  <c r="AS324" i="5"/>
  <c r="AR324" i="5"/>
  <c r="Q324" i="7" s="1"/>
  <c r="AQ324" i="5"/>
  <c r="M324" i="7" s="1"/>
  <c r="AN324" i="5"/>
  <c r="AL324" i="5"/>
  <c r="AC324" i="5"/>
  <c r="R324" i="7" s="1"/>
  <c r="AB324" i="5"/>
  <c r="T324" i="7" s="1"/>
  <c r="AA324" i="5"/>
  <c r="Z324" i="5"/>
  <c r="F324" i="7" s="1"/>
  <c r="Q324" i="5"/>
  <c r="H324" i="7" s="1"/>
  <c r="P324" i="5"/>
  <c r="K324" i="5"/>
  <c r="J324" i="5"/>
  <c r="N324" i="7" s="1"/>
  <c r="AS323" i="5"/>
  <c r="AR323" i="5"/>
  <c r="Q323" i="7" s="1"/>
  <c r="AQ323" i="5"/>
  <c r="M323" i="7" s="1"/>
  <c r="AN323" i="5"/>
  <c r="AL323" i="5"/>
  <c r="AC323" i="5"/>
  <c r="R323" i="7" s="1"/>
  <c r="AB323" i="5"/>
  <c r="T323" i="7" s="1"/>
  <c r="AA323" i="5"/>
  <c r="Z323" i="5"/>
  <c r="F323" i="7" s="1"/>
  <c r="Q323" i="5"/>
  <c r="H323" i="7" s="1"/>
  <c r="P323" i="5"/>
  <c r="K323" i="5"/>
  <c r="J323" i="5"/>
  <c r="N323" i="7" s="1"/>
  <c r="AS322" i="5"/>
  <c r="AR322" i="5"/>
  <c r="Q322" i="7" s="1"/>
  <c r="AQ322" i="5"/>
  <c r="M322" i="7" s="1"/>
  <c r="AN322" i="5"/>
  <c r="AL322" i="5"/>
  <c r="AC322" i="5"/>
  <c r="R322" i="7" s="1"/>
  <c r="AB322" i="5"/>
  <c r="T322" i="7" s="1"/>
  <c r="AA322" i="5"/>
  <c r="S322" i="7" s="1"/>
  <c r="Z322" i="5"/>
  <c r="F322" i="7" s="1"/>
  <c r="Q322" i="5"/>
  <c r="H322" i="7" s="1"/>
  <c r="P322" i="5"/>
  <c r="K322" i="5"/>
  <c r="J322" i="5"/>
  <c r="N322" i="7" s="1"/>
  <c r="AS321" i="5"/>
  <c r="AR321" i="5"/>
  <c r="Q321" i="7" s="1"/>
  <c r="AQ321" i="5"/>
  <c r="M321" i="7" s="1"/>
  <c r="AN321" i="5"/>
  <c r="AL321" i="5"/>
  <c r="AC321" i="5"/>
  <c r="R321" i="7" s="1"/>
  <c r="AB321" i="5"/>
  <c r="T321" i="7" s="1"/>
  <c r="AA321" i="5"/>
  <c r="Z321" i="5"/>
  <c r="F321" i="7" s="1"/>
  <c r="Q321" i="5"/>
  <c r="H321" i="7" s="1"/>
  <c r="P321" i="5"/>
  <c r="K321" i="5"/>
  <c r="J321" i="5"/>
  <c r="N321" i="7" s="1"/>
  <c r="AS320" i="5"/>
  <c r="AR320" i="5"/>
  <c r="Q320" i="7" s="1"/>
  <c r="AQ320" i="5"/>
  <c r="M320" i="7" s="1"/>
  <c r="AN320" i="5"/>
  <c r="AL320" i="5"/>
  <c r="AC320" i="5"/>
  <c r="R320" i="7" s="1"/>
  <c r="AB320" i="5"/>
  <c r="T320" i="7" s="1"/>
  <c r="AA320" i="5"/>
  <c r="Z320" i="5"/>
  <c r="F320" i="7" s="1"/>
  <c r="Q320" i="5"/>
  <c r="H320" i="7" s="1"/>
  <c r="P320" i="5"/>
  <c r="K320" i="5"/>
  <c r="J320" i="5"/>
  <c r="N320" i="7" s="1"/>
  <c r="AS319" i="5"/>
  <c r="AR319" i="5"/>
  <c r="Q319" i="7" s="1"/>
  <c r="AQ319" i="5"/>
  <c r="M319" i="7" s="1"/>
  <c r="AN319" i="5"/>
  <c r="AL319" i="5"/>
  <c r="AC319" i="5"/>
  <c r="R319" i="7" s="1"/>
  <c r="AB319" i="5"/>
  <c r="T319" i="7" s="1"/>
  <c r="AA319" i="5"/>
  <c r="S319" i="7" s="1"/>
  <c r="Z319" i="5"/>
  <c r="F319" i="7" s="1"/>
  <c r="Q319" i="5"/>
  <c r="H319" i="7" s="1"/>
  <c r="P319" i="5"/>
  <c r="K319" i="5"/>
  <c r="J319" i="5"/>
  <c r="N319" i="7" s="1"/>
  <c r="AS318" i="5"/>
  <c r="AR318" i="5"/>
  <c r="Q318" i="7" s="1"/>
  <c r="AQ318" i="5"/>
  <c r="M318" i="7" s="1"/>
  <c r="AN318" i="5"/>
  <c r="AL318" i="5"/>
  <c r="AC318" i="5"/>
  <c r="R318" i="7" s="1"/>
  <c r="AB318" i="5"/>
  <c r="T318" i="7" s="1"/>
  <c r="AA318" i="5"/>
  <c r="Z318" i="5"/>
  <c r="F318" i="7" s="1"/>
  <c r="Q318" i="5"/>
  <c r="H318" i="7" s="1"/>
  <c r="P318" i="5"/>
  <c r="K318" i="5"/>
  <c r="J318" i="5"/>
  <c r="N318" i="7" s="1"/>
  <c r="AS317" i="5"/>
  <c r="AR317" i="5"/>
  <c r="Q317" i="7" s="1"/>
  <c r="AQ317" i="5"/>
  <c r="M317" i="7" s="1"/>
  <c r="AN317" i="5"/>
  <c r="AL317" i="5"/>
  <c r="AC317" i="5"/>
  <c r="R317" i="7" s="1"/>
  <c r="AB317" i="5"/>
  <c r="T317" i="7" s="1"/>
  <c r="AA317" i="5"/>
  <c r="Z317" i="5"/>
  <c r="F317" i="7" s="1"/>
  <c r="Q317" i="5"/>
  <c r="H317" i="7" s="1"/>
  <c r="P317" i="5"/>
  <c r="K317" i="5"/>
  <c r="J317" i="5"/>
  <c r="N317" i="7" s="1"/>
  <c r="AS316" i="5"/>
  <c r="AR316" i="5"/>
  <c r="Q316" i="7" s="1"/>
  <c r="AQ316" i="5"/>
  <c r="M316" i="7" s="1"/>
  <c r="AN316" i="5"/>
  <c r="AL316" i="5"/>
  <c r="AC316" i="5"/>
  <c r="R316" i="7" s="1"/>
  <c r="AB316" i="5"/>
  <c r="T316" i="7" s="1"/>
  <c r="AA316" i="5"/>
  <c r="Z316" i="5"/>
  <c r="F316" i="7" s="1"/>
  <c r="Q316" i="5"/>
  <c r="H316" i="7" s="1"/>
  <c r="P316" i="5"/>
  <c r="K316" i="5"/>
  <c r="J316" i="5"/>
  <c r="N316" i="7" s="1"/>
  <c r="AS315" i="5"/>
  <c r="AR315" i="5"/>
  <c r="Q315" i="7" s="1"/>
  <c r="AQ315" i="5"/>
  <c r="M315" i="7" s="1"/>
  <c r="AN315" i="5"/>
  <c r="AL315" i="5"/>
  <c r="AC315" i="5"/>
  <c r="R315" i="7" s="1"/>
  <c r="AB315" i="5"/>
  <c r="T315" i="7" s="1"/>
  <c r="AA315" i="5"/>
  <c r="S315" i="7" s="1"/>
  <c r="Z315" i="5"/>
  <c r="F315" i="7" s="1"/>
  <c r="Q315" i="5"/>
  <c r="H315" i="7" s="1"/>
  <c r="P315" i="5"/>
  <c r="K315" i="5"/>
  <c r="J315" i="5"/>
  <c r="N315" i="7" s="1"/>
  <c r="AS314" i="5"/>
  <c r="AR314" i="5"/>
  <c r="Q314" i="7" s="1"/>
  <c r="AQ314" i="5"/>
  <c r="M314" i="7" s="1"/>
  <c r="AN314" i="5"/>
  <c r="AL314" i="5"/>
  <c r="AC314" i="5"/>
  <c r="R314" i="7" s="1"/>
  <c r="AB314" i="5"/>
  <c r="T314" i="7" s="1"/>
  <c r="AA314" i="5"/>
  <c r="S314" i="7" s="1"/>
  <c r="Z314" i="5"/>
  <c r="F314" i="7" s="1"/>
  <c r="Q314" i="5"/>
  <c r="H314" i="7" s="1"/>
  <c r="P314" i="5"/>
  <c r="K314" i="5"/>
  <c r="J314" i="5"/>
  <c r="N314" i="7" s="1"/>
  <c r="AS313" i="5"/>
  <c r="AR313" i="5"/>
  <c r="Q313" i="7" s="1"/>
  <c r="AQ313" i="5"/>
  <c r="M313" i="7" s="1"/>
  <c r="AN313" i="5"/>
  <c r="AL313" i="5"/>
  <c r="AC313" i="5"/>
  <c r="R313" i="7" s="1"/>
  <c r="AB313" i="5"/>
  <c r="T313" i="7" s="1"/>
  <c r="AA313" i="5"/>
  <c r="S313" i="7" s="1"/>
  <c r="Z313" i="5"/>
  <c r="F313" i="7" s="1"/>
  <c r="Q313" i="5"/>
  <c r="H313" i="7" s="1"/>
  <c r="P313" i="5"/>
  <c r="K313" i="5"/>
  <c r="J313" i="5"/>
  <c r="N313" i="7" s="1"/>
  <c r="AS312" i="5"/>
  <c r="AR312" i="5"/>
  <c r="Q312" i="7" s="1"/>
  <c r="AQ312" i="5"/>
  <c r="M312" i="7" s="1"/>
  <c r="AN312" i="5"/>
  <c r="AL312" i="5"/>
  <c r="AC312" i="5"/>
  <c r="R312" i="7" s="1"/>
  <c r="AB312" i="5"/>
  <c r="T312" i="7" s="1"/>
  <c r="AA312" i="5"/>
  <c r="S312" i="7" s="1"/>
  <c r="Z312" i="5"/>
  <c r="F312" i="7" s="1"/>
  <c r="Q312" i="5"/>
  <c r="H312" i="7" s="1"/>
  <c r="P312" i="5"/>
  <c r="K312" i="5"/>
  <c r="J312" i="5"/>
  <c r="N312" i="7" s="1"/>
  <c r="AS311" i="5"/>
  <c r="AR311" i="5"/>
  <c r="Q311" i="7" s="1"/>
  <c r="AQ311" i="5"/>
  <c r="M311" i="7" s="1"/>
  <c r="AN311" i="5"/>
  <c r="AL311" i="5"/>
  <c r="AC311" i="5"/>
  <c r="R311" i="7" s="1"/>
  <c r="AB311" i="5"/>
  <c r="T311" i="7" s="1"/>
  <c r="AA311" i="5"/>
  <c r="Z311" i="5"/>
  <c r="F311" i="7" s="1"/>
  <c r="Q311" i="5"/>
  <c r="H311" i="7" s="1"/>
  <c r="P311" i="5"/>
  <c r="K311" i="5"/>
  <c r="J311" i="5"/>
  <c r="N311" i="7" s="1"/>
  <c r="AS310" i="5"/>
  <c r="AR310" i="5"/>
  <c r="Q310" i="7" s="1"/>
  <c r="AQ310" i="5"/>
  <c r="M310" i="7" s="1"/>
  <c r="AN310" i="5"/>
  <c r="AL310" i="5"/>
  <c r="AC310" i="5"/>
  <c r="R310" i="7" s="1"/>
  <c r="AB310" i="5"/>
  <c r="T310" i="7" s="1"/>
  <c r="AA310" i="5"/>
  <c r="Z310" i="5"/>
  <c r="F310" i="7" s="1"/>
  <c r="Q310" i="5"/>
  <c r="H310" i="7" s="1"/>
  <c r="P310" i="5"/>
  <c r="K310" i="5"/>
  <c r="J310" i="5"/>
  <c r="N310" i="7" s="1"/>
  <c r="AS309" i="5"/>
  <c r="AR309" i="5"/>
  <c r="Q309" i="7" s="1"/>
  <c r="AQ309" i="5"/>
  <c r="M309" i="7" s="1"/>
  <c r="AN309" i="5"/>
  <c r="AL309" i="5"/>
  <c r="AC309" i="5"/>
  <c r="R309" i="7" s="1"/>
  <c r="AB309" i="5"/>
  <c r="T309" i="7" s="1"/>
  <c r="AA309" i="5"/>
  <c r="Z309" i="5"/>
  <c r="F309" i="7" s="1"/>
  <c r="Q309" i="5"/>
  <c r="H309" i="7" s="1"/>
  <c r="P309" i="5"/>
  <c r="K309" i="5"/>
  <c r="J309" i="5"/>
  <c r="N309" i="7" s="1"/>
  <c r="AS308" i="5"/>
  <c r="AR308" i="5"/>
  <c r="Q308" i="7" s="1"/>
  <c r="AQ308" i="5"/>
  <c r="M308" i="7" s="1"/>
  <c r="AN308" i="5"/>
  <c r="AL308" i="5"/>
  <c r="AC308" i="5"/>
  <c r="R308" i="7" s="1"/>
  <c r="AB308" i="5"/>
  <c r="T308" i="7" s="1"/>
  <c r="AA308" i="5"/>
  <c r="S308" i="7" s="1"/>
  <c r="Z308" i="5"/>
  <c r="F308" i="7" s="1"/>
  <c r="Q308" i="5"/>
  <c r="H308" i="7" s="1"/>
  <c r="P308" i="5"/>
  <c r="K308" i="5"/>
  <c r="J308" i="5"/>
  <c r="N308" i="7" s="1"/>
  <c r="AS307" i="5"/>
  <c r="AR307" i="5"/>
  <c r="Q307" i="7" s="1"/>
  <c r="AQ307" i="5"/>
  <c r="M307" i="7" s="1"/>
  <c r="AN307" i="5"/>
  <c r="AL307" i="5"/>
  <c r="AC307" i="5"/>
  <c r="R307" i="7" s="1"/>
  <c r="AB307" i="5"/>
  <c r="T307" i="7" s="1"/>
  <c r="AA307" i="5"/>
  <c r="S307" i="7" s="1"/>
  <c r="Z307" i="5"/>
  <c r="F307" i="7" s="1"/>
  <c r="Q307" i="5"/>
  <c r="H307" i="7" s="1"/>
  <c r="P307" i="5"/>
  <c r="K307" i="5"/>
  <c r="J307" i="5"/>
  <c r="N307" i="7" s="1"/>
  <c r="AS306" i="5"/>
  <c r="AR306" i="5"/>
  <c r="Q306" i="7" s="1"/>
  <c r="AQ306" i="5"/>
  <c r="M306" i="7" s="1"/>
  <c r="AN306" i="5"/>
  <c r="AL306" i="5"/>
  <c r="AC306" i="5"/>
  <c r="R306" i="7" s="1"/>
  <c r="AB306" i="5"/>
  <c r="T306" i="7" s="1"/>
  <c r="AA306" i="5"/>
  <c r="Z306" i="5"/>
  <c r="F306" i="7" s="1"/>
  <c r="Q306" i="5"/>
  <c r="H306" i="7" s="1"/>
  <c r="P306" i="5"/>
  <c r="K306" i="5"/>
  <c r="J306" i="5"/>
  <c r="N306" i="7" s="1"/>
  <c r="AS305" i="5"/>
  <c r="AR305" i="5"/>
  <c r="Q305" i="7" s="1"/>
  <c r="AQ305" i="5"/>
  <c r="M305" i="7" s="1"/>
  <c r="AN305" i="5"/>
  <c r="AL305" i="5"/>
  <c r="AC305" i="5"/>
  <c r="R305" i="7" s="1"/>
  <c r="AB305" i="5"/>
  <c r="T305" i="7" s="1"/>
  <c r="AA305" i="5"/>
  <c r="Z305" i="5"/>
  <c r="F305" i="7" s="1"/>
  <c r="Q305" i="5"/>
  <c r="H305" i="7" s="1"/>
  <c r="P305" i="5"/>
  <c r="K305" i="5"/>
  <c r="J305" i="5"/>
  <c r="N305" i="7" s="1"/>
  <c r="AS304" i="5"/>
  <c r="AR304" i="5"/>
  <c r="Q304" i="7" s="1"/>
  <c r="AQ304" i="5"/>
  <c r="M304" i="7" s="1"/>
  <c r="AN304" i="5"/>
  <c r="AL304" i="5"/>
  <c r="AC304" i="5"/>
  <c r="R304" i="7" s="1"/>
  <c r="AB304" i="5"/>
  <c r="T304" i="7" s="1"/>
  <c r="AA304" i="5"/>
  <c r="S304" i="7" s="1"/>
  <c r="Z304" i="5"/>
  <c r="F304" i="7" s="1"/>
  <c r="Q304" i="5"/>
  <c r="H304" i="7" s="1"/>
  <c r="P304" i="5"/>
  <c r="K304" i="5"/>
  <c r="J304" i="5"/>
  <c r="N304" i="7" s="1"/>
  <c r="AS303" i="5"/>
  <c r="AR303" i="5"/>
  <c r="Q303" i="7" s="1"/>
  <c r="AQ303" i="5"/>
  <c r="M303" i="7" s="1"/>
  <c r="AN303" i="5"/>
  <c r="AL303" i="5"/>
  <c r="AC303" i="5"/>
  <c r="R303" i="7" s="1"/>
  <c r="AB303" i="5"/>
  <c r="T303" i="7" s="1"/>
  <c r="AA303" i="5"/>
  <c r="S303" i="7" s="1"/>
  <c r="Z303" i="5"/>
  <c r="F303" i="7" s="1"/>
  <c r="Q303" i="5"/>
  <c r="H303" i="7" s="1"/>
  <c r="P303" i="5"/>
  <c r="K303" i="5"/>
  <c r="J303" i="5"/>
  <c r="N303" i="7" s="1"/>
  <c r="AS302" i="5"/>
  <c r="AR302" i="5"/>
  <c r="Q302" i="7" s="1"/>
  <c r="AQ302" i="5"/>
  <c r="M302" i="7" s="1"/>
  <c r="AN302" i="5"/>
  <c r="AL302" i="5"/>
  <c r="AC302" i="5"/>
  <c r="R302" i="7" s="1"/>
  <c r="AB302" i="5"/>
  <c r="T302" i="7" s="1"/>
  <c r="AA302" i="5"/>
  <c r="Z302" i="5"/>
  <c r="F302" i="7" s="1"/>
  <c r="Q302" i="5"/>
  <c r="H302" i="7" s="1"/>
  <c r="P302" i="5"/>
  <c r="K302" i="5"/>
  <c r="J302" i="5"/>
  <c r="N302" i="7" s="1"/>
  <c r="AS301" i="5"/>
  <c r="AR301" i="5"/>
  <c r="Q301" i="7" s="1"/>
  <c r="AQ301" i="5"/>
  <c r="M301" i="7" s="1"/>
  <c r="AN301" i="5"/>
  <c r="AL301" i="5"/>
  <c r="AC301" i="5"/>
  <c r="R301" i="7" s="1"/>
  <c r="AB301" i="5"/>
  <c r="T301" i="7" s="1"/>
  <c r="AA301" i="5"/>
  <c r="S301" i="7" s="1"/>
  <c r="Z301" i="5"/>
  <c r="F301" i="7" s="1"/>
  <c r="Q301" i="5"/>
  <c r="H301" i="7" s="1"/>
  <c r="P301" i="5"/>
  <c r="K301" i="5"/>
  <c r="J301" i="5"/>
  <c r="N301" i="7" s="1"/>
  <c r="AS300" i="5"/>
  <c r="AR300" i="5"/>
  <c r="Q300" i="7" s="1"/>
  <c r="AQ300" i="5"/>
  <c r="M300" i="7" s="1"/>
  <c r="AN300" i="5"/>
  <c r="AL300" i="5"/>
  <c r="AC300" i="5"/>
  <c r="R300" i="7" s="1"/>
  <c r="AB300" i="5"/>
  <c r="T300" i="7" s="1"/>
  <c r="AA300" i="5"/>
  <c r="S300" i="7" s="1"/>
  <c r="Z300" i="5"/>
  <c r="F300" i="7" s="1"/>
  <c r="Q300" i="5"/>
  <c r="H300" i="7" s="1"/>
  <c r="P300" i="5"/>
  <c r="K300" i="5"/>
  <c r="J300" i="5"/>
  <c r="N300" i="7" s="1"/>
  <c r="AS299" i="5"/>
  <c r="AR299" i="5"/>
  <c r="Q299" i="7" s="1"/>
  <c r="AQ299" i="5"/>
  <c r="M299" i="7" s="1"/>
  <c r="AN299" i="5"/>
  <c r="AL299" i="5"/>
  <c r="AC299" i="5"/>
  <c r="R299" i="7" s="1"/>
  <c r="AB299" i="5"/>
  <c r="T299" i="7" s="1"/>
  <c r="AA299" i="5"/>
  <c r="Z299" i="5"/>
  <c r="F299" i="7" s="1"/>
  <c r="Q299" i="5"/>
  <c r="H299" i="7" s="1"/>
  <c r="P299" i="5"/>
  <c r="K299" i="5"/>
  <c r="J299" i="5"/>
  <c r="N299" i="7" s="1"/>
  <c r="AS298" i="5"/>
  <c r="AR298" i="5"/>
  <c r="Q298" i="7" s="1"/>
  <c r="AQ298" i="5"/>
  <c r="M298" i="7" s="1"/>
  <c r="AN298" i="5"/>
  <c r="AL298" i="5"/>
  <c r="AC298" i="5"/>
  <c r="R298" i="7" s="1"/>
  <c r="AB298" i="5"/>
  <c r="T298" i="7" s="1"/>
  <c r="AA298" i="5"/>
  <c r="Z298" i="5"/>
  <c r="F298" i="7" s="1"/>
  <c r="Q298" i="5"/>
  <c r="H298" i="7" s="1"/>
  <c r="P298" i="5"/>
  <c r="K298" i="5"/>
  <c r="J298" i="5"/>
  <c r="N298" i="7" s="1"/>
  <c r="AS297" i="5"/>
  <c r="AR297" i="5"/>
  <c r="Q297" i="7" s="1"/>
  <c r="AQ297" i="5"/>
  <c r="M297" i="7" s="1"/>
  <c r="AN297" i="5"/>
  <c r="AL297" i="5"/>
  <c r="AC297" i="5"/>
  <c r="R297" i="7" s="1"/>
  <c r="AB297" i="5"/>
  <c r="T297" i="7" s="1"/>
  <c r="AA297" i="5"/>
  <c r="S297" i="7" s="1"/>
  <c r="Z297" i="5"/>
  <c r="F297" i="7" s="1"/>
  <c r="Q297" i="5"/>
  <c r="H297" i="7" s="1"/>
  <c r="P297" i="5"/>
  <c r="K297" i="5"/>
  <c r="J297" i="5"/>
  <c r="N297" i="7" s="1"/>
  <c r="AS296" i="5"/>
  <c r="AR296" i="5"/>
  <c r="Q296" i="7" s="1"/>
  <c r="AQ296" i="5"/>
  <c r="M296" i="7" s="1"/>
  <c r="AN296" i="5"/>
  <c r="AL296" i="5"/>
  <c r="AC296" i="5"/>
  <c r="R296" i="7" s="1"/>
  <c r="AB296" i="5"/>
  <c r="T296" i="7" s="1"/>
  <c r="AA296" i="5"/>
  <c r="Z296" i="5"/>
  <c r="F296" i="7" s="1"/>
  <c r="Q296" i="5"/>
  <c r="H296" i="7" s="1"/>
  <c r="P296" i="5"/>
  <c r="K296" i="5"/>
  <c r="J296" i="5"/>
  <c r="N296" i="7" s="1"/>
  <c r="AS295" i="5"/>
  <c r="AR295" i="5"/>
  <c r="Q295" i="7" s="1"/>
  <c r="AQ295" i="5"/>
  <c r="M295" i="7" s="1"/>
  <c r="AN295" i="5"/>
  <c r="AL295" i="5"/>
  <c r="AC295" i="5"/>
  <c r="R295" i="7" s="1"/>
  <c r="AB295" i="5"/>
  <c r="T295" i="7" s="1"/>
  <c r="AA295" i="5"/>
  <c r="Z295" i="5"/>
  <c r="F295" i="7" s="1"/>
  <c r="Q295" i="5"/>
  <c r="H295" i="7" s="1"/>
  <c r="P295" i="5"/>
  <c r="K295" i="5"/>
  <c r="J295" i="5"/>
  <c r="N295" i="7" s="1"/>
  <c r="AS294" i="5"/>
  <c r="AR294" i="5"/>
  <c r="Q294" i="7" s="1"/>
  <c r="AQ294" i="5"/>
  <c r="M294" i="7" s="1"/>
  <c r="AN294" i="5"/>
  <c r="AL294" i="5"/>
  <c r="AC294" i="5"/>
  <c r="R294" i="7" s="1"/>
  <c r="AB294" i="5"/>
  <c r="T294" i="7" s="1"/>
  <c r="AA294" i="5"/>
  <c r="S294" i="7" s="1"/>
  <c r="Z294" i="5"/>
  <c r="F294" i="7" s="1"/>
  <c r="Q294" i="5"/>
  <c r="H294" i="7" s="1"/>
  <c r="P294" i="5"/>
  <c r="K294" i="5"/>
  <c r="J294" i="5"/>
  <c r="N294" i="7" s="1"/>
  <c r="AS293" i="5"/>
  <c r="AR293" i="5"/>
  <c r="Q293" i="7" s="1"/>
  <c r="AQ293" i="5"/>
  <c r="M293" i="7" s="1"/>
  <c r="AN293" i="5"/>
  <c r="AL293" i="5"/>
  <c r="AC293" i="5"/>
  <c r="R293" i="7" s="1"/>
  <c r="AB293" i="5"/>
  <c r="T293" i="7" s="1"/>
  <c r="AA293" i="5"/>
  <c r="Z293" i="5"/>
  <c r="F293" i="7" s="1"/>
  <c r="Q293" i="5"/>
  <c r="H293" i="7" s="1"/>
  <c r="P293" i="5"/>
  <c r="K293" i="5"/>
  <c r="J293" i="5"/>
  <c r="N293" i="7" s="1"/>
  <c r="AS292" i="5"/>
  <c r="AR292" i="5"/>
  <c r="Q292" i="7" s="1"/>
  <c r="AQ292" i="5"/>
  <c r="M292" i="7" s="1"/>
  <c r="AN292" i="5"/>
  <c r="AL292" i="5"/>
  <c r="AC292" i="5"/>
  <c r="R292" i="7" s="1"/>
  <c r="AB292" i="5"/>
  <c r="T292" i="7" s="1"/>
  <c r="AA292" i="5"/>
  <c r="S292" i="7" s="1"/>
  <c r="Z292" i="5"/>
  <c r="F292" i="7" s="1"/>
  <c r="Q292" i="5"/>
  <c r="H292" i="7" s="1"/>
  <c r="P292" i="5"/>
  <c r="K292" i="5"/>
  <c r="J292" i="5"/>
  <c r="N292" i="7" s="1"/>
  <c r="AS291" i="5"/>
  <c r="AR291" i="5"/>
  <c r="Q291" i="7" s="1"/>
  <c r="AQ291" i="5"/>
  <c r="M291" i="7" s="1"/>
  <c r="AN291" i="5"/>
  <c r="AL291" i="5"/>
  <c r="AC291" i="5"/>
  <c r="R291" i="7" s="1"/>
  <c r="AB291" i="5"/>
  <c r="T291" i="7" s="1"/>
  <c r="AA291" i="5"/>
  <c r="Z291" i="5"/>
  <c r="F291" i="7" s="1"/>
  <c r="Q291" i="5"/>
  <c r="H291" i="7" s="1"/>
  <c r="P291" i="5"/>
  <c r="K291" i="5"/>
  <c r="J291" i="5"/>
  <c r="N291" i="7" s="1"/>
  <c r="AS290" i="5"/>
  <c r="AR290" i="5"/>
  <c r="Q290" i="7" s="1"/>
  <c r="AQ290" i="5"/>
  <c r="M290" i="7" s="1"/>
  <c r="AN290" i="5"/>
  <c r="AL290" i="5"/>
  <c r="AC290" i="5"/>
  <c r="R290" i="7" s="1"/>
  <c r="AB290" i="5"/>
  <c r="T290" i="7" s="1"/>
  <c r="AA290" i="5"/>
  <c r="Z290" i="5"/>
  <c r="F290" i="7" s="1"/>
  <c r="Q290" i="5"/>
  <c r="H290" i="7" s="1"/>
  <c r="P290" i="5"/>
  <c r="K290" i="5"/>
  <c r="J290" i="5"/>
  <c r="N290" i="7" s="1"/>
  <c r="AS289" i="5"/>
  <c r="AR289" i="5"/>
  <c r="Q289" i="7" s="1"/>
  <c r="AQ289" i="5"/>
  <c r="M289" i="7" s="1"/>
  <c r="AN289" i="5"/>
  <c r="AL289" i="5"/>
  <c r="AC289" i="5"/>
  <c r="R289" i="7" s="1"/>
  <c r="AB289" i="5"/>
  <c r="T289" i="7" s="1"/>
  <c r="AA289" i="5"/>
  <c r="Z289" i="5"/>
  <c r="F289" i="7" s="1"/>
  <c r="Q289" i="5"/>
  <c r="H289" i="7" s="1"/>
  <c r="P289" i="5"/>
  <c r="K289" i="5"/>
  <c r="J289" i="5"/>
  <c r="N289" i="7" s="1"/>
  <c r="AS288" i="5"/>
  <c r="AR288" i="5"/>
  <c r="Q288" i="7" s="1"/>
  <c r="AQ288" i="5"/>
  <c r="M288" i="7" s="1"/>
  <c r="AN288" i="5"/>
  <c r="AL288" i="5"/>
  <c r="AC288" i="5"/>
  <c r="R288" i="7" s="1"/>
  <c r="AB288" i="5"/>
  <c r="T288" i="7" s="1"/>
  <c r="AA288" i="5"/>
  <c r="Z288" i="5"/>
  <c r="F288" i="7" s="1"/>
  <c r="Q288" i="5"/>
  <c r="H288" i="7" s="1"/>
  <c r="P288" i="5"/>
  <c r="K288" i="5"/>
  <c r="J288" i="5"/>
  <c r="N288" i="7" s="1"/>
  <c r="AS287" i="5"/>
  <c r="AR287" i="5"/>
  <c r="Q287" i="7" s="1"/>
  <c r="AQ287" i="5"/>
  <c r="M287" i="7" s="1"/>
  <c r="AN287" i="5"/>
  <c r="AL287" i="5"/>
  <c r="AC287" i="5"/>
  <c r="R287" i="7" s="1"/>
  <c r="AB287" i="5"/>
  <c r="T287" i="7" s="1"/>
  <c r="AA287" i="5"/>
  <c r="S287" i="7" s="1"/>
  <c r="Z287" i="5"/>
  <c r="F287" i="7" s="1"/>
  <c r="Q287" i="5"/>
  <c r="H287" i="7" s="1"/>
  <c r="P287" i="5"/>
  <c r="K287" i="5"/>
  <c r="J287" i="5"/>
  <c r="N287" i="7" s="1"/>
  <c r="AS286" i="5"/>
  <c r="AR286" i="5"/>
  <c r="Q286" i="7" s="1"/>
  <c r="AQ286" i="5"/>
  <c r="M286" i="7" s="1"/>
  <c r="AN286" i="5"/>
  <c r="AL286" i="5"/>
  <c r="AC286" i="5"/>
  <c r="R286" i="7" s="1"/>
  <c r="AB286" i="5"/>
  <c r="T286" i="7" s="1"/>
  <c r="AA286" i="5"/>
  <c r="Z286" i="5"/>
  <c r="F286" i="7" s="1"/>
  <c r="Q286" i="5"/>
  <c r="H286" i="7" s="1"/>
  <c r="P286" i="5"/>
  <c r="K286" i="5"/>
  <c r="J286" i="5"/>
  <c r="N286" i="7" s="1"/>
  <c r="AS285" i="5"/>
  <c r="AR285" i="5"/>
  <c r="Q285" i="7" s="1"/>
  <c r="AQ285" i="5"/>
  <c r="M285" i="7" s="1"/>
  <c r="AN285" i="5"/>
  <c r="AL285" i="5"/>
  <c r="AC285" i="5"/>
  <c r="R285" i="7" s="1"/>
  <c r="AB285" i="5"/>
  <c r="T285" i="7" s="1"/>
  <c r="AA285" i="5"/>
  <c r="Z285" i="5"/>
  <c r="F285" i="7" s="1"/>
  <c r="Q285" i="5"/>
  <c r="H285" i="7" s="1"/>
  <c r="P285" i="5"/>
  <c r="K285" i="5"/>
  <c r="J285" i="5"/>
  <c r="N285" i="7" s="1"/>
  <c r="AS284" i="5"/>
  <c r="AR284" i="5"/>
  <c r="Q284" i="7" s="1"/>
  <c r="AQ284" i="5"/>
  <c r="M284" i="7" s="1"/>
  <c r="AN284" i="5"/>
  <c r="AL284" i="5"/>
  <c r="AC284" i="5"/>
  <c r="R284" i="7" s="1"/>
  <c r="AB284" i="5"/>
  <c r="T284" i="7" s="1"/>
  <c r="AA284" i="5"/>
  <c r="S284" i="7" s="1"/>
  <c r="Z284" i="5"/>
  <c r="F284" i="7" s="1"/>
  <c r="Q284" i="5"/>
  <c r="H284" i="7" s="1"/>
  <c r="P284" i="5"/>
  <c r="K284" i="5"/>
  <c r="J284" i="5"/>
  <c r="N284" i="7" s="1"/>
  <c r="AS283" i="5"/>
  <c r="AR283" i="5"/>
  <c r="Q283" i="7" s="1"/>
  <c r="AQ283" i="5"/>
  <c r="M283" i="7" s="1"/>
  <c r="AN283" i="5"/>
  <c r="AL283" i="5"/>
  <c r="AC283" i="5"/>
  <c r="R283" i="7" s="1"/>
  <c r="AB283" i="5"/>
  <c r="T283" i="7" s="1"/>
  <c r="AA283" i="5"/>
  <c r="Z283" i="5"/>
  <c r="F283" i="7" s="1"/>
  <c r="Q283" i="5"/>
  <c r="H283" i="7" s="1"/>
  <c r="P283" i="5"/>
  <c r="K283" i="5"/>
  <c r="J283" i="5"/>
  <c r="N283" i="7" s="1"/>
  <c r="AS282" i="5"/>
  <c r="AR282" i="5"/>
  <c r="Q282" i="7" s="1"/>
  <c r="AQ282" i="5"/>
  <c r="M282" i="7" s="1"/>
  <c r="AN282" i="5"/>
  <c r="AL282" i="5"/>
  <c r="AC282" i="5"/>
  <c r="R282" i="7" s="1"/>
  <c r="AB282" i="5"/>
  <c r="T282" i="7" s="1"/>
  <c r="AA282" i="5"/>
  <c r="Z282" i="5"/>
  <c r="F282" i="7" s="1"/>
  <c r="Q282" i="5"/>
  <c r="H282" i="7" s="1"/>
  <c r="P282" i="5"/>
  <c r="K282" i="5"/>
  <c r="J282" i="5"/>
  <c r="N282" i="7" s="1"/>
  <c r="AS281" i="5"/>
  <c r="AR281" i="5"/>
  <c r="Q281" i="7" s="1"/>
  <c r="AQ281" i="5"/>
  <c r="M281" i="7" s="1"/>
  <c r="AN281" i="5"/>
  <c r="AL281" i="5"/>
  <c r="AC281" i="5"/>
  <c r="R281" i="7" s="1"/>
  <c r="AB281" i="5"/>
  <c r="T281" i="7" s="1"/>
  <c r="AA281" i="5"/>
  <c r="S281" i="7" s="1"/>
  <c r="Z281" i="5"/>
  <c r="F281" i="7" s="1"/>
  <c r="Q281" i="5"/>
  <c r="H281" i="7" s="1"/>
  <c r="P281" i="5"/>
  <c r="K281" i="5"/>
  <c r="J281" i="5"/>
  <c r="N281" i="7" s="1"/>
  <c r="AS280" i="5"/>
  <c r="AR280" i="5"/>
  <c r="Q280" i="7" s="1"/>
  <c r="AQ280" i="5"/>
  <c r="M280" i="7" s="1"/>
  <c r="AN280" i="5"/>
  <c r="AL280" i="5"/>
  <c r="AC280" i="5"/>
  <c r="R280" i="7" s="1"/>
  <c r="AB280" i="5"/>
  <c r="T280" i="7" s="1"/>
  <c r="AA280" i="5"/>
  <c r="Z280" i="5"/>
  <c r="F280" i="7" s="1"/>
  <c r="Q280" i="5"/>
  <c r="H280" i="7" s="1"/>
  <c r="P280" i="5"/>
  <c r="K280" i="5"/>
  <c r="J280" i="5"/>
  <c r="N280" i="7" s="1"/>
  <c r="AS279" i="5"/>
  <c r="AR279" i="5"/>
  <c r="Q279" i="7" s="1"/>
  <c r="AQ279" i="5"/>
  <c r="M279" i="7" s="1"/>
  <c r="AN279" i="5"/>
  <c r="AL279" i="5"/>
  <c r="AC279" i="5"/>
  <c r="R279" i="7" s="1"/>
  <c r="AB279" i="5"/>
  <c r="T279" i="7" s="1"/>
  <c r="AA279" i="5"/>
  <c r="Z279" i="5"/>
  <c r="F279" i="7" s="1"/>
  <c r="Q279" i="5"/>
  <c r="H279" i="7" s="1"/>
  <c r="P279" i="5"/>
  <c r="K279" i="5"/>
  <c r="J279" i="5"/>
  <c r="N279" i="7" s="1"/>
  <c r="AS278" i="5"/>
  <c r="AR278" i="5"/>
  <c r="Q278" i="7" s="1"/>
  <c r="AQ278" i="5"/>
  <c r="M278" i="7" s="1"/>
  <c r="AN278" i="5"/>
  <c r="AL278" i="5"/>
  <c r="AC278" i="5"/>
  <c r="R278" i="7" s="1"/>
  <c r="AB278" i="5"/>
  <c r="T278" i="7" s="1"/>
  <c r="AA278" i="5"/>
  <c r="Z278" i="5"/>
  <c r="F278" i="7" s="1"/>
  <c r="Q278" i="5"/>
  <c r="H278" i="7" s="1"/>
  <c r="P278" i="5"/>
  <c r="K278" i="5"/>
  <c r="J278" i="5"/>
  <c r="N278" i="7" s="1"/>
  <c r="AS277" i="5"/>
  <c r="AR277" i="5"/>
  <c r="Q277" i="7" s="1"/>
  <c r="AQ277" i="5"/>
  <c r="M277" i="7" s="1"/>
  <c r="AN277" i="5"/>
  <c r="AL277" i="5"/>
  <c r="AC277" i="5"/>
  <c r="R277" i="7" s="1"/>
  <c r="AB277" i="5"/>
  <c r="T277" i="7" s="1"/>
  <c r="AA277" i="5"/>
  <c r="S277" i="7" s="1"/>
  <c r="Z277" i="5"/>
  <c r="F277" i="7" s="1"/>
  <c r="Q277" i="5"/>
  <c r="H277" i="7" s="1"/>
  <c r="P277" i="5"/>
  <c r="K277" i="5"/>
  <c r="J277" i="5"/>
  <c r="N277" i="7" s="1"/>
  <c r="AS276" i="5"/>
  <c r="AR276" i="5"/>
  <c r="Q276" i="7" s="1"/>
  <c r="AQ276" i="5"/>
  <c r="M276" i="7" s="1"/>
  <c r="AN276" i="5"/>
  <c r="AL276" i="5"/>
  <c r="AC276" i="5"/>
  <c r="R276" i="7" s="1"/>
  <c r="AB276" i="5"/>
  <c r="T276" i="7" s="1"/>
  <c r="AA276" i="5"/>
  <c r="S276" i="7" s="1"/>
  <c r="Z276" i="5"/>
  <c r="F276" i="7" s="1"/>
  <c r="Q276" i="5"/>
  <c r="H276" i="7" s="1"/>
  <c r="P276" i="5"/>
  <c r="K276" i="5"/>
  <c r="J276" i="5"/>
  <c r="N276" i="7" s="1"/>
  <c r="AS275" i="5"/>
  <c r="AR275" i="5"/>
  <c r="Q275" i="7" s="1"/>
  <c r="AQ275" i="5"/>
  <c r="M275" i="7" s="1"/>
  <c r="AN275" i="5"/>
  <c r="AL275" i="5"/>
  <c r="AC275" i="5"/>
  <c r="R275" i="7" s="1"/>
  <c r="AB275" i="5"/>
  <c r="T275" i="7" s="1"/>
  <c r="AA275" i="5"/>
  <c r="S275" i="7" s="1"/>
  <c r="Z275" i="5"/>
  <c r="F275" i="7" s="1"/>
  <c r="Q275" i="5"/>
  <c r="H275" i="7" s="1"/>
  <c r="P275" i="5"/>
  <c r="K275" i="5"/>
  <c r="J275" i="5"/>
  <c r="N275" i="7" s="1"/>
  <c r="AS274" i="5"/>
  <c r="AR274" i="5"/>
  <c r="Q274" i="7" s="1"/>
  <c r="AQ274" i="5"/>
  <c r="M274" i="7" s="1"/>
  <c r="AN274" i="5"/>
  <c r="AL274" i="5"/>
  <c r="AC274" i="5"/>
  <c r="R274" i="7" s="1"/>
  <c r="AB274" i="5"/>
  <c r="T274" i="7" s="1"/>
  <c r="AA274" i="5"/>
  <c r="Z274" i="5"/>
  <c r="F274" i="7" s="1"/>
  <c r="Q274" i="5"/>
  <c r="H274" i="7" s="1"/>
  <c r="P274" i="5"/>
  <c r="K274" i="5"/>
  <c r="J274" i="5"/>
  <c r="N274" i="7" s="1"/>
  <c r="AS273" i="5"/>
  <c r="AR273" i="5"/>
  <c r="Q273" i="7" s="1"/>
  <c r="AQ273" i="5"/>
  <c r="M273" i="7" s="1"/>
  <c r="AN273" i="5"/>
  <c r="AL273" i="5"/>
  <c r="AC273" i="5"/>
  <c r="R273" i="7" s="1"/>
  <c r="AB273" i="5"/>
  <c r="T273" i="7" s="1"/>
  <c r="AA273" i="5"/>
  <c r="S273" i="7" s="1"/>
  <c r="Z273" i="5"/>
  <c r="F273" i="7" s="1"/>
  <c r="Q273" i="5"/>
  <c r="H273" i="7" s="1"/>
  <c r="P273" i="5"/>
  <c r="K273" i="5"/>
  <c r="J273" i="5"/>
  <c r="N273" i="7" s="1"/>
  <c r="AS272" i="5"/>
  <c r="AR272" i="5"/>
  <c r="Q272" i="7" s="1"/>
  <c r="AQ272" i="5"/>
  <c r="M272" i="7" s="1"/>
  <c r="AN272" i="5"/>
  <c r="AL272" i="5"/>
  <c r="AC272" i="5"/>
  <c r="R272" i="7" s="1"/>
  <c r="AB272" i="5"/>
  <c r="T272" i="7" s="1"/>
  <c r="AA272" i="5"/>
  <c r="S272" i="7" s="1"/>
  <c r="Z272" i="5"/>
  <c r="F272" i="7" s="1"/>
  <c r="Q272" i="5"/>
  <c r="H272" i="7" s="1"/>
  <c r="P272" i="5"/>
  <c r="K272" i="5"/>
  <c r="J272" i="5"/>
  <c r="N272" i="7" s="1"/>
  <c r="AS271" i="5"/>
  <c r="AR271" i="5"/>
  <c r="Q271" i="7" s="1"/>
  <c r="AQ271" i="5"/>
  <c r="M271" i="7" s="1"/>
  <c r="AN271" i="5"/>
  <c r="AL271" i="5"/>
  <c r="AC271" i="5"/>
  <c r="R271" i="7" s="1"/>
  <c r="AB271" i="5"/>
  <c r="T271" i="7" s="1"/>
  <c r="AA271" i="5"/>
  <c r="Z271" i="5"/>
  <c r="F271" i="7" s="1"/>
  <c r="Q271" i="5"/>
  <c r="H271" i="7" s="1"/>
  <c r="P271" i="5"/>
  <c r="K271" i="5"/>
  <c r="J271" i="5"/>
  <c r="N271" i="7" s="1"/>
  <c r="AS270" i="5"/>
  <c r="AR270" i="5"/>
  <c r="Q270" i="7" s="1"/>
  <c r="AQ270" i="5"/>
  <c r="M270" i="7" s="1"/>
  <c r="AN270" i="5"/>
  <c r="AL270" i="5"/>
  <c r="AC270" i="5"/>
  <c r="R270" i="7" s="1"/>
  <c r="AB270" i="5"/>
  <c r="T270" i="7" s="1"/>
  <c r="AA270" i="5"/>
  <c r="Z270" i="5"/>
  <c r="F270" i="7" s="1"/>
  <c r="Q270" i="5"/>
  <c r="H270" i="7" s="1"/>
  <c r="P270" i="5"/>
  <c r="K270" i="5"/>
  <c r="J270" i="5"/>
  <c r="N270" i="7" s="1"/>
  <c r="AS269" i="5"/>
  <c r="AR269" i="5"/>
  <c r="Q269" i="7" s="1"/>
  <c r="AQ269" i="5"/>
  <c r="M269" i="7" s="1"/>
  <c r="AN269" i="5"/>
  <c r="AL269" i="5"/>
  <c r="AC269" i="5"/>
  <c r="R269" i="7" s="1"/>
  <c r="AB269" i="5"/>
  <c r="T269" i="7" s="1"/>
  <c r="AA269" i="5"/>
  <c r="S269" i="7" s="1"/>
  <c r="Z269" i="5"/>
  <c r="F269" i="7" s="1"/>
  <c r="Q269" i="5"/>
  <c r="H269" i="7" s="1"/>
  <c r="P269" i="5"/>
  <c r="K269" i="5"/>
  <c r="J269" i="5"/>
  <c r="N269" i="7" s="1"/>
  <c r="AS268" i="5"/>
  <c r="AR268" i="5"/>
  <c r="Q268" i="7" s="1"/>
  <c r="AQ268" i="5"/>
  <c r="M268" i="7" s="1"/>
  <c r="AN268" i="5"/>
  <c r="AL268" i="5"/>
  <c r="AC268" i="5"/>
  <c r="R268" i="7" s="1"/>
  <c r="AB268" i="5"/>
  <c r="T268" i="7" s="1"/>
  <c r="AA268" i="5"/>
  <c r="Z268" i="5"/>
  <c r="F268" i="7" s="1"/>
  <c r="Q268" i="5"/>
  <c r="H268" i="7" s="1"/>
  <c r="P268" i="5"/>
  <c r="K268" i="5"/>
  <c r="J268" i="5"/>
  <c r="N268" i="7" s="1"/>
  <c r="AS267" i="5"/>
  <c r="AR267" i="5"/>
  <c r="Q267" i="7" s="1"/>
  <c r="AQ267" i="5"/>
  <c r="M267" i="7" s="1"/>
  <c r="AN267" i="5"/>
  <c r="AL267" i="5"/>
  <c r="AC267" i="5"/>
  <c r="R267" i="7" s="1"/>
  <c r="AB267" i="5"/>
  <c r="T267" i="7" s="1"/>
  <c r="AA267" i="5"/>
  <c r="S267" i="7" s="1"/>
  <c r="Z267" i="5"/>
  <c r="F267" i="7" s="1"/>
  <c r="Q267" i="5"/>
  <c r="H267" i="7" s="1"/>
  <c r="P267" i="5"/>
  <c r="K267" i="5"/>
  <c r="J267" i="5"/>
  <c r="N267" i="7" s="1"/>
  <c r="AS266" i="5"/>
  <c r="AR266" i="5"/>
  <c r="Q266" i="7" s="1"/>
  <c r="AQ266" i="5"/>
  <c r="M266" i="7" s="1"/>
  <c r="AN266" i="5"/>
  <c r="AL266" i="5"/>
  <c r="AC266" i="5"/>
  <c r="R266" i="7" s="1"/>
  <c r="AB266" i="5"/>
  <c r="T266" i="7" s="1"/>
  <c r="AA266" i="5"/>
  <c r="S266" i="7" s="1"/>
  <c r="Z266" i="5"/>
  <c r="F266" i="7" s="1"/>
  <c r="Q266" i="5"/>
  <c r="H266" i="7" s="1"/>
  <c r="P266" i="5"/>
  <c r="K266" i="5"/>
  <c r="J266" i="5"/>
  <c r="N266" i="7" s="1"/>
  <c r="AS265" i="5"/>
  <c r="AR265" i="5"/>
  <c r="Q265" i="7" s="1"/>
  <c r="AQ265" i="5"/>
  <c r="M265" i="7" s="1"/>
  <c r="AN265" i="5"/>
  <c r="AL265" i="5"/>
  <c r="AC265" i="5"/>
  <c r="R265" i="7" s="1"/>
  <c r="AB265" i="5"/>
  <c r="T265" i="7" s="1"/>
  <c r="AA265" i="5"/>
  <c r="S265" i="7" s="1"/>
  <c r="Z265" i="5"/>
  <c r="F265" i="7" s="1"/>
  <c r="Q265" i="5"/>
  <c r="H265" i="7" s="1"/>
  <c r="P265" i="5"/>
  <c r="K265" i="5"/>
  <c r="J265" i="5"/>
  <c r="N265" i="7" s="1"/>
  <c r="AS264" i="5"/>
  <c r="AR264" i="5"/>
  <c r="Q264" i="7" s="1"/>
  <c r="AQ264" i="5"/>
  <c r="M264" i="7" s="1"/>
  <c r="AN264" i="5"/>
  <c r="AL264" i="5"/>
  <c r="AC264" i="5"/>
  <c r="R264" i="7" s="1"/>
  <c r="AB264" i="5"/>
  <c r="T264" i="7" s="1"/>
  <c r="AA264" i="5"/>
  <c r="Z264" i="5"/>
  <c r="F264" i="7" s="1"/>
  <c r="Q264" i="5"/>
  <c r="H264" i="7" s="1"/>
  <c r="P264" i="5"/>
  <c r="K264" i="5"/>
  <c r="J264" i="5"/>
  <c r="N264" i="7" s="1"/>
  <c r="AS263" i="5"/>
  <c r="AR263" i="5"/>
  <c r="Q263" i="7" s="1"/>
  <c r="AQ263" i="5"/>
  <c r="M263" i="7" s="1"/>
  <c r="AN263" i="5"/>
  <c r="AL263" i="5"/>
  <c r="AC263" i="5"/>
  <c r="R263" i="7" s="1"/>
  <c r="AB263" i="5"/>
  <c r="T263" i="7" s="1"/>
  <c r="AA263" i="5"/>
  <c r="Z263" i="5"/>
  <c r="F263" i="7" s="1"/>
  <c r="Q263" i="5"/>
  <c r="H263" i="7" s="1"/>
  <c r="P263" i="5"/>
  <c r="K263" i="5"/>
  <c r="J263" i="5"/>
  <c r="N263" i="7" s="1"/>
  <c r="AS262" i="5"/>
  <c r="AR262" i="5"/>
  <c r="Q262" i="7" s="1"/>
  <c r="AQ262" i="5"/>
  <c r="M262" i="7" s="1"/>
  <c r="AN262" i="5"/>
  <c r="AL262" i="5"/>
  <c r="AC262" i="5"/>
  <c r="R262" i="7" s="1"/>
  <c r="AB262" i="5"/>
  <c r="T262" i="7" s="1"/>
  <c r="AA262" i="5"/>
  <c r="S262" i="7" s="1"/>
  <c r="Z262" i="5"/>
  <c r="F262" i="7" s="1"/>
  <c r="Q262" i="5"/>
  <c r="H262" i="7" s="1"/>
  <c r="P262" i="5"/>
  <c r="K262" i="5"/>
  <c r="J262" i="5"/>
  <c r="N262" i="7" s="1"/>
  <c r="AS261" i="5"/>
  <c r="AR261" i="5"/>
  <c r="Q261" i="7" s="1"/>
  <c r="AQ261" i="5"/>
  <c r="M261" i="7" s="1"/>
  <c r="AN261" i="5"/>
  <c r="AL261" i="5"/>
  <c r="AC261" i="5"/>
  <c r="R261" i="7" s="1"/>
  <c r="AB261" i="5"/>
  <c r="T261" i="7" s="1"/>
  <c r="AA261" i="5"/>
  <c r="S261" i="7" s="1"/>
  <c r="Z261" i="5"/>
  <c r="F261" i="7" s="1"/>
  <c r="Q261" i="5"/>
  <c r="H261" i="7" s="1"/>
  <c r="P261" i="5"/>
  <c r="K261" i="5"/>
  <c r="J261" i="5"/>
  <c r="N261" i="7" s="1"/>
  <c r="AS260" i="5"/>
  <c r="AR260" i="5"/>
  <c r="Q260" i="7" s="1"/>
  <c r="AQ260" i="5"/>
  <c r="M260" i="7" s="1"/>
  <c r="AN260" i="5"/>
  <c r="AL260" i="5"/>
  <c r="AC260" i="5"/>
  <c r="R260" i="7" s="1"/>
  <c r="AB260" i="5"/>
  <c r="T260" i="7" s="1"/>
  <c r="AA260" i="5"/>
  <c r="Z260" i="5"/>
  <c r="F260" i="7" s="1"/>
  <c r="Q260" i="5"/>
  <c r="H260" i="7" s="1"/>
  <c r="P260" i="5"/>
  <c r="K260" i="5"/>
  <c r="J260" i="5"/>
  <c r="N260" i="7" s="1"/>
  <c r="AS259" i="5"/>
  <c r="AR259" i="5"/>
  <c r="Q259" i="7" s="1"/>
  <c r="AQ259" i="5"/>
  <c r="M259" i="7" s="1"/>
  <c r="AN259" i="5"/>
  <c r="AL259" i="5"/>
  <c r="AC259" i="5"/>
  <c r="R259" i="7" s="1"/>
  <c r="AB259" i="5"/>
  <c r="T259" i="7" s="1"/>
  <c r="AA259" i="5"/>
  <c r="Z259" i="5"/>
  <c r="F259" i="7" s="1"/>
  <c r="Q259" i="5"/>
  <c r="H259" i="7" s="1"/>
  <c r="P259" i="5"/>
  <c r="K259" i="5"/>
  <c r="J259" i="5"/>
  <c r="N259" i="7" s="1"/>
  <c r="AS258" i="5"/>
  <c r="AR258" i="5"/>
  <c r="Q258" i="7" s="1"/>
  <c r="AQ258" i="5"/>
  <c r="M258" i="7" s="1"/>
  <c r="AN258" i="5"/>
  <c r="AL258" i="5"/>
  <c r="AC258" i="5"/>
  <c r="R258" i="7" s="1"/>
  <c r="AB258" i="5"/>
  <c r="T258" i="7" s="1"/>
  <c r="AA258" i="5"/>
  <c r="S258" i="7" s="1"/>
  <c r="Z258" i="5"/>
  <c r="F258" i="7" s="1"/>
  <c r="Q258" i="5"/>
  <c r="H258" i="7" s="1"/>
  <c r="P258" i="5"/>
  <c r="K258" i="5"/>
  <c r="J258" i="5"/>
  <c r="N258" i="7" s="1"/>
  <c r="AS257" i="5"/>
  <c r="AR257" i="5"/>
  <c r="Q257" i="7" s="1"/>
  <c r="AQ257" i="5"/>
  <c r="M257" i="7" s="1"/>
  <c r="AN257" i="5"/>
  <c r="AL257" i="5"/>
  <c r="AC257" i="5"/>
  <c r="R257" i="7" s="1"/>
  <c r="AB257" i="5"/>
  <c r="T257" i="7" s="1"/>
  <c r="AA257" i="5"/>
  <c r="Z257" i="5"/>
  <c r="F257" i="7" s="1"/>
  <c r="Q257" i="5"/>
  <c r="H257" i="7" s="1"/>
  <c r="P257" i="5"/>
  <c r="K257" i="5"/>
  <c r="J257" i="5"/>
  <c r="N257" i="7" s="1"/>
  <c r="AS256" i="5"/>
  <c r="AR256" i="5"/>
  <c r="Q256" i="7" s="1"/>
  <c r="AQ256" i="5"/>
  <c r="M256" i="7" s="1"/>
  <c r="AN256" i="5"/>
  <c r="AL256" i="5"/>
  <c r="AC256" i="5"/>
  <c r="R256" i="7" s="1"/>
  <c r="AB256" i="5"/>
  <c r="T256" i="7" s="1"/>
  <c r="AA256" i="5"/>
  <c r="Z256" i="5"/>
  <c r="F256" i="7" s="1"/>
  <c r="Q256" i="5"/>
  <c r="H256" i="7" s="1"/>
  <c r="P256" i="5"/>
  <c r="K256" i="5"/>
  <c r="J256" i="5"/>
  <c r="N256" i="7" s="1"/>
  <c r="AS255" i="5"/>
  <c r="AR255" i="5"/>
  <c r="Q255" i="7" s="1"/>
  <c r="AQ255" i="5"/>
  <c r="M255" i="7" s="1"/>
  <c r="AN255" i="5"/>
  <c r="AL255" i="5"/>
  <c r="AC255" i="5"/>
  <c r="R255" i="7" s="1"/>
  <c r="AB255" i="5"/>
  <c r="T255" i="7" s="1"/>
  <c r="AA255" i="5"/>
  <c r="S255" i="7" s="1"/>
  <c r="Z255" i="5"/>
  <c r="F255" i="7" s="1"/>
  <c r="Q255" i="5"/>
  <c r="H255" i="7" s="1"/>
  <c r="P255" i="5"/>
  <c r="K255" i="5"/>
  <c r="J255" i="5"/>
  <c r="N255" i="7" s="1"/>
  <c r="AS254" i="5"/>
  <c r="AR254" i="5"/>
  <c r="Q254" i="7" s="1"/>
  <c r="AQ254" i="5"/>
  <c r="M254" i="7" s="1"/>
  <c r="AN254" i="5"/>
  <c r="AL254" i="5"/>
  <c r="AC254" i="5"/>
  <c r="R254" i="7" s="1"/>
  <c r="AB254" i="5"/>
  <c r="T254" i="7" s="1"/>
  <c r="AA254" i="5"/>
  <c r="S254" i="7" s="1"/>
  <c r="Z254" i="5"/>
  <c r="F254" i="7" s="1"/>
  <c r="Q254" i="5"/>
  <c r="H254" i="7" s="1"/>
  <c r="P254" i="5"/>
  <c r="K254" i="5"/>
  <c r="J254" i="5"/>
  <c r="N254" i="7" s="1"/>
  <c r="AS253" i="5"/>
  <c r="AR253" i="5"/>
  <c r="Q253" i="7" s="1"/>
  <c r="AQ253" i="5"/>
  <c r="M253" i="7" s="1"/>
  <c r="AN253" i="5"/>
  <c r="AL253" i="5"/>
  <c r="AC253" i="5"/>
  <c r="R253" i="7" s="1"/>
  <c r="AB253" i="5"/>
  <c r="T253" i="7" s="1"/>
  <c r="AA253" i="5"/>
  <c r="Z253" i="5"/>
  <c r="F253" i="7" s="1"/>
  <c r="Q253" i="5"/>
  <c r="H253" i="7" s="1"/>
  <c r="P253" i="5"/>
  <c r="K253" i="5"/>
  <c r="J253" i="5"/>
  <c r="N253" i="7" s="1"/>
  <c r="AS252" i="5"/>
  <c r="AR252" i="5"/>
  <c r="Q252" i="7" s="1"/>
  <c r="AQ252" i="5"/>
  <c r="M252" i="7" s="1"/>
  <c r="AN252" i="5"/>
  <c r="AL252" i="5"/>
  <c r="AC252" i="5"/>
  <c r="R252" i="7" s="1"/>
  <c r="AB252" i="5"/>
  <c r="T252" i="7" s="1"/>
  <c r="AA252" i="5"/>
  <c r="S252" i="7" s="1"/>
  <c r="Z252" i="5"/>
  <c r="F252" i="7" s="1"/>
  <c r="Q252" i="5"/>
  <c r="H252" i="7" s="1"/>
  <c r="P252" i="5"/>
  <c r="K252" i="5"/>
  <c r="J252" i="5"/>
  <c r="N252" i="7" s="1"/>
  <c r="AS251" i="5"/>
  <c r="AR251" i="5"/>
  <c r="Q251" i="7" s="1"/>
  <c r="AQ251" i="5"/>
  <c r="M251" i="7" s="1"/>
  <c r="AN251" i="5"/>
  <c r="AL251" i="5"/>
  <c r="AC251" i="5"/>
  <c r="R251" i="7" s="1"/>
  <c r="AB251" i="5"/>
  <c r="T251" i="7" s="1"/>
  <c r="AA251" i="5"/>
  <c r="S251" i="7" s="1"/>
  <c r="Z251" i="5"/>
  <c r="F251" i="7" s="1"/>
  <c r="Q251" i="5"/>
  <c r="H251" i="7" s="1"/>
  <c r="P251" i="5"/>
  <c r="K251" i="5"/>
  <c r="J251" i="5"/>
  <c r="N251" i="7" s="1"/>
  <c r="AS250" i="5"/>
  <c r="AR250" i="5"/>
  <c r="Q250" i="7" s="1"/>
  <c r="AQ250" i="5"/>
  <c r="M250" i="7" s="1"/>
  <c r="AN250" i="5"/>
  <c r="AL250" i="5"/>
  <c r="AC250" i="5"/>
  <c r="R250" i="7" s="1"/>
  <c r="AB250" i="5"/>
  <c r="T250" i="7" s="1"/>
  <c r="AA250" i="5"/>
  <c r="S250" i="7" s="1"/>
  <c r="Z250" i="5"/>
  <c r="F250" i="7" s="1"/>
  <c r="Q250" i="5"/>
  <c r="H250" i="7" s="1"/>
  <c r="P250" i="5"/>
  <c r="K250" i="5"/>
  <c r="J250" i="5"/>
  <c r="N250" i="7" s="1"/>
  <c r="AS249" i="5"/>
  <c r="AR249" i="5"/>
  <c r="Q249" i="7" s="1"/>
  <c r="AQ249" i="5"/>
  <c r="M249" i="7" s="1"/>
  <c r="AN249" i="5"/>
  <c r="AL249" i="5"/>
  <c r="AC249" i="5"/>
  <c r="R249" i="7" s="1"/>
  <c r="AB249" i="5"/>
  <c r="T249" i="7" s="1"/>
  <c r="AA249" i="5"/>
  <c r="S249" i="7" s="1"/>
  <c r="Z249" i="5"/>
  <c r="F249" i="7" s="1"/>
  <c r="Q249" i="5"/>
  <c r="H249" i="7" s="1"/>
  <c r="P249" i="5"/>
  <c r="K249" i="5"/>
  <c r="J249" i="5"/>
  <c r="N249" i="7" s="1"/>
  <c r="AS248" i="5"/>
  <c r="AR248" i="5"/>
  <c r="Q248" i="7" s="1"/>
  <c r="AQ248" i="5"/>
  <c r="M248" i="7" s="1"/>
  <c r="AN248" i="5"/>
  <c r="AL248" i="5"/>
  <c r="AC248" i="5"/>
  <c r="R248" i="7" s="1"/>
  <c r="AB248" i="5"/>
  <c r="T248" i="7" s="1"/>
  <c r="AA248" i="5"/>
  <c r="S248" i="7" s="1"/>
  <c r="Z248" i="5"/>
  <c r="F248" i="7" s="1"/>
  <c r="Q248" i="5"/>
  <c r="H248" i="7" s="1"/>
  <c r="P248" i="5"/>
  <c r="K248" i="5"/>
  <c r="J248" i="5"/>
  <c r="N248" i="7" s="1"/>
  <c r="AS247" i="5"/>
  <c r="AR247" i="5"/>
  <c r="Q247" i="7" s="1"/>
  <c r="AQ247" i="5"/>
  <c r="M247" i="7" s="1"/>
  <c r="AN247" i="5"/>
  <c r="AL247" i="5"/>
  <c r="AC247" i="5"/>
  <c r="R247" i="7" s="1"/>
  <c r="AB247" i="5"/>
  <c r="T247" i="7" s="1"/>
  <c r="AA247" i="5"/>
  <c r="Z247" i="5"/>
  <c r="F247" i="7" s="1"/>
  <c r="Q247" i="5"/>
  <c r="H247" i="7" s="1"/>
  <c r="P247" i="5"/>
  <c r="K247" i="5"/>
  <c r="J247" i="5"/>
  <c r="N247" i="7" s="1"/>
  <c r="AS246" i="5"/>
  <c r="AR246" i="5"/>
  <c r="Q246" i="7" s="1"/>
  <c r="AQ246" i="5"/>
  <c r="M246" i="7" s="1"/>
  <c r="AN246" i="5"/>
  <c r="AL246" i="5"/>
  <c r="AC246" i="5"/>
  <c r="R246" i="7" s="1"/>
  <c r="AB246" i="5"/>
  <c r="T246" i="7" s="1"/>
  <c r="AA246" i="5"/>
  <c r="Z246" i="5"/>
  <c r="F246" i="7" s="1"/>
  <c r="Q246" i="5"/>
  <c r="H246" i="7" s="1"/>
  <c r="P246" i="5"/>
  <c r="K246" i="5"/>
  <c r="J246" i="5"/>
  <c r="N246" i="7" s="1"/>
  <c r="AS245" i="5"/>
  <c r="AR245" i="5"/>
  <c r="Q245" i="7" s="1"/>
  <c r="AQ245" i="5"/>
  <c r="M245" i="7" s="1"/>
  <c r="AN245" i="5"/>
  <c r="AL245" i="5"/>
  <c r="AC245" i="5"/>
  <c r="R245" i="7" s="1"/>
  <c r="AB245" i="5"/>
  <c r="T245" i="7" s="1"/>
  <c r="AA245" i="5"/>
  <c r="Z245" i="5"/>
  <c r="F245" i="7" s="1"/>
  <c r="Q245" i="5"/>
  <c r="H245" i="7" s="1"/>
  <c r="P245" i="5"/>
  <c r="K245" i="5"/>
  <c r="J245" i="5"/>
  <c r="N245" i="7" s="1"/>
  <c r="AS244" i="5"/>
  <c r="AR244" i="5"/>
  <c r="Q244" i="7" s="1"/>
  <c r="AQ244" i="5"/>
  <c r="M244" i="7" s="1"/>
  <c r="AN244" i="5"/>
  <c r="AL244" i="5"/>
  <c r="AC244" i="5"/>
  <c r="R244" i="7" s="1"/>
  <c r="AB244" i="5"/>
  <c r="T244" i="7" s="1"/>
  <c r="AA244" i="5"/>
  <c r="S244" i="7" s="1"/>
  <c r="Z244" i="5"/>
  <c r="F244" i="7" s="1"/>
  <c r="Q244" i="5"/>
  <c r="H244" i="7" s="1"/>
  <c r="P244" i="5"/>
  <c r="K244" i="5"/>
  <c r="J244" i="5"/>
  <c r="N244" i="7" s="1"/>
  <c r="AS243" i="5"/>
  <c r="AR243" i="5"/>
  <c r="Q243" i="7" s="1"/>
  <c r="AQ243" i="5"/>
  <c r="M243" i="7" s="1"/>
  <c r="AN243" i="5"/>
  <c r="AL243" i="5"/>
  <c r="AC243" i="5"/>
  <c r="R243" i="7" s="1"/>
  <c r="AB243" i="5"/>
  <c r="T243" i="7" s="1"/>
  <c r="AA243" i="5"/>
  <c r="S243" i="7" s="1"/>
  <c r="Z243" i="5"/>
  <c r="F243" i="7" s="1"/>
  <c r="Q243" i="5"/>
  <c r="H243" i="7" s="1"/>
  <c r="P243" i="5"/>
  <c r="K243" i="5"/>
  <c r="J243" i="5"/>
  <c r="N243" i="7" s="1"/>
  <c r="AS242" i="5"/>
  <c r="AR242" i="5"/>
  <c r="Q242" i="7" s="1"/>
  <c r="AQ242" i="5"/>
  <c r="M242" i="7" s="1"/>
  <c r="AN242" i="5"/>
  <c r="AL242" i="5"/>
  <c r="AC242" i="5"/>
  <c r="R242" i="7" s="1"/>
  <c r="AB242" i="5"/>
  <c r="T242" i="7" s="1"/>
  <c r="AA242" i="5"/>
  <c r="S242" i="7" s="1"/>
  <c r="Z242" i="5"/>
  <c r="F242" i="7" s="1"/>
  <c r="Q242" i="5"/>
  <c r="H242" i="7" s="1"/>
  <c r="P242" i="5"/>
  <c r="K242" i="5"/>
  <c r="J242" i="5"/>
  <c r="N242" i="7" s="1"/>
  <c r="AS241" i="5"/>
  <c r="AR241" i="5"/>
  <c r="Q241" i="7" s="1"/>
  <c r="AQ241" i="5"/>
  <c r="M241" i="7" s="1"/>
  <c r="AN241" i="5"/>
  <c r="AL241" i="5"/>
  <c r="AC241" i="5"/>
  <c r="R241" i="7" s="1"/>
  <c r="AB241" i="5"/>
  <c r="T241" i="7" s="1"/>
  <c r="AA241" i="5"/>
  <c r="S241" i="7" s="1"/>
  <c r="Z241" i="5"/>
  <c r="F241" i="7" s="1"/>
  <c r="Q241" i="5"/>
  <c r="H241" i="7" s="1"/>
  <c r="P241" i="5"/>
  <c r="K241" i="5"/>
  <c r="J241" i="5"/>
  <c r="N241" i="7" s="1"/>
  <c r="AS240" i="5"/>
  <c r="AR240" i="5"/>
  <c r="Q240" i="7" s="1"/>
  <c r="AQ240" i="5"/>
  <c r="M240" i="7" s="1"/>
  <c r="AN240" i="5"/>
  <c r="AL240" i="5"/>
  <c r="AC240" i="5"/>
  <c r="R240" i="7" s="1"/>
  <c r="AB240" i="5"/>
  <c r="T240" i="7" s="1"/>
  <c r="AA240" i="5"/>
  <c r="S240" i="7" s="1"/>
  <c r="Z240" i="5"/>
  <c r="F240" i="7" s="1"/>
  <c r="Q240" i="5"/>
  <c r="H240" i="7" s="1"/>
  <c r="P240" i="5"/>
  <c r="K240" i="5"/>
  <c r="J240" i="5"/>
  <c r="N240" i="7" s="1"/>
  <c r="AS239" i="5"/>
  <c r="AR239" i="5"/>
  <c r="Q239" i="7" s="1"/>
  <c r="AQ239" i="5"/>
  <c r="M239" i="7" s="1"/>
  <c r="AN239" i="5"/>
  <c r="AL239" i="5"/>
  <c r="AC239" i="5"/>
  <c r="R239" i="7" s="1"/>
  <c r="AB239" i="5"/>
  <c r="T239" i="7" s="1"/>
  <c r="AA239" i="5"/>
  <c r="Z239" i="5"/>
  <c r="F239" i="7" s="1"/>
  <c r="Q239" i="5"/>
  <c r="H239" i="7" s="1"/>
  <c r="P239" i="5"/>
  <c r="K239" i="5"/>
  <c r="J239" i="5"/>
  <c r="N239" i="7" s="1"/>
  <c r="AS238" i="5"/>
  <c r="AR238" i="5"/>
  <c r="Q238" i="7" s="1"/>
  <c r="AQ238" i="5"/>
  <c r="M238" i="7" s="1"/>
  <c r="AN238" i="5"/>
  <c r="AL238" i="5"/>
  <c r="AC238" i="5"/>
  <c r="R238" i="7" s="1"/>
  <c r="AB238" i="5"/>
  <c r="T238" i="7" s="1"/>
  <c r="AA238" i="5"/>
  <c r="S238" i="7" s="1"/>
  <c r="Z238" i="5"/>
  <c r="F238" i="7" s="1"/>
  <c r="Q238" i="5"/>
  <c r="H238" i="7" s="1"/>
  <c r="P238" i="5"/>
  <c r="K238" i="5"/>
  <c r="J238" i="5"/>
  <c r="N238" i="7" s="1"/>
  <c r="AS237" i="5"/>
  <c r="AR237" i="5"/>
  <c r="Q237" i="7" s="1"/>
  <c r="AQ237" i="5"/>
  <c r="M237" i="7" s="1"/>
  <c r="AN237" i="5"/>
  <c r="AL237" i="5"/>
  <c r="AC237" i="5"/>
  <c r="R237" i="7" s="1"/>
  <c r="AB237" i="5"/>
  <c r="T237" i="7" s="1"/>
  <c r="AA237" i="5"/>
  <c r="S237" i="7" s="1"/>
  <c r="Z237" i="5"/>
  <c r="F237" i="7" s="1"/>
  <c r="Q237" i="5"/>
  <c r="H237" i="7" s="1"/>
  <c r="P237" i="5"/>
  <c r="K237" i="5"/>
  <c r="J237" i="5"/>
  <c r="N237" i="7" s="1"/>
  <c r="AS236" i="5"/>
  <c r="AR236" i="5"/>
  <c r="Q236" i="7" s="1"/>
  <c r="AQ236" i="5"/>
  <c r="M236" i="7" s="1"/>
  <c r="AN236" i="5"/>
  <c r="AL236" i="5"/>
  <c r="AC236" i="5"/>
  <c r="R236" i="7" s="1"/>
  <c r="AB236" i="5"/>
  <c r="T236" i="7" s="1"/>
  <c r="AA236" i="5"/>
  <c r="S236" i="7" s="1"/>
  <c r="Z236" i="5"/>
  <c r="F236" i="7" s="1"/>
  <c r="Q236" i="5"/>
  <c r="H236" i="7" s="1"/>
  <c r="P236" i="5"/>
  <c r="K236" i="5"/>
  <c r="J236" i="5"/>
  <c r="N236" i="7" s="1"/>
  <c r="AS235" i="5"/>
  <c r="AR235" i="5"/>
  <c r="Q235" i="7" s="1"/>
  <c r="AQ235" i="5"/>
  <c r="M235" i="7" s="1"/>
  <c r="AN235" i="5"/>
  <c r="AL235" i="5"/>
  <c r="AC235" i="5"/>
  <c r="R235" i="7" s="1"/>
  <c r="AB235" i="5"/>
  <c r="T235" i="7" s="1"/>
  <c r="AA235" i="5"/>
  <c r="S235" i="7" s="1"/>
  <c r="Z235" i="5"/>
  <c r="F235" i="7" s="1"/>
  <c r="Q235" i="5"/>
  <c r="H235" i="7" s="1"/>
  <c r="P235" i="5"/>
  <c r="K235" i="5"/>
  <c r="J235" i="5"/>
  <c r="N235" i="7" s="1"/>
  <c r="AS234" i="5"/>
  <c r="AR234" i="5"/>
  <c r="Q234" i="7" s="1"/>
  <c r="AQ234" i="5"/>
  <c r="M234" i="7" s="1"/>
  <c r="AN234" i="5"/>
  <c r="AL234" i="5"/>
  <c r="AC234" i="5"/>
  <c r="R234" i="7" s="1"/>
  <c r="AB234" i="5"/>
  <c r="T234" i="7" s="1"/>
  <c r="AA234" i="5"/>
  <c r="Z234" i="5"/>
  <c r="F234" i="7" s="1"/>
  <c r="Q234" i="5"/>
  <c r="H234" i="7" s="1"/>
  <c r="P234" i="5"/>
  <c r="K234" i="5"/>
  <c r="J234" i="5"/>
  <c r="N234" i="7" s="1"/>
  <c r="AS233" i="5"/>
  <c r="AR233" i="5"/>
  <c r="Q233" i="7" s="1"/>
  <c r="AQ233" i="5"/>
  <c r="M233" i="7" s="1"/>
  <c r="AN233" i="5"/>
  <c r="AL233" i="5"/>
  <c r="AC233" i="5"/>
  <c r="R233" i="7" s="1"/>
  <c r="AB233" i="5"/>
  <c r="T233" i="7" s="1"/>
  <c r="AA233" i="5"/>
  <c r="Z233" i="5"/>
  <c r="F233" i="7" s="1"/>
  <c r="Q233" i="5"/>
  <c r="H233" i="7" s="1"/>
  <c r="P233" i="5"/>
  <c r="K233" i="5"/>
  <c r="J233" i="5"/>
  <c r="N233" i="7" s="1"/>
  <c r="AS232" i="5"/>
  <c r="AR232" i="5"/>
  <c r="Q232" i="7" s="1"/>
  <c r="AQ232" i="5"/>
  <c r="M232" i="7" s="1"/>
  <c r="AN232" i="5"/>
  <c r="AL232" i="5"/>
  <c r="AC232" i="5"/>
  <c r="R232" i="7" s="1"/>
  <c r="AB232" i="5"/>
  <c r="T232" i="7" s="1"/>
  <c r="AA232" i="5"/>
  <c r="Z232" i="5"/>
  <c r="F232" i="7" s="1"/>
  <c r="Q232" i="5"/>
  <c r="H232" i="7" s="1"/>
  <c r="P232" i="5"/>
  <c r="K232" i="5"/>
  <c r="J232" i="5"/>
  <c r="N232" i="7" s="1"/>
  <c r="AS231" i="5"/>
  <c r="AR231" i="5"/>
  <c r="Q231" i="7" s="1"/>
  <c r="AQ231" i="5"/>
  <c r="M231" i="7" s="1"/>
  <c r="AN231" i="5"/>
  <c r="AL231" i="5"/>
  <c r="AC231" i="5"/>
  <c r="R231" i="7" s="1"/>
  <c r="AB231" i="5"/>
  <c r="T231" i="7" s="1"/>
  <c r="AA231" i="5"/>
  <c r="S231" i="7" s="1"/>
  <c r="Z231" i="5"/>
  <c r="F231" i="7" s="1"/>
  <c r="Q231" i="5"/>
  <c r="H231" i="7" s="1"/>
  <c r="P231" i="5"/>
  <c r="K231" i="5"/>
  <c r="J231" i="5"/>
  <c r="N231" i="7" s="1"/>
  <c r="AS230" i="5"/>
  <c r="AR230" i="5"/>
  <c r="Q230" i="7" s="1"/>
  <c r="AQ230" i="5"/>
  <c r="M230" i="7" s="1"/>
  <c r="AN230" i="5"/>
  <c r="AL230" i="5"/>
  <c r="AC230" i="5"/>
  <c r="R230" i="7" s="1"/>
  <c r="AB230" i="5"/>
  <c r="T230" i="7" s="1"/>
  <c r="AA230" i="5"/>
  <c r="S230" i="7" s="1"/>
  <c r="Z230" i="5"/>
  <c r="F230" i="7" s="1"/>
  <c r="Q230" i="5"/>
  <c r="H230" i="7" s="1"/>
  <c r="P230" i="5"/>
  <c r="K230" i="5"/>
  <c r="J230" i="5"/>
  <c r="N230" i="7" s="1"/>
  <c r="AS229" i="5"/>
  <c r="AR229" i="5"/>
  <c r="Q229" i="7" s="1"/>
  <c r="AQ229" i="5"/>
  <c r="M229" i="7" s="1"/>
  <c r="AN229" i="5"/>
  <c r="AL229" i="5"/>
  <c r="AC229" i="5"/>
  <c r="R229" i="7" s="1"/>
  <c r="AB229" i="5"/>
  <c r="T229" i="7" s="1"/>
  <c r="AA229" i="5"/>
  <c r="Z229" i="5"/>
  <c r="F229" i="7" s="1"/>
  <c r="Q229" i="5"/>
  <c r="H229" i="7" s="1"/>
  <c r="P229" i="5"/>
  <c r="K229" i="5"/>
  <c r="J229" i="5"/>
  <c r="N229" i="7" s="1"/>
  <c r="AS228" i="5"/>
  <c r="AR228" i="5"/>
  <c r="Q228" i="7" s="1"/>
  <c r="AQ228" i="5"/>
  <c r="M228" i="7" s="1"/>
  <c r="AN228" i="5"/>
  <c r="AL228" i="5"/>
  <c r="AC228" i="5"/>
  <c r="R228" i="7" s="1"/>
  <c r="AB228" i="5"/>
  <c r="T228" i="7" s="1"/>
  <c r="AA228" i="5"/>
  <c r="Z228" i="5"/>
  <c r="F228" i="7" s="1"/>
  <c r="Q228" i="5"/>
  <c r="H228" i="7" s="1"/>
  <c r="P228" i="5"/>
  <c r="K228" i="5"/>
  <c r="J228" i="5"/>
  <c r="N228" i="7" s="1"/>
  <c r="AS227" i="5"/>
  <c r="AR227" i="5"/>
  <c r="Q227" i="7" s="1"/>
  <c r="AQ227" i="5"/>
  <c r="M227" i="7" s="1"/>
  <c r="AN227" i="5"/>
  <c r="AL227" i="5"/>
  <c r="AC227" i="5"/>
  <c r="R227" i="7" s="1"/>
  <c r="AB227" i="5"/>
  <c r="T227" i="7" s="1"/>
  <c r="AA227" i="5"/>
  <c r="Z227" i="5"/>
  <c r="F227" i="7" s="1"/>
  <c r="Q227" i="5"/>
  <c r="H227" i="7" s="1"/>
  <c r="P227" i="5"/>
  <c r="K227" i="5"/>
  <c r="J227" i="5"/>
  <c r="N227" i="7" s="1"/>
  <c r="AS226" i="5"/>
  <c r="AR226" i="5"/>
  <c r="Q226" i="7" s="1"/>
  <c r="AQ226" i="5"/>
  <c r="M226" i="7" s="1"/>
  <c r="AN226" i="5"/>
  <c r="AL226" i="5"/>
  <c r="AC226" i="5"/>
  <c r="R226" i="7" s="1"/>
  <c r="AB226" i="5"/>
  <c r="T226" i="7" s="1"/>
  <c r="AA226" i="5"/>
  <c r="S226" i="7" s="1"/>
  <c r="Z226" i="5"/>
  <c r="F226" i="7" s="1"/>
  <c r="Q226" i="5"/>
  <c r="H226" i="7" s="1"/>
  <c r="P226" i="5"/>
  <c r="K226" i="5"/>
  <c r="J226" i="5"/>
  <c r="N226" i="7" s="1"/>
  <c r="AS225" i="5"/>
  <c r="AR225" i="5"/>
  <c r="Q225" i="7" s="1"/>
  <c r="AQ225" i="5"/>
  <c r="M225" i="7" s="1"/>
  <c r="AN225" i="5"/>
  <c r="AL225" i="5"/>
  <c r="AC225" i="5"/>
  <c r="R225" i="7" s="1"/>
  <c r="AB225" i="5"/>
  <c r="T225" i="7" s="1"/>
  <c r="AA225" i="5"/>
  <c r="Z225" i="5"/>
  <c r="F225" i="7" s="1"/>
  <c r="Q225" i="5"/>
  <c r="H225" i="7" s="1"/>
  <c r="P225" i="5"/>
  <c r="K225" i="5"/>
  <c r="J225" i="5"/>
  <c r="N225" i="7" s="1"/>
  <c r="AS224" i="5"/>
  <c r="AR224" i="5"/>
  <c r="Q224" i="7" s="1"/>
  <c r="AQ224" i="5"/>
  <c r="M224" i="7" s="1"/>
  <c r="AN224" i="5"/>
  <c r="AL224" i="5"/>
  <c r="AC224" i="5"/>
  <c r="R224" i="7" s="1"/>
  <c r="AB224" i="5"/>
  <c r="T224" i="7" s="1"/>
  <c r="AA224" i="5"/>
  <c r="S224" i="7" s="1"/>
  <c r="Z224" i="5"/>
  <c r="F224" i="7" s="1"/>
  <c r="Q224" i="5"/>
  <c r="H224" i="7" s="1"/>
  <c r="P224" i="5"/>
  <c r="K224" i="5"/>
  <c r="J224" i="5"/>
  <c r="N224" i="7" s="1"/>
  <c r="AS223" i="5"/>
  <c r="AR223" i="5"/>
  <c r="Q223" i="7" s="1"/>
  <c r="AQ223" i="5"/>
  <c r="M223" i="7" s="1"/>
  <c r="AN223" i="5"/>
  <c r="AL223" i="5"/>
  <c r="AC223" i="5"/>
  <c r="R223" i="7" s="1"/>
  <c r="AB223" i="5"/>
  <c r="T223" i="7" s="1"/>
  <c r="AA223" i="5"/>
  <c r="Z223" i="5"/>
  <c r="F223" i="7" s="1"/>
  <c r="Q223" i="5"/>
  <c r="H223" i="7" s="1"/>
  <c r="P223" i="5"/>
  <c r="K223" i="5"/>
  <c r="J223" i="5"/>
  <c r="N223" i="7" s="1"/>
  <c r="AS222" i="5"/>
  <c r="AR222" i="5"/>
  <c r="Q222" i="7" s="1"/>
  <c r="AQ222" i="5"/>
  <c r="M222" i="7" s="1"/>
  <c r="AN222" i="5"/>
  <c r="AL222" i="5"/>
  <c r="AC222" i="5"/>
  <c r="R222" i="7" s="1"/>
  <c r="AB222" i="5"/>
  <c r="T222" i="7" s="1"/>
  <c r="AA222" i="5"/>
  <c r="Z222" i="5"/>
  <c r="F222" i="7" s="1"/>
  <c r="Q222" i="5"/>
  <c r="H222" i="7" s="1"/>
  <c r="P222" i="5"/>
  <c r="K222" i="5"/>
  <c r="J222" i="5"/>
  <c r="N222" i="7" s="1"/>
  <c r="AS221" i="5"/>
  <c r="AR221" i="5"/>
  <c r="Q221" i="7" s="1"/>
  <c r="AQ221" i="5"/>
  <c r="M221" i="7" s="1"/>
  <c r="AN221" i="5"/>
  <c r="AL221" i="5"/>
  <c r="AC221" i="5"/>
  <c r="R221" i="7" s="1"/>
  <c r="AB221" i="5"/>
  <c r="T221" i="7" s="1"/>
  <c r="AA221" i="5"/>
  <c r="S221" i="7" s="1"/>
  <c r="Z221" i="5"/>
  <c r="F221" i="7" s="1"/>
  <c r="Q221" i="5"/>
  <c r="H221" i="7" s="1"/>
  <c r="P221" i="5"/>
  <c r="K221" i="5"/>
  <c r="J221" i="5"/>
  <c r="N221" i="7" s="1"/>
  <c r="AS220" i="5"/>
  <c r="AR220" i="5"/>
  <c r="Q220" i="7" s="1"/>
  <c r="AQ220" i="5"/>
  <c r="M220" i="7" s="1"/>
  <c r="AN220" i="5"/>
  <c r="AL220" i="5"/>
  <c r="AC220" i="5"/>
  <c r="R220" i="7" s="1"/>
  <c r="AB220" i="5"/>
  <c r="T220" i="7" s="1"/>
  <c r="AA220" i="5"/>
  <c r="S220" i="7" s="1"/>
  <c r="Z220" i="5"/>
  <c r="F220" i="7" s="1"/>
  <c r="Q220" i="5"/>
  <c r="H220" i="7" s="1"/>
  <c r="P220" i="5"/>
  <c r="K220" i="5"/>
  <c r="J220" i="5"/>
  <c r="N220" i="7" s="1"/>
  <c r="AS219" i="5"/>
  <c r="AR219" i="5"/>
  <c r="Q219" i="7" s="1"/>
  <c r="AQ219" i="5"/>
  <c r="M219" i="7" s="1"/>
  <c r="AN219" i="5"/>
  <c r="AL219" i="5"/>
  <c r="AC219" i="5"/>
  <c r="R219" i="7" s="1"/>
  <c r="AB219" i="5"/>
  <c r="T219" i="7" s="1"/>
  <c r="AA219" i="5"/>
  <c r="S219" i="7" s="1"/>
  <c r="Z219" i="5"/>
  <c r="F219" i="7" s="1"/>
  <c r="Q219" i="5"/>
  <c r="H219" i="7" s="1"/>
  <c r="P219" i="5"/>
  <c r="K219" i="5"/>
  <c r="J219" i="5"/>
  <c r="N219" i="7" s="1"/>
  <c r="AS218" i="5"/>
  <c r="AR218" i="5"/>
  <c r="Q218" i="7" s="1"/>
  <c r="AQ218" i="5"/>
  <c r="M218" i="7" s="1"/>
  <c r="AN218" i="5"/>
  <c r="AL218" i="5"/>
  <c r="AC218" i="5"/>
  <c r="R218" i="7" s="1"/>
  <c r="AB218" i="5"/>
  <c r="T218" i="7" s="1"/>
  <c r="AA218" i="5"/>
  <c r="Z218" i="5"/>
  <c r="F218" i="7" s="1"/>
  <c r="Q218" i="5"/>
  <c r="H218" i="7" s="1"/>
  <c r="P218" i="5"/>
  <c r="K218" i="5"/>
  <c r="J218" i="5"/>
  <c r="N218" i="7" s="1"/>
  <c r="AS217" i="5"/>
  <c r="AR217" i="5"/>
  <c r="Q217" i="7" s="1"/>
  <c r="AQ217" i="5"/>
  <c r="M217" i="7" s="1"/>
  <c r="AN217" i="5"/>
  <c r="AL217" i="5"/>
  <c r="AC217" i="5"/>
  <c r="R217" i="7" s="1"/>
  <c r="AB217" i="5"/>
  <c r="T217" i="7" s="1"/>
  <c r="AA217" i="5"/>
  <c r="Z217" i="5"/>
  <c r="F217" i="7" s="1"/>
  <c r="Q217" i="5"/>
  <c r="H217" i="7" s="1"/>
  <c r="P217" i="5"/>
  <c r="K217" i="5"/>
  <c r="J217" i="5"/>
  <c r="N217" i="7" s="1"/>
  <c r="AS216" i="5"/>
  <c r="AR216" i="5"/>
  <c r="Q216" i="7" s="1"/>
  <c r="AQ216" i="5"/>
  <c r="M216" i="7" s="1"/>
  <c r="AN216" i="5"/>
  <c r="AL216" i="5"/>
  <c r="AC216" i="5"/>
  <c r="R216" i="7" s="1"/>
  <c r="AB216" i="5"/>
  <c r="T216" i="7" s="1"/>
  <c r="AA216" i="5"/>
  <c r="S216" i="7" s="1"/>
  <c r="Z216" i="5"/>
  <c r="F216" i="7" s="1"/>
  <c r="Q216" i="5"/>
  <c r="H216" i="7" s="1"/>
  <c r="P216" i="5"/>
  <c r="K216" i="5"/>
  <c r="J216" i="5"/>
  <c r="N216" i="7" s="1"/>
  <c r="AS215" i="5"/>
  <c r="AR215" i="5"/>
  <c r="Q215" i="7" s="1"/>
  <c r="AQ215" i="5"/>
  <c r="M215" i="7" s="1"/>
  <c r="AN215" i="5"/>
  <c r="AL215" i="5"/>
  <c r="AC215" i="5"/>
  <c r="R215" i="7" s="1"/>
  <c r="AB215" i="5"/>
  <c r="T215" i="7" s="1"/>
  <c r="AA215" i="5"/>
  <c r="S215" i="7" s="1"/>
  <c r="Z215" i="5"/>
  <c r="F215" i="7" s="1"/>
  <c r="Q215" i="5"/>
  <c r="H215" i="7" s="1"/>
  <c r="P215" i="5"/>
  <c r="K215" i="5"/>
  <c r="J215" i="5"/>
  <c r="N215" i="7" s="1"/>
  <c r="AS214" i="5"/>
  <c r="AR214" i="5"/>
  <c r="Q214" i="7" s="1"/>
  <c r="AQ214" i="5"/>
  <c r="M214" i="7" s="1"/>
  <c r="AN214" i="5"/>
  <c r="AL214" i="5"/>
  <c r="AC214" i="5"/>
  <c r="R214" i="7" s="1"/>
  <c r="AB214" i="5"/>
  <c r="T214" i="7" s="1"/>
  <c r="AA214" i="5"/>
  <c r="S214" i="7" s="1"/>
  <c r="Z214" i="5"/>
  <c r="F214" i="7" s="1"/>
  <c r="Q214" i="5"/>
  <c r="H214" i="7" s="1"/>
  <c r="P214" i="5"/>
  <c r="K214" i="5"/>
  <c r="J214" i="5"/>
  <c r="N214" i="7" s="1"/>
  <c r="AS213" i="5"/>
  <c r="AR213" i="5"/>
  <c r="Q213" i="7" s="1"/>
  <c r="AQ213" i="5"/>
  <c r="M213" i="7" s="1"/>
  <c r="AN213" i="5"/>
  <c r="AL213" i="5"/>
  <c r="AC213" i="5"/>
  <c r="R213" i="7" s="1"/>
  <c r="AB213" i="5"/>
  <c r="T213" i="7" s="1"/>
  <c r="AA213" i="5"/>
  <c r="Z213" i="5"/>
  <c r="F213" i="7" s="1"/>
  <c r="Q213" i="5"/>
  <c r="H213" i="7" s="1"/>
  <c r="P213" i="5"/>
  <c r="K213" i="5"/>
  <c r="J213" i="5"/>
  <c r="N213" i="7" s="1"/>
  <c r="AS212" i="5"/>
  <c r="AR212" i="5"/>
  <c r="Q212" i="7" s="1"/>
  <c r="AQ212" i="5"/>
  <c r="M212" i="7" s="1"/>
  <c r="AN212" i="5"/>
  <c r="AL212" i="5"/>
  <c r="AC212" i="5"/>
  <c r="R212" i="7" s="1"/>
  <c r="AB212" i="5"/>
  <c r="T212" i="7" s="1"/>
  <c r="AA212" i="5"/>
  <c r="Z212" i="5"/>
  <c r="F212" i="7" s="1"/>
  <c r="Q212" i="5"/>
  <c r="H212" i="7" s="1"/>
  <c r="P212" i="5"/>
  <c r="K212" i="5"/>
  <c r="J212" i="5"/>
  <c r="N212" i="7" s="1"/>
  <c r="AS211" i="5"/>
  <c r="AR211" i="5"/>
  <c r="Q211" i="7" s="1"/>
  <c r="AQ211" i="5"/>
  <c r="M211" i="7" s="1"/>
  <c r="AN211" i="5"/>
  <c r="AL211" i="5"/>
  <c r="AC211" i="5"/>
  <c r="R211" i="7" s="1"/>
  <c r="AB211" i="5"/>
  <c r="T211" i="7" s="1"/>
  <c r="AA211" i="5"/>
  <c r="Z211" i="5"/>
  <c r="F211" i="7" s="1"/>
  <c r="Q211" i="5"/>
  <c r="H211" i="7" s="1"/>
  <c r="P211" i="5"/>
  <c r="K211" i="5"/>
  <c r="J211" i="5"/>
  <c r="N211" i="7" s="1"/>
  <c r="AS210" i="5"/>
  <c r="AR210" i="5"/>
  <c r="Q210" i="7" s="1"/>
  <c r="AQ210" i="5"/>
  <c r="M210" i="7" s="1"/>
  <c r="AN210" i="5"/>
  <c r="AL210" i="5"/>
  <c r="AC210" i="5"/>
  <c r="R210" i="7" s="1"/>
  <c r="AB210" i="5"/>
  <c r="T210" i="7" s="1"/>
  <c r="AA210" i="5"/>
  <c r="S210" i="7" s="1"/>
  <c r="Z210" i="5"/>
  <c r="F210" i="7" s="1"/>
  <c r="Q210" i="5"/>
  <c r="H210" i="7" s="1"/>
  <c r="P210" i="5"/>
  <c r="K210" i="5"/>
  <c r="J210" i="5"/>
  <c r="N210" i="7" s="1"/>
  <c r="AS209" i="5"/>
  <c r="AR209" i="5"/>
  <c r="Q209" i="7" s="1"/>
  <c r="AQ209" i="5"/>
  <c r="M209" i="7" s="1"/>
  <c r="AN209" i="5"/>
  <c r="AL209" i="5"/>
  <c r="AC209" i="5"/>
  <c r="R209" i="7" s="1"/>
  <c r="AB209" i="5"/>
  <c r="T209" i="7" s="1"/>
  <c r="AA209" i="5"/>
  <c r="S209" i="7" s="1"/>
  <c r="Z209" i="5"/>
  <c r="F209" i="7" s="1"/>
  <c r="Q209" i="5"/>
  <c r="H209" i="7" s="1"/>
  <c r="P209" i="5"/>
  <c r="K209" i="5"/>
  <c r="J209" i="5"/>
  <c r="N209" i="7" s="1"/>
  <c r="AS208" i="5"/>
  <c r="AR208" i="5"/>
  <c r="Q208" i="7" s="1"/>
  <c r="AQ208" i="5"/>
  <c r="M208" i="7" s="1"/>
  <c r="AN208" i="5"/>
  <c r="AL208" i="5"/>
  <c r="AC208" i="5"/>
  <c r="R208" i="7" s="1"/>
  <c r="AB208" i="5"/>
  <c r="T208" i="7" s="1"/>
  <c r="AA208" i="5"/>
  <c r="S208" i="7" s="1"/>
  <c r="Z208" i="5"/>
  <c r="F208" i="7" s="1"/>
  <c r="Q208" i="5"/>
  <c r="H208" i="7" s="1"/>
  <c r="P208" i="5"/>
  <c r="K208" i="5"/>
  <c r="J208" i="5"/>
  <c r="N208" i="7" s="1"/>
  <c r="AS207" i="5"/>
  <c r="AR207" i="5"/>
  <c r="Q207" i="7" s="1"/>
  <c r="AQ207" i="5"/>
  <c r="M207" i="7" s="1"/>
  <c r="AN207" i="5"/>
  <c r="AL207" i="5"/>
  <c r="AC207" i="5"/>
  <c r="R207" i="7" s="1"/>
  <c r="AB207" i="5"/>
  <c r="T207" i="7" s="1"/>
  <c r="AA207" i="5"/>
  <c r="Z207" i="5"/>
  <c r="F207" i="7" s="1"/>
  <c r="Q207" i="5"/>
  <c r="H207" i="7" s="1"/>
  <c r="P207" i="5"/>
  <c r="K207" i="5"/>
  <c r="J207" i="5"/>
  <c r="N207" i="7" s="1"/>
  <c r="AS206" i="5"/>
  <c r="AR206" i="5"/>
  <c r="Q206" i="7" s="1"/>
  <c r="AQ206" i="5"/>
  <c r="M206" i="7" s="1"/>
  <c r="AN206" i="5"/>
  <c r="AL206" i="5"/>
  <c r="AC206" i="5"/>
  <c r="R206" i="7" s="1"/>
  <c r="AB206" i="5"/>
  <c r="T206" i="7" s="1"/>
  <c r="AA206" i="5"/>
  <c r="S206" i="7" s="1"/>
  <c r="Z206" i="5"/>
  <c r="F206" i="7" s="1"/>
  <c r="Q206" i="5"/>
  <c r="H206" i="7" s="1"/>
  <c r="P206" i="5"/>
  <c r="K206" i="5"/>
  <c r="J206" i="5"/>
  <c r="N206" i="7" s="1"/>
  <c r="AS205" i="5"/>
  <c r="AR205" i="5"/>
  <c r="Q205" i="7" s="1"/>
  <c r="AQ205" i="5"/>
  <c r="M205" i="7" s="1"/>
  <c r="AN205" i="5"/>
  <c r="AL205" i="5"/>
  <c r="AC205" i="5"/>
  <c r="R205" i="7" s="1"/>
  <c r="AB205" i="5"/>
  <c r="T205" i="7" s="1"/>
  <c r="AA205" i="5"/>
  <c r="Z205" i="5"/>
  <c r="F205" i="7" s="1"/>
  <c r="Q205" i="5"/>
  <c r="H205" i="7" s="1"/>
  <c r="P205" i="5"/>
  <c r="K205" i="5"/>
  <c r="J205" i="5"/>
  <c r="N205" i="7" s="1"/>
  <c r="AS204" i="5"/>
  <c r="AR204" i="5"/>
  <c r="Q204" i="7" s="1"/>
  <c r="AQ204" i="5"/>
  <c r="M204" i="7" s="1"/>
  <c r="AN204" i="5"/>
  <c r="AL204" i="5"/>
  <c r="AC204" i="5"/>
  <c r="R204" i="7" s="1"/>
  <c r="AB204" i="5"/>
  <c r="T204" i="7" s="1"/>
  <c r="AA204" i="5"/>
  <c r="Z204" i="5"/>
  <c r="F204" i="7" s="1"/>
  <c r="Q204" i="5"/>
  <c r="H204" i="7" s="1"/>
  <c r="P204" i="5"/>
  <c r="K204" i="5"/>
  <c r="J204" i="5"/>
  <c r="N204" i="7" s="1"/>
  <c r="AS203" i="5"/>
  <c r="AR203" i="5"/>
  <c r="Q203" i="7" s="1"/>
  <c r="AQ203" i="5"/>
  <c r="M203" i="7" s="1"/>
  <c r="AN203" i="5"/>
  <c r="AL203" i="5"/>
  <c r="AC203" i="5"/>
  <c r="R203" i="7" s="1"/>
  <c r="AB203" i="5"/>
  <c r="T203" i="7" s="1"/>
  <c r="AA203" i="5"/>
  <c r="S203" i="7" s="1"/>
  <c r="Z203" i="5"/>
  <c r="F203" i="7" s="1"/>
  <c r="Q203" i="5"/>
  <c r="H203" i="7" s="1"/>
  <c r="P203" i="5"/>
  <c r="K203" i="5"/>
  <c r="J203" i="5"/>
  <c r="N203" i="7" s="1"/>
  <c r="AS202" i="5"/>
  <c r="AR202" i="5"/>
  <c r="Q202" i="7" s="1"/>
  <c r="AQ202" i="5"/>
  <c r="M202" i="7" s="1"/>
  <c r="AN202" i="5"/>
  <c r="AL202" i="5"/>
  <c r="AC202" i="5"/>
  <c r="R202" i="7" s="1"/>
  <c r="AB202" i="5"/>
  <c r="T202" i="7" s="1"/>
  <c r="AA202" i="5"/>
  <c r="Z202" i="5"/>
  <c r="F202" i="7" s="1"/>
  <c r="Q202" i="5"/>
  <c r="H202" i="7" s="1"/>
  <c r="P202" i="5"/>
  <c r="K202" i="5"/>
  <c r="J202" i="5"/>
  <c r="N202" i="7" s="1"/>
  <c r="AS201" i="5"/>
  <c r="AR201" i="5"/>
  <c r="Q201" i="7" s="1"/>
  <c r="AQ201" i="5"/>
  <c r="M201" i="7" s="1"/>
  <c r="AN201" i="5"/>
  <c r="AL201" i="5"/>
  <c r="AC201" i="5"/>
  <c r="R201" i="7" s="1"/>
  <c r="AB201" i="5"/>
  <c r="T201" i="7" s="1"/>
  <c r="AA201" i="5"/>
  <c r="S201" i="7" s="1"/>
  <c r="Z201" i="5"/>
  <c r="F201" i="7" s="1"/>
  <c r="Q201" i="5"/>
  <c r="H201" i="7" s="1"/>
  <c r="P201" i="5"/>
  <c r="K201" i="5"/>
  <c r="J201" i="5"/>
  <c r="N201" i="7" s="1"/>
  <c r="AS200" i="5"/>
  <c r="AR200" i="5"/>
  <c r="Q200" i="7" s="1"/>
  <c r="AQ200" i="5"/>
  <c r="M200" i="7" s="1"/>
  <c r="AN200" i="5"/>
  <c r="AL200" i="5"/>
  <c r="AC200" i="5"/>
  <c r="R200" i="7" s="1"/>
  <c r="AB200" i="5"/>
  <c r="T200" i="7" s="1"/>
  <c r="AA200" i="5"/>
  <c r="S200" i="7" s="1"/>
  <c r="Z200" i="5"/>
  <c r="F200" i="7" s="1"/>
  <c r="Q200" i="5"/>
  <c r="H200" i="7" s="1"/>
  <c r="P200" i="5"/>
  <c r="K200" i="5"/>
  <c r="J200" i="5"/>
  <c r="N200" i="7" s="1"/>
  <c r="AS199" i="5"/>
  <c r="AR199" i="5"/>
  <c r="Q199" i="7" s="1"/>
  <c r="AQ199" i="5"/>
  <c r="M199" i="7" s="1"/>
  <c r="AN199" i="5"/>
  <c r="AL199" i="5"/>
  <c r="AC199" i="5"/>
  <c r="R199" i="7" s="1"/>
  <c r="AB199" i="5"/>
  <c r="T199" i="7" s="1"/>
  <c r="AA199" i="5"/>
  <c r="Z199" i="5"/>
  <c r="F199" i="7" s="1"/>
  <c r="Q199" i="5"/>
  <c r="H199" i="7" s="1"/>
  <c r="P199" i="5"/>
  <c r="K199" i="5"/>
  <c r="J199" i="5"/>
  <c r="N199" i="7" s="1"/>
  <c r="AS198" i="5"/>
  <c r="AR198" i="5"/>
  <c r="Q198" i="7" s="1"/>
  <c r="AQ198" i="5"/>
  <c r="M198" i="7" s="1"/>
  <c r="AN198" i="5"/>
  <c r="AL198" i="5"/>
  <c r="AC198" i="5"/>
  <c r="R198" i="7" s="1"/>
  <c r="AB198" i="5"/>
  <c r="T198" i="7" s="1"/>
  <c r="AA198" i="5"/>
  <c r="S198" i="7" s="1"/>
  <c r="Z198" i="5"/>
  <c r="F198" i="7" s="1"/>
  <c r="Q198" i="5"/>
  <c r="H198" i="7" s="1"/>
  <c r="P198" i="5"/>
  <c r="K198" i="5"/>
  <c r="J198" i="5"/>
  <c r="N198" i="7" s="1"/>
  <c r="AS197" i="5"/>
  <c r="AR197" i="5"/>
  <c r="Q197" i="7" s="1"/>
  <c r="AQ197" i="5"/>
  <c r="M197" i="7" s="1"/>
  <c r="AN197" i="5"/>
  <c r="AL197" i="5"/>
  <c r="AC197" i="5"/>
  <c r="R197" i="7" s="1"/>
  <c r="AB197" i="5"/>
  <c r="T197" i="7" s="1"/>
  <c r="AA197" i="5"/>
  <c r="S197" i="7" s="1"/>
  <c r="Z197" i="5"/>
  <c r="F197" i="7" s="1"/>
  <c r="Q197" i="5"/>
  <c r="H197" i="7" s="1"/>
  <c r="P197" i="5"/>
  <c r="K197" i="5"/>
  <c r="J197" i="5"/>
  <c r="N197" i="7" s="1"/>
  <c r="AS196" i="5"/>
  <c r="AR196" i="5"/>
  <c r="Q196" i="7" s="1"/>
  <c r="AQ196" i="5"/>
  <c r="M196" i="7" s="1"/>
  <c r="AN196" i="5"/>
  <c r="AL196" i="5"/>
  <c r="AC196" i="5"/>
  <c r="R196" i="7" s="1"/>
  <c r="AB196" i="5"/>
  <c r="T196" i="7" s="1"/>
  <c r="AA196" i="5"/>
  <c r="Z196" i="5"/>
  <c r="F196" i="7" s="1"/>
  <c r="Q196" i="5"/>
  <c r="H196" i="7" s="1"/>
  <c r="P196" i="5"/>
  <c r="K196" i="5"/>
  <c r="J196" i="5"/>
  <c r="N196" i="7" s="1"/>
  <c r="AS195" i="5"/>
  <c r="AR195" i="5"/>
  <c r="Q195" i="7" s="1"/>
  <c r="AQ195" i="5"/>
  <c r="M195" i="7" s="1"/>
  <c r="AN195" i="5"/>
  <c r="AL195" i="5"/>
  <c r="AC195" i="5"/>
  <c r="R195" i="7" s="1"/>
  <c r="AB195" i="5"/>
  <c r="T195" i="7" s="1"/>
  <c r="AA195" i="5"/>
  <c r="Z195" i="5"/>
  <c r="F195" i="7" s="1"/>
  <c r="Q195" i="5"/>
  <c r="H195" i="7" s="1"/>
  <c r="P195" i="5"/>
  <c r="K195" i="5"/>
  <c r="J195" i="5"/>
  <c r="N195" i="7" s="1"/>
  <c r="AS194" i="5"/>
  <c r="AR194" i="5"/>
  <c r="Q194" i="7" s="1"/>
  <c r="AQ194" i="5"/>
  <c r="M194" i="7" s="1"/>
  <c r="AN194" i="5"/>
  <c r="AL194" i="5"/>
  <c r="AC194" i="5"/>
  <c r="R194" i="7" s="1"/>
  <c r="AB194" i="5"/>
  <c r="T194" i="7" s="1"/>
  <c r="AA194" i="5"/>
  <c r="Z194" i="5"/>
  <c r="F194" i="7" s="1"/>
  <c r="Q194" i="5"/>
  <c r="H194" i="7" s="1"/>
  <c r="P194" i="5"/>
  <c r="K194" i="5"/>
  <c r="J194" i="5"/>
  <c r="N194" i="7" s="1"/>
  <c r="AS193" i="5"/>
  <c r="AR193" i="5"/>
  <c r="Q193" i="7" s="1"/>
  <c r="AQ193" i="5"/>
  <c r="M193" i="7" s="1"/>
  <c r="AN193" i="5"/>
  <c r="AL193" i="5"/>
  <c r="AC193" i="5"/>
  <c r="R193" i="7" s="1"/>
  <c r="AB193" i="5"/>
  <c r="T193" i="7" s="1"/>
  <c r="AA193" i="5"/>
  <c r="S193" i="7" s="1"/>
  <c r="Z193" i="5"/>
  <c r="F193" i="7" s="1"/>
  <c r="Q193" i="5"/>
  <c r="H193" i="7" s="1"/>
  <c r="P193" i="5"/>
  <c r="K193" i="5"/>
  <c r="J193" i="5"/>
  <c r="N193" i="7" s="1"/>
  <c r="AS192" i="5"/>
  <c r="AR192" i="5"/>
  <c r="Q192" i="7" s="1"/>
  <c r="AQ192" i="5"/>
  <c r="M192" i="7" s="1"/>
  <c r="AN192" i="5"/>
  <c r="AL192" i="5"/>
  <c r="AC192" i="5"/>
  <c r="R192" i="7" s="1"/>
  <c r="AB192" i="5"/>
  <c r="T192" i="7" s="1"/>
  <c r="AA192" i="5"/>
  <c r="Z192" i="5"/>
  <c r="F192" i="7" s="1"/>
  <c r="Q192" i="5"/>
  <c r="H192" i="7" s="1"/>
  <c r="P192" i="5"/>
  <c r="K192" i="5"/>
  <c r="J192" i="5"/>
  <c r="N192" i="7" s="1"/>
  <c r="AS191" i="5"/>
  <c r="AR191" i="5"/>
  <c r="Q191" i="7" s="1"/>
  <c r="AQ191" i="5"/>
  <c r="M191" i="7" s="1"/>
  <c r="AN191" i="5"/>
  <c r="AL191" i="5"/>
  <c r="AC191" i="5"/>
  <c r="R191" i="7" s="1"/>
  <c r="AB191" i="5"/>
  <c r="T191" i="7" s="1"/>
  <c r="AA191" i="5"/>
  <c r="Z191" i="5"/>
  <c r="F191" i="7" s="1"/>
  <c r="Q191" i="5"/>
  <c r="H191" i="7" s="1"/>
  <c r="P191" i="5"/>
  <c r="K191" i="5"/>
  <c r="J191" i="5"/>
  <c r="N191" i="7" s="1"/>
  <c r="AS190" i="5"/>
  <c r="AR190" i="5"/>
  <c r="Q190" i="7" s="1"/>
  <c r="AQ190" i="5"/>
  <c r="M190" i="7" s="1"/>
  <c r="AN190" i="5"/>
  <c r="AL190" i="5"/>
  <c r="AC190" i="5"/>
  <c r="R190" i="7" s="1"/>
  <c r="AB190" i="5"/>
  <c r="T190" i="7" s="1"/>
  <c r="AA190" i="5"/>
  <c r="Z190" i="5"/>
  <c r="F190" i="7" s="1"/>
  <c r="Q190" i="5"/>
  <c r="H190" i="7" s="1"/>
  <c r="P190" i="5"/>
  <c r="K190" i="5"/>
  <c r="J190" i="5"/>
  <c r="N190" i="7" s="1"/>
  <c r="AS189" i="5"/>
  <c r="AR189" i="5"/>
  <c r="Q189" i="7" s="1"/>
  <c r="AQ189" i="5"/>
  <c r="M189" i="7" s="1"/>
  <c r="AN189" i="5"/>
  <c r="AL189" i="5"/>
  <c r="AC189" i="5"/>
  <c r="R189" i="7" s="1"/>
  <c r="AB189" i="5"/>
  <c r="T189" i="7" s="1"/>
  <c r="AA189" i="5"/>
  <c r="S189" i="7" s="1"/>
  <c r="Z189" i="5"/>
  <c r="F189" i="7" s="1"/>
  <c r="Q189" i="5"/>
  <c r="H189" i="7" s="1"/>
  <c r="P189" i="5"/>
  <c r="K189" i="5"/>
  <c r="J189" i="5"/>
  <c r="N189" i="7" s="1"/>
  <c r="AS188" i="5"/>
  <c r="AR188" i="5"/>
  <c r="Q188" i="7" s="1"/>
  <c r="AQ188" i="5"/>
  <c r="M188" i="7" s="1"/>
  <c r="AN188" i="5"/>
  <c r="AL188" i="5"/>
  <c r="AC188" i="5"/>
  <c r="R188" i="7" s="1"/>
  <c r="AB188" i="5"/>
  <c r="T188" i="7" s="1"/>
  <c r="AA188" i="5"/>
  <c r="S188" i="7" s="1"/>
  <c r="Z188" i="5"/>
  <c r="F188" i="7" s="1"/>
  <c r="Q188" i="5"/>
  <c r="H188" i="7" s="1"/>
  <c r="P188" i="5"/>
  <c r="K188" i="5"/>
  <c r="J188" i="5"/>
  <c r="N188" i="7" s="1"/>
  <c r="AS187" i="5"/>
  <c r="AR187" i="5"/>
  <c r="Q187" i="7" s="1"/>
  <c r="AQ187" i="5"/>
  <c r="M187" i="7" s="1"/>
  <c r="AN187" i="5"/>
  <c r="AL187" i="5"/>
  <c r="AC187" i="5"/>
  <c r="R187" i="7" s="1"/>
  <c r="AB187" i="5"/>
  <c r="T187" i="7" s="1"/>
  <c r="AA187" i="5"/>
  <c r="Z187" i="5"/>
  <c r="F187" i="7" s="1"/>
  <c r="Q187" i="5"/>
  <c r="H187" i="7" s="1"/>
  <c r="P187" i="5"/>
  <c r="K187" i="5"/>
  <c r="J187" i="5"/>
  <c r="N187" i="7" s="1"/>
  <c r="AS186" i="5"/>
  <c r="AR186" i="5"/>
  <c r="Q186" i="7" s="1"/>
  <c r="AQ186" i="5"/>
  <c r="M186" i="7" s="1"/>
  <c r="AN186" i="5"/>
  <c r="AL186" i="5"/>
  <c r="AC186" i="5"/>
  <c r="R186" i="7" s="1"/>
  <c r="AB186" i="5"/>
  <c r="T186" i="7" s="1"/>
  <c r="AA186" i="5"/>
  <c r="Z186" i="5"/>
  <c r="F186" i="7" s="1"/>
  <c r="Q186" i="5"/>
  <c r="H186" i="7" s="1"/>
  <c r="P186" i="5"/>
  <c r="K186" i="5"/>
  <c r="J186" i="5"/>
  <c r="N186" i="7" s="1"/>
  <c r="AS185" i="5"/>
  <c r="AR185" i="5"/>
  <c r="Q185" i="7" s="1"/>
  <c r="AQ185" i="5"/>
  <c r="M185" i="7" s="1"/>
  <c r="AN185" i="5"/>
  <c r="AL185" i="5"/>
  <c r="AC185" i="5"/>
  <c r="R185" i="7" s="1"/>
  <c r="AB185" i="5"/>
  <c r="T185" i="7" s="1"/>
  <c r="AA185" i="5"/>
  <c r="Z185" i="5"/>
  <c r="F185" i="7" s="1"/>
  <c r="Q185" i="5"/>
  <c r="H185" i="7" s="1"/>
  <c r="P185" i="5"/>
  <c r="K185" i="5"/>
  <c r="J185" i="5"/>
  <c r="N185" i="7" s="1"/>
  <c r="AS184" i="5"/>
  <c r="AR184" i="5"/>
  <c r="Q184" i="7" s="1"/>
  <c r="AQ184" i="5"/>
  <c r="M184" i="7" s="1"/>
  <c r="AN184" i="5"/>
  <c r="AL184" i="5"/>
  <c r="AC184" i="5"/>
  <c r="R184" i="7" s="1"/>
  <c r="AB184" i="5"/>
  <c r="T184" i="7" s="1"/>
  <c r="AA184" i="5"/>
  <c r="Z184" i="5"/>
  <c r="F184" i="7" s="1"/>
  <c r="Q184" i="5"/>
  <c r="H184" i="7" s="1"/>
  <c r="P184" i="5"/>
  <c r="K184" i="5"/>
  <c r="J184" i="5"/>
  <c r="N184" i="7" s="1"/>
  <c r="AS183" i="5"/>
  <c r="AR183" i="5"/>
  <c r="Q183" i="7" s="1"/>
  <c r="AQ183" i="5"/>
  <c r="M183" i="7" s="1"/>
  <c r="AN183" i="5"/>
  <c r="AL183" i="5"/>
  <c r="AC183" i="5"/>
  <c r="R183" i="7" s="1"/>
  <c r="AB183" i="5"/>
  <c r="T183" i="7" s="1"/>
  <c r="AA183" i="5"/>
  <c r="S183" i="7" s="1"/>
  <c r="Z183" i="5"/>
  <c r="F183" i="7" s="1"/>
  <c r="Q183" i="5"/>
  <c r="H183" i="7" s="1"/>
  <c r="P183" i="5"/>
  <c r="K183" i="5"/>
  <c r="J183" i="5"/>
  <c r="N183" i="7" s="1"/>
  <c r="AS182" i="5"/>
  <c r="AR182" i="5"/>
  <c r="Q182" i="7" s="1"/>
  <c r="AQ182" i="5"/>
  <c r="M182" i="7" s="1"/>
  <c r="AN182" i="5"/>
  <c r="AL182" i="5"/>
  <c r="AC182" i="5"/>
  <c r="R182" i="7" s="1"/>
  <c r="AB182" i="5"/>
  <c r="T182" i="7" s="1"/>
  <c r="AA182" i="5"/>
  <c r="S182" i="7" s="1"/>
  <c r="Z182" i="5"/>
  <c r="F182" i="7" s="1"/>
  <c r="Q182" i="5"/>
  <c r="H182" i="7" s="1"/>
  <c r="P182" i="5"/>
  <c r="K182" i="5"/>
  <c r="J182" i="5"/>
  <c r="N182" i="7" s="1"/>
  <c r="AS181" i="5"/>
  <c r="AR181" i="5"/>
  <c r="Q181" i="7" s="1"/>
  <c r="AQ181" i="5"/>
  <c r="M181" i="7" s="1"/>
  <c r="AN181" i="5"/>
  <c r="AL181" i="5"/>
  <c r="AC181" i="5"/>
  <c r="R181" i="7" s="1"/>
  <c r="AB181" i="5"/>
  <c r="T181" i="7" s="1"/>
  <c r="AA181" i="5"/>
  <c r="Z181" i="5"/>
  <c r="F181" i="7" s="1"/>
  <c r="Q181" i="5"/>
  <c r="H181" i="7" s="1"/>
  <c r="P181" i="5"/>
  <c r="K181" i="5"/>
  <c r="J181" i="5"/>
  <c r="N181" i="7" s="1"/>
  <c r="AS180" i="5"/>
  <c r="AR180" i="5"/>
  <c r="Q180" i="7" s="1"/>
  <c r="AQ180" i="5"/>
  <c r="M180" i="7" s="1"/>
  <c r="AN180" i="5"/>
  <c r="AL180" i="5"/>
  <c r="AC180" i="5"/>
  <c r="R180" i="7" s="1"/>
  <c r="AB180" i="5"/>
  <c r="T180" i="7" s="1"/>
  <c r="AA180" i="5"/>
  <c r="S180" i="7" s="1"/>
  <c r="Z180" i="5"/>
  <c r="F180" i="7" s="1"/>
  <c r="Q180" i="5"/>
  <c r="H180" i="7" s="1"/>
  <c r="P180" i="5"/>
  <c r="K180" i="5"/>
  <c r="J180" i="5"/>
  <c r="N180" i="7" s="1"/>
  <c r="AS179" i="5"/>
  <c r="AR179" i="5"/>
  <c r="Q179" i="7" s="1"/>
  <c r="AQ179" i="5"/>
  <c r="M179" i="7" s="1"/>
  <c r="AN179" i="5"/>
  <c r="AL179" i="5"/>
  <c r="AC179" i="5"/>
  <c r="R179" i="7" s="1"/>
  <c r="AB179" i="5"/>
  <c r="T179" i="7" s="1"/>
  <c r="AA179" i="5"/>
  <c r="S179" i="7" s="1"/>
  <c r="Z179" i="5"/>
  <c r="F179" i="7" s="1"/>
  <c r="Q179" i="5"/>
  <c r="H179" i="7" s="1"/>
  <c r="P179" i="5"/>
  <c r="K179" i="5"/>
  <c r="J179" i="5"/>
  <c r="N179" i="7" s="1"/>
  <c r="AS178" i="5"/>
  <c r="AR178" i="5"/>
  <c r="Q178" i="7" s="1"/>
  <c r="AQ178" i="5"/>
  <c r="M178" i="7" s="1"/>
  <c r="AN178" i="5"/>
  <c r="AL178" i="5"/>
  <c r="AC178" i="5"/>
  <c r="R178" i="7" s="1"/>
  <c r="AB178" i="5"/>
  <c r="T178" i="7" s="1"/>
  <c r="AA178" i="5"/>
  <c r="S178" i="7" s="1"/>
  <c r="Z178" i="5"/>
  <c r="F178" i="7" s="1"/>
  <c r="Q178" i="5"/>
  <c r="H178" i="7" s="1"/>
  <c r="P178" i="5"/>
  <c r="K178" i="5"/>
  <c r="J178" i="5"/>
  <c r="N178" i="7" s="1"/>
  <c r="AS177" i="5"/>
  <c r="AR177" i="5"/>
  <c r="Q177" i="7" s="1"/>
  <c r="AQ177" i="5"/>
  <c r="M177" i="7" s="1"/>
  <c r="AN177" i="5"/>
  <c r="AL177" i="5"/>
  <c r="AC177" i="5"/>
  <c r="R177" i="7" s="1"/>
  <c r="AB177" i="5"/>
  <c r="T177" i="7" s="1"/>
  <c r="AA177" i="5"/>
  <c r="Z177" i="5"/>
  <c r="F177" i="7" s="1"/>
  <c r="Q177" i="5"/>
  <c r="H177" i="7" s="1"/>
  <c r="P177" i="5"/>
  <c r="K177" i="5"/>
  <c r="J177" i="5"/>
  <c r="N177" i="7" s="1"/>
  <c r="AS176" i="5"/>
  <c r="AR176" i="5"/>
  <c r="Q176" i="7" s="1"/>
  <c r="AQ176" i="5"/>
  <c r="M176" i="7" s="1"/>
  <c r="AN176" i="5"/>
  <c r="AL176" i="5"/>
  <c r="AC176" i="5"/>
  <c r="R176" i="7" s="1"/>
  <c r="AB176" i="5"/>
  <c r="T176" i="7" s="1"/>
  <c r="AA176" i="5"/>
  <c r="S176" i="7" s="1"/>
  <c r="Z176" i="5"/>
  <c r="F176" i="7" s="1"/>
  <c r="Q176" i="5"/>
  <c r="H176" i="7" s="1"/>
  <c r="P176" i="5"/>
  <c r="K176" i="5"/>
  <c r="J176" i="5"/>
  <c r="N176" i="7" s="1"/>
  <c r="AS175" i="5"/>
  <c r="AR175" i="5"/>
  <c r="Q175" i="7" s="1"/>
  <c r="AQ175" i="5"/>
  <c r="M175" i="7" s="1"/>
  <c r="AN175" i="5"/>
  <c r="AL175" i="5"/>
  <c r="AC175" i="5"/>
  <c r="R175" i="7" s="1"/>
  <c r="AB175" i="5"/>
  <c r="T175" i="7" s="1"/>
  <c r="AA175" i="5"/>
  <c r="S175" i="7" s="1"/>
  <c r="Z175" i="5"/>
  <c r="F175" i="7" s="1"/>
  <c r="Q175" i="5"/>
  <c r="H175" i="7" s="1"/>
  <c r="P175" i="5"/>
  <c r="K175" i="5"/>
  <c r="J175" i="5"/>
  <c r="N175" i="7" s="1"/>
  <c r="AS174" i="5"/>
  <c r="AR174" i="5"/>
  <c r="Q174" i="7" s="1"/>
  <c r="AQ174" i="5"/>
  <c r="M174" i="7" s="1"/>
  <c r="AN174" i="5"/>
  <c r="AL174" i="5"/>
  <c r="AC174" i="5"/>
  <c r="R174" i="7" s="1"/>
  <c r="AB174" i="5"/>
  <c r="T174" i="7" s="1"/>
  <c r="AA174" i="5"/>
  <c r="S174" i="7" s="1"/>
  <c r="Z174" i="5"/>
  <c r="F174" i="7" s="1"/>
  <c r="Q174" i="5"/>
  <c r="H174" i="7" s="1"/>
  <c r="P174" i="5"/>
  <c r="K174" i="5"/>
  <c r="J174" i="5"/>
  <c r="N174" i="7" s="1"/>
  <c r="AS173" i="5"/>
  <c r="AR173" i="5"/>
  <c r="Q173" i="7" s="1"/>
  <c r="AQ173" i="5"/>
  <c r="M173" i="7" s="1"/>
  <c r="AN173" i="5"/>
  <c r="AL173" i="5"/>
  <c r="AC173" i="5"/>
  <c r="R173" i="7" s="1"/>
  <c r="AB173" i="5"/>
  <c r="T173" i="7" s="1"/>
  <c r="AA173" i="5"/>
  <c r="S173" i="7" s="1"/>
  <c r="Z173" i="5"/>
  <c r="F173" i="7" s="1"/>
  <c r="Q173" i="5"/>
  <c r="H173" i="7" s="1"/>
  <c r="P173" i="5"/>
  <c r="K173" i="5"/>
  <c r="J173" i="5"/>
  <c r="N173" i="7" s="1"/>
  <c r="AS172" i="5"/>
  <c r="AR172" i="5"/>
  <c r="Q172" i="7" s="1"/>
  <c r="AQ172" i="5"/>
  <c r="M172" i="7" s="1"/>
  <c r="AN172" i="5"/>
  <c r="AL172" i="5"/>
  <c r="AC172" i="5"/>
  <c r="R172" i="7" s="1"/>
  <c r="AB172" i="5"/>
  <c r="T172" i="7" s="1"/>
  <c r="AA172" i="5"/>
  <c r="S172" i="7" s="1"/>
  <c r="Z172" i="5"/>
  <c r="F172" i="7" s="1"/>
  <c r="Q172" i="5"/>
  <c r="H172" i="7" s="1"/>
  <c r="P172" i="5"/>
  <c r="K172" i="5"/>
  <c r="J172" i="5"/>
  <c r="N172" i="7" s="1"/>
  <c r="AS171" i="5"/>
  <c r="AR171" i="5"/>
  <c r="Q171" i="7" s="1"/>
  <c r="AQ171" i="5"/>
  <c r="M171" i="7" s="1"/>
  <c r="AN171" i="5"/>
  <c r="AL171" i="5"/>
  <c r="AC171" i="5"/>
  <c r="R171" i="7" s="1"/>
  <c r="AB171" i="5"/>
  <c r="T171" i="7" s="1"/>
  <c r="AA171" i="5"/>
  <c r="Z171" i="5"/>
  <c r="F171" i="7" s="1"/>
  <c r="Q171" i="5"/>
  <c r="H171" i="7" s="1"/>
  <c r="P171" i="5"/>
  <c r="K171" i="5"/>
  <c r="J171" i="5"/>
  <c r="N171" i="7" s="1"/>
  <c r="AS170" i="5"/>
  <c r="AR170" i="5"/>
  <c r="Q170" i="7" s="1"/>
  <c r="AQ170" i="5"/>
  <c r="M170" i="7" s="1"/>
  <c r="AN170" i="5"/>
  <c r="AL170" i="5"/>
  <c r="AC170" i="5"/>
  <c r="R170" i="7" s="1"/>
  <c r="AB170" i="5"/>
  <c r="T170" i="7" s="1"/>
  <c r="AA170" i="5"/>
  <c r="S170" i="7" s="1"/>
  <c r="Z170" i="5"/>
  <c r="F170" i="7" s="1"/>
  <c r="Q170" i="5"/>
  <c r="H170" i="7" s="1"/>
  <c r="P170" i="5"/>
  <c r="K170" i="5"/>
  <c r="J170" i="5"/>
  <c r="N170" i="7" s="1"/>
  <c r="AS169" i="5"/>
  <c r="AR169" i="5"/>
  <c r="Q169" i="7" s="1"/>
  <c r="AQ169" i="5"/>
  <c r="M169" i="7" s="1"/>
  <c r="AN169" i="5"/>
  <c r="AL169" i="5"/>
  <c r="AC169" i="5"/>
  <c r="R169" i="7" s="1"/>
  <c r="AB169" i="5"/>
  <c r="T169" i="7" s="1"/>
  <c r="AA169" i="5"/>
  <c r="S169" i="7" s="1"/>
  <c r="Z169" i="5"/>
  <c r="F169" i="7" s="1"/>
  <c r="Q169" i="5"/>
  <c r="H169" i="7" s="1"/>
  <c r="P169" i="5"/>
  <c r="K169" i="5"/>
  <c r="J169" i="5"/>
  <c r="N169" i="7" s="1"/>
  <c r="AS168" i="5"/>
  <c r="AR168" i="5"/>
  <c r="Q168" i="7" s="1"/>
  <c r="AQ168" i="5"/>
  <c r="M168" i="7" s="1"/>
  <c r="AN168" i="5"/>
  <c r="AL168" i="5"/>
  <c r="AC168" i="5"/>
  <c r="R168" i="7" s="1"/>
  <c r="AB168" i="5"/>
  <c r="T168" i="7" s="1"/>
  <c r="AA168" i="5"/>
  <c r="Z168" i="5"/>
  <c r="F168" i="7" s="1"/>
  <c r="Q168" i="5"/>
  <c r="H168" i="7" s="1"/>
  <c r="P168" i="5"/>
  <c r="K168" i="5"/>
  <c r="J168" i="5"/>
  <c r="N168" i="7" s="1"/>
  <c r="AS167" i="5"/>
  <c r="AR167" i="5"/>
  <c r="Q167" i="7" s="1"/>
  <c r="AQ167" i="5"/>
  <c r="M167" i="7" s="1"/>
  <c r="AN167" i="5"/>
  <c r="AL167" i="5"/>
  <c r="AC167" i="5"/>
  <c r="R167" i="7" s="1"/>
  <c r="AB167" i="5"/>
  <c r="T167" i="7" s="1"/>
  <c r="AA167" i="5"/>
  <c r="Z167" i="5"/>
  <c r="F167" i="7" s="1"/>
  <c r="Q167" i="5"/>
  <c r="H167" i="7" s="1"/>
  <c r="P167" i="5"/>
  <c r="K167" i="5"/>
  <c r="J167" i="5"/>
  <c r="N167" i="7" s="1"/>
  <c r="AS166" i="5"/>
  <c r="AR166" i="5"/>
  <c r="Q166" i="7" s="1"/>
  <c r="AQ166" i="5"/>
  <c r="M166" i="7" s="1"/>
  <c r="AN166" i="5"/>
  <c r="AL166" i="5"/>
  <c r="AC166" i="5"/>
  <c r="R166" i="7" s="1"/>
  <c r="AB166" i="5"/>
  <c r="T166" i="7" s="1"/>
  <c r="AA166" i="5"/>
  <c r="S166" i="7" s="1"/>
  <c r="Z166" i="5"/>
  <c r="F166" i="7" s="1"/>
  <c r="Q166" i="5"/>
  <c r="H166" i="7" s="1"/>
  <c r="P166" i="5"/>
  <c r="K166" i="5"/>
  <c r="J166" i="5"/>
  <c r="N166" i="7" s="1"/>
  <c r="AS165" i="5"/>
  <c r="AR165" i="5"/>
  <c r="Q165" i="7" s="1"/>
  <c r="AQ165" i="5"/>
  <c r="M165" i="7" s="1"/>
  <c r="AN165" i="5"/>
  <c r="AL165" i="5"/>
  <c r="AC165" i="5"/>
  <c r="R165" i="7" s="1"/>
  <c r="AB165" i="5"/>
  <c r="T165" i="7" s="1"/>
  <c r="AA165" i="5"/>
  <c r="Z165" i="5"/>
  <c r="F165" i="7" s="1"/>
  <c r="Q165" i="5"/>
  <c r="H165" i="7" s="1"/>
  <c r="P165" i="5"/>
  <c r="K165" i="5"/>
  <c r="J165" i="5"/>
  <c r="N165" i="7" s="1"/>
  <c r="AS164" i="5"/>
  <c r="AR164" i="5"/>
  <c r="Q164" i="7" s="1"/>
  <c r="AQ164" i="5"/>
  <c r="M164" i="7" s="1"/>
  <c r="AN164" i="5"/>
  <c r="AL164" i="5"/>
  <c r="AC164" i="5"/>
  <c r="R164" i="7" s="1"/>
  <c r="AB164" i="5"/>
  <c r="T164" i="7" s="1"/>
  <c r="AA164" i="5"/>
  <c r="Z164" i="5"/>
  <c r="F164" i="7" s="1"/>
  <c r="Q164" i="5"/>
  <c r="H164" i="7" s="1"/>
  <c r="P164" i="5"/>
  <c r="K164" i="5"/>
  <c r="J164" i="5"/>
  <c r="N164" i="7" s="1"/>
  <c r="AS163" i="5"/>
  <c r="AR163" i="5"/>
  <c r="Q163" i="7" s="1"/>
  <c r="AQ163" i="5"/>
  <c r="M163" i="7" s="1"/>
  <c r="AN163" i="5"/>
  <c r="AL163" i="5"/>
  <c r="AC163" i="5"/>
  <c r="R163" i="7" s="1"/>
  <c r="AB163" i="5"/>
  <c r="T163" i="7" s="1"/>
  <c r="AA163" i="5"/>
  <c r="Z163" i="5"/>
  <c r="F163" i="7" s="1"/>
  <c r="Q163" i="5"/>
  <c r="H163" i="7" s="1"/>
  <c r="P163" i="5"/>
  <c r="K163" i="5"/>
  <c r="J163" i="5"/>
  <c r="N163" i="7" s="1"/>
  <c r="AS162" i="5"/>
  <c r="AR162" i="5"/>
  <c r="Q162" i="7" s="1"/>
  <c r="AQ162" i="5"/>
  <c r="M162" i="7" s="1"/>
  <c r="AN162" i="5"/>
  <c r="AL162" i="5"/>
  <c r="AC162" i="5"/>
  <c r="R162" i="7" s="1"/>
  <c r="AB162" i="5"/>
  <c r="T162" i="7" s="1"/>
  <c r="AA162" i="5"/>
  <c r="Z162" i="5"/>
  <c r="F162" i="7" s="1"/>
  <c r="Q162" i="5"/>
  <c r="H162" i="7" s="1"/>
  <c r="P162" i="5"/>
  <c r="K162" i="5"/>
  <c r="J162" i="5"/>
  <c r="N162" i="7" s="1"/>
  <c r="AS161" i="5"/>
  <c r="AR161" i="5"/>
  <c r="Q161" i="7" s="1"/>
  <c r="AQ161" i="5"/>
  <c r="M161" i="7" s="1"/>
  <c r="AN161" i="5"/>
  <c r="AL161" i="5"/>
  <c r="AC161" i="5"/>
  <c r="R161" i="7" s="1"/>
  <c r="AB161" i="5"/>
  <c r="T161" i="7" s="1"/>
  <c r="AA161" i="5"/>
  <c r="Z161" i="5"/>
  <c r="F161" i="7" s="1"/>
  <c r="Q161" i="5"/>
  <c r="H161" i="7" s="1"/>
  <c r="P161" i="5"/>
  <c r="K161" i="5"/>
  <c r="J161" i="5"/>
  <c r="N161" i="7" s="1"/>
  <c r="AS160" i="5"/>
  <c r="AR160" i="5"/>
  <c r="Q160" i="7" s="1"/>
  <c r="AQ160" i="5"/>
  <c r="M160" i="7" s="1"/>
  <c r="AN160" i="5"/>
  <c r="AL160" i="5"/>
  <c r="AC160" i="5"/>
  <c r="R160" i="7" s="1"/>
  <c r="AB160" i="5"/>
  <c r="T160" i="7" s="1"/>
  <c r="AA160" i="5"/>
  <c r="Z160" i="5"/>
  <c r="F160" i="7" s="1"/>
  <c r="Q160" i="5"/>
  <c r="H160" i="7" s="1"/>
  <c r="P160" i="5"/>
  <c r="K160" i="5"/>
  <c r="J160" i="5"/>
  <c r="N160" i="7" s="1"/>
  <c r="AS159" i="5"/>
  <c r="AR159" i="5"/>
  <c r="Q159" i="7" s="1"/>
  <c r="AQ159" i="5"/>
  <c r="M159" i="7" s="1"/>
  <c r="AN159" i="5"/>
  <c r="AL159" i="5"/>
  <c r="AC159" i="5"/>
  <c r="R159" i="7" s="1"/>
  <c r="AB159" i="5"/>
  <c r="T159" i="7" s="1"/>
  <c r="AA159" i="5"/>
  <c r="Z159" i="5"/>
  <c r="F159" i="7" s="1"/>
  <c r="Q159" i="5"/>
  <c r="H159" i="7" s="1"/>
  <c r="P159" i="5"/>
  <c r="K159" i="5"/>
  <c r="J159" i="5"/>
  <c r="N159" i="7" s="1"/>
  <c r="AS158" i="5"/>
  <c r="AR158" i="5"/>
  <c r="Q158" i="7" s="1"/>
  <c r="AQ158" i="5"/>
  <c r="M158" i="7" s="1"/>
  <c r="AN158" i="5"/>
  <c r="AL158" i="5"/>
  <c r="AC158" i="5"/>
  <c r="R158" i="7" s="1"/>
  <c r="AB158" i="5"/>
  <c r="T158" i="7" s="1"/>
  <c r="AA158" i="5"/>
  <c r="S158" i="7" s="1"/>
  <c r="Z158" i="5"/>
  <c r="F158" i="7" s="1"/>
  <c r="Q158" i="5"/>
  <c r="H158" i="7" s="1"/>
  <c r="P158" i="5"/>
  <c r="K158" i="5"/>
  <c r="J158" i="5"/>
  <c r="N158" i="7" s="1"/>
  <c r="AS157" i="5"/>
  <c r="AR157" i="5"/>
  <c r="Q157" i="7" s="1"/>
  <c r="AQ157" i="5"/>
  <c r="M157" i="7" s="1"/>
  <c r="AN157" i="5"/>
  <c r="AL157" i="5"/>
  <c r="AC157" i="5"/>
  <c r="R157" i="7" s="1"/>
  <c r="AB157" i="5"/>
  <c r="T157" i="7" s="1"/>
  <c r="AA157" i="5"/>
  <c r="Z157" i="5"/>
  <c r="F157" i="7" s="1"/>
  <c r="Q157" i="5"/>
  <c r="H157" i="7" s="1"/>
  <c r="P157" i="5"/>
  <c r="K157" i="5"/>
  <c r="J157" i="5"/>
  <c r="N157" i="7" s="1"/>
  <c r="AS156" i="5"/>
  <c r="AR156" i="5"/>
  <c r="Q156" i="7" s="1"/>
  <c r="AQ156" i="5"/>
  <c r="M156" i="7" s="1"/>
  <c r="AN156" i="5"/>
  <c r="AL156" i="5"/>
  <c r="AC156" i="5"/>
  <c r="R156" i="7" s="1"/>
  <c r="AB156" i="5"/>
  <c r="T156" i="7" s="1"/>
  <c r="AA156" i="5"/>
  <c r="S156" i="7" s="1"/>
  <c r="Z156" i="5"/>
  <c r="F156" i="7" s="1"/>
  <c r="Q156" i="5"/>
  <c r="H156" i="7" s="1"/>
  <c r="P156" i="5"/>
  <c r="K156" i="5"/>
  <c r="J156" i="5"/>
  <c r="N156" i="7" s="1"/>
  <c r="AS155" i="5"/>
  <c r="AR155" i="5"/>
  <c r="Q155" i="7" s="1"/>
  <c r="AQ155" i="5"/>
  <c r="M155" i="7" s="1"/>
  <c r="AN155" i="5"/>
  <c r="AL155" i="5"/>
  <c r="AC155" i="5"/>
  <c r="R155" i="7" s="1"/>
  <c r="AB155" i="5"/>
  <c r="T155" i="7" s="1"/>
  <c r="AA155" i="5"/>
  <c r="S155" i="7" s="1"/>
  <c r="Z155" i="5"/>
  <c r="F155" i="7" s="1"/>
  <c r="Q155" i="5"/>
  <c r="H155" i="7" s="1"/>
  <c r="P155" i="5"/>
  <c r="K155" i="5"/>
  <c r="J155" i="5"/>
  <c r="N155" i="7" s="1"/>
  <c r="AS154" i="5"/>
  <c r="AR154" i="5"/>
  <c r="Q154" i="7" s="1"/>
  <c r="AQ154" i="5"/>
  <c r="M154" i="7" s="1"/>
  <c r="AN154" i="5"/>
  <c r="AL154" i="5"/>
  <c r="AC154" i="5"/>
  <c r="R154" i="7" s="1"/>
  <c r="AB154" i="5"/>
  <c r="T154" i="7" s="1"/>
  <c r="AA154" i="5"/>
  <c r="Z154" i="5"/>
  <c r="F154" i="7" s="1"/>
  <c r="Q154" i="5"/>
  <c r="H154" i="7" s="1"/>
  <c r="P154" i="5"/>
  <c r="K154" i="5"/>
  <c r="J154" i="5"/>
  <c r="N154" i="7" s="1"/>
  <c r="AS153" i="5"/>
  <c r="AR153" i="5"/>
  <c r="Q153" i="7" s="1"/>
  <c r="AQ153" i="5"/>
  <c r="M153" i="7" s="1"/>
  <c r="AN153" i="5"/>
  <c r="AL153" i="5"/>
  <c r="AC153" i="5"/>
  <c r="R153" i="7" s="1"/>
  <c r="AB153" i="5"/>
  <c r="T153" i="7" s="1"/>
  <c r="AA153" i="5"/>
  <c r="Z153" i="5"/>
  <c r="F153" i="7" s="1"/>
  <c r="Q153" i="5"/>
  <c r="H153" i="7" s="1"/>
  <c r="P153" i="5"/>
  <c r="K153" i="5"/>
  <c r="J153" i="5"/>
  <c r="N153" i="7" s="1"/>
  <c r="AS152" i="5"/>
  <c r="AR152" i="5"/>
  <c r="Q152" i="7" s="1"/>
  <c r="AQ152" i="5"/>
  <c r="M152" i="7" s="1"/>
  <c r="AN152" i="5"/>
  <c r="AL152" i="5"/>
  <c r="AC152" i="5"/>
  <c r="R152" i="7" s="1"/>
  <c r="AB152" i="5"/>
  <c r="T152" i="7" s="1"/>
  <c r="AA152" i="5"/>
  <c r="S152" i="7" s="1"/>
  <c r="Z152" i="5"/>
  <c r="F152" i="7" s="1"/>
  <c r="Q152" i="5"/>
  <c r="H152" i="7" s="1"/>
  <c r="P152" i="5"/>
  <c r="K152" i="5"/>
  <c r="J152" i="5"/>
  <c r="N152" i="7" s="1"/>
  <c r="AS151" i="5"/>
  <c r="AR151" i="5"/>
  <c r="Q151" i="7" s="1"/>
  <c r="AQ151" i="5"/>
  <c r="M151" i="7" s="1"/>
  <c r="AN151" i="5"/>
  <c r="AL151" i="5"/>
  <c r="AC151" i="5"/>
  <c r="R151" i="7" s="1"/>
  <c r="AB151" i="5"/>
  <c r="T151" i="7" s="1"/>
  <c r="AA151" i="5"/>
  <c r="Z151" i="5"/>
  <c r="F151" i="7" s="1"/>
  <c r="Q151" i="5"/>
  <c r="H151" i="7" s="1"/>
  <c r="P151" i="5"/>
  <c r="K151" i="5"/>
  <c r="J151" i="5"/>
  <c r="N151" i="7" s="1"/>
  <c r="AS150" i="5"/>
  <c r="AR150" i="5"/>
  <c r="Q150" i="7" s="1"/>
  <c r="AQ150" i="5"/>
  <c r="M150" i="7" s="1"/>
  <c r="AN150" i="5"/>
  <c r="AL150" i="5"/>
  <c r="AC150" i="5"/>
  <c r="R150" i="7" s="1"/>
  <c r="AB150" i="5"/>
  <c r="T150" i="7" s="1"/>
  <c r="AA150" i="5"/>
  <c r="S150" i="7" s="1"/>
  <c r="Z150" i="5"/>
  <c r="F150" i="7" s="1"/>
  <c r="Q150" i="5"/>
  <c r="H150" i="7" s="1"/>
  <c r="P150" i="5"/>
  <c r="K150" i="5"/>
  <c r="J150" i="5"/>
  <c r="N150" i="7" s="1"/>
  <c r="AS149" i="5"/>
  <c r="AR149" i="5"/>
  <c r="Q149" i="7" s="1"/>
  <c r="AQ149" i="5"/>
  <c r="M149" i="7" s="1"/>
  <c r="AN149" i="5"/>
  <c r="AL149" i="5"/>
  <c r="AC149" i="5"/>
  <c r="R149" i="7" s="1"/>
  <c r="AB149" i="5"/>
  <c r="T149" i="7" s="1"/>
  <c r="AA149" i="5"/>
  <c r="Z149" i="5"/>
  <c r="F149" i="7" s="1"/>
  <c r="Q149" i="5"/>
  <c r="H149" i="7" s="1"/>
  <c r="P149" i="5"/>
  <c r="K149" i="5"/>
  <c r="J149" i="5"/>
  <c r="N149" i="7" s="1"/>
  <c r="AS148" i="5"/>
  <c r="AR148" i="5"/>
  <c r="Q148" i="7" s="1"/>
  <c r="AQ148" i="5"/>
  <c r="M148" i="7" s="1"/>
  <c r="AN148" i="5"/>
  <c r="AL148" i="5"/>
  <c r="AC148" i="5"/>
  <c r="R148" i="7" s="1"/>
  <c r="AB148" i="5"/>
  <c r="T148" i="7" s="1"/>
  <c r="AA148" i="5"/>
  <c r="S148" i="7" s="1"/>
  <c r="Z148" i="5"/>
  <c r="F148" i="7" s="1"/>
  <c r="Q148" i="5"/>
  <c r="H148" i="7" s="1"/>
  <c r="P148" i="5"/>
  <c r="K148" i="5"/>
  <c r="J148" i="5"/>
  <c r="N148" i="7" s="1"/>
  <c r="AS147" i="5"/>
  <c r="AR147" i="5"/>
  <c r="Q147" i="7" s="1"/>
  <c r="AQ147" i="5"/>
  <c r="M147" i="7" s="1"/>
  <c r="AN147" i="5"/>
  <c r="AL147" i="5"/>
  <c r="AC147" i="5"/>
  <c r="R147" i="7" s="1"/>
  <c r="AB147" i="5"/>
  <c r="T147" i="7" s="1"/>
  <c r="AA147" i="5"/>
  <c r="Z147" i="5"/>
  <c r="F147" i="7" s="1"/>
  <c r="Q147" i="5"/>
  <c r="H147" i="7" s="1"/>
  <c r="P147" i="5"/>
  <c r="K147" i="5"/>
  <c r="J147" i="5"/>
  <c r="N147" i="7" s="1"/>
  <c r="AS146" i="5"/>
  <c r="AR146" i="5"/>
  <c r="Q146" i="7" s="1"/>
  <c r="AQ146" i="5"/>
  <c r="M146" i="7" s="1"/>
  <c r="AN146" i="5"/>
  <c r="AL146" i="5"/>
  <c r="AC146" i="5"/>
  <c r="R146" i="7" s="1"/>
  <c r="AB146" i="5"/>
  <c r="T146" i="7" s="1"/>
  <c r="AA146" i="5"/>
  <c r="S146" i="7" s="1"/>
  <c r="Z146" i="5"/>
  <c r="F146" i="7" s="1"/>
  <c r="Q146" i="5"/>
  <c r="H146" i="7" s="1"/>
  <c r="P146" i="5"/>
  <c r="K146" i="5"/>
  <c r="J146" i="5"/>
  <c r="N146" i="7" s="1"/>
  <c r="AS145" i="5"/>
  <c r="AR145" i="5"/>
  <c r="Q145" i="7" s="1"/>
  <c r="AQ145" i="5"/>
  <c r="M145" i="7" s="1"/>
  <c r="AN145" i="5"/>
  <c r="AL145" i="5"/>
  <c r="AC145" i="5"/>
  <c r="R145" i="7" s="1"/>
  <c r="AB145" i="5"/>
  <c r="T145" i="7" s="1"/>
  <c r="AA145" i="5"/>
  <c r="S145" i="7" s="1"/>
  <c r="Z145" i="5"/>
  <c r="F145" i="7" s="1"/>
  <c r="Q145" i="5"/>
  <c r="H145" i="7" s="1"/>
  <c r="P145" i="5"/>
  <c r="K145" i="5"/>
  <c r="J145" i="5"/>
  <c r="N145" i="7" s="1"/>
  <c r="AS144" i="5"/>
  <c r="AR144" i="5"/>
  <c r="Q144" i="7" s="1"/>
  <c r="AQ144" i="5"/>
  <c r="M144" i="7" s="1"/>
  <c r="AN144" i="5"/>
  <c r="AL144" i="5"/>
  <c r="AC144" i="5"/>
  <c r="R144" i="7" s="1"/>
  <c r="AB144" i="5"/>
  <c r="T144" i="7" s="1"/>
  <c r="AA144" i="5"/>
  <c r="S144" i="7" s="1"/>
  <c r="Z144" i="5"/>
  <c r="F144" i="7" s="1"/>
  <c r="Q144" i="5"/>
  <c r="H144" i="7" s="1"/>
  <c r="P144" i="5"/>
  <c r="K144" i="5"/>
  <c r="J144" i="5"/>
  <c r="N144" i="7" s="1"/>
  <c r="AS143" i="5"/>
  <c r="AR143" i="5"/>
  <c r="Q143" i="7" s="1"/>
  <c r="AQ143" i="5"/>
  <c r="M143" i="7" s="1"/>
  <c r="AN143" i="5"/>
  <c r="AL143" i="5"/>
  <c r="AC143" i="5"/>
  <c r="R143" i="7" s="1"/>
  <c r="AB143" i="5"/>
  <c r="T143" i="7" s="1"/>
  <c r="AA143" i="5"/>
  <c r="Z143" i="5"/>
  <c r="F143" i="7" s="1"/>
  <c r="Q143" i="5"/>
  <c r="H143" i="7" s="1"/>
  <c r="P143" i="5"/>
  <c r="K143" i="5"/>
  <c r="J143" i="5"/>
  <c r="N143" i="7" s="1"/>
  <c r="AS142" i="5"/>
  <c r="AR142" i="5"/>
  <c r="Q142" i="7" s="1"/>
  <c r="AQ142" i="5"/>
  <c r="M142" i="7" s="1"/>
  <c r="AN142" i="5"/>
  <c r="AL142" i="5"/>
  <c r="AC142" i="5"/>
  <c r="R142" i="7" s="1"/>
  <c r="AB142" i="5"/>
  <c r="T142" i="7" s="1"/>
  <c r="AA142" i="5"/>
  <c r="Z142" i="5"/>
  <c r="F142" i="7" s="1"/>
  <c r="Q142" i="5"/>
  <c r="H142" i="7" s="1"/>
  <c r="P142" i="5"/>
  <c r="K142" i="5"/>
  <c r="J142" i="5"/>
  <c r="N142" i="7" s="1"/>
  <c r="AS141" i="5"/>
  <c r="AR141" i="5"/>
  <c r="Q141" i="7" s="1"/>
  <c r="AQ141" i="5"/>
  <c r="M141" i="7" s="1"/>
  <c r="AN141" i="5"/>
  <c r="AL141" i="5"/>
  <c r="AC141" i="5"/>
  <c r="R141" i="7" s="1"/>
  <c r="AB141" i="5"/>
  <c r="T141" i="7" s="1"/>
  <c r="AA141" i="5"/>
  <c r="Z141" i="5"/>
  <c r="F141" i="7" s="1"/>
  <c r="Q141" i="5"/>
  <c r="H141" i="7" s="1"/>
  <c r="P141" i="5"/>
  <c r="K141" i="5"/>
  <c r="J141" i="5"/>
  <c r="N141" i="7" s="1"/>
  <c r="AS140" i="5"/>
  <c r="AR140" i="5"/>
  <c r="Q140" i="7" s="1"/>
  <c r="AQ140" i="5"/>
  <c r="M140" i="7" s="1"/>
  <c r="AN140" i="5"/>
  <c r="AL140" i="5"/>
  <c r="AC140" i="5"/>
  <c r="R140" i="7" s="1"/>
  <c r="AB140" i="5"/>
  <c r="T140" i="7" s="1"/>
  <c r="AA140" i="5"/>
  <c r="Z140" i="5"/>
  <c r="F140" i="7" s="1"/>
  <c r="Q140" i="5"/>
  <c r="H140" i="7" s="1"/>
  <c r="P140" i="5"/>
  <c r="K140" i="5"/>
  <c r="J140" i="5"/>
  <c r="N140" i="7" s="1"/>
  <c r="AS139" i="5"/>
  <c r="AR139" i="5"/>
  <c r="Q139" i="7" s="1"/>
  <c r="AQ139" i="5"/>
  <c r="M139" i="7" s="1"/>
  <c r="AN139" i="5"/>
  <c r="AL139" i="5"/>
  <c r="AC139" i="5"/>
  <c r="R139" i="7" s="1"/>
  <c r="AB139" i="5"/>
  <c r="T139" i="7" s="1"/>
  <c r="AA139" i="5"/>
  <c r="Z139" i="5"/>
  <c r="F139" i="7" s="1"/>
  <c r="Q139" i="5"/>
  <c r="H139" i="7" s="1"/>
  <c r="P139" i="5"/>
  <c r="K139" i="5"/>
  <c r="J139" i="5"/>
  <c r="N139" i="7" s="1"/>
  <c r="AS138" i="5"/>
  <c r="AR138" i="5"/>
  <c r="Q138" i="7" s="1"/>
  <c r="AQ138" i="5"/>
  <c r="M138" i="7" s="1"/>
  <c r="AN138" i="5"/>
  <c r="AL138" i="5"/>
  <c r="AC138" i="5"/>
  <c r="R138" i="7" s="1"/>
  <c r="AB138" i="5"/>
  <c r="T138" i="7" s="1"/>
  <c r="AA138" i="5"/>
  <c r="Z138" i="5"/>
  <c r="F138" i="7" s="1"/>
  <c r="Q138" i="5"/>
  <c r="H138" i="7" s="1"/>
  <c r="P138" i="5"/>
  <c r="K138" i="5"/>
  <c r="J138" i="5"/>
  <c r="N138" i="7" s="1"/>
  <c r="AS137" i="5"/>
  <c r="AR137" i="5"/>
  <c r="Q137" i="7" s="1"/>
  <c r="AQ137" i="5"/>
  <c r="M137" i="7" s="1"/>
  <c r="AN137" i="5"/>
  <c r="AL137" i="5"/>
  <c r="AC137" i="5"/>
  <c r="R137" i="7" s="1"/>
  <c r="AB137" i="5"/>
  <c r="T137" i="7" s="1"/>
  <c r="AA137" i="5"/>
  <c r="S137" i="7" s="1"/>
  <c r="Z137" i="5"/>
  <c r="F137" i="7" s="1"/>
  <c r="Q137" i="5"/>
  <c r="H137" i="7" s="1"/>
  <c r="P137" i="5"/>
  <c r="K137" i="5"/>
  <c r="J137" i="5"/>
  <c r="N137" i="7" s="1"/>
  <c r="AS136" i="5"/>
  <c r="AR136" i="5"/>
  <c r="Q136" i="7" s="1"/>
  <c r="AQ136" i="5"/>
  <c r="M136" i="7" s="1"/>
  <c r="AN136" i="5"/>
  <c r="AL136" i="5"/>
  <c r="AC136" i="5"/>
  <c r="R136" i="7" s="1"/>
  <c r="AB136" i="5"/>
  <c r="T136" i="7" s="1"/>
  <c r="AA136" i="5"/>
  <c r="S136" i="7" s="1"/>
  <c r="Z136" i="5"/>
  <c r="F136" i="7" s="1"/>
  <c r="Q136" i="5"/>
  <c r="H136" i="7" s="1"/>
  <c r="P136" i="5"/>
  <c r="K136" i="5"/>
  <c r="J136" i="5"/>
  <c r="N136" i="7" s="1"/>
  <c r="AS135" i="5"/>
  <c r="AR135" i="5"/>
  <c r="Q135" i="7" s="1"/>
  <c r="AQ135" i="5"/>
  <c r="M135" i="7" s="1"/>
  <c r="AN135" i="5"/>
  <c r="AL135" i="5"/>
  <c r="AC135" i="5"/>
  <c r="R135" i="7" s="1"/>
  <c r="AB135" i="5"/>
  <c r="T135" i="7" s="1"/>
  <c r="AA135" i="5"/>
  <c r="Z135" i="5"/>
  <c r="F135" i="7" s="1"/>
  <c r="Q135" i="5"/>
  <c r="H135" i="7" s="1"/>
  <c r="P135" i="5"/>
  <c r="K135" i="5"/>
  <c r="J135" i="5"/>
  <c r="N135" i="7" s="1"/>
  <c r="AS134" i="5"/>
  <c r="AR134" i="5"/>
  <c r="Q134" i="7" s="1"/>
  <c r="AQ134" i="5"/>
  <c r="M134" i="7" s="1"/>
  <c r="AN134" i="5"/>
  <c r="AL134" i="5"/>
  <c r="AC134" i="5"/>
  <c r="R134" i="7" s="1"/>
  <c r="AB134" i="5"/>
  <c r="T134" i="7" s="1"/>
  <c r="AA134" i="5"/>
  <c r="S134" i="7" s="1"/>
  <c r="Z134" i="5"/>
  <c r="F134" i="7" s="1"/>
  <c r="Q134" i="5"/>
  <c r="H134" i="7" s="1"/>
  <c r="P134" i="5"/>
  <c r="K134" i="5"/>
  <c r="J134" i="5"/>
  <c r="N134" i="7" s="1"/>
  <c r="AS133" i="5"/>
  <c r="AR133" i="5"/>
  <c r="Q133" i="7" s="1"/>
  <c r="AQ133" i="5"/>
  <c r="M133" i="7" s="1"/>
  <c r="AN133" i="5"/>
  <c r="AL133" i="5"/>
  <c r="AC133" i="5"/>
  <c r="R133" i="7" s="1"/>
  <c r="AB133" i="5"/>
  <c r="T133" i="7" s="1"/>
  <c r="AA133" i="5"/>
  <c r="S133" i="7" s="1"/>
  <c r="Z133" i="5"/>
  <c r="F133" i="7" s="1"/>
  <c r="Q133" i="5"/>
  <c r="H133" i="7" s="1"/>
  <c r="P133" i="5"/>
  <c r="K133" i="5"/>
  <c r="J133" i="5"/>
  <c r="N133" i="7" s="1"/>
  <c r="AS132" i="5"/>
  <c r="AR132" i="5"/>
  <c r="Q132" i="7" s="1"/>
  <c r="AQ132" i="5"/>
  <c r="M132" i="7" s="1"/>
  <c r="AN132" i="5"/>
  <c r="AL132" i="5"/>
  <c r="AC132" i="5"/>
  <c r="R132" i="7" s="1"/>
  <c r="AB132" i="5"/>
  <c r="T132" i="7" s="1"/>
  <c r="AA132" i="5"/>
  <c r="Z132" i="5"/>
  <c r="F132" i="7" s="1"/>
  <c r="Q132" i="5"/>
  <c r="H132" i="7" s="1"/>
  <c r="P132" i="5"/>
  <c r="K132" i="5"/>
  <c r="J132" i="5"/>
  <c r="N132" i="7" s="1"/>
  <c r="AS131" i="5"/>
  <c r="AR131" i="5"/>
  <c r="Q131" i="7" s="1"/>
  <c r="AQ131" i="5"/>
  <c r="M131" i="7" s="1"/>
  <c r="AN131" i="5"/>
  <c r="AL131" i="5"/>
  <c r="AC131" i="5"/>
  <c r="R131" i="7" s="1"/>
  <c r="AB131" i="5"/>
  <c r="T131" i="7" s="1"/>
  <c r="AA131" i="5"/>
  <c r="S131" i="7" s="1"/>
  <c r="Z131" i="5"/>
  <c r="F131" i="7" s="1"/>
  <c r="Q131" i="5"/>
  <c r="H131" i="7" s="1"/>
  <c r="P131" i="5"/>
  <c r="K131" i="5"/>
  <c r="J131" i="5"/>
  <c r="N131" i="7" s="1"/>
  <c r="AS130" i="5"/>
  <c r="AR130" i="5"/>
  <c r="Q130" i="7" s="1"/>
  <c r="AQ130" i="5"/>
  <c r="M130" i="7" s="1"/>
  <c r="AN130" i="5"/>
  <c r="AL130" i="5"/>
  <c r="AC130" i="5"/>
  <c r="R130" i="7" s="1"/>
  <c r="AB130" i="5"/>
  <c r="T130" i="7" s="1"/>
  <c r="AA130" i="5"/>
  <c r="S130" i="7" s="1"/>
  <c r="Z130" i="5"/>
  <c r="F130" i="7" s="1"/>
  <c r="Q130" i="5"/>
  <c r="H130" i="7" s="1"/>
  <c r="P130" i="5"/>
  <c r="K130" i="5"/>
  <c r="J130" i="5"/>
  <c r="N130" i="7" s="1"/>
  <c r="AS129" i="5"/>
  <c r="AR129" i="5"/>
  <c r="Q129" i="7" s="1"/>
  <c r="AQ129" i="5"/>
  <c r="M129" i="7" s="1"/>
  <c r="AN129" i="5"/>
  <c r="AL129" i="5"/>
  <c r="AC129" i="5"/>
  <c r="R129" i="7" s="1"/>
  <c r="AB129" i="5"/>
  <c r="T129" i="7" s="1"/>
  <c r="AA129" i="5"/>
  <c r="S129" i="7" s="1"/>
  <c r="Z129" i="5"/>
  <c r="F129" i="7" s="1"/>
  <c r="Q129" i="5"/>
  <c r="H129" i="7" s="1"/>
  <c r="P129" i="5"/>
  <c r="K129" i="5"/>
  <c r="J129" i="5"/>
  <c r="N129" i="7" s="1"/>
  <c r="AS128" i="5"/>
  <c r="AR128" i="5"/>
  <c r="Q128" i="7" s="1"/>
  <c r="AQ128" i="5"/>
  <c r="M128" i="7" s="1"/>
  <c r="AN128" i="5"/>
  <c r="AL128" i="5"/>
  <c r="AC128" i="5"/>
  <c r="R128" i="7" s="1"/>
  <c r="AB128" i="5"/>
  <c r="T128" i="7" s="1"/>
  <c r="AA128" i="5"/>
  <c r="Z128" i="5"/>
  <c r="F128" i="7" s="1"/>
  <c r="Q128" i="5"/>
  <c r="H128" i="7" s="1"/>
  <c r="P128" i="5"/>
  <c r="K128" i="5"/>
  <c r="J128" i="5"/>
  <c r="N128" i="7" s="1"/>
  <c r="AS127" i="5"/>
  <c r="AR127" i="5"/>
  <c r="Q127" i="7" s="1"/>
  <c r="AQ127" i="5"/>
  <c r="M127" i="7" s="1"/>
  <c r="AN127" i="5"/>
  <c r="AL127" i="5"/>
  <c r="AC127" i="5"/>
  <c r="R127" i="7" s="1"/>
  <c r="AB127" i="5"/>
  <c r="T127" i="7" s="1"/>
  <c r="AA127" i="5"/>
  <c r="S127" i="7" s="1"/>
  <c r="Z127" i="5"/>
  <c r="F127" i="7" s="1"/>
  <c r="Q127" i="5"/>
  <c r="H127" i="7" s="1"/>
  <c r="P127" i="5"/>
  <c r="K127" i="5"/>
  <c r="J127" i="5"/>
  <c r="N127" i="7" s="1"/>
  <c r="AS126" i="5"/>
  <c r="AR126" i="5"/>
  <c r="Q126" i="7" s="1"/>
  <c r="AQ126" i="5"/>
  <c r="M126" i="7" s="1"/>
  <c r="AN126" i="5"/>
  <c r="AL126" i="5"/>
  <c r="AC126" i="5"/>
  <c r="R126" i="7" s="1"/>
  <c r="AB126" i="5"/>
  <c r="T126" i="7" s="1"/>
  <c r="AA126" i="5"/>
  <c r="S126" i="7" s="1"/>
  <c r="Z126" i="5"/>
  <c r="F126" i="7" s="1"/>
  <c r="Q126" i="5"/>
  <c r="H126" i="7" s="1"/>
  <c r="P126" i="5"/>
  <c r="K126" i="5"/>
  <c r="J126" i="5"/>
  <c r="N126" i="7" s="1"/>
  <c r="AS125" i="5"/>
  <c r="AR125" i="5"/>
  <c r="Q125" i="7" s="1"/>
  <c r="AQ125" i="5"/>
  <c r="M125" i="7" s="1"/>
  <c r="AN125" i="5"/>
  <c r="AL125" i="5"/>
  <c r="AC125" i="5"/>
  <c r="R125" i="7" s="1"/>
  <c r="AB125" i="5"/>
  <c r="T125" i="7" s="1"/>
  <c r="AA125" i="5"/>
  <c r="Z125" i="5"/>
  <c r="F125" i="7" s="1"/>
  <c r="Q125" i="5"/>
  <c r="H125" i="7" s="1"/>
  <c r="P125" i="5"/>
  <c r="K125" i="5"/>
  <c r="J125" i="5"/>
  <c r="N125" i="7" s="1"/>
  <c r="AS124" i="5"/>
  <c r="AR124" i="5"/>
  <c r="Q124" i="7" s="1"/>
  <c r="AQ124" i="5"/>
  <c r="M124" i="7" s="1"/>
  <c r="AN124" i="5"/>
  <c r="AL124" i="5"/>
  <c r="AC124" i="5"/>
  <c r="R124" i="7" s="1"/>
  <c r="AB124" i="5"/>
  <c r="T124" i="7" s="1"/>
  <c r="AA124" i="5"/>
  <c r="S124" i="7" s="1"/>
  <c r="Z124" i="5"/>
  <c r="F124" i="7" s="1"/>
  <c r="Q124" i="5"/>
  <c r="H124" i="7" s="1"/>
  <c r="P124" i="5"/>
  <c r="K124" i="5"/>
  <c r="J124" i="5"/>
  <c r="N124" i="7" s="1"/>
  <c r="AS123" i="5"/>
  <c r="AR123" i="5"/>
  <c r="Q123" i="7" s="1"/>
  <c r="AQ123" i="5"/>
  <c r="M123" i="7" s="1"/>
  <c r="AN123" i="5"/>
  <c r="AL123" i="5"/>
  <c r="AC123" i="5"/>
  <c r="R123" i="7" s="1"/>
  <c r="AB123" i="5"/>
  <c r="T123" i="7" s="1"/>
  <c r="AA123" i="5"/>
  <c r="Z123" i="5"/>
  <c r="F123" i="7" s="1"/>
  <c r="Q123" i="5"/>
  <c r="H123" i="7" s="1"/>
  <c r="P123" i="5"/>
  <c r="K123" i="5"/>
  <c r="J123" i="5"/>
  <c r="N123" i="7" s="1"/>
  <c r="AS122" i="5"/>
  <c r="AR122" i="5"/>
  <c r="Q122" i="7" s="1"/>
  <c r="AQ122" i="5"/>
  <c r="M122" i="7" s="1"/>
  <c r="AN122" i="5"/>
  <c r="AL122" i="5"/>
  <c r="AC122" i="5"/>
  <c r="R122" i="7" s="1"/>
  <c r="AB122" i="5"/>
  <c r="T122" i="7" s="1"/>
  <c r="AA122" i="5"/>
  <c r="Z122" i="5"/>
  <c r="F122" i="7" s="1"/>
  <c r="Q122" i="5"/>
  <c r="H122" i="7" s="1"/>
  <c r="P122" i="5"/>
  <c r="K122" i="5"/>
  <c r="J122" i="5"/>
  <c r="N122" i="7" s="1"/>
  <c r="AS121" i="5"/>
  <c r="AR121" i="5"/>
  <c r="Q121" i="7" s="1"/>
  <c r="AQ121" i="5"/>
  <c r="M121" i="7" s="1"/>
  <c r="AN121" i="5"/>
  <c r="AL121" i="5"/>
  <c r="AC121" i="5"/>
  <c r="R121" i="7" s="1"/>
  <c r="AB121" i="5"/>
  <c r="T121" i="7" s="1"/>
  <c r="AA121" i="5"/>
  <c r="Z121" i="5"/>
  <c r="F121" i="7" s="1"/>
  <c r="Q121" i="5"/>
  <c r="H121" i="7" s="1"/>
  <c r="P121" i="5"/>
  <c r="K121" i="5"/>
  <c r="J121" i="5"/>
  <c r="N121" i="7" s="1"/>
  <c r="AS120" i="5"/>
  <c r="AR120" i="5"/>
  <c r="Q120" i="7" s="1"/>
  <c r="AQ120" i="5"/>
  <c r="M120" i="7" s="1"/>
  <c r="AN120" i="5"/>
  <c r="AL120" i="5"/>
  <c r="AC120" i="5"/>
  <c r="R120" i="7" s="1"/>
  <c r="AB120" i="5"/>
  <c r="T120" i="7" s="1"/>
  <c r="AA120" i="5"/>
  <c r="S120" i="7" s="1"/>
  <c r="Z120" i="5"/>
  <c r="F120" i="7" s="1"/>
  <c r="Q120" i="5"/>
  <c r="H120" i="7" s="1"/>
  <c r="P120" i="5"/>
  <c r="K120" i="5"/>
  <c r="J120" i="5"/>
  <c r="N120" i="7" s="1"/>
  <c r="AS119" i="5"/>
  <c r="AR119" i="5"/>
  <c r="Q119" i="7" s="1"/>
  <c r="AQ119" i="5"/>
  <c r="M119" i="7" s="1"/>
  <c r="AN119" i="5"/>
  <c r="AL119" i="5"/>
  <c r="AC119" i="5"/>
  <c r="R119" i="7" s="1"/>
  <c r="AB119" i="5"/>
  <c r="T119" i="7" s="1"/>
  <c r="AA119" i="5"/>
  <c r="S119" i="7" s="1"/>
  <c r="Z119" i="5"/>
  <c r="F119" i="7" s="1"/>
  <c r="Q119" i="5"/>
  <c r="H119" i="7" s="1"/>
  <c r="P119" i="5"/>
  <c r="K119" i="5"/>
  <c r="J119" i="5"/>
  <c r="N119" i="7" s="1"/>
  <c r="AS118" i="5"/>
  <c r="AR118" i="5"/>
  <c r="Q118" i="7" s="1"/>
  <c r="AQ118" i="5"/>
  <c r="M118" i="7" s="1"/>
  <c r="AN118" i="5"/>
  <c r="AL118" i="5"/>
  <c r="AC118" i="5"/>
  <c r="R118" i="7" s="1"/>
  <c r="AB118" i="5"/>
  <c r="T118" i="7" s="1"/>
  <c r="AA118" i="5"/>
  <c r="Z118" i="5"/>
  <c r="F118" i="7" s="1"/>
  <c r="Q118" i="5"/>
  <c r="H118" i="7" s="1"/>
  <c r="P118" i="5"/>
  <c r="K118" i="5"/>
  <c r="J118" i="5"/>
  <c r="N118" i="7" s="1"/>
  <c r="AS117" i="5"/>
  <c r="AR117" i="5"/>
  <c r="Q117" i="7" s="1"/>
  <c r="AQ117" i="5"/>
  <c r="M117" i="7" s="1"/>
  <c r="AN117" i="5"/>
  <c r="AL117" i="5"/>
  <c r="AC117" i="5"/>
  <c r="R117" i="7" s="1"/>
  <c r="AB117" i="5"/>
  <c r="T117" i="7" s="1"/>
  <c r="AA117" i="5"/>
  <c r="Z117" i="5"/>
  <c r="F117" i="7" s="1"/>
  <c r="Q117" i="5"/>
  <c r="H117" i="7" s="1"/>
  <c r="P117" i="5"/>
  <c r="K117" i="5"/>
  <c r="J117" i="5"/>
  <c r="N117" i="7" s="1"/>
  <c r="AS116" i="5"/>
  <c r="AR116" i="5"/>
  <c r="Q116" i="7" s="1"/>
  <c r="AQ116" i="5"/>
  <c r="M116" i="7" s="1"/>
  <c r="AN116" i="5"/>
  <c r="AL116" i="5"/>
  <c r="AC116" i="5"/>
  <c r="R116" i="7" s="1"/>
  <c r="AB116" i="5"/>
  <c r="T116" i="7" s="1"/>
  <c r="AA116" i="5"/>
  <c r="Z116" i="5"/>
  <c r="F116" i="7" s="1"/>
  <c r="Q116" i="5"/>
  <c r="H116" i="7" s="1"/>
  <c r="P116" i="5"/>
  <c r="K116" i="5"/>
  <c r="J116" i="5"/>
  <c r="N116" i="7" s="1"/>
  <c r="AS115" i="5"/>
  <c r="AR115" i="5"/>
  <c r="Q115" i="7" s="1"/>
  <c r="AQ115" i="5"/>
  <c r="M115" i="7" s="1"/>
  <c r="AN115" i="5"/>
  <c r="AL115" i="5"/>
  <c r="AC115" i="5"/>
  <c r="R115" i="7" s="1"/>
  <c r="AB115" i="5"/>
  <c r="T115" i="7" s="1"/>
  <c r="AA115" i="5"/>
  <c r="S115" i="7" s="1"/>
  <c r="Z115" i="5"/>
  <c r="F115" i="7" s="1"/>
  <c r="Q115" i="5"/>
  <c r="H115" i="7" s="1"/>
  <c r="P115" i="5"/>
  <c r="K115" i="5"/>
  <c r="J115" i="5"/>
  <c r="N115" i="7" s="1"/>
  <c r="AS114" i="5"/>
  <c r="AR114" i="5"/>
  <c r="Q114" i="7" s="1"/>
  <c r="AQ114" i="5"/>
  <c r="M114" i="7" s="1"/>
  <c r="AN114" i="5"/>
  <c r="AL114" i="5"/>
  <c r="AC114" i="5"/>
  <c r="R114" i="7" s="1"/>
  <c r="AB114" i="5"/>
  <c r="T114" i="7" s="1"/>
  <c r="AA114" i="5"/>
  <c r="S114" i="7" s="1"/>
  <c r="Z114" i="5"/>
  <c r="F114" i="7" s="1"/>
  <c r="Q114" i="5"/>
  <c r="H114" i="7" s="1"/>
  <c r="P114" i="5"/>
  <c r="K114" i="5"/>
  <c r="J114" i="5"/>
  <c r="N114" i="7" s="1"/>
  <c r="AS113" i="5"/>
  <c r="AR113" i="5"/>
  <c r="Q113" i="7" s="1"/>
  <c r="AQ113" i="5"/>
  <c r="M113" i="7" s="1"/>
  <c r="AN113" i="5"/>
  <c r="AL113" i="5"/>
  <c r="AC113" i="5"/>
  <c r="R113" i="7" s="1"/>
  <c r="AB113" i="5"/>
  <c r="T113" i="7" s="1"/>
  <c r="AA113" i="5"/>
  <c r="Z113" i="5"/>
  <c r="F113" i="7" s="1"/>
  <c r="Q113" i="5"/>
  <c r="H113" i="7" s="1"/>
  <c r="P113" i="5"/>
  <c r="K113" i="5"/>
  <c r="J113" i="5"/>
  <c r="N113" i="7" s="1"/>
  <c r="AS112" i="5"/>
  <c r="AR112" i="5"/>
  <c r="Q112" i="7" s="1"/>
  <c r="AQ112" i="5"/>
  <c r="M112" i="7" s="1"/>
  <c r="AN112" i="5"/>
  <c r="AL112" i="5"/>
  <c r="AC112" i="5"/>
  <c r="R112" i="7" s="1"/>
  <c r="AB112" i="5"/>
  <c r="T112" i="7" s="1"/>
  <c r="AA112" i="5"/>
  <c r="S112" i="7" s="1"/>
  <c r="Z112" i="5"/>
  <c r="F112" i="7" s="1"/>
  <c r="Q112" i="5"/>
  <c r="H112" i="7" s="1"/>
  <c r="P112" i="5"/>
  <c r="K112" i="5"/>
  <c r="J112" i="5"/>
  <c r="N112" i="7" s="1"/>
  <c r="AS111" i="5"/>
  <c r="AR111" i="5"/>
  <c r="Q111" i="7" s="1"/>
  <c r="AQ111" i="5"/>
  <c r="M111" i="7" s="1"/>
  <c r="AN111" i="5"/>
  <c r="AL111" i="5"/>
  <c r="AC111" i="5"/>
  <c r="R111" i="7" s="1"/>
  <c r="AB111" i="5"/>
  <c r="T111" i="7" s="1"/>
  <c r="AA111" i="5"/>
  <c r="S111" i="7" s="1"/>
  <c r="Z111" i="5"/>
  <c r="F111" i="7" s="1"/>
  <c r="Q111" i="5"/>
  <c r="H111" i="7" s="1"/>
  <c r="P111" i="5"/>
  <c r="K111" i="5"/>
  <c r="J111" i="5"/>
  <c r="N111" i="7" s="1"/>
  <c r="AS110" i="5"/>
  <c r="AR110" i="5"/>
  <c r="Q110" i="7" s="1"/>
  <c r="AQ110" i="5"/>
  <c r="M110" i="7" s="1"/>
  <c r="AN110" i="5"/>
  <c r="AL110" i="5"/>
  <c r="AC110" i="5"/>
  <c r="R110" i="7" s="1"/>
  <c r="AB110" i="5"/>
  <c r="T110" i="7" s="1"/>
  <c r="AA110" i="5"/>
  <c r="Z110" i="5"/>
  <c r="F110" i="7" s="1"/>
  <c r="Q110" i="5"/>
  <c r="H110" i="7" s="1"/>
  <c r="P110" i="5"/>
  <c r="K110" i="5"/>
  <c r="J110" i="5"/>
  <c r="N110" i="7" s="1"/>
  <c r="AS109" i="5"/>
  <c r="AR109" i="5"/>
  <c r="Q109" i="7" s="1"/>
  <c r="AQ109" i="5"/>
  <c r="M109" i="7" s="1"/>
  <c r="AN109" i="5"/>
  <c r="AL109" i="5"/>
  <c r="AC109" i="5"/>
  <c r="R109" i="7" s="1"/>
  <c r="AB109" i="5"/>
  <c r="T109" i="7" s="1"/>
  <c r="AA109" i="5"/>
  <c r="Z109" i="5"/>
  <c r="F109" i="7" s="1"/>
  <c r="Q109" i="5"/>
  <c r="H109" i="7" s="1"/>
  <c r="P109" i="5"/>
  <c r="K109" i="5"/>
  <c r="J109" i="5"/>
  <c r="N109" i="7" s="1"/>
  <c r="AS108" i="5"/>
  <c r="AR108" i="5"/>
  <c r="Q108" i="7" s="1"/>
  <c r="AQ108" i="5"/>
  <c r="M108" i="7" s="1"/>
  <c r="AN108" i="5"/>
  <c r="AL108" i="5"/>
  <c r="AC108" i="5"/>
  <c r="R108" i="7" s="1"/>
  <c r="AB108" i="5"/>
  <c r="T108" i="7" s="1"/>
  <c r="AA108" i="5"/>
  <c r="S108" i="7" s="1"/>
  <c r="Z108" i="5"/>
  <c r="F108" i="7" s="1"/>
  <c r="Q108" i="5"/>
  <c r="H108" i="7" s="1"/>
  <c r="P108" i="5"/>
  <c r="K108" i="5"/>
  <c r="J108" i="5"/>
  <c r="N108" i="7" s="1"/>
  <c r="AS107" i="5"/>
  <c r="AR107" i="5"/>
  <c r="Q107" i="7" s="1"/>
  <c r="AQ107" i="5"/>
  <c r="M107" i="7" s="1"/>
  <c r="AN107" i="5"/>
  <c r="AL107" i="5"/>
  <c r="AC107" i="5"/>
  <c r="R107" i="7" s="1"/>
  <c r="AB107" i="5"/>
  <c r="T107" i="7" s="1"/>
  <c r="AA107" i="5"/>
  <c r="S107" i="7" s="1"/>
  <c r="Z107" i="5"/>
  <c r="F107" i="7" s="1"/>
  <c r="Q107" i="5"/>
  <c r="H107" i="7" s="1"/>
  <c r="P107" i="5"/>
  <c r="K107" i="5"/>
  <c r="J107" i="5"/>
  <c r="N107" i="7" s="1"/>
  <c r="AS106" i="5"/>
  <c r="AR106" i="5"/>
  <c r="Q106" i="7" s="1"/>
  <c r="AQ106" i="5"/>
  <c r="M106" i="7" s="1"/>
  <c r="AN106" i="5"/>
  <c r="AL106" i="5"/>
  <c r="AC106" i="5"/>
  <c r="R106" i="7" s="1"/>
  <c r="AB106" i="5"/>
  <c r="T106" i="7" s="1"/>
  <c r="AA106" i="5"/>
  <c r="Z106" i="5"/>
  <c r="F106" i="7" s="1"/>
  <c r="Q106" i="5"/>
  <c r="H106" i="7" s="1"/>
  <c r="P106" i="5"/>
  <c r="K106" i="5"/>
  <c r="J106" i="5"/>
  <c r="N106" i="7" s="1"/>
  <c r="AS105" i="5"/>
  <c r="AR105" i="5"/>
  <c r="Q105" i="7" s="1"/>
  <c r="AQ105" i="5"/>
  <c r="M105" i="7" s="1"/>
  <c r="AN105" i="5"/>
  <c r="AL105" i="5"/>
  <c r="AC105" i="5"/>
  <c r="R105" i="7" s="1"/>
  <c r="AB105" i="5"/>
  <c r="T105" i="7" s="1"/>
  <c r="AA105" i="5"/>
  <c r="Z105" i="5"/>
  <c r="F105" i="7" s="1"/>
  <c r="Q105" i="5"/>
  <c r="H105" i="7" s="1"/>
  <c r="P105" i="5"/>
  <c r="K105" i="5"/>
  <c r="J105" i="5"/>
  <c r="N105" i="7" s="1"/>
  <c r="AS104" i="5"/>
  <c r="AR104" i="5"/>
  <c r="Q104" i="7" s="1"/>
  <c r="AQ104" i="5"/>
  <c r="M104" i="7" s="1"/>
  <c r="AN104" i="5"/>
  <c r="AL104" i="5"/>
  <c r="AC104" i="5"/>
  <c r="R104" i="7" s="1"/>
  <c r="AB104" i="5"/>
  <c r="T104" i="7" s="1"/>
  <c r="AA104" i="5"/>
  <c r="S104" i="7" s="1"/>
  <c r="Z104" i="5"/>
  <c r="F104" i="7" s="1"/>
  <c r="Q104" i="5"/>
  <c r="H104" i="7" s="1"/>
  <c r="P104" i="5"/>
  <c r="K104" i="5"/>
  <c r="J104" i="5"/>
  <c r="N104" i="7" s="1"/>
  <c r="AS103" i="5"/>
  <c r="AR103" i="5"/>
  <c r="Q103" i="7" s="1"/>
  <c r="AQ103" i="5"/>
  <c r="M103" i="7" s="1"/>
  <c r="AN103" i="5"/>
  <c r="AL103" i="5"/>
  <c r="AC103" i="5"/>
  <c r="R103" i="7" s="1"/>
  <c r="AB103" i="5"/>
  <c r="T103" i="7" s="1"/>
  <c r="AA103" i="5"/>
  <c r="S103" i="7" s="1"/>
  <c r="Z103" i="5"/>
  <c r="F103" i="7" s="1"/>
  <c r="Q103" i="5"/>
  <c r="H103" i="7" s="1"/>
  <c r="P103" i="5"/>
  <c r="K103" i="5"/>
  <c r="J103" i="5"/>
  <c r="N103" i="7" s="1"/>
  <c r="AS102" i="5"/>
  <c r="AR102" i="5"/>
  <c r="Q102" i="7" s="1"/>
  <c r="AQ102" i="5"/>
  <c r="M102" i="7" s="1"/>
  <c r="AN102" i="5"/>
  <c r="AL102" i="5"/>
  <c r="AC102" i="5"/>
  <c r="R102" i="7" s="1"/>
  <c r="AB102" i="5"/>
  <c r="T102" i="7" s="1"/>
  <c r="AA102" i="5"/>
  <c r="S102" i="7" s="1"/>
  <c r="Z102" i="5"/>
  <c r="F102" i="7" s="1"/>
  <c r="Q102" i="5"/>
  <c r="H102" i="7" s="1"/>
  <c r="P102" i="5"/>
  <c r="K102" i="5"/>
  <c r="J102" i="5"/>
  <c r="N102" i="7" s="1"/>
  <c r="AS101" i="5"/>
  <c r="AR101" i="5"/>
  <c r="Q101" i="7" s="1"/>
  <c r="AQ101" i="5"/>
  <c r="M101" i="7" s="1"/>
  <c r="AN101" i="5"/>
  <c r="AL101" i="5"/>
  <c r="AC101" i="5"/>
  <c r="R101" i="7" s="1"/>
  <c r="AB101" i="5"/>
  <c r="T101" i="7" s="1"/>
  <c r="AA101" i="5"/>
  <c r="S101" i="7" s="1"/>
  <c r="Z101" i="5"/>
  <c r="F101" i="7" s="1"/>
  <c r="Q101" i="5"/>
  <c r="H101" i="7" s="1"/>
  <c r="P101" i="5"/>
  <c r="K101" i="5"/>
  <c r="J101" i="5"/>
  <c r="N101" i="7" s="1"/>
  <c r="AS100" i="5"/>
  <c r="AR100" i="5"/>
  <c r="Q100" i="7" s="1"/>
  <c r="AQ100" i="5"/>
  <c r="M100" i="7" s="1"/>
  <c r="AN100" i="5"/>
  <c r="AL100" i="5"/>
  <c r="AC100" i="5"/>
  <c r="R100" i="7" s="1"/>
  <c r="AB100" i="5"/>
  <c r="T100" i="7" s="1"/>
  <c r="AA100" i="5"/>
  <c r="S100" i="7" s="1"/>
  <c r="Z100" i="5"/>
  <c r="F100" i="7" s="1"/>
  <c r="Q100" i="5"/>
  <c r="H100" i="7" s="1"/>
  <c r="P100" i="5"/>
  <c r="K100" i="5"/>
  <c r="J100" i="5"/>
  <c r="N100" i="7" s="1"/>
  <c r="AS99" i="5"/>
  <c r="AR99" i="5"/>
  <c r="Q99" i="7" s="1"/>
  <c r="AQ99" i="5"/>
  <c r="M99" i="7" s="1"/>
  <c r="AN99" i="5"/>
  <c r="AL99" i="5"/>
  <c r="AC99" i="5"/>
  <c r="R99" i="7" s="1"/>
  <c r="AB99" i="5"/>
  <c r="T99" i="7" s="1"/>
  <c r="AA99" i="5"/>
  <c r="Z99" i="5"/>
  <c r="F99" i="7" s="1"/>
  <c r="Q99" i="5"/>
  <c r="H99" i="7" s="1"/>
  <c r="P99" i="5"/>
  <c r="K99" i="5"/>
  <c r="J99" i="5"/>
  <c r="N99" i="7" s="1"/>
  <c r="AS98" i="5"/>
  <c r="AR98" i="5"/>
  <c r="Q98" i="7" s="1"/>
  <c r="AQ98" i="5"/>
  <c r="M98" i="7" s="1"/>
  <c r="AN98" i="5"/>
  <c r="AL98" i="5"/>
  <c r="AC98" i="5"/>
  <c r="R98" i="7" s="1"/>
  <c r="AB98" i="5"/>
  <c r="T98" i="7" s="1"/>
  <c r="AA98" i="5"/>
  <c r="Z98" i="5"/>
  <c r="F98" i="7" s="1"/>
  <c r="Q98" i="5"/>
  <c r="H98" i="7" s="1"/>
  <c r="P98" i="5"/>
  <c r="K98" i="5"/>
  <c r="J98" i="5"/>
  <c r="N98" i="7" s="1"/>
  <c r="AS97" i="5"/>
  <c r="AR97" i="5"/>
  <c r="Q97" i="7" s="1"/>
  <c r="AQ97" i="5"/>
  <c r="M97" i="7" s="1"/>
  <c r="AN97" i="5"/>
  <c r="AL97" i="5"/>
  <c r="AC97" i="5"/>
  <c r="R97" i="7" s="1"/>
  <c r="AB97" i="5"/>
  <c r="T97" i="7" s="1"/>
  <c r="AA97" i="5"/>
  <c r="Z97" i="5"/>
  <c r="F97" i="7" s="1"/>
  <c r="Q97" i="5"/>
  <c r="H97" i="7" s="1"/>
  <c r="P97" i="5"/>
  <c r="K97" i="5"/>
  <c r="J97" i="5"/>
  <c r="N97" i="7" s="1"/>
  <c r="AS96" i="5"/>
  <c r="AR96" i="5"/>
  <c r="Q96" i="7" s="1"/>
  <c r="AQ96" i="5"/>
  <c r="M96" i="7" s="1"/>
  <c r="AN96" i="5"/>
  <c r="AL96" i="5"/>
  <c r="AC96" i="5"/>
  <c r="R96" i="7" s="1"/>
  <c r="AB96" i="5"/>
  <c r="T96" i="7" s="1"/>
  <c r="AA96" i="5"/>
  <c r="S96" i="7" s="1"/>
  <c r="Z96" i="5"/>
  <c r="F96" i="7" s="1"/>
  <c r="Q96" i="5"/>
  <c r="H96" i="7" s="1"/>
  <c r="P96" i="5"/>
  <c r="K96" i="5"/>
  <c r="J96" i="5"/>
  <c r="N96" i="7" s="1"/>
  <c r="AS95" i="5"/>
  <c r="AR95" i="5"/>
  <c r="Q95" i="7" s="1"/>
  <c r="AQ95" i="5"/>
  <c r="M95" i="7" s="1"/>
  <c r="AN95" i="5"/>
  <c r="AL95" i="5"/>
  <c r="AC95" i="5"/>
  <c r="R95" i="7" s="1"/>
  <c r="AB95" i="5"/>
  <c r="T95" i="7" s="1"/>
  <c r="AA95" i="5"/>
  <c r="Z95" i="5"/>
  <c r="F95" i="7" s="1"/>
  <c r="Q95" i="5"/>
  <c r="H95" i="7" s="1"/>
  <c r="P95" i="5"/>
  <c r="K95" i="5"/>
  <c r="J95" i="5"/>
  <c r="N95" i="7" s="1"/>
  <c r="AS94" i="5"/>
  <c r="AR94" i="5"/>
  <c r="Q94" i="7" s="1"/>
  <c r="AQ94" i="5"/>
  <c r="M94" i="7" s="1"/>
  <c r="AN94" i="5"/>
  <c r="AL94" i="5"/>
  <c r="AC94" i="5"/>
  <c r="R94" i="7" s="1"/>
  <c r="AB94" i="5"/>
  <c r="T94" i="7" s="1"/>
  <c r="AA94" i="5"/>
  <c r="Z94" i="5"/>
  <c r="F94" i="7" s="1"/>
  <c r="Q94" i="5"/>
  <c r="H94" i="7" s="1"/>
  <c r="P94" i="5"/>
  <c r="K94" i="5"/>
  <c r="J94" i="5"/>
  <c r="N94" i="7" s="1"/>
  <c r="AS93" i="5"/>
  <c r="AR93" i="5"/>
  <c r="Q93" i="7" s="1"/>
  <c r="AQ93" i="5"/>
  <c r="M93" i="7" s="1"/>
  <c r="AN93" i="5"/>
  <c r="AL93" i="5"/>
  <c r="AC93" i="5"/>
  <c r="R93" i="7" s="1"/>
  <c r="AB93" i="5"/>
  <c r="T93" i="7" s="1"/>
  <c r="AA93" i="5"/>
  <c r="S93" i="7" s="1"/>
  <c r="Z93" i="5"/>
  <c r="F93" i="7" s="1"/>
  <c r="Q93" i="5"/>
  <c r="H93" i="7" s="1"/>
  <c r="P93" i="5"/>
  <c r="K93" i="5"/>
  <c r="J93" i="5"/>
  <c r="N93" i="7" s="1"/>
  <c r="AS92" i="5"/>
  <c r="AR92" i="5"/>
  <c r="Q92" i="7" s="1"/>
  <c r="AQ92" i="5"/>
  <c r="M92" i="7" s="1"/>
  <c r="AN92" i="5"/>
  <c r="AL92" i="5"/>
  <c r="AC92" i="5"/>
  <c r="R92" i="7" s="1"/>
  <c r="AB92" i="5"/>
  <c r="T92" i="7" s="1"/>
  <c r="AA92" i="5"/>
  <c r="S92" i="7" s="1"/>
  <c r="Z92" i="5"/>
  <c r="F92" i="7" s="1"/>
  <c r="Q92" i="5"/>
  <c r="H92" i="7" s="1"/>
  <c r="P92" i="5"/>
  <c r="K92" i="5"/>
  <c r="J92" i="5"/>
  <c r="N92" i="7" s="1"/>
  <c r="AS91" i="5"/>
  <c r="AR91" i="5"/>
  <c r="Q91" i="7" s="1"/>
  <c r="AQ91" i="5"/>
  <c r="M91" i="7" s="1"/>
  <c r="AN91" i="5"/>
  <c r="AL91" i="5"/>
  <c r="AC91" i="5"/>
  <c r="R91" i="7" s="1"/>
  <c r="AB91" i="5"/>
  <c r="T91" i="7" s="1"/>
  <c r="AA91" i="5"/>
  <c r="Z91" i="5"/>
  <c r="F91" i="7" s="1"/>
  <c r="Q91" i="5"/>
  <c r="H91" i="7" s="1"/>
  <c r="P91" i="5"/>
  <c r="K91" i="5"/>
  <c r="J91" i="5"/>
  <c r="N91" i="7" s="1"/>
  <c r="AS90" i="5"/>
  <c r="AR90" i="5"/>
  <c r="Q90" i="7" s="1"/>
  <c r="AQ90" i="5"/>
  <c r="M90" i="7" s="1"/>
  <c r="AN90" i="5"/>
  <c r="AL90" i="5"/>
  <c r="AC90" i="5"/>
  <c r="R90" i="7" s="1"/>
  <c r="AB90" i="5"/>
  <c r="T90" i="7" s="1"/>
  <c r="AA90" i="5"/>
  <c r="S90" i="7" s="1"/>
  <c r="Z90" i="5"/>
  <c r="F90" i="7" s="1"/>
  <c r="Q90" i="5"/>
  <c r="H90" i="7" s="1"/>
  <c r="P90" i="5"/>
  <c r="K90" i="5"/>
  <c r="J90" i="5"/>
  <c r="N90" i="7" s="1"/>
  <c r="AS89" i="5"/>
  <c r="AR89" i="5"/>
  <c r="Q89" i="7" s="1"/>
  <c r="AQ89" i="5"/>
  <c r="M89" i="7" s="1"/>
  <c r="AN89" i="5"/>
  <c r="AL89" i="5"/>
  <c r="AC89" i="5"/>
  <c r="R89" i="7" s="1"/>
  <c r="AB89" i="5"/>
  <c r="T89" i="7" s="1"/>
  <c r="AA89" i="5"/>
  <c r="S89" i="7" s="1"/>
  <c r="Z89" i="5"/>
  <c r="F89" i="7" s="1"/>
  <c r="Q89" i="5"/>
  <c r="H89" i="7" s="1"/>
  <c r="P89" i="5"/>
  <c r="K89" i="5"/>
  <c r="J89" i="5"/>
  <c r="N89" i="7" s="1"/>
  <c r="AS88" i="5"/>
  <c r="AR88" i="5"/>
  <c r="Q88" i="7" s="1"/>
  <c r="AQ88" i="5"/>
  <c r="M88" i="7" s="1"/>
  <c r="AN88" i="5"/>
  <c r="AL88" i="5"/>
  <c r="AC88" i="5"/>
  <c r="R88" i="7" s="1"/>
  <c r="AB88" i="5"/>
  <c r="T88" i="7" s="1"/>
  <c r="AA88" i="5"/>
  <c r="S88" i="7" s="1"/>
  <c r="Z88" i="5"/>
  <c r="F88" i="7" s="1"/>
  <c r="Q88" i="5"/>
  <c r="H88" i="7" s="1"/>
  <c r="P88" i="5"/>
  <c r="K88" i="5"/>
  <c r="J88" i="5"/>
  <c r="N88" i="7" s="1"/>
  <c r="AS87" i="5"/>
  <c r="AR87" i="5"/>
  <c r="Q87" i="7" s="1"/>
  <c r="AQ87" i="5"/>
  <c r="M87" i="7" s="1"/>
  <c r="AN87" i="5"/>
  <c r="AL87" i="5"/>
  <c r="AC87" i="5"/>
  <c r="R87" i="7" s="1"/>
  <c r="AB87" i="5"/>
  <c r="T87" i="7" s="1"/>
  <c r="AA87" i="5"/>
  <c r="Z87" i="5"/>
  <c r="F87" i="7" s="1"/>
  <c r="Q87" i="5"/>
  <c r="H87" i="7" s="1"/>
  <c r="P87" i="5"/>
  <c r="K87" i="5"/>
  <c r="J87" i="5"/>
  <c r="N87" i="7" s="1"/>
  <c r="AS86" i="5"/>
  <c r="AR86" i="5"/>
  <c r="Q86" i="7" s="1"/>
  <c r="AQ86" i="5"/>
  <c r="M86" i="7" s="1"/>
  <c r="AN86" i="5"/>
  <c r="AL86" i="5"/>
  <c r="AC86" i="5"/>
  <c r="R86" i="7" s="1"/>
  <c r="AB86" i="5"/>
  <c r="T86" i="7" s="1"/>
  <c r="AA86" i="5"/>
  <c r="S86" i="7" s="1"/>
  <c r="Z86" i="5"/>
  <c r="F86" i="7" s="1"/>
  <c r="Q86" i="5"/>
  <c r="H86" i="7" s="1"/>
  <c r="P86" i="5"/>
  <c r="K86" i="5"/>
  <c r="J86" i="5"/>
  <c r="N86" i="7" s="1"/>
  <c r="AS85" i="5"/>
  <c r="AR85" i="5"/>
  <c r="Q85" i="7" s="1"/>
  <c r="AQ85" i="5"/>
  <c r="M85" i="7" s="1"/>
  <c r="AN85" i="5"/>
  <c r="AL85" i="5"/>
  <c r="AC85" i="5"/>
  <c r="R85" i="7" s="1"/>
  <c r="AB85" i="5"/>
  <c r="T85" i="7" s="1"/>
  <c r="AA85" i="5"/>
  <c r="S85" i="7" s="1"/>
  <c r="Z85" i="5"/>
  <c r="F85" i="7" s="1"/>
  <c r="Q85" i="5"/>
  <c r="H85" i="7" s="1"/>
  <c r="P85" i="5"/>
  <c r="K85" i="5"/>
  <c r="J85" i="5"/>
  <c r="N85" i="7" s="1"/>
  <c r="AS84" i="5"/>
  <c r="AR84" i="5"/>
  <c r="Q84" i="7" s="1"/>
  <c r="AQ84" i="5"/>
  <c r="M84" i="7" s="1"/>
  <c r="AN84" i="5"/>
  <c r="AL84" i="5"/>
  <c r="AC84" i="5"/>
  <c r="R84" i="7" s="1"/>
  <c r="AB84" i="5"/>
  <c r="T84" i="7" s="1"/>
  <c r="AA84" i="5"/>
  <c r="Z84" i="5"/>
  <c r="F84" i="7" s="1"/>
  <c r="Q84" i="5"/>
  <c r="H84" i="7" s="1"/>
  <c r="P84" i="5"/>
  <c r="K84" i="5"/>
  <c r="J84" i="5"/>
  <c r="N84" i="7" s="1"/>
  <c r="AS83" i="5"/>
  <c r="AR83" i="5"/>
  <c r="Q83" i="7" s="1"/>
  <c r="AQ83" i="5"/>
  <c r="M83" i="7" s="1"/>
  <c r="AN83" i="5"/>
  <c r="AL83" i="5"/>
  <c r="AC83" i="5"/>
  <c r="R83" i="7" s="1"/>
  <c r="AB83" i="5"/>
  <c r="T83" i="7" s="1"/>
  <c r="AA83" i="5"/>
  <c r="Z83" i="5"/>
  <c r="F83" i="7" s="1"/>
  <c r="Q83" i="5"/>
  <c r="H83" i="7" s="1"/>
  <c r="P83" i="5"/>
  <c r="K83" i="5"/>
  <c r="J83" i="5"/>
  <c r="N83" i="7" s="1"/>
  <c r="AS82" i="5"/>
  <c r="AR82" i="5"/>
  <c r="Q82" i="7" s="1"/>
  <c r="AQ82" i="5"/>
  <c r="M82" i="7" s="1"/>
  <c r="AN82" i="5"/>
  <c r="AL82" i="5"/>
  <c r="AC82" i="5"/>
  <c r="R82" i="7" s="1"/>
  <c r="AB82" i="5"/>
  <c r="T82" i="7" s="1"/>
  <c r="AA82" i="5"/>
  <c r="Z82" i="5"/>
  <c r="F82" i="7" s="1"/>
  <c r="Q82" i="5"/>
  <c r="H82" i="7" s="1"/>
  <c r="P82" i="5"/>
  <c r="K82" i="5"/>
  <c r="J82" i="5"/>
  <c r="N82" i="7" s="1"/>
  <c r="AS81" i="5"/>
  <c r="AR81" i="5"/>
  <c r="Q81" i="7" s="1"/>
  <c r="AQ81" i="5"/>
  <c r="M81" i="7" s="1"/>
  <c r="AN81" i="5"/>
  <c r="AL81" i="5"/>
  <c r="AC81" i="5"/>
  <c r="R81" i="7" s="1"/>
  <c r="AB81" i="5"/>
  <c r="T81" i="7" s="1"/>
  <c r="AA81" i="5"/>
  <c r="S81" i="7" s="1"/>
  <c r="Z81" i="5"/>
  <c r="F81" i="7" s="1"/>
  <c r="Q81" i="5"/>
  <c r="H81" i="7" s="1"/>
  <c r="P81" i="5"/>
  <c r="K81" i="5"/>
  <c r="J81" i="5"/>
  <c r="N81" i="7" s="1"/>
  <c r="AS80" i="5"/>
  <c r="AR80" i="5"/>
  <c r="Q80" i="7" s="1"/>
  <c r="AQ80" i="5"/>
  <c r="M80" i="7" s="1"/>
  <c r="AN80" i="5"/>
  <c r="AL80" i="5"/>
  <c r="AC80" i="5"/>
  <c r="R80" i="7" s="1"/>
  <c r="AB80" i="5"/>
  <c r="T80" i="7" s="1"/>
  <c r="AA80" i="5"/>
  <c r="S80" i="7" s="1"/>
  <c r="Z80" i="5"/>
  <c r="F80" i="7" s="1"/>
  <c r="Q80" i="5"/>
  <c r="H80" i="7" s="1"/>
  <c r="P80" i="5"/>
  <c r="K80" i="5"/>
  <c r="J80" i="5"/>
  <c r="N80" i="7" s="1"/>
  <c r="AS79" i="5"/>
  <c r="AR79" i="5"/>
  <c r="Q79" i="7" s="1"/>
  <c r="AQ79" i="5"/>
  <c r="M79" i="7" s="1"/>
  <c r="AN79" i="5"/>
  <c r="AL79" i="5"/>
  <c r="AC79" i="5"/>
  <c r="R79" i="7" s="1"/>
  <c r="AB79" i="5"/>
  <c r="T79" i="7" s="1"/>
  <c r="AA79" i="5"/>
  <c r="S79" i="7" s="1"/>
  <c r="Z79" i="5"/>
  <c r="F79" i="7" s="1"/>
  <c r="Q79" i="5"/>
  <c r="H79" i="7" s="1"/>
  <c r="P79" i="5"/>
  <c r="K79" i="5"/>
  <c r="J79" i="5"/>
  <c r="N79" i="7" s="1"/>
  <c r="AS78" i="5"/>
  <c r="AR78" i="5"/>
  <c r="Q78" i="7" s="1"/>
  <c r="AQ78" i="5"/>
  <c r="M78" i="7" s="1"/>
  <c r="AN78" i="5"/>
  <c r="AL78" i="5"/>
  <c r="AC78" i="5"/>
  <c r="R78" i="7" s="1"/>
  <c r="AB78" i="5"/>
  <c r="T78" i="7" s="1"/>
  <c r="AA78" i="5"/>
  <c r="S78" i="7" s="1"/>
  <c r="Z78" i="5"/>
  <c r="F78" i="7" s="1"/>
  <c r="Q78" i="5"/>
  <c r="H78" i="7" s="1"/>
  <c r="P78" i="5"/>
  <c r="K78" i="5"/>
  <c r="J78" i="5"/>
  <c r="N78" i="7" s="1"/>
  <c r="AS77" i="5"/>
  <c r="AR77" i="5"/>
  <c r="Q77" i="7" s="1"/>
  <c r="AQ77" i="5"/>
  <c r="M77" i="7" s="1"/>
  <c r="AN77" i="5"/>
  <c r="AL77" i="5"/>
  <c r="AC77" i="5"/>
  <c r="R77" i="7" s="1"/>
  <c r="AB77" i="5"/>
  <c r="T77" i="7" s="1"/>
  <c r="AA77" i="5"/>
  <c r="Z77" i="5"/>
  <c r="F77" i="7" s="1"/>
  <c r="Q77" i="5"/>
  <c r="H77" i="7" s="1"/>
  <c r="P77" i="5"/>
  <c r="K77" i="5"/>
  <c r="J77" i="5"/>
  <c r="N77" i="7" s="1"/>
  <c r="AS76" i="5"/>
  <c r="AR76" i="5"/>
  <c r="Q76" i="7" s="1"/>
  <c r="AQ76" i="5"/>
  <c r="M76" i="7" s="1"/>
  <c r="AN76" i="5"/>
  <c r="AL76" i="5"/>
  <c r="AC76" i="5"/>
  <c r="R76" i="7" s="1"/>
  <c r="AB76" i="5"/>
  <c r="T76" i="7" s="1"/>
  <c r="AA76" i="5"/>
  <c r="Z76" i="5"/>
  <c r="F76" i="7" s="1"/>
  <c r="Q76" i="5"/>
  <c r="H76" i="7" s="1"/>
  <c r="P76" i="5"/>
  <c r="K76" i="5"/>
  <c r="J76" i="5"/>
  <c r="N76" i="7" s="1"/>
  <c r="AS75" i="5"/>
  <c r="AR75" i="5"/>
  <c r="Q75" i="7" s="1"/>
  <c r="AQ75" i="5"/>
  <c r="M75" i="7" s="1"/>
  <c r="AN75" i="5"/>
  <c r="AL75" i="5"/>
  <c r="AC75" i="5"/>
  <c r="R75" i="7" s="1"/>
  <c r="AB75" i="5"/>
  <c r="T75" i="7" s="1"/>
  <c r="AA75" i="5"/>
  <c r="Z75" i="5"/>
  <c r="F75" i="7" s="1"/>
  <c r="Q75" i="5"/>
  <c r="H75" i="7" s="1"/>
  <c r="P75" i="5"/>
  <c r="K75" i="5"/>
  <c r="J75" i="5"/>
  <c r="N75" i="7" s="1"/>
  <c r="AS74" i="5"/>
  <c r="AR74" i="5"/>
  <c r="Q74" i="7" s="1"/>
  <c r="AQ74" i="5"/>
  <c r="M74" i="7" s="1"/>
  <c r="AN74" i="5"/>
  <c r="AL74" i="5"/>
  <c r="AC74" i="5"/>
  <c r="R74" i="7" s="1"/>
  <c r="AB74" i="5"/>
  <c r="T74" i="7" s="1"/>
  <c r="AA74" i="5"/>
  <c r="Z74" i="5"/>
  <c r="F74" i="7" s="1"/>
  <c r="Q74" i="5"/>
  <c r="H74" i="7" s="1"/>
  <c r="P74" i="5"/>
  <c r="K74" i="5"/>
  <c r="J74" i="5"/>
  <c r="N74" i="7" s="1"/>
  <c r="AS73" i="5"/>
  <c r="AR73" i="5"/>
  <c r="Q73" i="7" s="1"/>
  <c r="AQ73" i="5"/>
  <c r="M73" i="7" s="1"/>
  <c r="AN73" i="5"/>
  <c r="AL73" i="5"/>
  <c r="AC73" i="5"/>
  <c r="R73" i="7" s="1"/>
  <c r="AB73" i="5"/>
  <c r="T73" i="7" s="1"/>
  <c r="AA73" i="5"/>
  <c r="S73" i="7" s="1"/>
  <c r="Z73" i="5"/>
  <c r="F73" i="7" s="1"/>
  <c r="Q73" i="5"/>
  <c r="H73" i="7" s="1"/>
  <c r="P73" i="5"/>
  <c r="K73" i="5"/>
  <c r="J73" i="5"/>
  <c r="N73" i="7" s="1"/>
  <c r="AS72" i="5"/>
  <c r="AR72" i="5"/>
  <c r="Q72" i="7" s="1"/>
  <c r="AQ72" i="5"/>
  <c r="M72" i="7" s="1"/>
  <c r="AN72" i="5"/>
  <c r="AL72" i="5"/>
  <c r="AC72" i="5"/>
  <c r="R72" i="7" s="1"/>
  <c r="AB72" i="5"/>
  <c r="T72" i="7" s="1"/>
  <c r="AA72" i="5"/>
  <c r="Z72" i="5"/>
  <c r="F72" i="7" s="1"/>
  <c r="Q72" i="5"/>
  <c r="H72" i="7" s="1"/>
  <c r="P72" i="5"/>
  <c r="K72" i="5"/>
  <c r="J72" i="5"/>
  <c r="N72" i="7" s="1"/>
  <c r="AS71" i="5"/>
  <c r="AR71" i="5"/>
  <c r="Q71" i="7" s="1"/>
  <c r="AQ71" i="5"/>
  <c r="M71" i="7" s="1"/>
  <c r="AN71" i="5"/>
  <c r="AL71" i="5"/>
  <c r="AC71" i="5"/>
  <c r="R71" i="7" s="1"/>
  <c r="AB71" i="5"/>
  <c r="T71" i="7" s="1"/>
  <c r="AA71" i="5"/>
  <c r="Z71" i="5"/>
  <c r="F71" i="7" s="1"/>
  <c r="Q71" i="5"/>
  <c r="H71" i="7" s="1"/>
  <c r="P71" i="5"/>
  <c r="K71" i="5"/>
  <c r="J71" i="5"/>
  <c r="N71" i="7" s="1"/>
  <c r="AS70" i="5"/>
  <c r="AR70" i="5"/>
  <c r="Q70" i="7" s="1"/>
  <c r="AQ70" i="5"/>
  <c r="M70" i="7" s="1"/>
  <c r="AN70" i="5"/>
  <c r="AL70" i="5"/>
  <c r="AC70" i="5"/>
  <c r="R70" i="7" s="1"/>
  <c r="AB70" i="5"/>
  <c r="T70" i="7" s="1"/>
  <c r="AA70" i="5"/>
  <c r="Z70" i="5"/>
  <c r="F70" i="7" s="1"/>
  <c r="Q70" i="5"/>
  <c r="H70" i="7" s="1"/>
  <c r="P70" i="5"/>
  <c r="K70" i="5"/>
  <c r="J70" i="5"/>
  <c r="N70" i="7" s="1"/>
  <c r="AS69" i="5"/>
  <c r="AR69" i="5"/>
  <c r="Q69" i="7" s="1"/>
  <c r="AQ69" i="5"/>
  <c r="M69" i="7" s="1"/>
  <c r="AN69" i="5"/>
  <c r="AL69" i="5"/>
  <c r="AC69" i="5"/>
  <c r="R69" i="7" s="1"/>
  <c r="AB69" i="5"/>
  <c r="T69" i="7" s="1"/>
  <c r="AA69" i="5"/>
  <c r="Z69" i="5"/>
  <c r="F69" i="7" s="1"/>
  <c r="Q69" i="5"/>
  <c r="H69" i="7" s="1"/>
  <c r="P69" i="5"/>
  <c r="K69" i="5"/>
  <c r="J69" i="5"/>
  <c r="N69" i="7" s="1"/>
  <c r="AS68" i="5"/>
  <c r="AR68" i="5"/>
  <c r="Q68" i="7" s="1"/>
  <c r="AQ68" i="5"/>
  <c r="M68" i="7" s="1"/>
  <c r="AN68" i="5"/>
  <c r="AL68" i="5"/>
  <c r="AC68" i="5"/>
  <c r="R68" i="7" s="1"/>
  <c r="AB68" i="5"/>
  <c r="T68" i="7" s="1"/>
  <c r="AA68" i="5"/>
  <c r="S68" i="7" s="1"/>
  <c r="Z68" i="5"/>
  <c r="F68" i="7" s="1"/>
  <c r="Q68" i="5"/>
  <c r="H68" i="7" s="1"/>
  <c r="P68" i="5"/>
  <c r="K68" i="5"/>
  <c r="J68" i="5"/>
  <c r="N68" i="7" s="1"/>
  <c r="AS67" i="5"/>
  <c r="AR67" i="5"/>
  <c r="Q67" i="7" s="1"/>
  <c r="AQ67" i="5"/>
  <c r="M67" i="7" s="1"/>
  <c r="AN67" i="5"/>
  <c r="AL67" i="5"/>
  <c r="AC67" i="5"/>
  <c r="R67" i="7" s="1"/>
  <c r="AB67" i="5"/>
  <c r="T67" i="7" s="1"/>
  <c r="AA67" i="5"/>
  <c r="S67" i="7" s="1"/>
  <c r="Z67" i="5"/>
  <c r="F67" i="7" s="1"/>
  <c r="Q67" i="5"/>
  <c r="H67" i="7" s="1"/>
  <c r="P67" i="5"/>
  <c r="K67" i="5"/>
  <c r="J67" i="5"/>
  <c r="N67" i="7" s="1"/>
  <c r="AS66" i="5"/>
  <c r="AR66" i="5"/>
  <c r="Q66" i="7" s="1"/>
  <c r="AQ66" i="5"/>
  <c r="M66" i="7" s="1"/>
  <c r="AN66" i="5"/>
  <c r="AL66" i="5"/>
  <c r="AC66" i="5"/>
  <c r="R66" i="7" s="1"/>
  <c r="AB66" i="5"/>
  <c r="T66" i="7" s="1"/>
  <c r="AA66" i="5"/>
  <c r="S66" i="7" s="1"/>
  <c r="Z66" i="5"/>
  <c r="F66" i="7" s="1"/>
  <c r="Q66" i="5"/>
  <c r="H66" i="7" s="1"/>
  <c r="P66" i="5"/>
  <c r="K66" i="5"/>
  <c r="J66" i="5"/>
  <c r="N66" i="7" s="1"/>
  <c r="AS65" i="5"/>
  <c r="AR65" i="5"/>
  <c r="Q65" i="7" s="1"/>
  <c r="AQ65" i="5"/>
  <c r="M65" i="7" s="1"/>
  <c r="AN65" i="5"/>
  <c r="AL65" i="5"/>
  <c r="AC65" i="5"/>
  <c r="R65" i="7" s="1"/>
  <c r="AB65" i="5"/>
  <c r="T65" i="7" s="1"/>
  <c r="AA65" i="5"/>
  <c r="S65" i="7" s="1"/>
  <c r="Z65" i="5"/>
  <c r="F65" i="7" s="1"/>
  <c r="Q65" i="5"/>
  <c r="H65" i="7" s="1"/>
  <c r="P65" i="5"/>
  <c r="K65" i="5"/>
  <c r="J65" i="5"/>
  <c r="N65" i="7" s="1"/>
  <c r="AS64" i="5"/>
  <c r="AR64" i="5"/>
  <c r="Q64" i="7" s="1"/>
  <c r="AQ64" i="5"/>
  <c r="M64" i="7" s="1"/>
  <c r="AN64" i="5"/>
  <c r="AL64" i="5"/>
  <c r="AC64" i="5"/>
  <c r="R64" i="7" s="1"/>
  <c r="AB64" i="5"/>
  <c r="T64" i="7" s="1"/>
  <c r="AA64" i="5"/>
  <c r="Z64" i="5"/>
  <c r="F64" i="7" s="1"/>
  <c r="Q64" i="5"/>
  <c r="H64" i="7" s="1"/>
  <c r="P64" i="5"/>
  <c r="K64" i="5"/>
  <c r="J64" i="5"/>
  <c r="N64" i="7" s="1"/>
  <c r="AS63" i="5"/>
  <c r="AR63" i="5"/>
  <c r="Q63" i="7" s="1"/>
  <c r="AQ63" i="5"/>
  <c r="M63" i="7" s="1"/>
  <c r="AN63" i="5"/>
  <c r="AL63" i="5"/>
  <c r="AC63" i="5"/>
  <c r="R63" i="7" s="1"/>
  <c r="AB63" i="5"/>
  <c r="T63" i="7" s="1"/>
  <c r="AA63" i="5"/>
  <c r="Z63" i="5"/>
  <c r="F63" i="7" s="1"/>
  <c r="Q63" i="5"/>
  <c r="H63" i="7" s="1"/>
  <c r="P63" i="5"/>
  <c r="K63" i="5"/>
  <c r="J63" i="5"/>
  <c r="N63" i="7" s="1"/>
  <c r="AS62" i="5"/>
  <c r="AR62" i="5"/>
  <c r="Q62" i="7" s="1"/>
  <c r="AQ62" i="5"/>
  <c r="M62" i="7" s="1"/>
  <c r="AN62" i="5"/>
  <c r="AL62" i="5"/>
  <c r="AC62" i="5"/>
  <c r="R62" i="7" s="1"/>
  <c r="AB62" i="5"/>
  <c r="T62" i="7" s="1"/>
  <c r="AA62" i="5"/>
  <c r="S62" i="7" s="1"/>
  <c r="Z62" i="5"/>
  <c r="F62" i="7" s="1"/>
  <c r="Q62" i="5"/>
  <c r="H62" i="7" s="1"/>
  <c r="P62" i="5"/>
  <c r="K62" i="5"/>
  <c r="J62" i="5"/>
  <c r="N62" i="7" s="1"/>
  <c r="AS61" i="5"/>
  <c r="AR61" i="5"/>
  <c r="Q61" i="7" s="1"/>
  <c r="AQ61" i="5"/>
  <c r="M61" i="7" s="1"/>
  <c r="AN61" i="5"/>
  <c r="AL61" i="5"/>
  <c r="AC61" i="5"/>
  <c r="R61" i="7" s="1"/>
  <c r="AB61" i="5"/>
  <c r="T61" i="7" s="1"/>
  <c r="AA61" i="5"/>
  <c r="S61" i="7" s="1"/>
  <c r="Z61" i="5"/>
  <c r="F61" i="7" s="1"/>
  <c r="Q61" i="5"/>
  <c r="H61" i="7" s="1"/>
  <c r="P61" i="5"/>
  <c r="K61" i="5"/>
  <c r="J61" i="5"/>
  <c r="N61" i="7" s="1"/>
  <c r="AS60" i="5"/>
  <c r="AR60" i="5"/>
  <c r="Q60" i="7" s="1"/>
  <c r="AQ60" i="5"/>
  <c r="M60" i="7" s="1"/>
  <c r="AN60" i="5"/>
  <c r="AL60" i="5"/>
  <c r="AC60" i="5"/>
  <c r="R60" i="7" s="1"/>
  <c r="AB60" i="5"/>
  <c r="T60" i="7" s="1"/>
  <c r="AA60" i="5"/>
  <c r="Z60" i="5"/>
  <c r="F60" i="7" s="1"/>
  <c r="Q60" i="5"/>
  <c r="H60" i="7" s="1"/>
  <c r="P60" i="5"/>
  <c r="K60" i="5"/>
  <c r="J60" i="5"/>
  <c r="N60" i="7" s="1"/>
  <c r="AS59" i="5"/>
  <c r="AR59" i="5"/>
  <c r="Q59" i="7" s="1"/>
  <c r="AQ59" i="5"/>
  <c r="M59" i="7" s="1"/>
  <c r="AN59" i="5"/>
  <c r="AL59" i="5"/>
  <c r="AC59" i="5"/>
  <c r="R59" i="7" s="1"/>
  <c r="AB59" i="5"/>
  <c r="T59" i="7" s="1"/>
  <c r="AA59" i="5"/>
  <c r="Z59" i="5"/>
  <c r="F59" i="7" s="1"/>
  <c r="Q59" i="5"/>
  <c r="H59" i="7" s="1"/>
  <c r="P59" i="5"/>
  <c r="K59" i="5"/>
  <c r="J59" i="5"/>
  <c r="N59" i="7" s="1"/>
  <c r="AS58" i="5"/>
  <c r="AR58" i="5"/>
  <c r="Q58" i="7" s="1"/>
  <c r="AQ58" i="5"/>
  <c r="M58" i="7" s="1"/>
  <c r="AN58" i="5"/>
  <c r="AL58" i="5"/>
  <c r="AC58" i="5"/>
  <c r="R58" i="7" s="1"/>
  <c r="AB58" i="5"/>
  <c r="T58" i="7" s="1"/>
  <c r="AA58" i="5"/>
  <c r="S58" i="7" s="1"/>
  <c r="Z58" i="5"/>
  <c r="F58" i="7" s="1"/>
  <c r="Q58" i="5"/>
  <c r="H58" i="7" s="1"/>
  <c r="P58" i="5"/>
  <c r="K58" i="5"/>
  <c r="J58" i="5"/>
  <c r="N58" i="7" s="1"/>
  <c r="AS57" i="5"/>
  <c r="AR57" i="5"/>
  <c r="Q57" i="7" s="1"/>
  <c r="AQ57" i="5"/>
  <c r="M57" i="7" s="1"/>
  <c r="AN57" i="5"/>
  <c r="AL57" i="5"/>
  <c r="AC57" i="5"/>
  <c r="R57" i="7" s="1"/>
  <c r="AB57" i="5"/>
  <c r="T57" i="7" s="1"/>
  <c r="AA57" i="5"/>
  <c r="Z57" i="5"/>
  <c r="F57" i="7" s="1"/>
  <c r="Q57" i="5"/>
  <c r="H57" i="7" s="1"/>
  <c r="P57" i="5"/>
  <c r="K57" i="5"/>
  <c r="J57" i="5"/>
  <c r="N57" i="7" s="1"/>
  <c r="AS56" i="5"/>
  <c r="AR56" i="5"/>
  <c r="Q56" i="7" s="1"/>
  <c r="AQ56" i="5"/>
  <c r="M56" i="7" s="1"/>
  <c r="AN56" i="5"/>
  <c r="AL56" i="5"/>
  <c r="AC56" i="5"/>
  <c r="R56" i="7" s="1"/>
  <c r="AB56" i="5"/>
  <c r="T56" i="7" s="1"/>
  <c r="AA56" i="5"/>
  <c r="Z56" i="5"/>
  <c r="F56" i="7" s="1"/>
  <c r="Q56" i="5"/>
  <c r="H56" i="7" s="1"/>
  <c r="P56" i="5"/>
  <c r="K56" i="5"/>
  <c r="J56" i="5"/>
  <c r="N56" i="7" s="1"/>
  <c r="AS55" i="5"/>
  <c r="AR55" i="5"/>
  <c r="Q55" i="7" s="1"/>
  <c r="AQ55" i="5"/>
  <c r="M55" i="7" s="1"/>
  <c r="AN55" i="5"/>
  <c r="AL55" i="5"/>
  <c r="AC55" i="5"/>
  <c r="R55" i="7" s="1"/>
  <c r="AB55" i="5"/>
  <c r="T55" i="7" s="1"/>
  <c r="AA55" i="5"/>
  <c r="Z55" i="5"/>
  <c r="F55" i="7" s="1"/>
  <c r="Q55" i="5"/>
  <c r="H55" i="7" s="1"/>
  <c r="P55" i="5"/>
  <c r="K55" i="5"/>
  <c r="J55" i="5"/>
  <c r="N55" i="7" s="1"/>
  <c r="AS54" i="5"/>
  <c r="AR54" i="5"/>
  <c r="Q54" i="7" s="1"/>
  <c r="AQ54" i="5"/>
  <c r="M54" i="7" s="1"/>
  <c r="AN54" i="5"/>
  <c r="AL54" i="5"/>
  <c r="AC54" i="5"/>
  <c r="R54" i="7" s="1"/>
  <c r="AB54" i="5"/>
  <c r="T54" i="7" s="1"/>
  <c r="AA54" i="5"/>
  <c r="S54" i="7" s="1"/>
  <c r="Z54" i="5"/>
  <c r="F54" i="7" s="1"/>
  <c r="Q54" i="5"/>
  <c r="H54" i="7" s="1"/>
  <c r="P54" i="5"/>
  <c r="K54" i="5"/>
  <c r="J54" i="5"/>
  <c r="N54" i="7" s="1"/>
  <c r="AS53" i="5"/>
  <c r="AR53" i="5"/>
  <c r="Q53" i="7" s="1"/>
  <c r="AQ53" i="5"/>
  <c r="M53" i="7" s="1"/>
  <c r="AN53" i="5"/>
  <c r="AL53" i="5"/>
  <c r="AC53" i="5"/>
  <c r="R53" i="7" s="1"/>
  <c r="AB53" i="5"/>
  <c r="T53" i="7" s="1"/>
  <c r="AA53" i="5"/>
  <c r="S53" i="7" s="1"/>
  <c r="Z53" i="5"/>
  <c r="F53" i="7" s="1"/>
  <c r="Q53" i="5"/>
  <c r="H53" i="7" s="1"/>
  <c r="P53" i="5"/>
  <c r="K53" i="5"/>
  <c r="J53" i="5"/>
  <c r="N53" i="7" s="1"/>
  <c r="AS52" i="5"/>
  <c r="AR52" i="5"/>
  <c r="Q52" i="7" s="1"/>
  <c r="AQ52" i="5"/>
  <c r="M52" i="7" s="1"/>
  <c r="AN52" i="5"/>
  <c r="AL52" i="5"/>
  <c r="AC52" i="5"/>
  <c r="R52" i="7" s="1"/>
  <c r="AB52" i="5"/>
  <c r="T52" i="7" s="1"/>
  <c r="AA52" i="5"/>
  <c r="Z52" i="5"/>
  <c r="F52" i="7" s="1"/>
  <c r="Q52" i="5"/>
  <c r="H52" i="7" s="1"/>
  <c r="P52" i="5"/>
  <c r="K52" i="5"/>
  <c r="J52" i="5"/>
  <c r="N52" i="7" s="1"/>
  <c r="AS51" i="5"/>
  <c r="AR51" i="5"/>
  <c r="Q51" i="7" s="1"/>
  <c r="AQ51" i="5"/>
  <c r="M51" i="7" s="1"/>
  <c r="AN51" i="5"/>
  <c r="AL51" i="5"/>
  <c r="AC51" i="5"/>
  <c r="R51" i="7" s="1"/>
  <c r="AB51" i="5"/>
  <c r="T51" i="7" s="1"/>
  <c r="AA51" i="5"/>
  <c r="S51" i="7" s="1"/>
  <c r="Z51" i="5"/>
  <c r="F51" i="7" s="1"/>
  <c r="Q51" i="5"/>
  <c r="H51" i="7" s="1"/>
  <c r="P51" i="5"/>
  <c r="K51" i="5"/>
  <c r="J51" i="5"/>
  <c r="N51" i="7" s="1"/>
  <c r="AS50" i="5"/>
  <c r="AR50" i="5"/>
  <c r="Q50" i="7" s="1"/>
  <c r="AQ50" i="5"/>
  <c r="M50" i="7" s="1"/>
  <c r="AN50" i="5"/>
  <c r="AL50" i="5"/>
  <c r="AC50" i="5"/>
  <c r="R50" i="7" s="1"/>
  <c r="AB50" i="5"/>
  <c r="T50" i="7" s="1"/>
  <c r="AA50" i="5"/>
  <c r="Z50" i="5"/>
  <c r="F50" i="7" s="1"/>
  <c r="Q50" i="5"/>
  <c r="H50" i="7" s="1"/>
  <c r="P50" i="5"/>
  <c r="K50" i="5"/>
  <c r="J50" i="5"/>
  <c r="N50" i="7" s="1"/>
  <c r="AS49" i="5"/>
  <c r="AR49" i="5"/>
  <c r="Q49" i="7" s="1"/>
  <c r="AQ49" i="5"/>
  <c r="M49" i="7" s="1"/>
  <c r="AN49" i="5"/>
  <c r="AL49" i="5"/>
  <c r="AC49" i="5"/>
  <c r="R49" i="7" s="1"/>
  <c r="AB49" i="5"/>
  <c r="T49" i="7" s="1"/>
  <c r="AA49" i="5"/>
  <c r="S49" i="7" s="1"/>
  <c r="Z49" i="5"/>
  <c r="F49" i="7" s="1"/>
  <c r="Q49" i="5"/>
  <c r="H49" i="7" s="1"/>
  <c r="P49" i="5"/>
  <c r="K49" i="5"/>
  <c r="J49" i="5"/>
  <c r="N49" i="7" s="1"/>
  <c r="AS48" i="5"/>
  <c r="AR48" i="5"/>
  <c r="Q48" i="7" s="1"/>
  <c r="AQ48" i="5"/>
  <c r="M48" i="7" s="1"/>
  <c r="AN48" i="5"/>
  <c r="AL48" i="5"/>
  <c r="AC48" i="5"/>
  <c r="R48" i="7" s="1"/>
  <c r="AB48" i="5"/>
  <c r="T48" i="7" s="1"/>
  <c r="AA48" i="5"/>
  <c r="S48" i="7" s="1"/>
  <c r="Z48" i="5"/>
  <c r="F48" i="7" s="1"/>
  <c r="Q48" i="5"/>
  <c r="H48" i="7" s="1"/>
  <c r="P48" i="5"/>
  <c r="K48" i="5"/>
  <c r="J48" i="5"/>
  <c r="N48" i="7" s="1"/>
  <c r="AS47" i="5"/>
  <c r="AR47" i="5"/>
  <c r="Q47" i="7" s="1"/>
  <c r="AQ47" i="5"/>
  <c r="M47" i="7" s="1"/>
  <c r="AN47" i="5"/>
  <c r="AL47" i="5"/>
  <c r="AC47" i="5"/>
  <c r="R47" i="7" s="1"/>
  <c r="AB47" i="5"/>
  <c r="T47" i="7" s="1"/>
  <c r="AA47" i="5"/>
  <c r="Z47" i="5"/>
  <c r="F47" i="7" s="1"/>
  <c r="Q47" i="5"/>
  <c r="H47" i="7" s="1"/>
  <c r="P47" i="5"/>
  <c r="K47" i="5"/>
  <c r="J47" i="5"/>
  <c r="N47" i="7" s="1"/>
  <c r="AS46" i="5"/>
  <c r="AR46" i="5"/>
  <c r="Q46" i="7" s="1"/>
  <c r="AQ46" i="5"/>
  <c r="M46" i="7" s="1"/>
  <c r="AN46" i="5"/>
  <c r="AL46" i="5"/>
  <c r="AC46" i="5"/>
  <c r="R46" i="7" s="1"/>
  <c r="AB46" i="5"/>
  <c r="T46" i="7" s="1"/>
  <c r="AA46" i="5"/>
  <c r="S46" i="7" s="1"/>
  <c r="Z46" i="5"/>
  <c r="F46" i="7" s="1"/>
  <c r="Q46" i="5"/>
  <c r="H46" i="7" s="1"/>
  <c r="P46" i="5"/>
  <c r="K46" i="5"/>
  <c r="J46" i="5"/>
  <c r="N46" i="7" s="1"/>
  <c r="AS45" i="5"/>
  <c r="AR45" i="5"/>
  <c r="Q45" i="7" s="1"/>
  <c r="AQ45" i="5"/>
  <c r="M45" i="7" s="1"/>
  <c r="AN45" i="5"/>
  <c r="AL45" i="5"/>
  <c r="AC45" i="5"/>
  <c r="R45" i="7" s="1"/>
  <c r="AB45" i="5"/>
  <c r="T45" i="7" s="1"/>
  <c r="AA45" i="5"/>
  <c r="Z45" i="5"/>
  <c r="F45" i="7" s="1"/>
  <c r="Q45" i="5"/>
  <c r="H45" i="7" s="1"/>
  <c r="P45" i="5"/>
  <c r="K45" i="5"/>
  <c r="J45" i="5"/>
  <c r="N45" i="7" s="1"/>
  <c r="AS44" i="5"/>
  <c r="AR44" i="5"/>
  <c r="Q44" i="7" s="1"/>
  <c r="AQ44" i="5"/>
  <c r="M44" i="7" s="1"/>
  <c r="AN44" i="5"/>
  <c r="AL44" i="5"/>
  <c r="AC44" i="5"/>
  <c r="R44" i="7" s="1"/>
  <c r="AB44" i="5"/>
  <c r="T44" i="7" s="1"/>
  <c r="AA44" i="5"/>
  <c r="Z44" i="5"/>
  <c r="F44" i="7" s="1"/>
  <c r="Q44" i="5"/>
  <c r="H44" i="7" s="1"/>
  <c r="P44" i="5"/>
  <c r="K44" i="5"/>
  <c r="J44" i="5"/>
  <c r="N44" i="7" s="1"/>
  <c r="AS43" i="5"/>
  <c r="AR43" i="5"/>
  <c r="Q43" i="7" s="1"/>
  <c r="AQ43" i="5"/>
  <c r="M43" i="7" s="1"/>
  <c r="AN43" i="5"/>
  <c r="AL43" i="5"/>
  <c r="AC43" i="5"/>
  <c r="R43" i="7" s="1"/>
  <c r="AB43" i="5"/>
  <c r="T43" i="7" s="1"/>
  <c r="AA43" i="5"/>
  <c r="S43" i="7" s="1"/>
  <c r="Z43" i="5"/>
  <c r="F43" i="7" s="1"/>
  <c r="Q43" i="5"/>
  <c r="H43" i="7" s="1"/>
  <c r="P43" i="5"/>
  <c r="K43" i="5"/>
  <c r="J43" i="5"/>
  <c r="N43" i="7" s="1"/>
  <c r="AS42" i="5"/>
  <c r="AR42" i="5"/>
  <c r="Q42" i="7" s="1"/>
  <c r="AQ42" i="5"/>
  <c r="M42" i="7" s="1"/>
  <c r="AN42" i="5"/>
  <c r="AL42" i="5"/>
  <c r="AC42" i="5"/>
  <c r="R42" i="7" s="1"/>
  <c r="AB42" i="5"/>
  <c r="T42" i="7" s="1"/>
  <c r="AA42" i="5"/>
  <c r="S42" i="7" s="1"/>
  <c r="Z42" i="5"/>
  <c r="F42" i="7" s="1"/>
  <c r="Q42" i="5"/>
  <c r="H42" i="7" s="1"/>
  <c r="P42" i="5"/>
  <c r="K42" i="5"/>
  <c r="J42" i="5"/>
  <c r="N42" i="7" s="1"/>
  <c r="AS41" i="5"/>
  <c r="AR41" i="5"/>
  <c r="Q41" i="7" s="1"/>
  <c r="AQ41" i="5"/>
  <c r="M41" i="7" s="1"/>
  <c r="AN41" i="5"/>
  <c r="AL41" i="5"/>
  <c r="AC41" i="5"/>
  <c r="R41" i="7" s="1"/>
  <c r="AB41" i="5"/>
  <c r="T41" i="7" s="1"/>
  <c r="AA41" i="5"/>
  <c r="Z41" i="5"/>
  <c r="F41" i="7" s="1"/>
  <c r="Q41" i="5"/>
  <c r="H41" i="7" s="1"/>
  <c r="P41" i="5"/>
  <c r="K41" i="5"/>
  <c r="J41" i="5"/>
  <c r="N41" i="7" s="1"/>
  <c r="AS40" i="5"/>
  <c r="AR40" i="5"/>
  <c r="Q40" i="7" s="1"/>
  <c r="AQ40" i="5"/>
  <c r="M40" i="7" s="1"/>
  <c r="AN40" i="5"/>
  <c r="AL40" i="5"/>
  <c r="AC40" i="5"/>
  <c r="R40" i="7" s="1"/>
  <c r="AB40" i="5"/>
  <c r="T40" i="7" s="1"/>
  <c r="AA40" i="5"/>
  <c r="Z40" i="5"/>
  <c r="F40" i="7" s="1"/>
  <c r="Q40" i="5"/>
  <c r="H40" i="7" s="1"/>
  <c r="P40" i="5"/>
  <c r="K40" i="5"/>
  <c r="J40" i="5"/>
  <c r="N40" i="7" s="1"/>
  <c r="AS39" i="5"/>
  <c r="AR39" i="5"/>
  <c r="Q39" i="7" s="1"/>
  <c r="AQ39" i="5"/>
  <c r="M39" i="7" s="1"/>
  <c r="AN39" i="5"/>
  <c r="AL39" i="5"/>
  <c r="AC39" i="5"/>
  <c r="R39" i="7" s="1"/>
  <c r="AB39" i="5"/>
  <c r="T39" i="7" s="1"/>
  <c r="AA39" i="5"/>
  <c r="Z39" i="5"/>
  <c r="F39" i="7" s="1"/>
  <c r="Q39" i="5"/>
  <c r="H39" i="7" s="1"/>
  <c r="P39" i="5"/>
  <c r="K39" i="5"/>
  <c r="J39" i="5"/>
  <c r="N39" i="7" s="1"/>
  <c r="AS38" i="5"/>
  <c r="AR38" i="5"/>
  <c r="Q38" i="7" s="1"/>
  <c r="AQ38" i="5"/>
  <c r="M38" i="7" s="1"/>
  <c r="AN38" i="5"/>
  <c r="AL38" i="5"/>
  <c r="AC38" i="5"/>
  <c r="R38" i="7" s="1"/>
  <c r="AB38" i="5"/>
  <c r="T38" i="7" s="1"/>
  <c r="AA38" i="5"/>
  <c r="S38" i="7" s="1"/>
  <c r="Z38" i="5"/>
  <c r="F38" i="7" s="1"/>
  <c r="Q38" i="5"/>
  <c r="H38" i="7" s="1"/>
  <c r="P38" i="5"/>
  <c r="K38" i="5"/>
  <c r="J38" i="5"/>
  <c r="N38" i="7" s="1"/>
  <c r="AS37" i="5"/>
  <c r="AR37" i="5"/>
  <c r="Q37" i="7" s="1"/>
  <c r="AQ37" i="5"/>
  <c r="M37" i="7" s="1"/>
  <c r="AN37" i="5"/>
  <c r="AL37" i="5"/>
  <c r="AC37" i="5"/>
  <c r="R37" i="7" s="1"/>
  <c r="AB37" i="5"/>
  <c r="T37" i="7" s="1"/>
  <c r="AA37" i="5"/>
  <c r="S37" i="7" s="1"/>
  <c r="Z37" i="5"/>
  <c r="F37" i="7" s="1"/>
  <c r="Q37" i="5"/>
  <c r="H37" i="7" s="1"/>
  <c r="P37" i="5"/>
  <c r="K37" i="5"/>
  <c r="J37" i="5"/>
  <c r="N37" i="7" s="1"/>
  <c r="AS36" i="5"/>
  <c r="AR36" i="5"/>
  <c r="Q36" i="7" s="1"/>
  <c r="AQ36" i="5"/>
  <c r="M36" i="7" s="1"/>
  <c r="AN36" i="5"/>
  <c r="AL36" i="5"/>
  <c r="AC36" i="5"/>
  <c r="R36" i="7" s="1"/>
  <c r="AB36" i="5"/>
  <c r="T36" i="7" s="1"/>
  <c r="AA36" i="5"/>
  <c r="S36" i="7" s="1"/>
  <c r="Z36" i="5"/>
  <c r="F36" i="7" s="1"/>
  <c r="Q36" i="5"/>
  <c r="H36" i="7" s="1"/>
  <c r="P36" i="5"/>
  <c r="K36" i="5"/>
  <c r="J36" i="5"/>
  <c r="N36" i="7" s="1"/>
  <c r="AS35" i="5"/>
  <c r="AR35" i="5"/>
  <c r="Q35" i="7" s="1"/>
  <c r="AQ35" i="5"/>
  <c r="M35" i="7" s="1"/>
  <c r="AN35" i="5"/>
  <c r="AL35" i="5"/>
  <c r="AC35" i="5"/>
  <c r="R35" i="7" s="1"/>
  <c r="AB35" i="5"/>
  <c r="T35" i="7" s="1"/>
  <c r="AA35" i="5"/>
  <c r="S35" i="7" s="1"/>
  <c r="Z35" i="5"/>
  <c r="F35" i="7" s="1"/>
  <c r="Q35" i="5"/>
  <c r="H35" i="7" s="1"/>
  <c r="P35" i="5"/>
  <c r="K35" i="5"/>
  <c r="J35" i="5"/>
  <c r="N35" i="7" s="1"/>
  <c r="AS34" i="5"/>
  <c r="AR34" i="5"/>
  <c r="Q34" i="7" s="1"/>
  <c r="AQ34" i="5"/>
  <c r="M34" i="7" s="1"/>
  <c r="AN34" i="5"/>
  <c r="AL34" i="5"/>
  <c r="AC34" i="5"/>
  <c r="R34" i="7" s="1"/>
  <c r="AB34" i="5"/>
  <c r="T34" i="7" s="1"/>
  <c r="AA34" i="5"/>
  <c r="S34" i="7" s="1"/>
  <c r="Z34" i="5"/>
  <c r="F34" i="7" s="1"/>
  <c r="Q34" i="5"/>
  <c r="H34" i="7" s="1"/>
  <c r="P34" i="5"/>
  <c r="K34" i="5"/>
  <c r="J34" i="5"/>
  <c r="N34" i="7" s="1"/>
  <c r="AS33" i="5"/>
  <c r="AR33" i="5"/>
  <c r="Q33" i="7" s="1"/>
  <c r="AQ33" i="5"/>
  <c r="M33" i="7" s="1"/>
  <c r="AN33" i="5"/>
  <c r="AL33" i="5"/>
  <c r="AC33" i="5"/>
  <c r="R33" i="7" s="1"/>
  <c r="AB33" i="5"/>
  <c r="T33" i="7" s="1"/>
  <c r="AA33" i="5"/>
  <c r="S33" i="7" s="1"/>
  <c r="Z33" i="5"/>
  <c r="F33" i="7" s="1"/>
  <c r="Q33" i="5"/>
  <c r="H33" i="7" s="1"/>
  <c r="P33" i="5"/>
  <c r="K33" i="5"/>
  <c r="J33" i="5"/>
  <c r="N33" i="7" s="1"/>
  <c r="AS32" i="5"/>
  <c r="AR32" i="5"/>
  <c r="Q32" i="7" s="1"/>
  <c r="AQ32" i="5"/>
  <c r="M32" i="7" s="1"/>
  <c r="AN32" i="5"/>
  <c r="AL32" i="5"/>
  <c r="AC32" i="5"/>
  <c r="R32" i="7" s="1"/>
  <c r="AB32" i="5"/>
  <c r="T32" i="7" s="1"/>
  <c r="AA32" i="5"/>
  <c r="S32" i="7" s="1"/>
  <c r="Z32" i="5"/>
  <c r="F32" i="7" s="1"/>
  <c r="Q32" i="5"/>
  <c r="H32" i="7" s="1"/>
  <c r="P32" i="5"/>
  <c r="K32" i="5"/>
  <c r="J32" i="5"/>
  <c r="N32" i="7" s="1"/>
  <c r="AS31" i="5"/>
  <c r="AR31" i="5"/>
  <c r="Q31" i="7" s="1"/>
  <c r="AQ31" i="5"/>
  <c r="M31" i="7" s="1"/>
  <c r="AN31" i="5"/>
  <c r="AL31" i="5"/>
  <c r="AC31" i="5"/>
  <c r="R31" i="7" s="1"/>
  <c r="AB31" i="5"/>
  <c r="T31" i="7" s="1"/>
  <c r="AA31" i="5"/>
  <c r="S31" i="7" s="1"/>
  <c r="Z31" i="5"/>
  <c r="F31" i="7" s="1"/>
  <c r="Q31" i="5"/>
  <c r="H31" i="7" s="1"/>
  <c r="P31" i="5"/>
  <c r="K31" i="5"/>
  <c r="J31" i="5"/>
  <c r="N31" i="7" s="1"/>
  <c r="AS30" i="5"/>
  <c r="AR30" i="5"/>
  <c r="Q30" i="7" s="1"/>
  <c r="AQ30" i="5"/>
  <c r="M30" i="7" s="1"/>
  <c r="AN30" i="5"/>
  <c r="AL30" i="5"/>
  <c r="AC30" i="5"/>
  <c r="R30" i="7" s="1"/>
  <c r="AB30" i="5"/>
  <c r="T30" i="7" s="1"/>
  <c r="AA30" i="5"/>
  <c r="Z30" i="5"/>
  <c r="F30" i="7" s="1"/>
  <c r="Q30" i="5"/>
  <c r="H30" i="7" s="1"/>
  <c r="P30" i="5"/>
  <c r="K30" i="5"/>
  <c r="J30" i="5"/>
  <c r="N30" i="7" s="1"/>
  <c r="AS29" i="5"/>
  <c r="AR29" i="5"/>
  <c r="Q29" i="7" s="1"/>
  <c r="AQ29" i="5"/>
  <c r="M29" i="7" s="1"/>
  <c r="AN29" i="5"/>
  <c r="AL29" i="5"/>
  <c r="AC29" i="5"/>
  <c r="R29" i="7" s="1"/>
  <c r="AB29" i="5"/>
  <c r="T29" i="7" s="1"/>
  <c r="AA29" i="5"/>
  <c r="Z29" i="5"/>
  <c r="F29" i="7" s="1"/>
  <c r="Q29" i="5"/>
  <c r="H29" i="7" s="1"/>
  <c r="P29" i="5"/>
  <c r="K29" i="5"/>
  <c r="J29" i="5"/>
  <c r="N29" i="7" s="1"/>
  <c r="AS28" i="5"/>
  <c r="AR28" i="5"/>
  <c r="Q28" i="7" s="1"/>
  <c r="AQ28" i="5"/>
  <c r="M28" i="7" s="1"/>
  <c r="AN28" i="5"/>
  <c r="AL28" i="5"/>
  <c r="AC28" i="5"/>
  <c r="R28" i="7" s="1"/>
  <c r="AB28" i="5"/>
  <c r="T28" i="7" s="1"/>
  <c r="AA28" i="5"/>
  <c r="S28" i="7" s="1"/>
  <c r="Z28" i="5"/>
  <c r="F28" i="7" s="1"/>
  <c r="Q28" i="5"/>
  <c r="H28" i="7" s="1"/>
  <c r="P28" i="5"/>
  <c r="K28" i="5"/>
  <c r="J28" i="5"/>
  <c r="N28" i="7" s="1"/>
  <c r="AS27" i="5"/>
  <c r="AR27" i="5"/>
  <c r="Q27" i="7" s="1"/>
  <c r="AQ27" i="5"/>
  <c r="M27" i="7" s="1"/>
  <c r="AN27" i="5"/>
  <c r="AL27" i="5"/>
  <c r="AC27" i="5"/>
  <c r="R27" i="7" s="1"/>
  <c r="AB27" i="5"/>
  <c r="T27" i="7" s="1"/>
  <c r="AA27" i="5"/>
  <c r="S27" i="7" s="1"/>
  <c r="Z27" i="5"/>
  <c r="F27" i="7" s="1"/>
  <c r="Q27" i="5"/>
  <c r="H27" i="7" s="1"/>
  <c r="P27" i="5"/>
  <c r="K27" i="5"/>
  <c r="J27" i="5"/>
  <c r="N27" i="7" s="1"/>
  <c r="AS26" i="5"/>
  <c r="AR26" i="5"/>
  <c r="Q26" i="7" s="1"/>
  <c r="AQ26" i="5"/>
  <c r="M26" i="7" s="1"/>
  <c r="AN26" i="5"/>
  <c r="AL26" i="5"/>
  <c r="AC26" i="5"/>
  <c r="R26" i="7" s="1"/>
  <c r="AB26" i="5"/>
  <c r="T26" i="7" s="1"/>
  <c r="AA26" i="5"/>
  <c r="S26" i="7" s="1"/>
  <c r="Z26" i="5"/>
  <c r="F26" i="7" s="1"/>
  <c r="Q26" i="5"/>
  <c r="H26" i="7" s="1"/>
  <c r="P26" i="5"/>
  <c r="K26" i="5"/>
  <c r="J26" i="5"/>
  <c r="N26" i="7" s="1"/>
  <c r="AS25" i="5"/>
  <c r="AR25" i="5"/>
  <c r="Q25" i="7" s="1"/>
  <c r="AQ25" i="5"/>
  <c r="M25" i="7" s="1"/>
  <c r="AN25" i="5"/>
  <c r="AL25" i="5"/>
  <c r="AC25" i="5"/>
  <c r="R25" i="7" s="1"/>
  <c r="AB25" i="5"/>
  <c r="T25" i="7" s="1"/>
  <c r="AA25" i="5"/>
  <c r="S25" i="7" s="1"/>
  <c r="Z25" i="5"/>
  <c r="F25" i="7" s="1"/>
  <c r="Q25" i="5"/>
  <c r="H25" i="7" s="1"/>
  <c r="P25" i="5"/>
  <c r="K25" i="5"/>
  <c r="J25" i="5"/>
  <c r="N25" i="7" s="1"/>
  <c r="AS24" i="5"/>
  <c r="AR24" i="5"/>
  <c r="Q24" i="7" s="1"/>
  <c r="AQ24" i="5"/>
  <c r="M24" i="7" s="1"/>
  <c r="AN24" i="5"/>
  <c r="AL24" i="5"/>
  <c r="AC24" i="5"/>
  <c r="R24" i="7" s="1"/>
  <c r="AB24" i="5"/>
  <c r="T24" i="7" s="1"/>
  <c r="AA24" i="5"/>
  <c r="S24" i="7" s="1"/>
  <c r="Z24" i="5"/>
  <c r="F24" i="7" s="1"/>
  <c r="Q24" i="5"/>
  <c r="H24" i="7" s="1"/>
  <c r="P24" i="5"/>
  <c r="K24" i="5"/>
  <c r="J24" i="5"/>
  <c r="N24" i="7" s="1"/>
  <c r="AS23" i="5"/>
  <c r="AR23" i="5"/>
  <c r="Q23" i="7" s="1"/>
  <c r="AQ23" i="5"/>
  <c r="M23" i="7" s="1"/>
  <c r="AN23" i="5"/>
  <c r="AL23" i="5"/>
  <c r="AC23" i="5"/>
  <c r="R23" i="7" s="1"/>
  <c r="AB23" i="5"/>
  <c r="T23" i="7" s="1"/>
  <c r="AA23" i="5"/>
  <c r="Z23" i="5"/>
  <c r="F23" i="7" s="1"/>
  <c r="Q23" i="5"/>
  <c r="H23" i="7" s="1"/>
  <c r="P23" i="5"/>
  <c r="K23" i="5"/>
  <c r="J23" i="5"/>
  <c r="N23" i="7" s="1"/>
  <c r="AS22" i="5"/>
  <c r="AR22" i="5"/>
  <c r="Q22" i="7" s="1"/>
  <c r="AQ22" i="5"/>
  <c r="M22" i="7" s="1"/>
  <c r="AN22" i="5"/>
  <c r="AL22" i="5"/>
  <c r="AC22" i="5"/>
  <c r="R22" i="7" s="1"/>
  <c r="AB22" i="5"/>
  <c r="T22" i="7" s="1"/>
  <c r="AA22" i="5"/>
  <c r="S22" i="7" s="1"/>
  <c r="Z22" i="5"/>
  <c r="F22" i="7" s="1"/>
  <c r="Q22" i="5"/>
  <c r="H22" i="7" s="1"/>
  <c r="P22" i="5"/>
  <c r="K22" i="5"/>
  <c r="J22" i="5"/>
  <c r="N22" i="7" s="1"/>
  <c r="AS21" i="5"/>
  <c r="AR21" i="5"/>
  <c r="Q21" i="7" s="1"/>
  <c r="AQ21" i="5"/>
  <c r="M21" i="7" s="1"/>
  <c r="AN21" i="5"/>
  <c r="AL21" i="5"/>
  <c r="AC21" i="5"/>
  <c r="R21" i="7" s="1"/>
  <c r="AB21" i="5"/>
  <c r="T21" i="7" s="1"/>
  <c r="AA21" i="5"/>
  <c r="S21" i="7" s="1"/>
  <c r="Z21" i="5"/>
  <c r="F21" i="7" s="1"/>
  <c r="Q21" i="5"/>
  <c r="H21" i="7" s="1"/>
  <c r="P21" i="5"/>
  <c r="K21" i="5"/>
  <c r="J21" i="5"/>
  <c r="N21" i="7" s="1"/>
  <c r="AS20" i="5"/>
  <c r="AR20" i="5"/>
  <c r="Q20" i="7" s="1"/>
  <c r="AQ20" i="5"/>
  <c r="M20" i="7" s="1"/>
  <c r="AN20" i="5"/>
  <c r="AL20" i="5"/>
  <c r="AC20" i="5"/>
  <c r="R20" i="7" s="1"/>
  <c r="AB20" i="5"/>
  <c r="T20" i="7" s="1"/>
  <c r="AA20" i="5"/>
  <c r="S20" i="7" s="1"/>
  <c r="Z20" i="5"/>
  <c r="F20" i="7" s="1"/>
  <c r="Q20" i="5"/>
  <c r="H20" i="7" s="1"/>
  <c r="P20" i="5"/>
  <c r="K20" i="5"/>
  <c r="J20" i="5"/>
  <c r="N20" i="7" s="1"/>
  <c r="AS19" i="5"/>
  <c r="AR19" i="5"/>
  <c r="Q19" i="7" s="1"/>
  <c r="AQ19" i="5"/>
  <c r="M19" i="7" s="1"/>
  <c r="AN19" i="5"/>
  <c r="AL19" i="5"/>
  <c r="AC19" i="5"/>
  <c r="R19" i="7" s="1"/>
  <c r="AB19" i="5"/>
  <c r="T19" i="7" s="1"/>
  <c r="AA19" i="5"/>
  <c r="Z19" i="5"/>
  <c r="F19" i="7" s="1"/>
  <c r="Q19" i="5"/>
  <c r="H19" i="7" s="1"/>
  <c r="P19" i="5"/>
  <c r="K19" i="5"/>
  <c r="J19" i="5"/>
  <c r="N19" i="7" s="1"/>
  <c r="AS18" i="5"/>
  <c r="AR18" i="5"/>
  <c r="Q18" i="7" s="1"/>
  <c r="AQ18" i="5"/>
  <c r="M18" i="7" s="1"/>
  <c r="AN18" i="5"/>
  <c r="AL18" i="5"/>
  <c r="AC18" i="5"/>
  <c r="R18" i="7" s="1"/>
  <c r="AB18" i="5"/>
  <c r="T18" i="7" s="1"/>
  <c r="AA18" i="5"/>
  <c r="Z18" i="5"/>
  <c r="F18" i="7" s="1"/>
  <c r="Q18" i="5"/>
  <c r="H18" i="7" s="1"/>
  <c r="P18" i="5"/>
  <c r="K18" i="5"/>
  <c r="J18" i="5"/>
  <c r="N18" i="7" s="1"/>
  <c r="AS17" i="5"/>
  <c r="AR17" i="5"/>
  <c r="Q17" i="7" s="1"/>
  <c r="AQ17" i="5"/>
  <c r="M17" i="7" s="1"/>
  <c r="AN17" i="5"/>
  <c r="AL17" i="5"/>
  <c r="AC17" i="5"/>
  <c r="R17" i="7" s="1"/>
  <c r="AB17" i="5"/>
  <c r="T17" i="7" s="1"/>
  <c r="AA17" i="5"/>
  <c r="Z17" i="5"/>
  <c r="F17" i="7" s="1"/>
  <c r="Q17" i="5"/>
  <c r="H17" i="7" s="1"/>
  <c r="P17" i="5"/>
  <c r="K17" i="5"/>
  <c r="J17" i="5"/>
  <c r="N17" i="7" s="1"/>
  <c r="AS16" i="5"/>
  <c r="AR16" i="5"/>
  <c r="Q16" i="7" s="1"/>
  <c r="AQ16" i="5"/>
  <c r="M16" i="7" s="1"/>
  <c r="AN16" i="5"/>
  <c r="AL16" i="5"/>
  <c r="AC16" i="5"/>
  <c r="R16" i="7" s="1"/>
  <c r="AB16" i="5"/>
  <c r="T16" i="7" s="1"/>
  <c r="AA16" i="5"/>
  <c r="S16" i="7" s="1"/>
  <c r="Z16" i="5"/>
  <c r="F16" i="7" s="1"/>
  <c r="Q16" i="5"/>
  <c r="H16" i="7" s="1"/>
  <c r="P16" i="5"/>
  <c r="K16" i="5"/>
  <c r="J16" i="5"/>
  <c r="N16" i="7" s="1"/>
  <c r="AS15" i="5"/>
  <c r="AR15" i="5"/>
  <c r="Q15" i="7" s="1"/>
  <c r="AQ15" i="5"/>
  <c r="M15" i="7" s="1"/>
  <c r="AN15" i="5"/>
  <c r="AL15" i="5"/>
  <c r="AC15" i="5"/>
  <c r="R15" i="7" s="1"/>
  <c r="AB15" i="5"/>
  <c r="T15" i="7" s="1"/>
  <c r="AA15" i="5"/>
  <c r="S15" i="7" s="1"/>
  <c r="Z15" i="5"/>
  <c r="F15" i="7" s="1"/>
  <c r="Q15" i="5"/>
  <c r="H15" i="7" s="1"/>
  <c r="P15" i="5"/>
  <c r="K15" i="5"/>
  <c r="J15" i="5"/>
  <c r="N15" i="7" s="1"/>
  <c r="AS14" i="5"/>
  <c r="AR14" i="5"/>
  <c r="Q14" i="7" s="1"/>
  <c r="AQ14" i="5"/>
  <c r="M14" i="7" s="1"/>
  <c r="AN14" i="5"/>
  <c r="AL14" i="5"/>
  <c r="AC14" i="5"/>
  <c r="R14" i="7" s="1"/>
  <c r="AB14" i="5"/>
  <c r="T14" i="7" s="1"/>
  <c r="AA14" i="5"/>
  <c r="S14" i="7" s="1"/>
  <c r="Z14" i="5"/>
  <c r="F14" i="7" s="1"/>
  <c r="Q14" i="5"/>
  <c r="H14" i="7" s="1"/>
  <c r="P14" i="5"/>
  <c r="K14" i="5"/>
  <c r="J14" i="5"/>
  <c r="N14" i="7" s="1"/>
  <c r="AS13" i="5"/>
  <c r="AR13" i="5"/>
  <c r="Q13" i="7" s="1"/>
  <c r="AQ13" i="5"/>
  <c r="M13" i="7" s="1"/>
  <c r="AN13" i="5"/>
  <c r="AL13" i="5"/>
  <c r="AC13" i="5"/>
  <c r="R13" i="7" s="1"/>
  <c r="AB13" i="5"/>
  <c r="T13" i="7" s="1"/>
  <c r="AA13" i="5"/>
  <c r="S13" i="7" s="1"/>
  <c r="Z13" i="5"/>
  <c r="F13" i="7" s="1"/>
  <c r="Q13" i="5"/>
  <c r="H13" i="7" s="1"/>
  <c r="P13" i="5"/>
  <c r="K13" i="5"/>
  <c r="J13" i="5"/>
  <c r="N13" i="7" s="1"/>
  <c r="AS12" i="5"/>
  <c r="AR12" i="5"/>
  <c r="Q12" i="7" s="1"/>
  <c r="AQ12" i="5"/>
  <c r="M12" i="7" s="1"/>
  <c r="AN12" i="5"/>
  <c r="AL12" i="5"/>
  <c r="AC12" i="5"/>
  <c r="R12" i="7" s="1"/>
  <c r="AB12" i="5"/>
  <c r="T12" i="7" s="1"/>
  <c r="AA12" i="5"/>
  <c r="S12" i="7" s="1"/>
  <c r="Z12" i="5"/>
  <c r="F12" i="7" s="1"/>
  <c r="Q12" i="5"/>
  <c r="H12" i="7" s="1"/>
  <c r="P12" i="5"/>
  <c r="K12" i="5"/>
  <c r="J12" i="5"/>
  <c r="N12" i="7" s="1"/>
  <c r="AS11" i="5"/>
  <c r="AR11" i="5"/>
  <c r="Q11" i="7" s="1"/>
  <c r="AQ11" i="5"/>
  <c r="M11" i="7" s="1"/>
  <c r="AN11" i="5"/>
  <c r="AL11" i="5"/>
  <c r="AC11" i="5"/>
  <c r="R11" i="7" s="1"/>
  <c r="AB11" i="5"/>
  <c r="T11" i="7" s="1"/>
  <c r="AA11" i="5"/>
  <c r="S11" i="7" s="1"/>
  <c r="Z11" i="5"/>
  <c r="F11" i="7" s="1"/>
  <c r="Q11" i="5"/>
  <c r="H11" i="7" s="1"/>
  <c r="P11" i="5"/>
  <c r="K11" i="5"/>
  <c r="J11" i="5"/>
  <c r="N11" i="7" s="1"/>
  <c r="AS10" i="5"/>
  <c r="AR10" i="5"/>
  <c r="Q10" i="7" s="1"/>
  <c r="AQ10" i="5"/>
  <c r="M10" i="7" s="1"/>
  <c r="AN10" i="5"/>
  <c r="AL10" i="5"/>
  <c r="AC10" i="5"/>
  <c r="R10" i="7" s="1"/>
  <c r="AB10" i="5"/>
  <c r="T10" i="7" s="1"/>
  <c r="AA10" i="5"/>
  <c r="S10" i="7" s="1"/>
  <c r="Z10" i="5"/>
  <c r="F10" i="7" s="1"/>
  <c r="Q10" i="5"/>
  <c r="H10" i="7" s="1"/>
  <c r="P10" i="5"/>
  <c r="K10" i="5"/>
  <c r="J10" i="5"/>
  <c r="N10" i="7" s="1"/>
  <c r="AS9" i="5"/>
  <c r="AR9" i="5"/>
  <c r="Q9" i="7" s="1"/>
  <c r="AQ9" i="5"/>
  <c r="M9" i="7" s="1"/>
  <c r="AN9" i="5"/>
  <c r="AL9" i="5"/>
  <c r="AC9" i="5"/>
  <c r="R9" i="7" s="1"/>
  <c r="AB9" i="5"/>
  <c r="T9" i="7" s="1"/>
  <c r="AA9" i="5"/>
  <c r="Z9" i="5"/>
  <c r="F9" i="7" s="1"/>
  <c r="Q9" i="5"/>
  <c r="H9" i="7" s="1"/>
  <c r="P9" i="5"/>
  <c r="K9" i="5"/>
  <c r="J9" i="5"/>
  <c r="N9" i="7" s="1"/>
  <c r="AS8" i="5"/>
  <c r="AR8" i="5"/>
  <c r="Q8" i="7" s="1"/>
  <c r="AQ8" i="5"/>
  <c r="M8" i="7" s="1"/>
  <c r="AN8" i="5"/>
  <c r="AL8" i="5"/>
  <c r="AC8" i="5"/>
  <c r="R8" i="7" s="1"/>
  <c r="AB8" i="5"/>
  <c r="T8" i="7" s="1"/>
  <c r="AA8" i="5"/>
  <c r="Z8" i="5"/>
  <c r="F8" i="7" s="1"/>
  <c r="Q8" i="5"/>
  <c r="H8" i="7" s="1"/>
  <c r="P8" i="5"/>
  <c r="K8" i="5"/>
  <c r="J8" i="5"/>
  <c r="N8" i="7" s="1"/>
  <c r="AS7" i="5"/>
  <c r="AR7" i="5"/>
  <c r="Q7" i="7" s="1"/>
  <c r="AQ7" i="5"/>
  <c r="M7" i="7" s="1"/>
  <c r="AN7" i="5"/>
  <c r="AL7" i="5"/>
  <c r="AC7" i="5"/>
  <c r="R7" i="7" s="1"/>
  <c r="AB7" i="5"/>
  <c r="T7" i="7" s="1"/>
  <c r="AA7" i="5"/>
  <c r="Z7" i="5"/>
  <c r="F7" i="7" s="1"/>
  <c r="Q7" i="5"/>
  <c r="H7" i="7" s="1"/>
  <c r="P7" i="5"/>
  <c r="K7" i="5"/>
  <c r="J7" i="5"/>
  <c r="N7" i="7" s="1"/>
  <c r="AS6" i="5"/>
  <c r="AR6" i="5"/>
  <c r="Q6" i="7" s="1"/>
  <c r="AQ6" i="5"/>
  <c r="M6" i="7" s="1"/>
  <c r="AN6" i="5"/>
  <c r="AL6" i="5"/>
  <c r="AC6" i="5"/>
  <c r="R6" i="7" s="1"/>
  <c r="AB6" i="5"/>
  <c r="T6" i="7" s="1"/>
  <c r="AA6" i="5"/>
  <c r="S6" i="7" s="1"/>
  <c r="Z6" i="5"/>
  <c r="F6" i="7" s="1"/>
  <c r="Q6" i="5"/>
  <c r="H6" i="7" s="1"/>
  <c r="P6" i="5"/>
  <c r="K6" i="5"/>
  <c r="J6" i="5"/>
  <c r="N6" i="7" s="1"/>
  <c r="AS5" i="5"/>
  <c r="AR5" i="5"/>
  <c r="Q5" i="7" s="1"/>
  <c r="AQ5" i="5"/>
  <c r="M5" i="7" s="1"/>
  <c r="AN5" i="5"/>
  <c r="AL5" i="5"/>
  <c r="AC5" i="5"/>
  <c r="R5" i="7" s="1"/>
  <c r="AB5" i="5"/>
  <c r="T5" i="7" s="1"/>
  <c r="AA5" i="5"/>
  <c r="S5" i="7" s="1"/>
  <c r="Z5" i="5"/>
  <c r="F5" i="7" s="1"/>
  <c r="Q5" i="5"/>
  <c r="H5" i="7" s="1"/>
  <c r="P5" i="5"/>
  <c r="K5" i="5"/>
  <c r="J5" i="5"/>
  <c r="N5" i="7" s="1"/>
  <c r="AS4" i="5"/>
  <c r="AR4" i="5"/>
  <c r="Q4" i="7" s="1"/>
  <c r="AQ4" i="5"/>
  <c r="M4" i="7" s="1"/>
  <c r="AN4" i="5"/>
  <c r="AL4" i="5"/>
  <c r="AC4" i="5"/>
  <c r="R4" i="7" s="1"/>
  <c r="AB4" i="5"/>
  <c r="T4" i="7" s="1"/>
  <c r="AA4" i="5"/>
  <c r="Z4" i="5"/>
  <c r="F4" i="7" s="1"/>
  <c r="Q4" i="5"/>
  <c r="H4" i="7" s="1"/>
  <c r="P4" i="5"/>
  <c r="K4" i="5"/>
  <c r="J4" i="5"/>
  <c r="N4" i="7" s="1"/>
  <c r="C1" i="3"/>
  <c r="A1" i="3"/>
  <c r="A95" i="2"/>
  <c r="G14" i="1"/>
  <c r="D14" i="1"/>
  <c r="A14" i="1"/>
  <c r="J11" i="1"/>
  <c r="G11" i="1"/>
  <c r="D11" i="1"/>
  <c r="A11" i="1"/>
  <c r="J8" i="1"/>
  <c r="G8" i="1"/>
  <c r="D8" i="1"/>
  <c r="A8" i="1"/>
  <c r="U7" i="7" l="1"/>
  <c r="G7" i="7"/>
  <c r="I7" i="7" s="1"/>
  <c r="G91" i="7"/>
  <c r="I91" i="7" s="1"/>
  <c r="U91" i="7"/>
  <c r="O93" i="7"/>
  <c r="P93" i="7"/>
  <c r="P105" i="7"/>
  <c r="O105" i="7"/>
  <c r="U139" i="7"/>
  <c r="G139" i="7"/>
  <c r="I139" i="7" s="1"/>
  <c r="O177" i="7"/>
  <c r="P177" i="7"/>
  <c r="P11" i="7"/>
  <c r="O11" i="7"/>
  <c r="P23" i="7"/>
  <c r="O23" i="7"/>
  <c r="O59" i="7"/>
  <c r="P59" i="7"/>
  <c r="P71" i="7"/>
  <c r="O71" i="7"/>
  <c r="U14" i="7"/>
  <c r="G14" i="7"/>
  <c r="I14" i="7" s="1"/>
  <c r="P16" i="7"/>
  <c r="P41" i="7"/>
  <c r="O41" i="7"/>
  <c r="U87" i="7"/>
  <c r="G87" i="7"/>
  <c r="I87" i="7" s="1"/>
  <c r="U171" i="7"/>
  <c r="G171" i="7"/>
  <c r="I171" i="7" s="1"/>
  <c r="P173" i="7"/>
  <c r="O173" i="7"/>
  <c r="U207" i="7"/>
  <c r="G207" i="7"/>
  <c r="I207" i="7" s="1"/>
  <c r="P233" i="7"/>
  <c r="O233" i="7"/>
  <c r="P245" i="7"/>
  <c r="O245" i="7"/>
  <c r="P281" i="7"/>
  <c r="O281" i="7"/>
  <c r="U291" i="7"/>
  <c r="G291" i="7"/>
  <c r="I291" i="7" s="1"/>
  <c r="U303" i="7"/>
  <c r="G303" i="7"/>
  <c r="I303" i="7" s="1"/>
  <c r="P305" i="7"/>
  <c r="U315" i="7"/>
  <c r="G315" i="7"/>
  <c r="I315" i="7" s="1"/>
  <c r="P317" i="7"/>
  <c r="O317" i="7"/>
  <c r="G327" i="7"/>
  <c r="I327" i="7" s="1"/>
  <c r="U327" i="7"/>
  <c r="P329" i="7"/>
  <c r="O329" i="7"/>
  <c r="G339" i="7"/>
  <c r="I339" i="7" s="1"/>
  <c r="U339" i="7"/>
  <c r="P341" i="7"/>
  <c r="O341" i="7"/>
  <c r="U351" i="7"/>
  <c r="G351" i="7"/>
  <c r="I351" i="7" s="1"/>
  <c r="P353" i="7"/>
  <c r="O353" i="7"/>
  <c r="G363" i="7"/>
  <c r="I363" i="7" s="1"/>
  <c r="U363" i="7"/>
  <c r="P365" i="7"/>
  <c r="O365" i="7"/>
  <c r="G375" i="7"/>
  <c r="I375" i="7" s="1"/>
  <c r="U375" i="7"/>
  <c r="O377" i="7"/>
  <c r="P377" i="7"/>
  <c r="AB377" i="7" s="1"/>
  <c r="G387" i="7"/>
  <c r="I387" i="7" s="1"/>
  <c r="U387" i="7"/>
  <c r="O389" i="7"/>
  <c r="P389" i="7"/>
  <c r="G399" i="7"/>
  <c r="I399" i="7" s="1"/>
  <c r="U399" i="7"/>
  <c r="O401" i="7"/>
  <c r="P401" i="7"/>
  <c r="P9" i="7"/>
  <c r="O9" i="7"/>
  <c r="U103" i="7"/>
  <c r="G103" i="7"/>
  <c r="I103" i="7" s="1"/>
  <c r="P129" i="7"/>
  <c r="O129" i="7"/>
  <c r="P141" i="7"/>
  <c r="O141" i="7"/>
  <c r="U9" i="7"/>
  <c r="G9" i="7"/>
  <c r="I9" i="7" s="1"/>
  <c r="P47" i="7"/>
  <c r="O47" i="7"/>
  <c r="G81" i="7"/>
  <c r="I81" i="7" s="1"/>
  <c r="U81" i="7"/>
  <c r="P83" i="7"/>
  <c r="U15" i="7"/>
  <c r="G15" i="7"/>
  <c r="I15" i="7" s="1"/>
  <c r="P17" i="7"/>
  <c r="O17" i="7"/>
  <c r="G39" i="7"/>
  <c r="I39" i="7" s="1"/>
  <c r="U39" i="7"/>
  <c r="G63" i="7"/>
  <c r="I63" i="7" s="1"/>
  <c r="U63" i="7"/>
  <c r="G75" i="7"/>
  <c r="I75" i="7" s="1"/>
  <c r="U75" i="7"/>
  <c r="U99" i="7"/>
  <c r="G99" i="7"/>
  <c r="I99" i="7" s="1"/>
  <c r="O125" i="7"/>
  <c r="P125" i="7"/>
  <c r="O137" i="7"/>
  <c r="P137" i="7"/>
  <c r="U195" i="7"/>
  <c r="G195" i="7"/>
  <c r="I195" i="7" s="1"/>
  <c r="P209" i="7"/>
  <c r="O209" i="7"/>
  <c r="P221" i="7"/>
  <c r="O221" i="7"/>
  <c r="AB221" i="7" s="1"/>
  <c r="G231" i="7"/>
  <c r="I231" i="7" s="1"/>
  <c r="U231" i="7"/>
  <c r="G255" i="7"/>
  <c r="I255" i="7" s="1"/>
  <c r="U255" i="7"/>
  <c r="P269" i="7"/>
  <c r="O269" i="7"/>
  <c r="P6" i="7"/>
  <c r="O6" i="7"/>
  <c r="AB32" i="7"/>
  <c r="P66" i="7"/>
  <c r="O66" i="7"/>
  <c r="P78" i="7"/>
  <c r="O78" i="7"/>
  <c r="G136" i="7"/>
  <c r="I136" i="7" s="1"/>
  <c r="U136" i="7"/>
  <c r="G148" i="7"/>
  <c r="I148" i="7" s="1"/>
  <c r="U148" i="7"/>
  <c r="U160" i="7"/>
  <c r="G160" i="7"/>
  <c r="I160" i="7" s="1"/>
  <c r="U172" i="7"/>
  <c r="G172" i="7"/>
  <c r="I172" i="7" s="1"/>
  <c r="O174" i="7"/>
  <c r="P174" i="7"/>
  <c r="U196" i="7"/>
  <c r="G196" i="7"/>
  <c r="I196" i="7" s="1"/>
  <c r="U220" i="7"/>
  <c r="G220" i="7"/>
  <c r="I220" i="7" s="1"/>
  <c r="P222" i="7"/>
  <c r="O222" i="7"/>
  <c r="U232" i="7"/>
  <c r="G232" i="7"/>
  <c r="I232" i="7" s="1"/>
  <c r="P234" i="7"/>
  <c r="O234" i="7"/>
  <c r="AB236" i="7"/>
  <c r="U244" i="7"/>
  <c r="G244" i="7"/>
  <c r="I244" i="7" s="1"/>
  <c r="P246" i="7"/>
  <c r="U256" i="7"/>
  <c r="G256" i="7"/>
  <c r="I256" i="7" s="1"/>
  <c r="O258" i="7"/>
  <c r="P258" i="7"/>
  <c r="U268" i="7"/>
  <c r="G268" i="7"/>
  <c r="I268" i="7" s="1"/>
  <c r="P270" i="7"/>
  <c r="O270" i="7"/>
  <c r="AB272" i="7"/>
  <c r="U280" i="7"/>
  <c r="G280" i="7"/>
  <c r="I280" i="7" s="1"/>
  <c r="P282" i="7"/>
  <c r="O282" i="7"/>
  <c r="G292" i="7"/>
  <c r="I292" i="7" s="1"/>
  <c r="U292" i="7"/>
  <c r="P294" i="7"/>
  <c r="O294" i="7"/>
  <c r="G304" i="7"/>
  <c r="I304" i="7" s="1"/>
  <c r="U304" i="7"/>
  <c r="P306" i="7"/>
  <c r="O306" i="7"/>
  <c r="U316" i="7"/>
  <c r="G316" i="7"/>
  <c r="I316" i="7" s="1"/>
  <c r="O318" i="7"/>
  <c r="P318" i="7"/>
  <c r="G328" i="7"/>
  <c r="I328" i="7" s="1"/>
  <c r="U328" i="7"/>
  <c r="P330" i="7"/>
  <c r="O330" i="7"/>
  <c r="U340" i="7"/>
  <c r="G340" i="7"/>
  <c r="I340" i="7" s="1"/>
  <c r="P342" i="7"/>
  <c r="O342" i="7"/>
  <c r="AB342" i="7" s="1"/>
  <c r="G352" i="7"/>
  <c r="I352" i="7" s="1"/>
  <c r="U352" i="7"/>
  <c r="O354" i="7"/>
  <c r="P354" i="7"/>
  <c r="U364" i="7"/>
  <c r="G364" i="7"/>
  <c r="I364" i="7" s="1"/>
  <c r="P366" i="7"/>
  <c r="O366" i="7"/>
  <c r="U376" i="7"/>
  <c r="G376" i="7"/>
  <c r="I376" i="7" s="1"/>
  <c r="P378" i="7"/>
  <c r="O378" i="7"/>
  <c r="G388" i="7"/>
  <c r="I388" i="7" s="1"/>
  <c r="U388" i="7"/>
  <c r="O390" i="7"/>
  <c r="P390" i="7"/>
  <c r="G400" i="7"/>
  <c r="I400" i="7" s="1"/>
  <c r="U400" i="7"/>
  <c r="O402" i="7"/>
  <c r="P402" i="7"/>
  <c r="U412" i="7"/>
  <c r="G412" i="7"/>
  <c r="I412" i="7" s="1"/>
  <c r="P414" i="7"/>
  <c r="O414" i="7"/>
  <c r="U424" i="7"/>
  <c r="G424" i="7"/>
  <c r="I424" i="7" s="1"/>
  <c r="P426" i="7"/>
  <c r="O426" i="7"/>
  <c r="U436" i="7"/>
  <c r="G436" i="7"/>
  <c r="I436" i="7" s="1"/>
  <c r="O438" i="7"/>
  <c r="P438" i="7"/>
  <c r="U448" i="7"/>
  <c r="G448" i="7"/>
  <c r="I448" i="7" s="1"/>
  <c r="P450" i="7"/>
  <c r="O450" i="7"/>
  <c r="G460" i="7"/>
  <c r="I460" i="7" s="1"/>
  <c r="U460" i="7"/>
  <c r="O462" i="7"/>
  <c r="P462" i="7"/>
  <c r="U472" i="7"/>
  <c r="G472" i="7"/>
  <c r="I472" i="7" s="1"/>
  <c r="O474" i="7"/>
  <c r="P474" i="7"/>
  <c r="AB474" i="7" s="1"/>
  <c r="AB476" i="7"/>
  <c r="U484" i="7"/>
  <c r="G484" i="7"/>
  <c r="I484" i="7" s="1"/>
  <c r="O486" i="7"/>
  <c r="P486" i="7"/>
  <c r="U31" i="7"/>
  <c r="G31" i="7"/>
  <c r="I31" i="7" s="1"/>
  <c r="G115" i="7"/>
  <c r="I115" i="7" s="1"/>
  <c r="U115" i="7"/>
  <c r="P35" i="7"/>
  <c r="P29" i="7"/>
  <c r="O29" i="7"/>
  <c r="P65" i="7"/>
  <c r="AB65" i="7" s="1"/>
  <c r="O65" i="7"/>
  <c r="P101" i="7"/>
  <c r="O101" i="7"/>
  <c r="AB101" i="7" s="1"/>
  <c r="P113" i="7"/>
  <c r="O113" i="7"/>
  <c r="G147" i="7"/>
  <c r="I147" i="7" s="1"/>
  <c r="U147" i="7"/>
  <c r="P149" i="7"/>
  <c r="G159" i="7"/>
  <c r="I159" i="7" s="1"/>
  <c r="U159" i="7"/>
  <c r="P161" i="7"/>
  <c r="O161" i="7"/>
  <c r="U183" i="7"/>
  <c r="G183" i="7"/>
  <c r="I183" i="7" s="1"/>
  <c r="P185" i="7"/>
  <c r="O185" i="7"/>
  <c r="P197" i="7"/>
  <c r="O197" i="7"/>
  <c r="AB197" i="7" s="1"/>
  <c r="U219" i="7"/>
  <c r="G219" i="7"/>
  <c r="I219" i="7" s="1"/>
  <c r="U267" i="7"/>
  <c r="G267" i="7"/>
  <c r="I267" i="7" s="1"/>
  <c r="U4" i="7"/>
  <c r="G4" i="7"/>
  <c r="P18" i="7"/>
  <c r="O18" i="7"/>
  <c r="U28" i="7"/>
  <c r="G28" i="7"/>
  <c r="I28" i="7" s="1"/>
  <c r="P30" i="7"/>
  <c r="O30" i="7"/>
  <c r="O42" i="7"/>
  <c r="P42" i="7"/>
  <c r="AB42" i="7" s="1"/>
  <c r="G64" i="7"/>
  <c r="I64" i="7" s="1"/>
  <c r="U64" i="7"/>
  <c r="U76" i="7"/>
  <c r="G76" i="7"/>
  <c r="I76" i="7" s="1"/>
  <c r="P90" i="7"/>
  <c r="O90" i="7"/>
  <c r="G100" i="7"/>
  <c r="I100" i="7" s="1"/>
  <c r="U100" i="7"/>
  <c r="U112" i="7"/>
  <c r="G112" i="7"/>
  <c r="I112" i="7" s="1"/>
  <c r="P126" i="7"/>
  <c r="O126" i="7"/>
  <c r="O150" i="7"/>
  <c r="P150" i="7"/>
  <c r="AB176" i="7"/>
  <c r="G184" i="7"/>
  <c r="I184" i="7" s="1"/>
  <c r="U184" i="7"/>
  <c r="P198" i="7"/>
  <c r="H504" i="7"/>
  <c r="U5" i="7"/>
  <c r="G5" i="7"/>
  <c r="I5" i="7" s="1"/>
  <c r="P7" i="7"/>
  <c r="U17" i="7"/>
  <c r="G17" i="7"/>
  <c r="I17" i="7" s="1"/>
  <c r="P19" i="7"/>
  <c r="O19" i="7"/>
  <c r="U29" i="7"/>
  <c r="G29" i="7"/>
  <c r="I29" i="7" s="1"/>
  <c r="P31" i="7"/>
  <c r="O31" i="7"/>
  <c r="G41" i="7"/>
  <c r="I41" i="7" s="1"/>
  <c r="U41" i="7"/>
  <c r="P43" i="7"/>
  <c r="G53" i="7"/>
  <c r="I53" i="7" s="1"/>
  <c r="U53" i="7"/>
  <c r="P55" i="7"/>
  <c r="U65" i="7"/>
  <c r="G65" i="7"/>
  <c r="I65" i="7" s="1"/>
  <c r="P67" i="7"/>
  <c r="U77" i="7"/>
  <c r="G77" i="7"/>
  <c r="I77" i="7" s="1"/>
  <c r="P79" i="7"/>
  <c r="O79" i="7"/>
  <c r="AB79" i="7" s="1"/>
  <c r="G89" i="7"/>
  <c r="I89" i="7" s="1"/>
  <c r="U89" i="7"/>
  <c r="P91" i="7"/>
  <c r="AB93" i="7"/>
  <c r="G101" i="7"/>
  <c r="I101" i="7" s="1"/>
  <c r="U101" i="7"/>
  <c r="P103" i="7"/>
  <c r="U113" i="7"/>
  <c r="G113" i="7"/>
  <c r="I113" i="7" s="1"/>
  <c r="P115" i="7"/>
  <c r="O115" i="7"/>
  <c r="AB115" i="7" s="1"/>
  <c r="U125" i="7"/>
  <c r="G125" i="7"/>
  <c r="I125" i="7" s="1"/>
  <c r="P127" i="7"/>
  <c r="O127" i="7"/>
  <c r="AB127" i="7" s="1"/>
  <c r="U137" i="7"/>
  <c r="G137" i="7"/>
  <c r="I137" i="7" s="1"/>
  <c r="O139" i="7"/>
  <c r="P139" i="7"/>
  <c r="G149" i="7"/>
  <c r="I149" i="7" s="1"/>
  <c r="U149" i="7"/>
  <c r="P151" i="7"/>
  <c r="O151" i="7"/>
  <c r="G161" i="7"/>
  <c r="I161" i="7" s="1"/>
  <c r="U161" i="7"/>
  <c r="P163" i="7"/>
  <c r="O163" i="7"/>
  <c r="U173" i="7"/>
  <c r="G173" i="7"/>
  <c r="I173" i="7" s="1"/>
  <c r="O175" i="7"/>
  <c r="AB175" i="7" s="1"/>
  <c r="P175" i="7"/>
  <c r="U185" i="7"/>
  <c r="G185" i="7"/>
  <c r="I185" i="7" s="1"/>
  <c r="O187" i="7"/>
  <c r="P187" i="7"/>
  <c r="U197" i="7"/>
  <c r="G197" i="7"/>
  <c r="I197" i="7" s="1"/>
  <c r="O199" i="7"/>
  <c r="P199" i="7"/>
  <c r="U209" i="7"/>
  <c r="G209" i="7"/>
  <c r="I209" i="7" s="1"/>
  <c r="P211" i="7"/>
  <c r="O211" i="7"/>
  <c r="U221" i="7"/>
  <c r="G221" i="7"/>
  <c r="I221" i="7" s="1"/>
  <c r="P223" i="7"/>
  <c r="O223" i="7"/>
  <c r="U233" i="7"/>
  <c r="G233" i="7"/>
  <c r="I233" i="7" s="1"/>
  <c r="P235" i="7"/>
  <c r="O235" i="7"/>
  <c r="AB235" i="7" s="1"/>
  <c r="G245" i="7"/>
  <c r="I245" i="7" s="1"/>
  <c r="U245" i="7"/>
  <c r="P247" i="7"/>
  <c r="O247" i="7"/>
  <c r="G257" i="7"/>
  <c r="I257" i="7" s="1"/>
  <c r="U257" i="7"/>
  <c r="P259" i="7"/>
  <c r="G269" i="7"/>
  <c r="I269" i="7" s="1"/>
  <c r="U269" i="7"/>
  <c r="P271" i="7"/>
  <c r="O271" i="7"/>
  <c r="G281" i="7"/>
  <c r="I281" i="7" s="1"/>
  <c r="U281" i="7"/>
  <c r="P283" i="7"/>
  <c r="O283" i="7"/>
  <c r="P81" i="7"/>
  <c r="O81" i="7"/>
  <c r="AB81" i="7" s="1"/>
  <c r="G127" i="7"/>
  <c r="I127" i="7" s="1"/>
  <c r="U127" i="7"/>
  <c r="P153" i="7"/>
  <c r="O153" i="7"/>
  <c r="P165" i="7"/>
  <c r="O165" i="7"/>
  <c r="P189" i="7"/>
  <c r="O189" i="7"/>
  <c r="AB189" i="7" s="1"/>
  <c r="G223" i="7"/>
  <c r="I223" i="7" s="1"/>
  <c r="U223" i="7"/>
  <c r="AB37" i="7"/>
  <c r="N504" i="7"/>
  <c r="P4" i="7"/>
  <c r="P5" i="7"/>
  <c r="O5" i="7"/>
  <c r="G27" i="7"/>
  <c r="I27" i="7" s="1"/>
  <c r="U27" i="7"/>
  <c r="AB31" i="7"/>
  <c r="G51" i="7"/>
  <c r="I51" i="7" s="1"/>
  <c r="U51" i="7"/>
  <c r="P53" i="7"/>
  <c r="P77" i="7"/>
  <c r="O77" i="7"/>
  <c r="P89" i="7"/>
  <c r="O89" i="7"/>
  <c r="AB89" i="7" s="1"/>
  <c r="U111" i="7"/>
  <c r="G111" i="7"/>
  <c r="I111" i="7" s="1"/>
  <c r="G123" i="7"/>
  <c r="I123" i="7" s="1"/>
  <c r="U123" i="7"/>
  <c r="G135" i="7"/>
  <c r="I135" i="7" s="1"/>
  <c r="U135" i="7"/>
  <c r="U243" i="7"/>
  <c r="G243" i="7"/>
  <c r="I243" i="7" s="1"/>
  <c r="P257" i="7"/>
  <c r="O257" i="7"/>
  <c r="G279" i="7"/>
  <c r="I279" i="7" s="1"/>
  <c r="U279" i="7"/>
  <c r="P293" i="7"/>
  <c r="O293" i="7"/>
  <c r="U16" i="7"/>
  <c r="G16" i="7"/>
  <c r="I16" i="7" s="1"/>
  <c r="G40" i="7"/>
  <c r="I40" i="7" s="1"/>
  <c r="U40" i="7"/>
  <c r="U52" i="7"/>
  <c r="G52" i="7"/>
  <c r="I52" i="7" s="1"/>
  <c r="P54" i="7"/>
  <c r="AB54" i="7" s="1"/>
  <c r="O54" i="7"/>
  <c r="U88" i="7"/>
  <c r="G88" i="7"/>
  <c r="I88" i="7" s="1"/>
  <c r="P102" i="7"/>
  <c r="O102" i="7"/>
  <c r="P114" i="7"/>
  <c r="O114" i="7"/>
  <c r="G124" i="7"/>
  <c r="I124" i="7" s="1"/>
  <c r="U124" i="7"/>
  <c r="P138" i="7"/>
  <c r="O138" i="7"/>
  <c r="P162" i="7"/>
  <c r="O162" i="7"/>
  <c r="O186" i="7"/>
  <c r="P186" i="7"/>
  <c r="U208" i="7"/>
  <c r="G208" i="7"/>
  <c r="I208" i="7" s="1"/>
  <c r="P210" i="7"/>
  <c r="U6" i="7"/>
  <c r="AB6" i="7" s="1"/>
  <c r="G6" i="7"/>
  <c r="I6" i="7" s="1"/>
  <c r="P8" i="7"/>
  <c r="O8" i="7"/>
  <c r="U18" i="7"/>
  <c r="G18" i="7"/>
  <c r="I18" i="7" s="1"/>
  <c r="P20" i="7"/>
  <c r="O20" i="7"/>
  <c r="AB20" i="7" s="1"/>
  <c r="G30" i="7"/>
  <c r="I30" i="7" s="1"/>
  <c r="U30" i="7"/>
  <c r="P32" i="7"/>
  <c r="O32" i="7"/>
  <c r="G42" i="7"/>
  <c r="I42" i="7" s="1"/>
  <c r="U42" i="7"/>
  <c r="P44" i="7"/>
  <c r="O44" i="7"/>
  <c r="G54" i="7"/>
  <c r="I54" i="7" s="1"/>
  <c r="U54" i="7"/>
  <c r="O56" i="7"/>
  <c r="P56" i="7"/>
  <c r="U66" i="7"/>
  <c r="AB66" i="7" s="1"/>
  <c r="G66" i="7"/>
  <c r="I66" i="7" s="1"/>
  <c r="P68" i="7"/>
  <c r="O68" i="7"/>
  <c r="G78" i="7"/>
  <c r="I78" i="7" s="1"/>
  <c r="U78" i="7"/>
  <c r="O80" i="7"/>
  <c r="AB80" i="7" s="1"/>
  <c r="P80" i="7"/>
  <c r="G90" i="7"/>
  <c r="I90" i="7" s="1"/>
  <c r="U90" i="7"/>
  <c r="O92" i="7"/>
  <c r="AB92" i="7" s="1"/>
  <c r="P92" i="7"/>
  <c r="G102" i="7"/>
  <c r="I102" i="7" s="1"/>
  <c r="U102" i="7"/>
  <c r="P104" i="7"/>
  <c r="O104" i="7"/>
  <c r="AB104" i="7" s="1"/>
  <c r="G114" i="7"/>
  <c r="I114" i="7" s="1"/>
  <c r="U114" i="7"/>
  <c r="P116" i="7"/>
  <c r="O116" i="7"/>
  <c r="G126" i="7"/>
  <c r="I126" i="7" s="1"/>
  <c r="U126" i="7"/>
  <c r="O128" i="7"/>
  <c r="P128" i="7"/>
  <c r="U138" i="7"/>
  <c r="G138" i="7"/>
  <c r="I138" i="7" s="1"/>
  <c r="P140" i="7"/>
  <c r="O140" i="7"/>
  <c r="U150" i="7"/>
  <c r="G150" i="7"/>
  <c r="I150" i="7" s="1"/>
  <c r="P152" i="7"/>
  <c r="O152" i="7"/>
  <c r="AB152" i="7" s="1"/>
  <c r="U162" i="7"/>
  <c r="G162" i="7"/>
  <c r="I162" i="7" s="1"/>
  <c r="P164" i="7"/>
  <c r="U174" i="7"/>
  <c r="G174" i="7"/>
  <c r="I174" i="7" s="1"/>
  <c r="O176" i="7"/>
  <c r="P176" i="7"/>
  <c r="U186" i="7"/>
  <c r="G186" i="7"/>
  <c r="I186" i="7" s="1"/>
  <c r="O188" i="7"/>
  <c r="AB188" i="7" s="1"/>
  <c r="P188" i="7"/>
  <c r="U198" i="7"/>
  <c r="G198" i="7"/>
  <c r="I198" i="7" s="1"/>
  <c r="O200" i="7"/>
  <c r="AB200" i="7" s="1"/>
  <c r="P200" i="7"/>
  <c r="U210" i="7"/>
  <c r="G210" i="7"/>
  <c r="I210" i="7" s="1"/>
  <c r="O212" i="7"/>
  <c r="P212" i="7"/>
  <c r="U222" i="7"/>
  <c r="G222" i="7"/>
  <c r="I222" i="7" s="1"/>
  <c r="P224" i="7"/>
  <c r="O224" i="7"/>
  <c r="AB224" i="7" s="1"/>
  <c r="U234" i="7"/>
  <c r="G234" i="7"/>
  <c r="I234" i="7" s="1"/>
  <c r="P236" i="7"/>
  <c r="O236" i="7"/>
  <c r="G246" i="7"/>
  <c r="I246" i="7" s="1"/>
  <c r="U246" i="7"/>
  <c r="P248" i="7"/>
  <c r="O248" i="7"/>
  <c r="AB248" i="7" s="1"/>
  <c r="U258" i="7"/>
  <c r="G258" i="7"/>
  <c r="I258" i="7" s="1"/>
  <c r="P260" i="7"/>
  <c r="O260" i="7"/>
  <c r="G270" i="7"/>
  <c r="I270" i="7" s="1"/>
  <c r="U270" i="7"/>
  <c r="P272" i="7"/>
  <c r="O272" i="7"/>
  <c r="G367" i="7"/>
  <c r="I367" i="7" s="1"/>
  <c r="U367" i="7"/>
  <c r="P369" i="7"/>
  <c r="O369" i="7"/>
  <c r="G379" i="7"/>
  <c r="I379" i="7" s="1"/>
  <c r="U379" i="7"/>
  <c r="O381" i="7"/>
  <c r="P381" i="7"/>
  <c r="G391" i="7"/>
  <c r="I391" i="7" s="1"/>
  <c r="U391" i="7"/>
  <c r="O393" i="7"/>
  <c r="P393" i="7"/>
  <c r="U403" i="7"/>
  <c r="G403" i="7"/>
  <c r="I403" i="7" s="1"/>
  <c r="O405" i="7"/>
  <c r="P405" i="7"/>
  <c r="G415" i="7"/>
  <c r="I415" i="7" s="1"/>
  <c r="U415" i="7"/>
  <c r="P417" i="7"/>
  <c r="O417" i="7"/>
  <c r="G43" i="7"/>
  <c r="I43" i="7" s="1"/>
  <c r="U43" i="7"/>
  <c r="P45" i="7"/>
  <c r="O45" i="7"/>
  <c r="G67" i="7"/>
  <c r="I67" i="7" s="1"/>
  <c r="U67" i="7"/>
  <c r="P69" i="7"/>
  <c r="AB107" i="7"/>
  <c r="U151" i="7"/>
  <c r="G151" i="7"/>
  <c r="I151" i="7" s="1"/>
  <c r="U175" i="7"/>
  <c r="G175" i="7"/>
  <c r="I175" i="7" s="1"/>
  <c r="U199" i="7"/>
  <c r="G199" i="7"/>
  <c r="I199" i="7" s="1"/>
  <c r="P225" i="7"/>
  <c r="O225" i="7"/>
  <c r="U235" i="7"/>
  <c r="G235" i="7"/>
  <c r="I235" i="7" s="1"/>
  <c r="U247" i="7"/>
  <c r="G247" i="7"/>
  <c r="I247" i="7" s="1"/>
  <c r="P249" i="7"/>
  <c r="O249" i="7"/>
  <c r="AB249" i="7" s="1"/>
  <c r="G259" i="7"/>
  <c r="I259" i="7" s="1"/>
  <c r="U259" i="7"/>
  <c r="P261" i="7"/>
  <c r="O261" i="7"/>
  <c r="AB261" i="7" s="1"/>
  <c r="U271" i="7"/>
  <c r="G271" i="7"/>
  <c r="I271" i="7" s="1"/>
  <c r="P273" i="7"/>
  <c r="O273" i="7"/>
  <c r="AB273" i="7" s="1"/>
  <c r="G283" i="7"/>
  <c r="I283" i="7" s="1"/>
  <c r="U283" i="7"/>
  <c r="P285" i="7"/>
  <c r="AB287" i="7"/>
  <c r="U295" i="7"/>
  <c r="G295" i="7"/>
  <c r="I295" i="7" s="1"/>
  <c r="P297" i="7"/>
  <c r="O297" i="7"/>
  <c r="AB297" i="7" s="1"/>
  <c r="G307" i="7"/>
  <c r="I307" i="7" s="1"/>
  <c r="U307" i="7"/>
  <c r="P309" i="7"/>
  <c r="O309" i="7"/>
  <c r="G319" i="7"/>
  <c r="I319" i="7" s="1"/>
  <c r="U319" i="7"/>
  <c r="P321" i="7"/>
  <c r="G331" i="7"/>
  <c r="I331" i="7" s="1"/>
  <c r="U331" i="7"/>
  <c r="P333" i="7"/>
  <c r="O333" i="7"/>
  <c r="U343" i="7"/>
  <c r="G343" i="7"/>
  <c r="I343" i="7" s="1"/>
  <c r="P345" i="7"/>
  <c r="O345" i="7"/>
  <c r="G355" i="7"/>
  <c r="I355" i="7" s="1"/>
  <c r="U355" i="7"/>
  <c r="P357" i="7"/>
  <c r="O357" i="7"/>
  <c r="T504" i="7"/>
  <c r="U8" i="7"/>
  <c r="G8" i="7"/>
  <c r="I8" i="7" s="1"/>
  <c r="P10" i="7"/>
  <c r="O10" i="7"/>
  <c r="AB10" i="7" s="1"/>
  <c r="U20" i="7"/>
  <c r="G20" i="7"/>
  <c r="I20" i="7" s="1"/>
  <c r="P22" i="7"/>
  <c r="AB22" i="7" s="1"/>
  <c r="O22" i="7"/>
  <c r="G32" i="7"/>
  <c r="I32" i="7" s="1"/>
  <c r="U32" i="7"/>
  <c r="P34" i="7"/>
  <c r="AB36" i="7"/>
  <c r="U44" i="7"/>
  <c r="G44" i="7"/>
  <c r="I44" i="7" s="1"/>
  <c r="P46" i="7"/>
  <c r="G56" i="7"/>
  <c r="I56" i="7" s="1"/>
  <c r="U56" i="7"/>
  <c r="P58" i="7"/>
  <c r="O58" i="7"/>
  <c r="AB58" i="7" s="1"/>
  <c r="G68" i="7"/>
  <c r="I68" i="7" s="1"/>
  <c r="U68" i="7"/>
  <c r="AB68" i="7" s="1"/>
  <c r="P70" i="7"/>
  <c r="O70" i="7"/>
  <c r="G80" i="7"/>
  <c r="I80" i="7" s="1"/>
  <c r="U80" i="7"/>
  <c r="P82" i="7"/>
  <c r="O82" i="7"/>
  <c r="U92" i="7"/>
  <c r="G92" i="7"/>
  <c r="I92" i="7" s="1"/>
  <c r="P94" i="7"/>
  <c r="O94" i="7"/>
  <c r="U104" i="7"/>
  <c r="G104" i="7"/>
  <c r="I104" i="7" s="1"/>
  <c r="P106" i="7"/>
  <c r="O106" i="7"/>
  <c r="AB108" i="7"/>
  <c r="G116" i="7"/>
  <c r="I116" i="7" s="1"/>
  <c r="U116" i="7"/>
  <c r="P118" i="7"/>
  <c r="O118" i="7"/>
  <c r="U128" i="7"/>
  <c r="G128" i="7"/>
  <c r="I128" i="7" s="1"/>
  <c r="P130" i="7"/>
  <c r="O130" i="7"/>
  <c r="AB130" i="7" s="1"/>
  <c r="U140" i="7"/>
  <c r="G140" i="7"/>
  <c r="I140" i="7" s="1"/>
  <c r="P142" i="7"/>
  <c r="O142" i="7"/>
  <c r="U152" i="7"/>
  <c r="G152" i="7"/>
  <c r="I152" i="7" s="1"/>
  <c r="P154" i="7"/>
  <c r="O154" i="7"/>
  <c r="U164" i="7"/>
  <c r="G164" i="7"/>
  <c r="I164" i="7" s="1"/>
  <c r="P166" i="7"/>
  <c r="O166" i="7"/>
  <c r="AB166" i="7" s="1"/>
  <c r="U176" i="7"/>
  <c r="G176" i="7"/>
  <c r="I176" i="7" s="1"/>
  <c r="O178" i="7"/>
  <c r="AB178" i="7" s="1"/>
  <c r="P178" i="7"/>
  <c r="U188" i="7"/>
  <c r="G188" i="7"/>
  <c r="I188" i="7" s="1"/>
  <c r="P190" i="7"/>
  <c r="U200" i="7"/>
  <c r="G200" i="7"/>
  <c r="I200" i="7" s="1"/>
  <c r="O202" i="7"/>
  <c r="P202" i="7"/>
  <c r="G212" i="7"/>
  <c r="I212" i="7" s="1"/>
  <c r="U212" i="7"/>
  <c r="P214" i="7"/>
  <c r="O214" i="7"/>
  <c r="AB214" i="7" s="1"/>
  <c r="U224" i="7"/>
  <c r="G224" i="7"/>
  <c r="I224" i="7" s="1"/>
  <c r="P226" i="7"/>
  <c r="O226" i="7"/>
  <c r="U236" i="7"/>
  <c r="G236" i="7"/>
  <c r="I236" i="7" s="1"/>
  <c r="P238" i="7"/>
  <c r="U248" i="7"/>
  <c r="G248" i="7"/>
  <c r="I248" i="7" s="1"/>
  <c r="O250" i="7"/>
  <c r="AB250" i="7" s="1"/>
  <c r="P250" i="7"/>
  <c r="U260" i="7"/>
  <c r="G260" i="7"/>
  <c r="I260" i="7" s="1"/>
  <c r="P262" i="7"/>
  <c r="U272" i="7"/>
  <c r="G272" i="7"/>
  <c r="I272" i="7" s="1"/>
  <c r="P274" i="7"/>
  <c r="O274" i="7"/>
  <c r="G284" i="7"/>
  <c r="I284" i="7" s="1"/>
  <c r="U284" i="7"/>
  <c r="P286" i="7"/>
  <c r="O286" i="7"/>
  <c r="U296" i="7"/>
  <c r="G296" i="7"/>
  <c r="I296" i="7" s="1"/>
  <c r="O298" i="7"/>
  <c r="P298" i="7"/>
  <c r="AB300" i="7"/>
  <c r="U308" i="7"/>
  <c r="G308" i="7"/>
  <c r="I308" i="7" s="1"/>
  <c r="P310" i="7"/>
  <c r="U320" i="7"/>
  <c r="G320" i="7"/>
  <c r="I320" i="7" s="1"/>
  <c r="P322" i="7"/>
  <c r="O322" i="7"/>
  <c r="AB322" i="7" s="1"/>
  <c r="U332" i="7"/>
  <c r="G332" i="7"/>
  <c r="I332" i="7" s="1"/>
  <c r="P334" i="7"/>
  <c r="O334" i="7"/>
  <c r="AB336" i="7"/>
  <c r="U344" i="7"/>
  <c r="G344" i="7"/>
  <c r="I344" i="7" s="1"/>
  <c r="P346" i="7"/>
  <c r="O346" i="7"/>
  <c r="AB348" i="7"/>
  <c r="U356" i="7"/>
  <c r="G356" i="7"/>
  <c r="I356" i="7" s="1"/>
  <c r="P358" i="7"/>
  <c r="O358" i="7"/>
  <c r="U368" i="7"/>
  <c r="G368" i="7"/>
  <c r="I368" i="7" s="1"/>
  <c r="P370" i="7"/>
  <c r="O370" i="7"/>
  <c r="U380" i="7"/>
  <c r="G380" i="7"/>
  <c r="I380" i="7" s="1"/>
  <c r="P382" i="7"/>
  <c r="U392" i="7"/>
  <c r="G392" i="7"/>
  <c r="I392" i="7" s="1"/>
  <c r="P394" i="7"/>
  <c r="U404" i="7"/>
  <c r="G404" i="7"/>
  <c r="I404" i="7" s="1"/>
  <c r="P406" i="7"/>
  <c r="O406" i="7"/>
  <c r="U416" i="7"/>
  <c r="G416" i="7"/>
  <c r="I416" i="7" s="1"/>
  <c r="P418" i="7"/>
  <c r="O418" i="7"/>
  <c r="U428" i="7"/>
  <c r="G428" i="7"/>
  <c r="I428" i="7" s="1"/>
  <c r="O430" i="7"/>
  <c r="P430" i="7"/>
  <c r="U440" i="7"/>
  <c r="G440" i="7"/>
  <c r="I440" i="7" s="1"/>
  <c r="O442" i="7"/>
  <c r="P442" i="7"/>
  <c r="G452" i="7"/>
  <c r="I452" i="7" s="1"/>
  <c r="U452" i="7"/>
  <c r="P454" i="7"/>
  <c r="O454" i="7"/>
  <c r="U464" i="7"/>
  <c r="G464" i="7"/>
  <c r="I464" i="7" s="1"/>
  <c r="O466" i="7"/>
  <c r="P466" i="7"/>
  <c r="U476" i="7"/>
  <c r="G476" i="7"/>
  <c r="I476" i="7" s="1"/>
  <c r="O478" i="7"/>
  <c r="P478" i="7"/>
  <c r="U488" i="7"/>
  <c r="G488" i="7"/>
  <c r="I488" i="7" s="1"/>
  <c r="O490" i="7"/>
  <c r="P490" i="7"/>
  <c r="U333" i="7"/>
  <c r="G333" i="7"/>
  <c r="I333" i="7" s="1"/>
  <c r="P335" i="7"/>
  <c r="O335" i="7"/>
  <c r="AB335" i="7" s="1"/>
  <c r="U345" i="7"/>
  <c r="G345" i="7"/>
  <c r="I345" i="7" s="1"/>
  <c r="P347" i="7"/>
  <c r="O347" i="7"/>
  <c r="G357" i="7"/>
  <c r="I357" i="7" s="1"/>
  <c r="U357" i="7"/>
  <c r="P359" i="7"/>
  <c r="O359" i="7"/>
  <c r="G369" i="7"/>
  <c r="I369" i="7" s="1"/>
  <c r="U369" i="7"/>
  <c r="P371" i="7"/>
  <c r="O371" i="7"/>
  <c r="AB371" i="7" s="1"/>
  <c r="U381" i="7"/>
  <c r="G381" i="7"/>
  <c r="I381" i="7" s="1"/>
  <c r="P383" i="7"/>
  <c r="O383" i="7"/>
  <c r="G393" i="7"/>
  <c r="I393" i="7" s="1"/>
  <c r="U393" i="7"/>
  <c r="P395" i="7"/>
  <c r="O395" i="7"/>
  <c r="U405" i="7"/>
  <c r="G405" i="7"/>
  <c r="I405" i="7" s="1"/>
  <c r="P407" i="7"/>
  <c r="O407" i="7"/>
  <c r="U417" i="7"/>
  <c r="G417" i="7"/>
  <c r="I417" i="7" s="1"/>
  <c r="P419" i="7"/>
  <c r="O419" i="7"/>
  <c r="G429" i="7"/>
  <c r="I429" i="7" s="1"/>
  <c r="U429" i="7"/>
  <c r="P431" i="7"/>
  <c r="O431" i="7"/>
  <c r="U441" i="7"/>
  <c r="G441" i="7"/>
  <c r="I441" i="7" s="1"/>
  <c r="P443" i="7"/>
  <c r="O443" i="7"/>
  <c r="U453" i="7"/>
  <c r="G453" i="7"/>
  <c r="I453" i="7" s="1"/>
  <c r="O455" i="7"/>
  <c r="P455" i="7"/>
  <c r="U465" i="7"/>
  <c r="G465" i="7"/>
  <c r="I465" i="7" s="1"/>
  <c r="O467" i="7"/>
  <c r="AB467" i="7" s="1"/>
  <c r="P467" i="7"/>
  <c r="U477" i="7"/>
  <c r="G477" i="7"/>
  <c r="I477" i="7" s="1"/>
  <c r="O479" i="7"/>
  <c r="P479" i="7"/>
  <c r="U489" i="7"/>
  <c r="G489" i="7"/>
  <c r="I489" i="7" s="1"/>
  <c r="O491" i="7"/>
  <c r="P491" i="7"/>
  <c r="AB491" i="7" s="1"/>
  <c r="G129" i="7"/>
  <c r="I129" i="7" s="1"/>
  <c r="U129" i="7"/>
  <c r="AB129" i="7" s="1"/>
  <c r="P131" i="7"/>
  <c r="AB131" i="7" s="1"/>
  <c r="O131" i="7"/>
  <c r="G141" i="7"/>
  <c r="I141" i="7" s="1"/>
  <c r="U141" i="7"/>
  <c r="P143" i="7"/>
  <c r="O143" i="7"/>
  <c r="AB145" i="7"/>
  <c r="G153" i="7"/>
  <c r="I153" i="7" s="1"/>
  <c r="U153" i="7"/>
  <c r="P155" i="7"/>
  <c r="G165" i="7"/>
  <c r="I165" i="7" s="1"/>
  <c r="U165" i="7"/>
  <c r="P167" i="7"/>
  <c r="O167" i="7"/>
  <c r="AB169" i="7"/>
  <c r="U177" i="7"/>
  <c r="G177" i="7"/>
  <c r="I177" i="7" s="1"/>
  <c r="P179" i="7"/>
  <c r="O179" i="7"/>
  <c r="U189" i="7"/>
  <c r="G189" i="7"/>
  <c r="I189" i="7" s="1"/>
  <c r="P191" i="7"/>
  <c r="O191" i="7"/>
  <c r="U201" i="7"/>
  <c r="G201" i="7"/>
  <c r="I201" i="7" s="1"/>
  <c r="P203" i="7"/>
  <c r="O203" i="7"/>
  <c r="AB203" i="7" s="1"/>
  <c r="U213" i="7"/>
  <c r="G213" i="7"/>
  <c r="I213" i="7" s="1"/>
  <c r="P215" i="7"/>
  <c r="O215" i="7"/>
  <c r="U225" i="7"/>
  <c r="G225" i="7"/>
  <c r="I225" i="7" s="1"/>
  <c r="P227" i="7"/>
  <c r="O227" i="7"/>
  <c r="U237" i="7"/>
  <c r="G237" i="7"/>
  <c r="I237" i="7" s="1"/>
  <c r="P239" i="7"/>
  <c r="O239" i="7"/>
  <c r="G249" i="7"/>
  <c r="I249" i="7" s="1"/>
  <c r="U249" i="7"/>
  <c r="P251" i="7"/>
  <c r="O251" i="7"/>
  <c r="AB251" i="7" s="1"/>
  <c r="G261" i="7"/>
  <c r="I261" i="7" s="1"/>
  <c r="U261" i="7"/>
  <c r="P263" i="7"/>
  <c r="O263" i="7"/>
  <c r="U273" i="7"/>
  <c r="G273" i="7"/>
  <c r="I273" i="7" s="1"/>
  <c r="P275" i="7"/>
  <c r="O275" i="7"/>
  <c r="AB275" i="7" s="1"/>
  <c r="G285" i="7"/>
  <c r="I285" i="7" s="1"/>
  <c r="U285" i="7"/>
  <c r="O287" i="7"/>
  <c r="P287" i="7"/>
  <c r="U297" i="7"/>
  <c r="G297" i="7"/>
  <c r="I297" i="7" s="1"/>
  <c r="P299" i="7"/>
  <c r="O299" i="7"/>
  <c r="AB301" i="7"/>
  <c r="G309" i="7"/>
  <c r="I309" i="7" s="1"/>
  <c r="U309" i="7"/>
  <c r="P311" i="7"/>
  <c r="O311" i="7"/>
  <c r="G321" i="7"/>
  <c r="I321" i="7" s="1"/>
  <c r="U321" i="7"/>
  <c r="P323" i="7"/>
  <c r="O323" i="7"/>
  <c r="U10" i="7"/>
  <c r="G10" i="7"/>
  <c r="I10" i="7" s="1"/>
  <c r="P12" i="7"/>
  <c r="O12" i="7"/>
  <c r="AB12" i="7" s="1"/>
  <c r="G22" i="7"/>
  <c r="I22" i="7" s="1"/>
  <c r="U22" i="7"/>
  <c r="P24" i="7"/>
  <c r="O24" i="7"/>
  <c r="AB24" i="7" s="1"/>
  <c r="G34" i="7"/>
  <c r="I34" i="7" s="1"/>
  <c r="U34" i="7"/>
  <c r="P36" i="7"/>
  <c r="O36" i="7"/>
  <c r="AB38" i="7"/>
  <c r="G46" i="7"/>
  <c r="I46" i="7" s="1"/>
  <c r="U46" i="7"/>
  <c r="P48" i="7"/>
  <c r="O48" i="7"/>
  <c r="AB48" i="7" s="1"/>
  <c r="U58" i="7"/>
  <c r="G58" i="7"/>
  <c r="I58" i="7" s="1"/>
  <c r="P60" i="7"/>
  <c r="O60" i="7"/>
  <c r="G70" i="7"/>
  <c r="I70" i="7" s="1"/>
  <c r="U70" i="7"/>
  <c r="O72" i="7"/>
  <c r="P72" i="7"/>
  <c r="U82" i="7"/>
  <c r="G82" i="7"/>
  <c r="I82" i="7" s="1"/>
  <c r="P84" i="7"/>
  <c r="O84" i="7"/>
  <c r="G94" i="7"/>
  <c r="I94" i="7" s="1"/>
  <c r="U94" i="7"/>
  <c r="P96" i="7"/>
  <c r="O96" i="7"/>
  <c r="AB96" i="7" s="1"/>
  <c r="G106" i="7"/>
  <c r="I106" i="7" s="1"/>
  <c r="U106" i="7"/>
  <c r="P108" i="7"/>
  <c r="O108" i="7"/>
  <c r="U118" i="7"/>
  <c r="G118" i="7"/>
  <c r="I118" i="7" s="1"/>
  <c r="O120" i="7"/>
  <c r="AB120" i="7" s="1"/>
  <c r="P120" i="7"/>
  <c r="U130" i="7"/>
  <c r="G130" i="7"/>
  <c r="I130" i="7" s="1"/>
  <c r="P132" i="7"/>
  <c r="U142" i="7"/>
  <c r="G142" i="7"/>
  <c r="I142" i="7" s="1"/>
  <c r="P144" i="7"/>
  <c r="AB146" i="7"/>
  <c r="U154" i="7"/>
  <c r="G154" i="7"/>
  <c r="I154" i="7" s="1"/>
  <c r="O156" i="7"/>
  <c r="P156" i="7"/>
  <c r="G166" i="7"/>
  <c r="I166" i="7" s="1"/>
  <c r="U166" i="7"/>
  <c r="O168" i="7"/>
  <c r="P168" i="7"/>
  <c r="G178" i="7"/>
  <c r="I178" i="7" s="1"/>
  <c r="U178" i="7"/>
  <c r="O180" i="7"/>
  <c r="AB180" i="7" s="1"/>
  <c r="P180" i="7"/>
  <c r="G190" i="7"/>
  <c r="I190" i="7" s="1"/>
  <c r="U190" i="7"/>
  <c r="P192" i="7"/>
  <c r="U202" i="7"/>
  <c r="G202" i="7"/>
  <c r="I202" i="7" s="1"/>
  <c r="O204" i="7"/>
  <c r="P204" i="7"/>
  <c r="U214" i="7"/>
  <c r="G214" i="7"/>
  <c r="I214" i="7" s="1"/>
  <c r="P216" i="7"/>
  <c r="O216" i="7"/>
  <c r="AB216" i="7" s="1"/>
  <c r="U226" i="7"/>
  <c r="AB226" i="7" s="1"/>
  <c r="G226" i="7"/>
  <c r="I226" i="7" s="1"/>
  <c r="P228" i="7"/>
  <c r="G238" i="7"/>
  <c r="I238" i="7" s="1"/>
  <c r="U238" i="7"/>
  <c r="P240" i="7"/>
  <c r="G250" i="7"/>
  <c r="I250" i="7" s="1"/>
  <c r="U250" i="7"/>
  <c r="P252" i="7"/>
  <c r="U262" i="7"/>
  <c r="G262" i="7"/>
  <c r="I262" i="7" s="1"/>
  <c r="P264" i="7"/>
  <c r="U274" i="7"/>
  <c r="G274" i="7"/>
  <c r="I274" i="7" s="1"/>
  <c r="P276" i="7"/>
  <c r="U286" i="7"/>
  <c r="G286" i="7"/>
  <c r="I286" i="7" s="1"/>
  <c r="P288" i="7"/>
  <c r="O288" i="7"/>
  <c r="U298" i="7"/>
  <c r="G298" i="7"/>
  <c r="I298" i="7" s="1"/>
  <c r="P300" i="7"/>
  <c r="O300" i="7"/>
  <c r="G310" i="7"/>
  <c r="I310" i="7" s="1"/>
  <c r="U310" i="7"/>
  <c r="O312" i="7"/>
  <c r="AB312" i="7" s="1"/>
  <c r="P312" i="7"/>
  <c r="U322" i="7"/>
  <c r="G322" i="7"/>
  <c r="I322" i="7" s="1"/>
  <c r="P324" i="7"/>
  <c r="U334" i="7"/>
  <c r="G334" i="7"/>
  <c r="I334" i="7" s="1"/>
  <c r="P336" i="7"/>
  <c r="O336" i="7"/>
  <c r="U346" i="7"/>
  <c r="G346" i="7"/>
  <c r="I346" i="7" s="1"/>
  <c r="P348" i="7"/>
  <c r="O348" i="7"/>
  <c r="U358" i="7"/>
  <c r="G358" i="7"/>
  <c r="I358" i="7" s="1"/>
  <c r="P360" i="7"/>
  <c r="O360" i="7"/>
  <c r="G370" i="7"/>
  <c r="I370" i="7" s="1"/>
  <c r="U370" i="7"/>
  <c r="P372" i="7"/>
  <c r="O372" i="7"/>
  <c r="U382" i="7"/>
  <c r="G382" i="7"/>
  <c r="I382" i="7" s="1"/>
  <c r="P384" i="7"/>
  <c r="G394" i="7"/>
  <c r="I394" i="7" s="1"/>
  <c r="U394" i="7"/>
  <c r="P396" i="7"/>
  <c r="O396" i="7"/>
  <c r="AB396" i="7" s="1"/>
  <c r="G406" i="7"/>
  <c r="I406" i="7" s="1"/>
  <c r="U406" i="7"/>
  <c r="P408" i="7"/>
  <c r="G418" i="7"/>
  <c r="I418" i="7" s="1"/>
  <c r="U418" i="7"/>
  <c r="P420" i="7"/>
  <c r="O420" i="7"/>
  <c r="U430" i="7"/>
  <c r="G430" i="7"/>
  <c r="I430" i="7" s="1"/>
  <c r="O432" i="7"/>
  <c r="AB432" i="7" s="1"/>
  <c r="P432" i="7"/>
  <c r="U442" i="7"/>
  <c r="G442" i="7"/>
  <c r="I442" i="7" s="1"/>
  <c r="O444" i="7"/>
  <c r="P444" i="7"/>
  <c r="AB444" i="7" s="1"/>
  <c r="AB446" i="7"/>
  <c r="U454" i="7"/>
  <c r="G454" i="7"/>
  <c r="I454" i="7" s="1"/>
  <c r="P456" i="7"/>
  <c r="U466" i="7"/>
  <c r="G466" i="7"/>
  <c r="I466" i="7" s="1"/>
  <c r="P468" i="7"/>
  <c r="U478" i="7"/>
  <c r="G478" i="7"/>
  <c r="I478" i="7" s="1"/>
  <c r="O480" i="7"/>
  <c r="P480" i="7"/>
  <c r="U490" i="7"/>
  <c r="G490" i="7"/>
  <c r="I490" i="7" s="1"/>
  <c r="O492" i="7"/>
  <c r="P492" i="7"/>
  <c r="P117" i="7"/>
  <c r="G107" i="7"/>
  <c r="I107" i="7" s="1"/>
  <c r="U107" i="7"/>
  <c r="O109" i="7"/>
  <c r="P109" i="7"/>
  <c r="G119" i="7"/>
  <c r="I119" i="7" s="1"/>
  <c r="U119" i="7"/>
  <c r="P121" i="7"/>
  <c r="G131" i="7"/>
  <c r="I131" i="7" s="1"/>
  <c r="U131" i="7"/>
  <c r="P133" i="7"/>
  <c r="O133" i="7"/>
  <c r="AB133" i="7" s="1"/>
  <c r="G143" i="7"/>
  <c r="I143" i="7" s="1"/>
  <c r="U143" i="7"/>
  <c r="P145" i="7"/>
  <c r="O145" i="7"/>
  <c r="G155" i="7"/>
  <c r="I155" i="7" s="1"/>
  <c r="U155" i="7"/>
  <c r="P157" i="7"/>
  <c r="O157" i="7"/>
  <c r="G167" i="7"/>
  <c r="I167" i="7" s="1"/>
  <c r="U167" i="7"/>
  <c r="P169" i="7"/>
  <c r="O169" i="7"/>
  <c r="U179" i="7"/>
  <c r="AB179" i="7" s="1"/>
  <c r="G179" i="7"/>
  <c r="I179" i="7" s="1"/>
  <c r="O181" i="7"/>
  <c r="P181" i="7"/>
  <c r="U191" i="7"/>
  <c r="G191" i="7"/>
  <c r="I191" i="7" s="1"/>
  <c r="O193" i="7"/>
  <c r="AB193" i="7" s="1"/>
  <c r="P193" i="7"/>
  <c r="U203" i="7"/>
  <c r="G203" i="7"/>
  <c r="I203" i="7" s="1"/>
  <c r="P205" i="7"/>
  <c r="O205" i="7"/>
  <c r="G215" i="7"/>
  <c r="I215" i="7" s="1"/>
  <c r="U215" i="7"/>
  <c r="P217" i="7"/>
  <c r="O217" i="7"/>
  <c r="U227" i="7"/>
  <c r="G227" i="7"/>
  <c r="I227" i="7" s="1"/>
  <c r="P229" i="7"/>
  <c r="O229" i="7"/>
  <c r="G239" i="7"/>
  <c r="I239" i="7" s="1"/>
  <c r="U239" i="7"/>
  <c r="P241" i="7"/>
  <c r="O241" i="7"/>
  <c r="AB241" i="7" s="1"/>
  <c r="G251" i="7"/>
  <c r="I251" i="7" s="1"/>
  <c r="U251" i="7"/>
  <c r="P253" i="7"/>
  <c r="G263" i="7"/>
  <c r="I263" i="7" s="1"/>
  <c r="U263" i="7"/>
  <c r="P265" i="7"/>
  <c r="O265" i="7"/>
  <c r="AB265" i="7" s="1"/>
  <c r="G275" i="7"/>
  <c r="I275" i="7" s="1"/>
  <c r="U275" i="7"/>
  <c r="P277" i="7"/>
  <c r="AB277" i="7" s="1"/>
  <c r="O277" i="7"/>
  <c r="U287" i="7"/>
  <c r="G287" i="7"/>
  <c r="I287" i="7" s="1"/>
  <c r="P289" i="7"/>
  <c r="O289" i="7"/>
  <c r="G299" i="7"/>
  <c r="I299" i="7" s="1"/>
  <c r="U299" i="7"/>
  <c r="P301" i="7"/>
  <c r="O301" i="7"/>
  <c r="U311" i="7"/>
  <c r="G311" i="7"/>
  <c r="I311" i="7" s="1"/>
  <c r="P313" i="7"/>
  <c r="O313" i="7"/>
  <c r="AB313" i="7" s="1"/>
  <c r="G323" i="7"/>
  <c r="I323" i="7" s="1"/>
  <c r="U323" i="7"/>
  <c r="P325" i="7"/>
  <c r="O325" i="7"/>
  <c r="U335" i="7"/>
  <c r="G335" i="7"/>
  <c r="I335" i="7" s="1"/>
  <c r="P337" i="7"/>
  <c r="O337" i="7"/>
  <c r="U347" i="7"/>
  <c r="G347" i="7"/>
  <c r="I347" i="7" s="1"/>
  <c r="P349" i="7"/>
  <c r="O349" i="7"/>
  <c r="AB349" i="7" s="1"/>
  <c r="G359" i="7"/>
  <c r="I359" i="7" s="1"/>
  <c r="U359" i="7"/>
  <c r="P361" i="7"/>
  <c r="O361" i="7"/>
  <c r="G371" i="7"/>
  <c r="I371" i="7" s="1"/>
  <c r="U371" i="7"/>
  <c r="P373" i="7"/>
  <c r="O373" i="7"/>
  <c r="U383" i="7"/>
  <c r="G383" i="7"/>
  <c r="I383" i="7" s="1"/>
  <c r="O385" i="7"/>
  <c r="P385" i="7"/>
  <c r="G395" i="7"/>
  <c r="I395" i="7" s="1"/>
  <c r="U395" i="7"/>
  <c r="P397" i="7"/>
  <c r="O397" i="7"/>
  <c r="AB397" i="7" s="1"/>
  <c r="G407" i="7"/>
  <c r="I407" i="7" s="1"/>
  <c r="U407" i="7"/>
  <c r="P409" i="7"/>
  <c r="O409" i="7"/>
  <c r="AB409" i="7" s="1"/>
  <c r="U419" i="7"/>
  <c r="G419" i="7"/>
  <c r="I419" i="7" s="1"/>
  <c r="P421" i="7"/>
  <c r="O421" i="7"/>
  <c r="AB421" i="7" s="1"/>
  <c r="U431" i="7"/>
  <c r="G431" i="7"/>
  <c r="I431" i="7" s="1"/>
  <c r="P433" i="7"/>
  <c r="O433" i="7"/>
  <c r="AB433" i="7" s="1"/>
  <c r="U443" i="7"/>
  <c r="G443" i="7"/>
  <c r="I443" i="7" s="1"/>
  <c r="P445" i="7"/>
  <c r="U455" i="7"/>
  <c r="G455" i="7"/>
  <c r="I455" i="7" s="1"/>
  <c r="P457" i="7"/>
  <c r="O457" i="7"/>
  <c r="U467" i="7"/>
  <c r="G467" i="7"/>
  <c r="I467" i="7" s="1"/>
  <c r="O469" i="7"/>
  <c r="AB469" i="7" s="1"/>
  <c r="P469" i="7"/>
  <c r="U479" i="7"/>
  <c r="AB479" i="7" s="1"/>
  <c r="G479" i="7"/>
  <c r="I479" i="7" s="1"/>
  <c r="O481" i="7"/>
  <c r="AB481" i="7" s="1"/>
  <c r="P481" i="7"/>
  <c r="U491" i="7"/>
  <c r="G491" i="7"/>
  <c r="I491" i="7" s="1"/>
  <c r="O493" i="7"/>
  <c r="P493" i="7"/>
  <c r="P21" i="7"/>
  <c r="G55" i="7"/>
  <c r="I55" i="7" s="1"/>
  <c r="U55" i="7"/>
  <c r="P57" i="7"/>
  <c r="O57" i="7"/>
  <c r="G79" i="7"/>
  <c r="I79" i="7" s="1"/>
  <c r="U79" i="7"/>
  <c r="U163" i="7"/>
  <c r="G163" i="7"/>
  <c r="I163" i="7" s="1"/>
  <c r="U187" i="7"/>
  <c r="G187" i="7"/>
  <c r="I187" i="7" s="1"/>
  <c r="U211" i="7"/>
  <c r="G211" i="7"/>
  <c r="I211" i="7" s="1"/>
  <c r="P213" i="7"/>
  <c r="P237" i="7"/>
  <c r="O237" i="7"/>
  <c r="AB237" i="7" s="1"/>
  <c r="U21" i="7"/>
  <c r="G21" i="7"/>
  <c r="I21" i="7" s="1"/>
  <c r="G33" i="7"/>
  <c r="I33" i="7" s="1"/>
  <c r="U33" i="7"/>
  <c r="U45" i="7"/>
  <c r="G45" i="7"/>
  <c r="I45" i="7" s="1"/>
  <c r="U69" i="7"/>
  <c r="G69" i="7"/>
  <c r="I69" i="7" s="1"/>
  <c r="AB85" i="7"/>
  <c r="P95" i="7"/>
  <c r="O95" i="7"/>
  <c r="G105" i="7"/>
  <c r="I105" i="7" s="1"/>
  <c r="U105" i="7"/>
  <c r="P107" i="7"/>
  <c r="O107" i="7"/>
  <c r="U117" i="7"/>
  <c r="G117" i="7"/>
  <c r="I117" i="7" s="1"/>
  <c r="O119" i="7"/>
  <c r="AB119" i="7" s="1"/>
  <c r="P119" i="7"/>
  <c r="U11" i="7"/>
  <c r="AB11" i="7" s="1"/>
  <c r="G11" i="7"/>
  <c r="I11" i="7" s="1"/>
  <c r="P13" i="7"/>
  <c r="O13" i="7"/>
  <c r="AB13" i="7" s="1"/>
  <c r="U23" i="7"/>
  <c r="G23" i="7"/>
  <c r="I23" i="7" s="1"/>
  <c r="O25" i="7"/>
  <c r="AB25" i="7" s="1"/>
  <c r="P25" i="7"/>
  <c r="G35" i="7"/>
  <c r="I35" i="7" s="1"/>
  <c r="U35" i="7"/>
  <c r="P37" i="7"/>
  <c r="O37" i="7"/>
  <c r="G47" i="7"/>
  <c r="I47" i="7" s="1"/>
  <c r="U47" i="7"/>
  <c r="P49" i="7"/>
  <c r="G59" i="7"/>
  <c r="I59" i="7" s="1"/>
  <c r="U59" i="7"/>
  <c r="P61" i="7"/>
  <c r="G71" i="7"/>
  <c r="I71" i="7" s="1"/>
  <c r="U71" i="7"/>
  <c r="P73" i="7"/>
  <c r="O73" i="7"/>
  <c r="AB73" i="7" s="1"/>
  <c r="U83" i="7"/>
  <c r="G83" i="7"/>
  <c r="I83" i="7" s="1"/>
  <c r="P85" i="7"/>
  <c r="O85" i="7"/>
  <c r="U95" i="7"/>
  <c r="G95" i="7"/>
  <c r="I95" i="7" s="1"/>
  <c r="P97" i="7"/>
  <c r="O97" i="7"/>
  <c r="M504" i="7"/>
  <c r="U12" i="7"/>
  <c r="G12" i="7"/>
  <c r="I12" i="7" s="1"/>
  <c r="P14" i="7"/>
  <c r="O14" i="7"/>
  <c r="AB14" i="7" s="1"/>
  <c r="U24" i="7"/>
  <c r="G24" i="7"/>
  <c r="I24" i="7" s="1"/>
  <c r="O26" i="7"/>
  <c r="AB26" i="7" s="1"/>
  <c r="P26" i="7"/>
  <c r="G36" i="7"/>
  <c r="I36" i="7" s="1"/>
  <c r="U36" i="7"/>
  <c r="P38" i="7"/>
  <c r="O38" i="7"/>
  <c r="G48" i="7"/>
  <c r="I48" i="7" s="1"/>
  <c r="U48" i="7"/>
  <c r="P50" i="7"/>
  <c r="G60" i="7"/>
  <c r="I60" i="7" s="1"/>
  <c r="U60" i="7"/>
  <c r="P62" i="7"/>
  <c r="G72" i="7"/>
  <c r="I72" i="7" s="1"/>
  <c r="U72" i="7"/>
  <c r="P74" i="7"/>
  <c r="U84" i="7"/>
  <c r="G84" i="7"/>
  <c r="I84" i="7" s="1"/>
  <c r="P86" i="7"/>
  <c r="O86" i="7"/>
  <c r="AB86" i="7" s="1"/>
  <c r="G96" i="7"/>
  <c r="I96" i="7" s="1"/>
  <c r="U96" i="7"/>
  <c r="P98" i="7"/>
  <c r="O98" i="7"/>
  <c r="G108" i="7"/>
  <c r="I108" i="7" s="1"/>
  <c r="U108" i="7"/>
  <c r="P110" i="7"/>
  <c r="O110" i="7"/>
  <c r="G120" i="7"/>
  <c r="I120" i="7" s="1"/>
  <c r="U120" i="7"/>
  <c r="P122" i="7"/>
  <c r="O122" i="7"/>
  <c r="U132" i="7"/>
  <c r="G132" i="7"/>
  <c r="I132" i="7" s="1"/>
  <c r="P134" i="7"/>
  <c r="O134" i="7"/>
  <c r="AB134" i="7" s="1"/>
  <c r="U144" i="7"/>
  <c r="G144" i="7"/>
  <c r="I144" i="7" s="1"/>
  <c r="P146" i="7"/>
  <c r="O146" i="7"/>
  <c r="U156" i="7"/>
  <c r="AB156" i="7" s="1"/>
  <c r="G156" i="7"/>
  <c r="I156" i="7" s="1"/>
  <c r="P158" i="7"/>
  <c r="O158" i="7"/>
  <c r="AB158" i="7" s="1"/>
  <c r="U168" i="7"/>
  <c r="G168" i="7"/>
  <c r="I168" i="7" s="1"/>
  <c r="P170" i="7"/>
  <c r="U180" i="7"/>
  <c r="G180" i="7"/>
  <c r="I180" i="7" s="1"/>
  <c r="O182" i="7"/>
  <c r="AB182" i="7" s="1"/>
  <c r="P182" i="7"/>
  <c r="U192" i="7"/>
  <c r="G192" i="7"/>
  <c r="I192" i="7" s="1"/>
  <c r="O194" i="7"/>
  <c r="P194" i="7"/>
  <c r="U204" i="7"/>
  <c r="G204" i="7"/>
  <c r="I204" i="7" s="1"/>
  <c r="O206" i="7"/>
  <c r="AB206" i="7" s="1"/>
  <c r="P206" i="7"/>
  <c r="U216" i="7"/>
  <c r="G216" i="7"/>
  <c r="I216" i="7" s="1"/>
  <c r="O218" i="7"/>
  <c r="P218" i="7"/>
  <c r="U228" i="7"/>
  <c r="G228" i="7"/>
  <c r="I228" i="7" s="1"/>
  <c r="P230" i="7"/>
  <c r="O230" i="7"/>
  <c r="AB230" i="7" s="1"/>
  <c r="G240" i="7"/>
  <c r="I240" i="7" s="1"/>
  <c r="U240" i="7"/>
  <c r="P242" i="7"/>
  <c r="U252" i="7"/>
  <c r="G252" i="7"/>
  <c r="I252" i="7" s="1"/>
  <c r="P254" i="7"/>
  <c r="O254" i="7"/>
  <c r="AB254" i="7" s="1"/>
  <c r="G264" i="7"/>
  <c r="I264" i="7" s="1"/>
  <c r="U264" i="7"/>
  <c r="P266" i="7"/>
  <c r="O266" i="7"/>
  <c r="AB266" i="7" s="1"/>
  <c r="G276" i="7"/>
  <c r="I276" i="7" s="1"/>
  <c r="U276" i="7"/>
  <c r="O278" i="7"/>
  <c r="P278" i="7"/>
  <c r="U288" i="7"/>
  <c r="G288" i="7"/>
  <c r="I288" i="7" s="1"/>
  <c r="O290" i="7"/>
  <c r="P290" i="7"/>
  <c r="G300" i="7"/>
  <c r="I300" i="7" s="1"/>
  <c r="U300" i="7"/>
  <c r="P302" i="7"/>
  <c r="G312" i="7"/>
  <c r="I312" i="7" s="1"/>
  <c r="U312" i="7"/>
  <c r="P314" i="7"/>
  <c r="O314" i="7"/>
  <c r="AB314" i="7" s="1"/>
  <c r="U324" i="7"/>
  <c r="G324" i="7"/>
  <c r="I324" i="7" s="1"/>
  <c r="P326" i="7"/>
  <c r="O326" i="7"/>
  <c r="U336" i="7"/>
  <c r="G336" i="7"/>
  <c r="I336" i="7" s="1"/>
  <c r="P338" i="7"/>
  <c r="O338" i="7"/>
  <c r="U348" i="7"/>
  <c r="G348" i="7"/>
  <c r="I348" i="7" s="1"/>
  <c r="P350" i="7"/>
  <c r="O350" i="7"/>
  <c r="G360" i="7"/>
  <c r="I360" i="7" s="1"/>
  <c r="U360" i="7"/>
  <c r="AB360" i="7" s="1"/>
  <c r="P362" i="7"/>
  <c r="O362" i="7"/>
  <c r="AB362" i="7" s="1"/>
  <c r="G372" i="7"/>
  <c r="I372" i="7" s="1"/>
  <c r="U372" i="7"/>
  <c r="P374" i="7"/>
  <c r="O374" i="7"/>
  <c r="G384" i="7"/>
  <c r="I384" i="7" s="1"/>
  <c r="U384" i="7"/>
  <c r="P386" i="7"/>
  <c r="U396" i="7"/>
  <c r="G396" i="7"/>
  <c r="I396" i="7" s="1"/>
  <c r="O398" i="7"/>
  <c r="P398" i="7"/>
  <c r="U408" i="7"/>
  <c r="G408" i="7"/>
  <c r="I408" i="7" s="1"/>
  <c r="P410" i="7"/>
  <c r="U19" i="7"/>
  <c r="G19" i="7"/>
  <c r="I19" i="7" s="1"/>
  <c r="O33" i="7"/>
  <c r="AB33" i="7" s="1"/>
  <c r="P33" i="7"/>
  <c r="U93" i="7"/>
  <c r="G93" i="7"/>
  <c r="I93" i="7" s="1"/>
  <c r="Q504" i="7"/>
  <c r="AB5" i="7"/>
  <c r="U13" i="7"/>
  <c r="G13" i="7"/>
  <c r="I13" i="7" s="1"/>
  <c r="P15" i="7"/>
  <c r="O15" i="7"/>
  <c r="AB15" i="7" s="1"/>
  <c r="G25" i="7"/>
  <c r="I25" i="7" s="1"/>
  <c r="U25" i="7"/>
  <c r="P27" i="7"/>
  <c r="O27" i="7"/>
  <c r="AB27" i="7" s="1"/>
  <c r="U37" i="7"/>
  <c r="G37" i="7"/>
  <c r="I37" i="7" s="1"/>
  <c r="P39" i="7"/>
  <c r="O39" i="7"/>
  <c r="G49" i="7"/>
  <c r="I49" i="7" s="1"/>
  <c r="U49" i="7"/>
  <c r="P51" i="7"/>
  <c r="O51" i="7"/>
  <c r="AB51" i="7" s="1"/>
  <c r="U61" i="7"/>
  <c r="G61" i="7"/>
  <c r="I61" i="7" s="1"/>
  <c r="P63" i="7"/>
  <c r="O63" i="7"/>
  <c r="U73" i="7"/>
  <c r="G73" i="7"/>
  <c r="I73" i="7" s="1"/>
  <c r="O75" i="7"/>
  <c r="P75" i="7"/>
  <c r="G85" i="7"/>
  <c r="I85" i="7" s="1"/>
  <c r="U85" i="7"/>
  <c r="P87" i="7"/>
  <c r="O87" i="7"/>
  <c r="G97" i="7"/>
  <c r="I97" i="7" s="1"/>
  <c r="U97" i="7"/>
  <c r="P99" i="7"/>
  <c r="G109" i="7"/>
  <c r="I109" i="7" s="1"/>
  <c r="U109" i="7"/>
  <c r="P111" i="7"/>
  <c r="O111" i="7"/>
  <c r="AB111" i="7" s="1"/>
  <c r="U121" i="7"/>
  <c r="G121" i="7"/>
  <c r="I121" i="7" s="1"/>
  <c r="P123" i="7"/>
  <c r="O123" i="7"/>
  <c r="U133" i="7"/>
  <c r="G133" i="7"/>
  <c r="I133" i="7" s="1"/>
  <c r="P135" i="7"/>
  <c r="O135" i="7"/>
  <c r="AB137" i="7"/>
  <c r="U145" i="7"/>
  <c r="G145" i="7"/>
  <c r="I145" i="7" s="1"/>
  <c r="P147" i="7"/>
  <c r="O147" i="7"/>
  <c r="G157" i="7"/>
  <c r="I157" i="7" s="1"/>
  <c r="U157" i="7"/>
  <c r="P159" i="7"/>
  <c r="O159" i="7"/>
  <c r="U169" i="7"/>
  <c r="G169" i="7"/>
  <c r="I169" i="7" s="1"/>
  <c r="P171" i="7"/>
  <c r="O171" i="7"/>
  <c r="AB173" i="7"/>
  <c r="U181" i="7"/>
  <c r="G181" i="7"/>
  <c r="I181" i="7" s="1"/>
  <c r="O183" i="7"/>
  <c r="P183" i="7"/>
  <c r="AB183" i="7" s="1"/>
  <c r="U193" i="7"/>
  <c r="G193" i="7"/>
  <c r="I193" i="7" s="1"/>
  <c r="P195" i="7"/>
  <c r="O195" i="7"/>
  <c r="U205" i="7"/>
  <c r="G205" i="7"/>
  <c r="I205" i="7" s="1"/>
  <c r="P207" i="7"/>
  <c r="O207" i="7"/>
  <c r="AB209" i="7"/>
  <c r="U217" i="7"/>
  <c r="G217" i="7"/>
  <c r="I217" i="7" s="1"/>
  <c r="P219" i="7"/>
  <c r="AB219" i="7" s="1"/>
  <c r="O219" i="7"/>
  <c r="U229" i="7"/>
  <c r="G229" i="7"/>
  <c r="I229" i="7" s="1"/>
  <c r="P231" i="7"/>
  <c r="O231" i="7"/>
  <c r="AB231" i="7" s="1"/>
  <c r="G241" i="7"/>
  <c r="I241" i="7" s="1"/>
  <c r="U241" i="7"/>
  <c r="P243" i="7"/>
  <c r="O243" i="7"/>
  <c r="AB243" i="7" s="1"/>
  <c r="G253" i="7"/>
  <c r="I253" i="7" s="1"/>
  <c r="U253" i="7"/>
  <c r="P255" i="7"/>
  <c r="O255" i="7"/>
  <c r="AB255" i="7" s="1"/>
  <c r="G265" i="7"/>
  <c r="I265" i="7" s="1"/>
  <c r="U265" i="7"/>
  <c r="P267" i="7"/>
  <c r="O267" i="7"/>
  <c r="AB267" i="7" s="1"/>
  <c r="AB269" i="7"/>
  <c r="U277" i="7"/>
  <c r="G277" i="7"/>
  <c r="I277" i="7" s="1"/>
  <c r="P279" i="7"/>
  <c r="O279" i="7"/>
  <c r="AB281" i="7"/>
  <c r="G289" i="7"/>
  <c r="I289" i="7" s="1"/>
  <c r="U289" i="7"/>
  <c r="P291" i="7"/>
  <c r="O291" i="7"/>
  <c r="G301" i="7"/>
  <c r="I301" i="7" s="1"/>
  <c r="U301" i="7"/>
  <c r="O303" i="7"/>
  <c r="AB303" i="7" s="1"/>
  <c r="P303" i="7"/>
  <c r="G313" i="7"/>
  <c r="I313" i="7" s="1"/>
  <c r="U313" i="7"/>
  <c r="P315" i="7"/>
  <c r="O315" i="7"/>
  <c r="AB315" i="7" s="1"/>
  <c r="G325" i="7"/>
  <c r="I325" i="7" s="1"/>
  <c r="U325" i="7"/>
  <c r="P327" i="7"/>
  <c r="O327" i="7"/>
  <c r="G337" i="7"/>
  <c r="I337" i="7" s="1"/>
  <c r="U337" i="7"/>
  <c r="P339" i="7"/>
  <c r="O339" i="7"/>
  <c r="AB339" i="7" s="1"/>
  <c r="G349" i="7"/>
  <c r="I349" i="7" s="1"/>
  <c r="U349" i="7"/>
  <c r="P351" i="7"/>
  <c r="O351" i="7"/>
  <c r="G361" i="7"/>
  <c r="I361" i="7" s="1"/>
  <c r="U361" i="7"/>
  <c r="P363" i="7"/>
  <c r="O363" i="7"/>
  <c r="AB363" i="7" s="1"/>
  <c r="AB365" i="7"/>
  <c r="G373" i="7"/>
  <c r="I373" i="7" s="1"/>
  <c r="U373" i="7"/>
  <c r="P375" i="7"/>
  <c r="O375" i="7"/>
  <c r="U385" i="7"/>
  <c r="G385" i="7"/>
  <c r="I385" i="7" s="1"/>
  <c r="P387" i="7"/>
  <c r="O387" i="7"/>
  <c r="AB387" i="7" s="1"/>
  <c r="AB389" i="7"/>
  <c r="U397" i="7"/>
  <c r="G397" i="7"/>
  <c r="I397" i="7" s="1"/>
  <c r="O399" i="7"/>
  <c r="AB399" i="7" s="1"/>
  <c r="P399" i="7"/>
  <c r="P201" i="7"/>
  <c r="O201" i="7"/>
  <c r="AB201" i="7" s="1"/>
  <c r="AB215" i="7"/>
  <c r="R504" i="7"/>
  <c r="U57" i="7"/>
  <c r="G57" i="7"/>
  <c r="I57" i="7" s="1"/>
  <c r="G26" i="7"/>
  <c r="I26" i="7" s="1"/>
  <c r="U26" i="7"/>
  <c r="P28" i="7"/>
  <c r="AB28" i="7" s="1"/>
  <c r="O28" i="7"/>
  <c r="U38" i="7"/>
  <c r="G38" i="7"/>
  <c r="I38" i="7" s="1"/>
  <c r="P40" i="7"/>
  <c r="O40" i="7"/>
  <c r="G50" i="7"/>
  <c r="I50" i="7" s="1"/>
  <c r="U50" i="7"/>
  <c r="P52" i="7"/>
  <c r="O52" i="7"/>
  <c r="G62" i="7"/>
  <c r="I62" i="7" s="1"/>
  <c r="U62" i="7"/>
  <c r="O64" i="7"/>
  <c r="P64" i="7"/>
  <c r="U74" i="7"/>
  <c r="G74" i="7"/>
  <c r="I74" i="7" s="1"/>
  <c r="P76" i="7"/>
  <c r="O76" i="7"/>
  <c r="AB78" i="7"/>
  <c r="U86" i="7"/>
  <c r="G86" i="7"/>
  <c r="I86" i="7" s="1"/>
  <c r="P88" i="7"/>
  <c r="O88" i="7"/>
  <c r="AB88" i="7" s="1"/>
  <c r="AB90" i="7"/>
  <c r="G98" i="7"/>
  <c r="I98" i="7" s="1"/>
  <c r="U98" i="7"/>
  <c r="P100" i="7"/>
  <c r="AB102" i="7"/>
  <c r="G110" i="7"/>
  <c r="I110" i="7" s="1"/>
  <c r="U110" i="7"/>
  <c r="P112" i="7"/>
  <c r="AB114" i="7"/>
  <c r="G122" i="7"/>
  <c r="I122" i="7" s="1"/>
  <c r="U122" i="7"/>
  <c r="O124" i="7"/>
  <c r="AB124" i="7" s="1"/>
  <c r="P124" i="7"/>
  <c r="AB126" i="7"/>
  <c r="G134" i="7"/>
  <c r="I134" i="7" s="1"/>
  <c r="U134" i="7"/>
  <c r="P136" i="7"/>
  <c r="AB136" i="7" s="1"/>
  <c r="O136" i="7"/>
  <c r="U146" i="7"/>
  <c r="G146" i="7"/>
  <c r="I146" i="7" s="1"/>
  <c r="P148" i="7"/>
  <c r="AB150" i="7"/>
  <c r="G158" i="7"/>
  <c r="I158" i="7" s="1"/>
  <c r="U158" i="7"/>
  <c r="P160" i="7"/>
  <c r="O160" i="7"/>
  <c r="U170" i="7"/>
  <c r="G170" i="7"/>
  <c r="I170" i="7" s="1"/>
  <c r="O172" i="7"/>
  <c r="AB172" i="7" s="1"/>
  <c r="P172" i="7"/>
  <c r="AB174" i="7"/>
  <c r="U182" i="7"/>
  <c r="G182" i="7"/>
  <c r="I182" i="7" s="1"/>
  <c r="O184" i="7"/>
  <c r="P184" i="7"/>
  <c r="U194" i="7"/>
  <c r="G194" i="7"/>
  <c r="I194" i="7" s="1"/>
  <c r="O196" i="7"/>
  <c r="P196" i="7"/>
  <c r="U206" i="7"/>
  <c r="G206" i="7"/>
  <c r="I206" i="7" s="1"/>
  <c r="P208" i="7"/>
  <c r="O208" i="7"/>
  <c r="AB208" i="7" s="1"/>
  <c r="U218" i="7"/>
  <c r="G218" i="7"/>
  <c r="I218" i="7" s="1"/>
  <c r="P220" i="7"/>
  <c r="O220" i="7"/>
  <c r="AB220" i="7" s="1"/>
  <c r="U230" i="7"/>
  <c r="G230" i="7"/>
  <c r="I230" i="7" s="1"/>
  <c r="P232" i="7"/>
  <c r="G242" i="7"/>
  <c r="I242" i="7" s="1"/>
  <c r="U242" i="7"/>
  <c r="P244" i="7"/>
  <c r="O244" i="7"/>
  <c r="AB244" i="7" s="1"/>
  <c r="G254" i="7"/>
  <c r="I254" i="7" s="1"/>
  <c r="U254" i="7"/>
  <c r="O256" i="7"/>
  <c r="P256" i="7"/>
  <c r="AB258" i="7"/>
  <c r="G266" i="7"/>
  <c r="I266" i="7" s="1"/>
  <c r="U266" i="7"/>
  <c r="P268" i="7"/>
  <c r="O268" i="7"/>
  <c r="U278" i="7"/>
  <c r="G278" i="7"/>
  <c r="I278" i="7" s="1"/>
  <c r="P280" i="7"/>
  <c r="O280" i="7"/>
  <c r="G290" i="7"/>
  <c r="I290" i="7" s="1"/>
  <c r="U290" i="7"/>
  <c r="O292" i="7"/>
  <c r="AB292" i="7" s="1"/>
  <c r="P292" i="7"/>
  <c r="U302" i="7"/>
  <c r="G302" i="7"/>
  <c r="I302" i="7" s="1"/>
  <c r="P304" i="7"/>
  <c r="G314" i="7"/>
  <c r="I314" i="7" s="1"/>
  <c r="U314" i="7"/>
  <c r="P316" i="7"/>
  <c r="O316" i="7"/>
  <c r="G326" i="7"/>
  <c r="I326" i="7" s="1"/>
  <c r="U326" i="7"/>
  <c r="O328" i="7"/>
  <c r="P328" i="7"/>
  <c r="G338" i="7"/>
  <c r="I338" i="7" s="1"/>
  <c r="U338" i="7"/>
  <c r="P340" i="7"/>
  <c r="G350" i="7"/>
  <c r="I350" i="7" s="1"/>
  <c r="U350" i="7"/>
  <c r="P352" i="7"/>
  <c r="O352" i="7"/>
  <c r="G362" i="7"/>
  <c r="I362" i="7" s="1"/>
  <c r="U362" i="7"/>
  <c r="P364" i="7"/>
  <c r="U374" i="7"/>
  <c r="G374" i="7"/>
  <c r="I374" i="7" s="1"/>
  <c r="P376" i="7"/>
  <c r="O376" i="7"/>
  <c r="AB376" i="7" s="1"/>
  <c r="AB378" i="7"/>
  <c r="G386" i="7"/>
  <c r="I386" i="7" s="1"/>
  <c r="U386" i="7"/>
  <c r="P388" i="7"/>
  <c r="U398" i="7"/>
  <c r="G398" i="7"/>
  <c r="I398" i="7" s="1"/>
  <c r="P400" i="7"/>
  <c r="O400" i="7"/>
  <c r="AB400" i="7" s="1"/>
  <c r="U496" i="7"/>
  <c r="G496" i="7"/>
  <c r="I496" i="7" s="1"/>
  <c r="P498" i="7"/>
  <c r="G293" i="7"/>
  <c r="I293" i="7" s="1"/>
  <c r="U293" i="7"/>
  <c r="O295" i="7"/>
  <c r="P295" i="7"/>
  <c r="G305" i="7"/>
  <c r="I305" i="7" s="1"/>
  <c r="U305" i="7"/>
  <c r="P307" i="7"/>
  <c r="O307" i="7"/>
  <c r="AB307" i="7" s="1"/>
  <c r="U317" i="7"/>
  <c r="G317" i="7"/>
  <c r="I317" i="7" s="1"/>
  <c r="P319" i="7"/>
  <c r="O319" i="7"/>
  <c r="AB319" i="7" s="1"/>
  <c r="G329" i="7"/>
  <c r="I329" i="7" s="1"/>
  <c r="U329" i="7"/>
  <c r="P331" i="7"/>
  <c r="O331" i="7"/>
  <c r="AB331" i="7" s="1"/>
  <c r="G341" i="7"/>
  <c r="I341" i="7" s="1"/>
  <c r="U341" i="7"/>
  <c r="P343" i="7"/>
  <c r="O343" i="7"/>
  <c r="AB343" i="7" s="1"/>
  <c r="U353" i="7"/>
  <c r="G353" i="7"/>
  <c r="I353" i="7" s="1"/>
  <c r="P355" i="7"/>
  <c r="O355" i="7"/>
  <c r="AB355" i="7" s="1"/>
  <c r="G365" i="7"/>
  <c r="I365" i="7" s="1"/>
  <c r="U365" i="7"/>
  <c r="P367" i="7"/>
  <c r="U377" i="7"/>
  <c r="G377" i="7"/>
  <c r="I377" i="7" s="1"/>
  <c r="P379" i="7"/>
  <c r="O379" i="7"/>
  <c r="AB381" i="7"/>
  <c r="U389" i="7"/>
  <c r="G389" i="7"/>
  <c r="I389" i="7" s="1"/>
  <c r="P391" i="7"/>
  <c r="O391" i="7"/>
  <c r="AB393" i="7"/>
  <c r="U401" i="7"/>
  <c r="G401" i="7"/>
  <c r="I401" i="7" s="1"/>
  <c r="P403" i="7"/>
  <c r="O403" i="7"/>
  <c r="AB403" i="7" s="1"/>
  <c r="U413" i="7"/>
  <c r="G413" i="7"/>
  <c r="I413" i="7" s="1"/>
  <c r="P415" i="7"/>
  <c r="O415" i="7"/>
  <c r="AB417" i="7"/>
  <c r="U425" i="7"/>
  <c r="G425" i="7"/>
  <c r="I425" i="7" s="1"/>
  <c r="P427" i="7"/>
  <c r="O427" i="7"/>
  <c r="U437" i="7"/>
  <c r="G437" i="7"/>
  <c r="I437" i="7" s="1"/>
  <c r="P439" i="7"/>
  <c r="O439" i="7"/>
  <c r="U449" i="7"/>
  <c r="G449" i="7"/>
  <c r="I449" i="7" s="1"/>
  <c r="O451" i="7"/>
  <c r="P451" i="7"/>
  <c r="U461" i="7"/>
  <c r="AB461" i="7" s="1"/>
  <c r="G461" i="7"/>
  <c r="I461" i="7" s="1"/>
  <c r="O463" i="7"/>
  <c r="P463" i="7"/>
  <c r="U473" i="7"/>
  <c r="G473" i="7"/>
  <c r="I473" i="7" s="1"/>
  <c r="O475" i="7"/>
  <c r="P475" i="7"/>
  <c r="U485" i="7"/>
  <c r="AB485" i="7" s="1"/>
  <c r="G485" i="7"/>
  <c r="I485" i="7" s="1"/>
  <c r="O487" i="7"/>
  <c r="AB487" i="7" s="1"/>
  <c r="P487" i="7"/>
  <c r="U497" i="7"/>
  <c r="G497" i="7"/>
  <c r="I497" i="7" s="1"/>
  <c r="P499" i="7"/>
  <c r="V504" i="7"/>
  <c r="U282" i="7"/>
  <c r="G282" i="7"/>
  <c r="I282" i="7" s="1"/>
  <c r="P284" i="7"/>
  <c r="U294" i="7"/>
  <c r="AB294" i="7" s="1"/>
  <c r="G294" i="7"/>
  <c r="I294" i="7" s="1"/>
  <c r="P296" i="7"/>
  <c r="O296" i="7"/>
  <c r="G306" i="7"/>
  <c r="I306" i="7" s="1"/>
  <c r="U306" i="7"/>
  <c r="O308" i="7"/>
  <c r="AB308" i="7" s="1"/>
  <c r="P308" i="7"/>
  <c r="G318" i="7"/>
  <c r="I318" i="7" s="1"/>
  <c r="U318" i="7"/>
  <c r="O320" i="7"/>
  <c r="P320" i="7"/>
  <c r="G330" i="7"/>
  <c r="I330" i="7" s="1"/>
  <c r="U330" i="7"/>
  <c r="AB330" i="7" s="1"/>
  <c r="P332" i="7"/>
  <c r="O332" i="7"/>
  <c r="AB334" i="7"/>
  <c r="G342" i="7"/>
  <c r="I342" i="7" s="1"/>
  <c r="U342" i="7"/>
  <c r="P344" i="7"/>
  <c r="O344" i="7"/>
  <c r="U354" i="7"/>
  <c r="G354" i="7"/>
  <c r="I354" i="7" s="1"/>
  <c r="P356" i="7"/>
  <c r="O356" i="7"/>
  <c r="AB358" i="7"/>
  <c r="U366" i="7"/>
  <c r="G366" i="7"/>
  <c r="I366" i="7" s="1"/>
  <c r="P368" i="7"/>
  <c r="O368" i="7"/>
  <c r="AB370" i="7"/>
  <c r="G378" i="7"/>
  <c r="I378" i="7" s="1"/>
  <c r="U378" i="7"/>
  <c r="P380" i="7"/>
  <c r="G390" i="7"/>
  <c r="I390" i="7" s="1"/>
  <c r="U390" i="7"/>
  <c r="AB390" i="7" s="1"/>
  <c r="P392" i="7"/>
  <c r="O392" i="7"/>
  <c r="G402" i="7"/>
  <c r="I402" i="7" s="1"/>
  <c r="U402" i="7"/>
  <c r="AB402" i="7" s="1"/>
  <c r="P404" i="7"/>
  <c r="O404" i="7"/>
  <c r="AB404" i="7" s="1"/>
  <c r="G414" i="7"/>
  <c r="I414" i="7" s="1"/>
  <c r="U414" i="7"/>
  <c r="P416" i="7"/>
  <c r="O416" i="7"/>
  <c r="AB416" i="7" s="1"/>
  <c r="G426" i="7"/>
  <c r="I426" i="7" s="1"/>
  <c r="U426" i="7"/>
  <c r="P428" i="7"/>
  <c r="O428" i="7"/>
  <c r="U438" i="7"/>
  <c r="G438" i="7"/>
  <c r="I438" i="7" s="1"/>
  <c r="O440" i="7"/>
  <c r="AB440" i="7" s="1"/>
  <c r="P440" i="7"/>
  <c r="U450" i="7"/>
  <c r="G450" i="7"/>
  <c r="I450" i="7" s="1"/>
  <c r="O452" i="7"/>
  <c r="AB452" i="7" s="1"/>
  <c r="P452" i="7"/>
  <c r="U462" i="7"/>
  <c r="G462" i="7"/>
  <c r="I462" i="7" s="1"/>
  <c r="O464" i="7"/>
  <c r="AB464" i="7" s="1"/>
  <c r="P464" i="7"/>
  <c r="AB466" i="7"/>
  <c r="U474" i="7"/>
  <c r="G474" i="7"/>
  <c r="I474" i="7" s="1"/>
  <c r="O476" i="7"/>
  <c r="P476" i="7"/>
  <c r="U486" i="7"/>
  <c r="G486" i="7"/>
  <c r="I486" i="7" s="1"/>
  <c r="O488" i="7"/>
  <c r="AB488" i="7" s="1"/>
  <c r="P488" i="7"/>
  <c r="AB490" i="7"/>
  <c r="U498" i="7"/>
  <c r="G498" i="7"/>
  <c r="I498" i="7" s="1"/>
  <c r="O500" i="7"/>
  <c r="AB500" i="7" s="1"/>
  <c r="P500" i="7"/>
  <c r="W504" i="7"/>
  <c r="G427" i="7"/>
  <c r="I427" i="7" s="1"/>
  <c r="U427" i="7"/>
  <c r="P429" i="7"/>
  <c r="U439" i="7"/>
  <c r="G439" i="7"/>
  <c r="I439" i="7" s="1"/>
  <c r="P441" i="7"/>
  <c r="O441" i="7"/>
  <c r="U451" i="7"/>
  <c r="G451" i="7"/>
  <c r="I451" i="7" s="1"/>
  <c r="P453" i="7"/>
  <c r="O453" i="7"/>
  <c r="AB455" i="7"/>
  <c r="U463" i="7"/>
  <c r="AB463" i="7" s="1"/>
  <c r="G463" i="7"/>
  <c r="I463" i="7" s="1"/>
  <c r="O465" i="7"/>
  <c r="AB465" i="7" s="1"/>
  <c r="P465" i="7"/>
  <c r="U475" i="7"/>
  <c r="G475" i="7"/>
  <c r="I475" i="7" s="1"/>
  <c r="P477" i="7"/>
  <c r="U487" i="7"/>
  <c r="G487" i="7"/>
  <c r="I487" i="7" s="1"/>
  <c r="O489" i="7"/>
  <c r="P489" i="7"/>
  <c r="U499" i="7"/>
  <c r="G499" i="7"/>
  <c r="I499" i="7" s="1"/>
  <c r="O501" i="7"/>
  <c r="P501" i="7"/>
  <c r="AB501" i="7" s="1"/>
  <c r="U500" i="7"/>
  <c r="G500" i="7"/>
  <c r="I500" i="7" s="1"/>
  <c r="O502" i="7"/>
  <c r="AB502" i="7" s="1"/>
  <c r="P502" i="7"/>
  <c r="U501" i="7"/>
  <c r="G501" i="7"/>
  <c r="I501" i="7" s="1"/>
  <c r="U502" i="7"/>
  <c r="G502" i="7"/>
  <c r="I502" i="7" s="1"/>
  <c r="U503" i="7"/>
  <c r="G503" i="7"/>
  <c r="I503" i="7" s="1"/>
  <c r="U420" i="7"/>
  <c r="G420" i="7"/>
  <c r="I420" i="7" s="1"/>
  <c r="P422" i="7"/>
  <c r="U432" i="7"/>
  <c r="G432" i="7"/>
  <c r="I432" i="7" s="1"/>
  <c r="O434" i="7"/>
  <c r="AB434" i="7" s="1"/>
  <c r="P434" i="7"/>
  <c r="U444" i="7"/>
  <c r="G444" i="7"/>
  <c r="I444" i="7" s="1"/>
  <c r="O446" i="7"/>
  <c r="P446" i="7"/>
  <c r="AB448" i="7"/>
  <c r="U456" i="7"/>
  <c r="G456" i="7"/>
  <c r="I456" i="7" s="1"/>
  <c r="P458" i="7"/>
  <c r="O458" i="7"/>
  <c r="U468" i="7"/>
  <c r="G468" i="7"/>
  <c r="I468" i="7" s="1"/>
  <c r="O470" i="7"/>
  <c r="AB470" i="7" s="1"/>
  <c r="P470" i="7"/>
  <c r="U480" i="7"/>
  <c r="G480" i="7"/>
  <c r="I480" i="7" s="1"/>
  <c r="P482" i="7"/>
  <c r="U492" i="7"/>
  <c r="G492" i="7"/>
  <c r="I492" i="7" s="1"/>
  <c r="O494" i="7"/>
  <c r="P494" i="7"/>
  <c r="AB401" i="7"/>
  <c r="U409" i="7"/>
  <c r="G409" i="7"/>
  <c r="I409" i="7" s="1"/>
  <c r="P411" i="7"/>
  <c r="O411" i="7"/>
  <c r="U421" i="7"/>
  <c r="G421" i="7"/>
  <c r="I421" i="7" s="1"/>
  <c r="P423" i="7"/>
  <c r="O423" i="7"/>
  <c r="AB423" i="7" s="1"/>
  <c r="U433" i="7"/>
  <c r="G433" i="7"/>
  <c r="I433" i="7" s="1"/>
  <c r="P435" i="7"/>
  <c r="U445" i="7"/>
  <c r="G445" i="7"/>
  <c r="I445" i="7" s="1"/>
  <c r="P447" i="7"/>
  <c r="O447" i="7"/>
  <c r="AB447" i="7" s="1"/>
  <c r="U457" i="7"/>
  <c r="G457" i="7"/>
  <c r="I457" i="7" s="1"/>
  <c r="O459" i="7"/>
  <c r="AB459" i="7" s="1"/>
  <c r="P459" i="7"/>
  <c r="U469" i="7"/>
  <c r="G469" i="7"/>
  <c r="I469" i="7" s="1"/>
  <c r="P471" i="7"/>
  <c r="U481" i="7"/>
  <c r="G481" i="7"/>
  <c r="I481" i="7" s="1"/>
  <c r="P483" i="7"/>
  <c r="U493" i="7"/>
  <c r="G493" i="7"/>
  <c r="I493" i="7" s="1"/>
  <c r="O495" i="7"/>
  <c r="P495" i="7"/>
  <c r="AB495" i="7" s="1"/>
  <c r="G410" i="7"/>
  <c r="I410" i="7" s="1"/>
  <c r="U410" i="7"/>
  <c r="P412" i="7"/>
  <c r="O412" i="7"/>
  <c r="G422" i="7"/>
  <c r="I422" i="7" s="1"/>
  <c r="U422" i="7"/>
  <c r="P424" i="7"/>
  <c r="AB426" i="7"/>
  <c r="U434" i="7"/>
  <c r="G434" i="7"/>
  <c r="I434" i="7" s="1"/>
  <c r="O436" i="7"/>
  <c r="AB436" i="7" s="1"/>
  <c r="P436" i="7"/>
  <c r="AB438" i="7"/>
  <c r="U446" i="7"/>
  <c r="G446" i="7"/>
  <c r="I446" i="7" s="1"/>
  <c r="O448" i="7"/>
  <c r="P448" i="7"/>
  <c r="U458" i="7"/>
  <c r="G458" i="7"/>
  <c r="I458" i="7" s="1"/>
  <c r="O460" i="7"/>
  <c r="P460" i="7"/>
  <c r="AB462" i="7"/>
  <c r="U470" i="7"/>
  <c r="G470" i="7"/>
  <c r="I470" i="7" s="1"/>
  <c r="O472" i="7"/>
  <c r="P472" i="7"/>
  <c r="U482" i="7"/>
  <c r="G482" i="7"/>
  <c r="I482" i="7" s="1"/>
  <c r="O484" i="7"/>
  <c r="P484" i="7"/>
  <c r="U494" i="7"/>
  <c r="G494" i="7"/>
  <c r="I494" i="7" s="1"/>
  <c r="O496" i="7"/>
  <c r="AB496" i="7" s="1"/>
  <c r="P496" i="7"/>
  <c r="U411" i="7"/>
  <c r="G411" i="7"/>
  <c r="I411" i="7" s="1"/>
  <c r="P413" i="7"/>
  <c r="O413" i="7"/>
  <c r="AB413" i="7" s="1"/>
  <c r="G423" i="7"/>
  <c r="I423" i="7" s="1"/>
  <c r="U423" i="7"/>
  <c r="P425" i="7"/>
  <c r="O425" i="7"/>
  <c r="AB425" i="7" s="1"/>
  <c r="U435" i="7"/>
  <c r="G435" i="7"/>
  <c r="I435" i="7" s="1"/>
  <c r="P437" i="7"/>
  <c r="O437" i="7"/>
  <c r="AB439" i="7"/>
  <c r="U447" i="7"/>
  <c r="G447" i="7"/>
  <c r="I447" i="7" s="1"/>
  <c r="P449" i="7"/>
  <c r="O449" i="7"/>
  <c r="U459" i="7"/>
  <c r="G459" i="7"/>
  <c r="I459" i="7" s="1"/>
  <c r="P461" i="7"/>
  <c r="O461" i="7"/>
  <c r="U471" i="7"/>
  <c r="G471" i="7"/>
  <c r="I471" i="7" s="1"/>
  <c r="O473" i="7"/>
  <c r="P473" i="7"/>
  <c r="AB473" i="7" s="1"/>
  <c r="AB475" i="7"/>
  <c r="U483" i="7"/>
  <c r="G483" i="7"/>
  <c r="I483" i="7" s="1"/>
  <c r="O485" i="7"/>
  <c r="P485" i="7"/>
  <c r="U495" i="7"/>
  <c r="G495" i="7"/>
  <c r="I495" i="7" s="1"/>
  <c r="P497" i="7"/>
  <c r="O503" i="7"/>
  <c r="P503" i="7"/>
  <c r="J162" i="7" l="1"/>
  <c r="L162" i="7" s="1"/>
  <c r="K162" i="7"/>
  <c r="K138" i="7"/>
  <c r="J138" i="7"/>
  <c r="L138" i="7" s="1"/>
  <c r="K90" i="7"/>
  <c r="J90" i="7"/>
  <c r="L90" i="7" s="1"/>
  <c r="K88" i="7"/>
  <c r="J88" i="7"/>
  <c r="L88" i="7" s="1"/>
  <c r="J135" i="7"/>
  <c r="K135" i="7"/>
  <c r="K127" i="7"/>
  <c r="J127" i="7"/>
  <c r="K269" i="7"/>
  <c r="J269" i="7"/>
  <c r="L269" i="7" s="1"/>
  <c r="K185" i="7"/>
  <c r="J185" i="7"/>
  <c r="L185" i="7" s="1"/>
  <c r="K77" i="7"/>
  <c r="J77" i="7"/>
  <c r="L77" i="7" s="1"/>
  <c r="K53" i="7"/>
  <c r="J53" i="7"/>
  <c r="L53" i="7" s="1"/>
  <c r="J304" i="7"/>
  <c r="K304" i="7"/>
  <c r="K172" i="7"/>
  <c r="J172" i="7"/>
  <c r="K63" i="7"/>
  <c r="J63" i="7"/>
  <c r="J103" i="7"/>
  <c r="L103" i="7" s="1"/>
  <c r="K103" i="7"/>
  <c r="J339" i="7"/>
  <c r="K339" i="7"/>
  <c r="J14" i="7"/>
  <c r="K14" i="7"/>
  <c r="J139" i="7"/>
  <c r="K139" i="7"/>
  <c r="K206" i="7"/>
  <c r="J206" i="7"/>
  <c r="K133" i="7"/>
  <c r="J133" i="7"/>
  <c r="L133" i="7" s="1"/>
  <c r="K477" i="7"/>
  <c r="J477" i="7"/>
  <c r="J404" i="7"/>
  <c r="K404" i="7"/>
  <c r="K68" i="7"/>
  <c r="J68" i="7"/>
  <c r="L68" i="7" s="1"/>
  <c r="K423" i="7"/>
  <c r="J423" i="7"/>
  <c r="L423" i="7" s="1"/>
  <c r="K500" i="7"/>
  <c r="J500" i="7"/>
  <c r="J330" i="7"/>
  <c r="K330" i="7"/>
  <c r="K425" i="7"/>
  <c r="J425" i="7"/>
  <c r="L425" i="7" s="1"/>
  <c r="K157" i="7"/>
  <c r="J157" i="7"/>
  <c r="L157" i="7" s="1"/>
  <c r="J336" i="7"/>
  <c r="K336" i="7"/>
  <c r="K71" i="7"/>
  <c r="J71" i="7"/>
  <c r="L71" i="7" s="1"/>
  <c r="K105" i="7"/>
  <c r="J105" i="7"/>
  <c r="K163" i="7"/>
  <c r="J163" i="7"/>
  <c r="L163" i="7" s="1"/>
  <c r="K419" i="7"/>
  <c r="J419" i="7"/>
  <c r="L419" i="7" s="1"/>
  <c r="J454" i="7"/>
  <c r="K454" i="7"/>
  <c r="K406" i="7"/>
  <c r="J406" i="7"/>
  <c r="L406" i="7" s="1"/>
  <c r="J322" i="7"/>
  <c r="K322" i="7"/>
  <c r="K94" i="7"/>
  <c r="J94" i="7"/>
  <c r="K285" i="7"/>
  <c r="J285" i="7"/>
  <c r="L285" i="7" s="1"/>
  <c r="K261" i="7"/>
  <c r="J261" i="7"/>
  <c r="L261" i="7" s="1"/>
  <c r="J272" i="7"/>
  <c r="K272" i="7"/>
  <c r="K271" i="7"/>
  <c r="J271" i="7"/>
  <c r="L271" i="7" s="1"/>
  <c r="K247" i="7"/>
  <c r="J247" i="7"/>
  <c r="L247" i="7" s="1"/>
  <c r="K151" i="7"/>
  <c r="J151" i="7"/>
  <c r="K43" i="7"/>
  <c r="J43" i="7"/>
  <c r="L43" i="7" s="1"/>
  <c r="K403" i="7"/>
  <c r="J403" i="7"/>
  <c r="L403" i="7" s="1"/>
  <c r="K379" i="7"/>
  <c r="J379" i="7"/>
  <c r="L379" i="7" s="1"/>
  <c r="J270" i="7"/>
  <c r="K270" i="7"/>
  <c r="J210" i="7"/>
  <c r="K210" i="7"/>
  <c r="K186" i="7"/>
  <c r="J186" i="7"/>
  <c r="J114" i="7"/>
  <c r="K114" i="7"/>
  <c r="J209" i="7"/>
  <c r="K209" i="7"/>
  <c r="K125" i="7"/>
  <c r="J125" i="7"/>
  <c r="L125" i="7" s="1"/>
  <c r="J112" i="7"/>
  <c r="K112" i="7"/>
  <c r="K460" i="7"/>
  <c r="J460" i="7"/>
  <c r="L460" i="7" s="1"/>
  <c r="K376" i="7"/>
  <c r="J376" i="7"/>
  <c r="J328" i="7"/>
  <c r="L328" i="7" s="1"/>
  <c r="K328" i="7"/>
  <c r="J220" i="7"/>
  <c r="L220" i="7" s="1"/>
  <c r="K220" i="7"/>
  <c r="J255" i="7"/>
  <c r="K255" i="7"/>
  <c r="K494" i="7"/>
  <c r="J494" i="7"/>
  <c r="L494" i="7" s="1"/>
  <c r="K373" i="7"/>
  <c r="J373" i="7"/>
  <c r="L373" i="7" s="1"/>
  <c r="J323" i="7"/>
  <c r="L323" i="7" s="1"/>
  <c r="K323" i="7"/>
  <c r="K70" i="7"/>
  <c r="J70" i="7"/>
  <c r="K369" i="7"/>
  <c r="J369" i="7"/>
  <c r="J248" i="7"/>
  <c r="K248" i="7"/>
  <c r="J92" i="7"/>
  <c r="K92" i="7"/>
  <c r="J354" i="7"/>
  <c r="K354" i="7"/>
  <c r="K401" i="7"/>
  <c r="J401" i="7"/>
  <c r="J377" i="7"/>
  <c r="L377" i="7" s="1"/>
  <c r="K377" i="7"/>
  <c r="K329" i="7"/>
  <c r="J329" i="7"/>
  <c r="L329" i="7" s="1"/>
  <c r="K386" i="7"/>
  <c r="J386" i="7"/>
  <c r="L386" i="7" s="1"/>
  <c r="J230" i="7"/>
  <c r="K230" i="7"/>
  <c r="K98" i="7"/>
  <c r="J98" i="7"/>
  <c r="L98" i="7" s="1"/>
  <c r="K50" i="7"/>
  <c r="J50" i="7"/>
  <c r="K57" i="7"/>
  <c r="J57" i="7"/>
  <c r="K447" i="7"/>
  <c r="J447" i="7"/>
  <c r="K434" i="7"/>
  <c r="J434" i="7"/>
  <c r="L434" i="7" s="1"/>
  <c r="K462" i="7"/>
  <c r="J462" i="7"/>
  <c r="L462" i="7" s="1"/>
  <c r="J313" i="7"/>
  <c r="K313" i="7"/>
  <c r="K289" i="7"/>
  <c r="J289" i="7"/>
  <c r="K265" i="7"/>
  <c r="J265" i="7"/>
  <c r="L265" i="7" s="1"/>
  <c r="J205" i="7"/>
  <c r="K205" i="7"/>
  <c r="K181" i="7"/>
  <c r="J181" i="7"/>
  <c r="L181" i="7" s="1"/>
  <c r="K93" i="7"/>
  <c r="J93" i="7"/>
  <c r="L93" i="7" s="1"/>
  <c r="K360" i="7"/>
  <c r="J360" i="7"/>
  <c r="L360" i="7" s="1"/>
  <c r="J312" i="7"/>
  <c r="L312" i="7" s="1"/>
  <c r="K312" i="7"/>
  <c r="J228" i="7"/>
  <c r="L228" i="7" s="1"/>
  <c r="K228" i="7"/>
  <c r="K204" i="7"/>
  <c r="J204" i="7"/>
  <c r="J24" i="7"/>
  <c r="K24" i="7"/>
  <c r="K95" i="7"/>
  <c r="J95" i="7"/>
  <c r="L95" i="7" s="1"/>
  <c r="J11" i="7"/>
  <c r="K11" i="7"/>
  <c r="K443" i="7"/>
  <c r="J443" i="7"/>
  <c r="J239" i="7"/>
  <c r="K239" i="7"/>
  <c r="K131" i="7"/>
  <c r="J131" i="7"/>
  <c r="L131" i="7" s="1"/>
  <c r="J107" i="7"/>
  <c r="K107" i="7"/>
  <c r="K118" i="7"/>
  <c r="J118" i="7"/>
  <c r="L118" i="7" s="1"/>
  <c r="K10" i="7"/>
  <c r="J10" i="7"/>
  <c r="L10" i="7" s="1"/>
  <c r="K309" i="7"/>
  <c r="J309" i="7"/>
  <c r="K129" i="7"/>
  <c r="J129" i="7"/>
  <c r="L129" i="7" s="1"/>
  <c r="K417" i="7"/>
  <c r="J417" i="7"/>
  <c r="K393" i="7"/>
  <c r="J393" i="7"/>
  <c r="L393" i="7" s="1"/>
  <c r="K428" i="7"/>
  <c r="J428" i="7"/>
  <c r="L428" i="7" s="1"/>
  <c r="J344" i="7"/>
  <c r="K344" i="7"/>
  <c r="J320" i="7"/>
  <c r="L320" i="7" s="1"/>
  <c r="K320" i="7"/>
  <c r="K296" i="7"/>
  <c r="J296" i="7"/>
  <c r="L296" i="7" s="1"/>
  <c r="J164" i="7"/>
  <c r="K164" i="7"/>
  <c r="J140" i="7"/>
  <c r="K140" i="7"/>
  <c r="K116" i="7"/>
  <c r="J116" i="7"/>
  <c r="L116" i="7" s="1"/>
  <c r="K295" i="7"/>
  <c r="J295" i="7"/>
  <c r="L295" i="7" s="1"/>
  <c r="K6" i="7"/>
  <c r="J6" i="7"/>
  <c r="J123" i="7"/>
  <c r="L123" i="7" s="1"/>
  <c r="K123" i="7"/>
  <c r="J233" i="7"/>
  <c r="L233" i="7" s="1"/>
  <c r="K233" i="7"/>
  <c r="K101" i="7"/>
  <c r="J101" i="7"/>
  <c r="L101" i="7" s="1"/>
  <c r="J219" i="7"/>
  <c r="K219" i="7"/>
  <c r="K484" i="7"/>
  <c r="J484" i="7"/>
  <c r="L484" i="7" s="1"/>
  <c r="J352" i="7"/>
  <c r="L352" i="7" s="1"/>
  <c r="K352" i="7"/>
  <c r="J244" i="7"/>
  <c r="L244" i="7" s="1"/>
  <c r="K244" i="7"/>
  <c r="J160" i="7"/>
  <c r="L160" i="7" s="1"/>
  <c r="K160" i="7"/>
  <c r="K81" i="7"/>
  <c r="J81" i="7"/>
  <c r="L81" i="7" s="1"/>
  <c r="K363" i="7"/>
  <c r="J363" i="7"/>
  <c r="L363" i="7" s="1"/>
  <c r="J306" i="7"/>
  <c r="K306" i="7"/>
  <c r="K74" i="7"/>
  <c r="J74" i="7"/>
  <c r="K288" i="7"/>
  <c r="J288" i="7"/>
  <c r="K395" i="7"/>
  <c r="J395" i="7"/>
  <c r="J224" i="7"/>
  <c r="K224" i="7"/>
  <c r="K495" i="7"/>
  <c r="J495" i="7"/>
  <c r="L495" i="7" s="1"/>
  <c r="K471" i="7"/>
  <c r="J471" i="7"/>
  <c r="L471" i="7" s="1"/>
  <c r="K458" i="7"/>
  <c r="J458" i="7"/>
  <c r="K410" i="7"/>
  <c r="J410" i="7"/>
  <c r="J420" i="7"/>
  <c r="L420" i="7" s="1"/>
  <c r="K420" i="7"/>
  <c r="K486" i="7"/>
  <c r="J486" i="7"/>
  <c r="L486" i="7" s="1"/>
  <c r="K378" i="7"/>
  <c r="J378" i="7"/>
  <c r="L378" i="7" s="1"/>
  <c r="K449" i="7"/>
  <c r="J449" i="7"/>
  <c r="L449" i="7" s="1"/>
  <c r="J278" i="7"/>
  <c r="L278" i="7" s="1"/>
  <c r="K278" i="7"/>
  <c r="J254" i="7"/>
  <c r="L254" i="7" s="1"/>
  <c r="K254" i="7"/>
  <c r="J146" i="7"/>
  <c r="L146" i="7" s="1"/>
  <c r="K146" i="7"/>
  <c r="K122" i="7"/>
  <c r="J122" i="7"/>
  <c r="L122" i="7" s="1"/>
  <c r="K25" i="7"/>
  <c r="J25" i="7"/>
  <c r="L25" i="7" s="1"/>
  <c r="J408" i="7"/>
  <c r="K408" i="7"/>
  <c r="K384" i="7"/>
  <c r="J384" i="7"/>
  <c r="K263" i="7"/>
  <c r="J263" i="7"/>
  <c r="K179" i="7"/>
  <c r="J179" i="7"/>
  <c r="K155" i="7"/>
  <c r="J155" i="7"/>
  <c r="L155" i="7" s="1"/>
  <c r="K478" i="7"/>
  <c r="J478" i="7"/>
  <c r="L478" i="7" s="1"/>
  <c r="J346" i="7"/>
  <c r="K346" i="7"/>
  <c r="J142" i="7"/>
  <c r="L142" i="7" s="1"/>
  <c r="K142" i="7"/>
  <c r="J177" i="7"/>
  <c r="L177" i="7" s="1"/>
  <c r="K177" i="7"/>
  <c r="K153" i="7"/>
  <c r="J153" i="7"/>
  <c r="L153" i="7" s="1"/>
  <c r="K452" i="7"/>
  <c r="J452" i="7"/>
  <c r="L452" i="7" s="1"/>
  <c r="K368" i="7"/>
  <c r="J368" i="7"/>
  <c r="L368" i="7" s="1"/>
  <c r="J188" i="7"/>
  <c r="K188" i="7"/>
  <c r="J8" i="7"/>
  <c r="L8" i="7" s="1"/>
  <c r="K8" i="7"/>
  <c r="J343" i="7"/>
  <c r="L343" i="7" s="1"/>
  <c r="K343" i="7"/>
  <c r="J234" i="7"/>
  <c r="L234" i="7" s="1"/>
  <c r="K234" i="7"/>
  <c r="J111" i="7"/>
  <c r="K111" i="7"/>
  <c r="K51" i="7"/>
  <c r="J51" i="7"/>
  <c r="L51" i="7" s="1"/>
  <c r="K223" i="7"/>
  <c r="J223" i="7"/>
  <c r="L223" i="7" s="1"/>
  <c r="J17" i="7"/>
  <c r="L17" i="7" s="1"/>
  <c r="K17" i="7"/>
  <c r="J184" i="7"/>
  <c r="L184" i="7" s="1"/>
  <c r="K184" i="7"/>
  <c r="J400" i="7"/>
  <c r="L400" i="7" s="1"/>
  <c r="K400" i="7"/>
  <c r="J268" i="7"/>
  <c r="K268" i="7"/>
  <c r="K231" i="7"/>
  <c r="J231" i="7"/>
  <c r="L231" i="7" s="1"/>
  <c r="K39" i="7"/>
  <c r="J39" i="7"/>
  <c r="L39" i="7" s="1"/>
  <c r="K387" i="7"/>
  <c r="J387" i="7"/>
  <c r="K303" i="7"/>
  <c r="J303" i="7"/>
  <c r="K438" i="7"/>
  <c r="J438" i="7"/>
  <c r="K85" i="7"/>
  <c r="J85" i="7"/>
  <c r="L85" i="7" s="1"/>
  <c r="K371" i="7"/>
  <c r="J371" i="7"/>
  <c r="L371" i="7" s="1"/>
  <c r="K473" i="7"/>
  <c r="J473" i="7"/>
  <c r="L473" i="7" s="1"/>
  <c r="J170" i="7"/>
  <c r="L170" i="7" s="1"/>
  <c r="K170" i="7"/>
  <c r="J48" i="7"/>
  <c r="L48" i="7" s="1"/>
  <c r="K48" i="7"/>
  <c r="K476" i="7"/>
  <c r="J476" i="7"/>
  <c r="L476" i="7" s="1"/>
  <c r="K149" i="7"/>
  <c r="J149" i="7"/>
  <c r="L149" i="7" s="1"/>
  <c r="J392" i="7"/>
  <c r="K392" i="7"/>
  <c r="K56" i="7"/>
  <c r="J56" i="7"/>
  <c r="L56" i="7" s="1"/>
  <c r="K124" i="7"/>
  <c r="J124" i="7"/>
  <c r="J292" i="7"/>
  <c r="L292" i="7" s="1"/>
  <c r="K292" i="7"/>
  <c r="K86" i="7"/>
  <c r="J86" i="7"/>
  <c r="L86" i="7" s="1"/>
  <c r="K120" i="7"/>
  <c r="J120" i="7"/>
  <c r="L120" i="7" s="1"/>
  <c r="J394" i="7"/>
  <c r="K394" i="7"/>
  <c r="J249" i="7"/>
  <c r="K249" i="7"/>
  <c r="K489" i="7"/>
  <c r="J489" i="7"/>
  <c r="K381" i="7"/>
  <c r="J381" i="7"/>
  <c r="K357" i="7"/>
  <c r="J357" i="7"/>
  <c r="L357" i="7" s="1"/>
  <c r="J260" i="7"/>
  <c r="K260" i="7"/>
  <c r="J236" i="7"/>
  <c r="L236" i="7" s="1"/>
  <c r="K236" i="7"/>
  <c r="J212" i="7"/>
  <c r="K212" i="7"/>
  <c r="J80" i="7"/>
  <c r="L80" i="7" s="1"/>
  <c r="K80" i="7"/>
  <c r="K367" i="7"/>
  <c r="J367" i="7"/>
  <c r="K174" i="7"/>
  <c r="J174" i="7"/>
  <c r="L174" i="7" s="1"/>
  <c r="J150" i="7"/>
  <c r="K150" i="7"/>
  <c r="J102" i="7"/>
  <c r="L102" i="7" s="1"/>
  <c r="K102" i="7"/>
  <c r="K78" i="7"/>
  <c r="J78" i="7"/>
  <c r="L78" i="7" s="1"/>
  <c r="K54" i="7"/>
  <c r="J54" i="7"/>
  <c r="J208" i="7"/>
  <c r="L208" i="7" s="1"/>
  <c r="K208" i="7"/>
  <c r="K27" i="7"/>
  <c r="J27" i="7"/>
  <c r="L27" i="7" s="1"/>
  <c r="J281" i="7"/>
  <c r="K281" i="7"/>
  <c r="K197" i="7"/>
  <c r="J197" i="7"/>
  <c r="L197" i="7" s="1"/>
  <c r="K65" i="7"/>
  <c r="J65" i="7"/>
  <c r="L65" i="7" s="1"/>
  <c r="J41" i="7"/>
  <c r="L41" i="7" s="1"/>
  <c r="K41" i="7"/>
  <c r="J115" i="7"/>
  <c r="L115" i="7" s="1"/>
  <c r="K115" i="7"/>
  <c r="K448" i="7"/>
  <c r="J448" i="7"/>
  <c r="L448" i="7" s="1"/>
  <c r="J340" i="7"/>
  <c r="K340" i="7"/>
  <c r="J316" i="7"/>
  <c r="K316" i="7"/>
  <c r="J148" i="7"/>
  <c r="K148" i="7"/>
  <c r="J351" i="7"/>
  <c r="L351" i="7" s="1"/>
  <c r="K351" i="7"/>
  <c r="K291" i="7"/>
  <c r="J291" i="7"/>
  <c r="K480" i="7"/>
  <c r="J480" i="7"/>
  <c r="L480" i="7" s="1"/>
  <c r="K353" i="7"/>
  <c r="J353" i="7"/>
  <c r="L353" i="7" s="1"/>
  <c r="K305" i="7"/>
  <c r="J305" i="7"/>
  <c r="L305" i="7" s="1"/>
  <c r="K26" i="7"/>
  <c r="J26" i="7"/>
  <c r="L26" i="7" s="1"/>
  <c r="J109" i="7"/>
  <c r="L109" i="7" s="1"/>
  <c r="K109" i="7"/>
  <c r="J264" i="7"/>
  <c r="L264" i="7" s="1"/>
  <c r="K264" i="7"/>
  <c r="J108" i="7"/>
  <c r="K108" i="7"/>
  <c r="J21" i="7"/>
  <c r="K21" i="7"/>
  <c r="J215" i="7"/>
  <c r="L215" i="7" s="1"/>
  <c r="K215" i="7"/>
  <c r="K430" i="7"/>
  <c r="J430" i="7"/>
  <c r="L430" i="7" s="1"/>
  <c r="K250" i="7"/>
  <c r="J250" i="7"/>
  <c r="K497" i="7"/>
  <c r="J497" i="7"/>
  <c r="K302" i="7"/>
  <c r="J302" i="7"/>
  <c r="K252" i="7"/>
  <c r="J252" i="7"/>
  <c r="L252" i="7" s="1"/>
  <c r="K72" i="7"/>
  <c r="J72" i="7"/>
  <c r="K467" i="7"/>
  <c r="J467" i="7"/>
  <c r="L467" i="7" s="1"/>
  <c r="K287" i="7"/>
  <c r="J287" i="7"/>
  <c r="J214" i="7"/>
  <c r="L214" i="7" s="1"/>
  <c r="K214" i="7"/>
  <c r="J166" i="7"/>
  <c r="K166" i="7"/>
  <c r="K58" i="7"/>
  <c r="J58" i="7"/>
  <c r="L58" i="7" s="1"/>
  <c r="K34" i="7"/>
  <c r="J34" i="7"/>
  <c r="L34" i="7" s="1"/>
  <c r="K333" i="7"/>
  <c r="J333" i="7"/>
  <c r="L333" i="7" s="1"/>
  <c r="K32" i="7"/>
  <c r="J32" i="7"/>
  <c r="K235" i="7"/>
  <c r="J235" i="7"/>
  <c r="K279" i="7"/>
  <c r="J279" i="7"/>
  <c r="K28" i="7"/>
  <c r="J28" i="7"/>
  <c r="L28" i="7" s="1"/>
  <c r="J424" i="7"/>
  <c r="K424" i="7"/>
  <c r="K482" i="7"/>
  <c r="J482" i="7"/>
  <c r="L482" i="7" s="1"/>
  <c r="K421" i="7"/>
  <c r="J421" i="7"/>
  <c r="K468" i="7"/>
  <c r="J468" i="7"/>
  <c r="K503" i="7"/>
  <c r="J503" i="7"/>
  <c r="L503" i="7" s="1"/>
  <c r="K475" i="7"/>
  <c r="J475" i="7"/>
  <c r="L475" i="7" s="1"/>
  <c r="K402" i="7"/>
  <c r="J402" i="7"/>
  <c r="J326" i="7"/>
  <c r="K326" i="7"/>
  <c r="J194" i="7"/>
  <c r="L194" i="7" s="1"/>
  <c r="K194" i="7"/>
  <c r="K361" i="7"/>
  <c r="J361" i="7"/>
  <c r="L361" i="7" s="1"/>
  <c r="K121" i="7"/>
  <c r="J121" i="7"/>
  <c r="L121" i="7" s="1"/>
  <c r="K49" i="7"/>
  <c r="J49" i="7"/>
  <c r="L49" i="7" s="1"/>
  <c r="K35" i="7"/>
  <c r="J35" i="7"/>
  <c r="L35" i="7" s="1"/>
  <c r="K69" i="7"/>
  <c r="J69" i="7"/>
  <c r="L69" i="7" s="1"/>
  <c r="K79" i="7"/>
  <c r="J79" i="7"/>
  <c r="J383" i="7"/>
  <c r="K383" i="7"/>
  <c r="J335" i="7"/>
  <c r="L335" i="7" s="1"/>
  <c r="K335" i="7"/>
  <c r="J311" i="7"/>
  <c r="K311" i="7"/>
  <c r="K203" i="7"/>
  <c r="J203" i="7"/>
  <c r="L203" i="7" s="1"/>
  <c r="K286" i="7"/>
  <c r="J286" i="7"/>
  <c r="L286" i="7" s="1"/>
  <c r="K262" i="7"/>
  <c r="J262" i="7"/>
  <c r="J190" i="7"/>
  <c r="K190" i="7"/>
  <c r="J225" i="7"/>
  <c r="L225" i="7" s="1"/>
  <c r="K225" i="7"/>
  <c r="K465" i="7"/>
  <c r="J465" i="7"/>
  <c r="L465" i="7" s="1"/>
  <c r="J258" i="7"/>
  <c r="K258" i="7"/>
  <c r="K30" i="7"/>
  <c r="J30" i="7"/>
  <c r="L30" i="7" s="1"/>
  <c r="K52" i="7"/>
  <c r="J52" i="7"/>
  <c r="K257" i="7"/>
  <c r="J257" i="7"/>
  <c r="L257" i="7" s="1"/>
  <c r="K173" i="7"/>
  <c r="J173" i="7"/>
  <c r="K159" i="7"/>
  <c r="J159" i="7"/>
  <c r="L159" i="7" s="1"/>
  <c r="J9" i="7"/>
  <c r="L9" i="7" s="1"/>
  <c r="K9" i="7"/>
  <c r="K327" i="7"/>
  <c r="J327" i="7"/>
  <c r="L327" i="7" s="1"/>
  <c r="K87" i="7"/>
  <c r="J87" i="7"/>
  <c r="K411" i="7"/>
  <c r="J411" i="7"/>
  <c r="L411" i="7" s="1"/>
  <c r="K469" i="7"/>
  <c r="J469" i="7"/>
  <c r="L469" i="7" s="1"/>
  <c r="K492" i="7"/>
  <c r="J492" i="7"/>
  <c r="L492" i="7" s="1"/>
  <c r="K499" i="7"/>
  <c r="J499" i="7"/>
  <c r="K426" i="7"/>
  <c r="J426" i="7"/>
  <c r="L426" i="7" s="1"/>
  <c r="J317" i="7"/>
  <c r="L317" i="7" s="1"/>
  <c r="K317" i="7"/>
  <c r="J293" i="7"/>
  <c r="K293" i="7"/>
  <c r="K398" i="7"/>
  <c r="J398" i="7"/>
  <c r="L398" i="7" s="1"/>
  <c r="K374" i="7"/>
  <c r="J374" i="7"/>
  <c r="L374" i="7" s="1"/>
  <c r="J350" i="7"/>
  <c r="K350" i="7"/>
  <c r="K38" i="7"/>
  <c r="J38" i="7"/>
  <c r="L38" i="7" s="1"/>
  <c r="K145" i="7"/>
  <c r="J145" i="7"/>
  <c r="K97" i="7"/>
  <c r="J97" i="7"/>
  <c r="L97" i="7" s="1"/>
  <c r="J168" i="7"/>
  <c r="K168" i="7"/>
  <c r="J144" i="7"/>
  <c r="K144" i="7"/>
  <c r="K96" i="7"/>
  <c r="J96" i="7"/>
  <c r="J59" i="7"/>
  <c r="K59" i="7"/>
  <c r="K491" i="7"/>
  <c r="J491" i="7"/>
  <c r="K359" i="7"/>
  <c r="J359" i="7"/>
  <c r="L359" i="7" s="1"/>
  <c r="K227" i="7"/>
  <c r="J227" i="7"/>
  <c r="L227" i="7" s="1"/>
  <c r="K370" i="7"/>
  <c r="J370" i="7"/>
  <c r="L370" i="7" s="1"/>
  <c r="J238" i="7"/>
  <c r="K238" i="7"/>
  <c r="K82" i="7"/>
  <c r="J82" i="7"/>
  <c r="L82" i="7" s="1"/>
  <c r="J273" i="7"/>
  <c r="L273" i="7" s="1"/>
  <c r="K273" i="7"/>
  <c r="K435" i="7"/>
  <c r="J435" i="7"/>
  <c r="L435" i="7" s="1"/>
  <c r="K493" i="7"/>
  <c r="J493" i="7"/>
  <c r="L493" i="7" s="1"/>
  <c r="K502" i="7"/>
  <c r="J502" i="7"/>
  <c r="L502" i="7" s="1"/>
  <c r="K450" i="7"/>
  <c r="J450" i="7"/>
  <c r="J318" i="7"/>
  <c r="K318" i="7"/>
  <c r="K413" i="7"/>
  <c r="J413" i="7"/>
  <c r="K389" i="7"/>
  <c r="J389" i="7"/>
  <c r="L389" i="7" s="1"/>
  <c r="J341" i="7"/>
  <c r="K341" i="7"/>
  <c r="J218" i="7"/>
  <c r="K218" i="7"/>
  <c r="K62" i="7"/>
  <c r="J62" i="7"/>
  <c r="L62" i="7" s="1"/>
  <c r="K277" i="7"/>
  <c r="J277" i="7"/>
  <c r="L277" i="7" s="1"/>
  <c r="K253" i="7"/>
  <c r="J253" i="7"/>
  <c r="K169" i="7"/>
  <c r="J169" i="7"/>
  <c r="L169" i="7" s="1"/>
  <c r="J13" i="7"/>
  <c r="K13" i="7"/>
  <c r="J348" i="7"/>
  <c r="K348" i="7"/>
  <c r="J324" i="7"/>
  <c r="K324" i="7"/>
  <c r="J276" i="7"/>
  <c r="K276" i="7"/>
  <c r="K192" i="7"/>
  <c r="J192" i="7"/>
  <c r="K12" i="7"/>
  <c r="J12" i="7"/>
  <c r="L12" i="7" s="1"/>
  <c r="J83" i="7"/>
  <c r="L83" i="7" s="1"/>
  <c r="K83" i="7"/>
  <c r="J117" i="7"/>
  <c r="K117" i="7"/>
  <c r="K211" i="7"/>
  <c r="J211" i="7"/>
  <c r="K431" i="7"/>
  <c r="J431" i="7"/>
  <c r="L431" i="7" s="1"/>
  <c r="K407" i="7"/>
  <c r="J407" i="7"/>
  <c r="K442" i="7"/>
  <c r="J442" i="7"/>
  <c r="L442" i="7" s="1"/>
  <c r="K418" i="7"/>
  <c r="J418" i="7"/>
  <c r="L418" i="7" s="1"/>
  <c r="J310" i="7"/>
  <c r="K310" i="7"/>
  <c r="K297" i="7"/>
  <c r="J297" i="7"/>
  <c r="L297" i="7" s="1"/>
  <c r="J416" i="7"/>
  <c r="K416" i="7"/>
  <c r="J128" i="7"/>
  <c r="L128" i="7" s="1"/>
  <c r="K128" i="7"/>
  <c r="K104" i="7"/>
  <c r="J104" i="7"/>
  <c r="L104" i="7" s="1"/>
  <c r="K391" i="7"/>
  <c r="J391" i="7"/>
  <c r="L391" i="7" s="1"/>
  <c r="K198" i="7"/>
  <c r="J198" i="7"/>
  <c r="L198" i="7" s="1"/>
  <c r="K126" i="7"/>
  <c r="J126" i="7"/>
  <c r="L126" i="7" s="1"/>
  <c r="K221" i="7"/>
  <c r="J221" i="7"/>
  <c r="L221" i="7" s="1"/>
  <c r="J113" i="7"/>
  <c r="L113" i="7" s="1"/>
  <c r="K113" i="7"/>
  <c r="K472" i="7"/>
  <c r="J472" i="7"/>
  <c r="L472" i="7" s="1"/>
  <c r="K364" i="7"/>
  <c r="J364" i="7"/>
  <c r="L364" i="7" s="1"/>
  <c r="J232" i="7"/>
  <c r="K232" i="7"/>
  <c r="J196" i="7"/>
  <c r="K196" i="7"/>
  <c r="J99" i="7"/>
  <c r="K99" i="7"/>
  <c r="J15" i="7"/>
  <c r="L15" i="7" s="1"/>
  <c r="K15" i="7"/>
  <c r="J207" i="7"/>
  <c r="K207" i="7"/>
  <c r="J91" i="7"/>
  <c r="L91" i="7" s="1"/>
  <c r="K91" i="7"/>
  <c r="J241" i="7"/>
  <c r="K241" i="7"/>
  <c r="J156" i="7"/>
  <c r="L156" i="7" s="1"/>
  <c r="K156" i="7"/>
  <c r="K427" i="7"/>
  <c r="J427" i="7"/>
  <c r="L427" i="7" s="1"/>
  <c r="J229" i="7"/>
  <c r="L229" i="7" s="1"/>
  <c r="K229" i="7"/>
  <c r="J201" i="7"/>
  <c r="K201" i="7"/>
  <c r="K445" i="7"/>
  <c r="J445" i="7"/>
  <c r="K451" i="7"/>
  <c r="J451" i="7"/>
  <c r="L451" i="7" s="1"/>
  <c r="K385" i="7"/>
  <c r="J385" i="7"/>
  <c r="L385" i="7" s="1"/>
  <c r="K73" i="7"/>
  <c r="J73" i="7"/>
  <c r="L73" i="7" s="1"/>
  <c r="K459" i="7"/>
  <c r="J459" i="7"/>
  <c r="K446" i="7"/>
  <c r="J446" i="7"/>
  <c r="L446" i="7" s="1"/>
  <c r="K474" i="7"/>
  <c r="J474" i="7"/>
  <c r="L474" i="7" s="1"/>
  <c r="K366" i="7"/>
  <c r="J366" i="7"/>
  <c r="L366" i="7" s="1"/>
  <c r="J342" i="7"/>
  <c r="L342" i="7" s="1"/>
  <c r="K342" i="7"/>
  <c r="K437" i="7"/>
  <c r="J437" i="7"/>
  <c r="L437" i="7" s="1"/>
  <c r="K365" i="7"/>
  <c r="J365" i="7"/>
  <c r="J242" i="7"/>
  <c r="K242" i="7"/>
  <c r="K110" i="7"/>
  <c r="J110" i="7"/>
  <c r="L110" i="7" s="1"/>
  <c r="J301" i="7"/>
  <c r="K301" i="7"/>
  <c r="K193" i="7"/>
  <c r="J193" i="7"/>
  <c r="K372" i="7"/>
  <c r="J372" i="7"/>
  <c r="L372" i="7" s="1"/>
  <c r="J300" i="7"/>
  <c r="L300" i="7" s="1"/>
  <c r="K300" i="7"/>
  <c r="J216" i="7"/>
  <c r="K216" i="7"/>
  <c r="K45" i="7"/>
  <c r="J45" i="7"/>
  <c r="L45" i="7" s="1"/>
  <c r="K143" i="7"/>
  <c r="J143" i="7"/>
  <c r="L143" i="7" s="1"/>
  <c r="J119" i="7"/>
  <c r="K119" i="7"/>
  <c r="K466" i="7"/>
  <c r="J466" i="7"/>
  <c r="L466" i="7" s="1"/>
  <c r="J334" i="7"/>
  <c r="L334" i="7" s="1"/>
  <c r="K334" i="7"/>
  <c r="K106" i="7"/>
  <c r="J106" i="7"/>
  <c r="L106" i="7" s="1"/>
  <c r="K321" i="7"/>
  <c r="J321" i="7"/>
  <c r="L321" i="7" s="1"/>
  <c r="K141" i="7"/>
  <c r="J141" i="7"/>
  <c r="L141" i="7" s="1"/>
  <c r="K405" i="7"/>
  <c r="J405" i="7"/>
  <c r="L405" i="7" s="1"/>
  <c r="K440" i="7"/>
  <c r="J440" i="7"/>
  <c r="L440" i="7" s="1"/>
  <c r="K356" i="7"/>
  <c r="J356" i="7"/>
  <c r="J332" i="7"/>
  <c r="K332" i="7"/>
  <c r="J308" i="7"/>
  <c r="K308" i="7"/>
  <c r="J152" i="7"/>
  <c r="K152" i="7"/>
  <c r="K283" i="7"/>
  <c r="J283" i="7"/>
  <c r="L283" i="7" s="1"/>
  <c r="K259" i="7"/>
  <c r="J259" i="7"/>
  <c r="L259" i="7" s="1"/>
  <c r="J67" i="7"/>
  <c r="L67" i="7" s="1"/>
  <c r="K67" i="7"/>
  <c r="K415" i="7"/>
  <c r="J415" i="7"/>
  <c r="L415" i="7" s="1"/>
  <c r="J222" i="7"/>
  <c r="K222" i="7"/>
  <c r="J40" i="7"/>
  <c r="K40" i="7"/>
  <c r="K243" i="7"/>
  <c r="J243" i="7"/>
  <c r="L243" i="7" s="1"/>
  <c r="J137" i="7"/>
  <c r="K137" i="7"/>
  <c r="K89" i="7"/>
  <c r="J89" i="7"/>
  <c r="J5" i="7"/>
  <c r="K5" i="7"/>
  <c r="K76" i="7"/>
  <c r="J76" i="7"/>
  <c r="L76" i="7" s="1"/>
  <c r="G504" i="7"/>
  <c r="I4" i="7"/>
  <c r="K31" i="7"/>
  <c r="J31" i="7"/>
  <c r="L31" i="7" s="1"/>
  <c r="J388" i="7"/>
  <c r="K388" i="7"/>
  <c r="K256" i="7"/>
  <c r="J256" i="7"/>
  <c r="K136" i="7"/>
  <c r="J136" i="7"/>
  <c r="L136" i="7" s="1"/>
  <c r="K375" i="7"/>
  <c r="J375" i="7"/>
  <c r="L375" i="7" s="1"/>
  <c r="K481" i="7"/>
  <c r="J481" i="7"/>
  <c r="L481" i="7" s="1"/>
  <c r="J338" i="7"/>
  <c r="L338" i="7" s="1"/>
  <c r="K338" i="7"/>
  <c r="K132" i="7"/>
  <c r="J132" i="7"/>
  <c r="L132" i="7" s="1"/>
  <c r="K294" i="7"/>
  <c r="J294" i="7"/>
  <c r="J337" i="7"/>
  <c r="K337" i="7"/>
  <c r="K441" i="7"/>
  <c r="J441" i="7"/>
  <c r="L441" i="7" s="1"/>
  <c r="K319" i="7"/>
  <c r="J319" i="7"/>
  <c r="L319" i="7" s="1"/>
  <c r="J100" i="7"/>
  <c r="L100" i="7" s="1"/>
  <c r="K100" i="7"/>
  <c r="K483" i="7"/>
  <c r="J483" i="7"/>
  <c r="L483" i="7" s="1"/>
  <c r="K422" i="7"/>
  <c r="J422" i="7"/>
  <c r="K501" i="7"/>
  <c r="J501" i="7"/>
  <c r="L501" i="7" s="1"/>
  <c r="K461" i="7"/>
  <c r="J461" i="7"/>
  <c r="L461" i="7" s="1"/>
  <c r="J266" i="7"/>
  <c r="K266" i="7"/>
  <c r="K325" i="7"/>
  <c r="J325" i="7"/>
  <c r="J217" i="7"/>
  <c r="K217" i="7"/>
  <c r="K37" i="7"/>
  <c r="J37" i="7"/>
  <c r="J396" i="7"/>
  <c r="K396" i="7"/>
  <c r="K23" i="7"/>
  <c r="J23" i="7"/>
  <c r="L23" i="7" s="1"/>
  <c r="K455" i="7"/>
  <c r="J455" i="7"/>
  <c r="L455" i="7" s="1"/>
  <c r="K251" i="7"/>
  <c r="J251" i="7"/>
  <c r="L251" i="7" s="1"/>
  <c r="K167" i="7"/>
  <c r="J167" i="7"/>
  <c r="L167" i="7" s="1"/>
  <c r="J154" i="7"/>
  <c r="L154" i="7" s="1"/>
  <c r="K154" i="7"/>
  <c r="J130" i="7"/>
  <c r="K130" i="7"/>
  <c r="K22" i="7"/>
  <c r="J22" i="7"/>
  <c r="L22" i="7" s="1"/>
  <c r="K189" i="7"/>
  <c r="J189" i="7"/>
  <c r="L189" i="7" s="1"/>
  <c r="K165" i="7"/>
  <c r="J165" i="7"/>
  <c r="L165" i="7" s="1"/>
  <c r="K464" i="7"/>
  <c r="J464" i="7"/>
  <c r="L464" i="7" s="1"/>
  <c r="J284" i="7"/>
  <c r="L284" i="7" s="1"/>
  <c r="K284" i="7"/>
  <c r="J176" i="7"/>
  <c r="K176" i="7"/>
  <c r="K44" i="7"/>
  <c r="J44" i="7"/>
  <c r="L44" i="7" s="1"/>
  <c r="J20" i="7"/>
  <c r="K20" i="7"/>
  <c r="K199" i="7"/>
  <c r="J199" i="7"/>
  <c r="L199" i="7" s="1"/>
  <c r="K18" i="7"/>
  <c r="J18" i="7"/>
  <c r="L18" i="7" s="1"/>
  <c r="K16" i="7"/>
  <c r="J16" i="7"/>
  <c r="U504" i="7"/>
  <c r="K147" i="7"/>
  <c r="J147" i="7"/>
  <c r="L147" i="7" s="1"/>
  <c r="J412" i="7"/>
  <c r="K412" i="7"/>
  <c r="K362" i="7"/>
  <c r="J362" i="7"/>
  <c r="K180" i="7"/>
  <c r="J180" i="7"/>
  <c r="K470" i="7"/>
  <c r="J470" i="7"/>
  <c r="L470" i="7" s="1"/>
  <c r="K432" i="7"/>
  <c r="J432" i="7"/>
  <c r="L432" i="7" s="1"/>
  <c r="K439" i="7"/>
  <c r="J439" i="7"/>
  <c r="L439" i="7" s="1"/>
  <c r="K498" i="7"/>
  <c r="J498" i="7"/>
  <c r="L498" i="7" s="1"/>
  <c r="K390" i="7"/>
  <c r="J390" i="7"/>
  <c r="J282" i="7"/>
  <c r="L282" i="7" s="1"/>
  <c r="K282" i="7"/>
  <c r="K485" i="7"/>
  <c r="J485" i="7"/>
  <c r="L485" i="7" s="1"/>
  <c r="K134" i="7"/>
  <c r="J134" i="7"/>
  <c r="L134" i="7" s="1"/>
  <c r="K349" i="7"/>
  <c r="J349" i="7"/>
  <c r="L349" i="7" s="1"/>
  <c r="J19" i="7"/>
  <c r="K19" i="7"/>
  <c r="J240" i="7"/>
  <c r="L240" i="7" s="1"/>
  <c r="K240" i="7"/>
  <c r="J84" i="7"/>
  <c r="L84" i="7" s="1"/>
  <c r="K84" i="7"/>
  <c r="K60" i="7"/>
  <c r="J60" i="7"/>
  <c r="L60" i="7" s="1"/>
  <c r="K36" i="7"/>
  <c r="J36" i="7"/>
  <c r="L36" i="7" s="1"/>
  <c r="J187" i="7"/>
  <c r="K187" i="7"/>
  <c r="K55" i="7"/>
  <c r="J55" i="7"/>
  <c r="L55" i="7" s="1"/>
  <c r="K275" i="7"/>
  <c r="J275" i="7"/>
  <c r="K191" i="7"/>
  <c r="J191" i="7"/>
  <c r="K490" i="7"/>
  <c r="J490" i="7"/>
  <c r="L490" i="7" s="1"/>
  <c r="K358" i="7"/>
  <c r="J358" i="7"/>
  <c r="L358" i="7" s="1"/>
  <c r="J226" i="7"/>
  <c r="K226" i="7"/>
  <c r="K202" i="7"/>
  <c r="J202" i="7"/>
  <c r="L202" i="7" s="1"/>
  <c r="K453" i="7"/>
  <c r="J453" i="7"/>
  <c r="K429" i="7"/>
  <c r="J429" i="7"/>
  <c r="K380" i="7"/>
  <c r="J380" i="7"/>
  <c r="L380" i="7" s="1"/>
  <c r="J200" i="7"/>
  <c r="K200" i="7"/>
  <c r="K355" i="7"/>
  <c r="J355" i="7"/>
  <c r="L355" i="7" s="1"/>
  <c r="J331" i="7"/>
  <c r="K331" i="7"/>
  <c r="J307" i="7"/>
  <c r="L307" i="7" s="1"/>
  <c r="K307" i="7"/>
  <c r="P504" i="7"/>
  <c r="K245" i="7"/>
  <c r="J245" i="7"/>
  <c r="L245" i="7" s="1"/>
  <c r="K29" i="7"/>
  <c r="J29" i="7"/>
  <c r="K183" i="7"/>
  <c r="J183" i="7"/>
  <c r="L183" i="7" s="1"/>
  <c r="J280" i="7"/>
  <c r="K280" i="7"/>
  <c r="J195" i="7"/>
  <c r="K195" i="7"/>
  <c r="J75" i="7"/>
  <c r="K75" i="7"/>
  <c r="K399" i="7"/>
  <c r="J399" i="7"/>
  <c r="L399" i="7" s="1"/>
  <c r="J315" i="7"/>
  <c r="L315" i="7" s="1"/>
  <c r="K315" i="7"/>
  <c r="J7" i="7"/>
  <c r="K7" i="7"/>
  <c r="K496" i="7"/>
  <c r="J496" i="7"/>
  <c r="L496" i="7" s="1"/>
  <c r="K444" i="7"/>
  <c r="J444" i="7"/>
  <c r="L444" i="7" s="1"/>
  <c r="K456" i="7"/>
  <c r="J456" i="7"/>
  <c r="L456" i="7" s="1"/>
  <c r="K457" i="7"/>
  <c r="J457" i="7"/>
  <c r="L457" i="7" s="1"/>
  <c r="K433" i="7"/>
  <c r="J433" i="7"/>
  <c r="K409" i="7"/>
  <c r="J409" i="7"/>
  <c r="L409" i="7" s="1"/>
  <c r="K487" i="7"/>
  <c r="J487" i="7"/>
  <c r="L487" i="7" s="1"/>
  <c r="K463" i="7"/>
  <c r="J463" i="7"/>
  <c r="L463" i="7" s="1"/>
  <c r="K414" i="7"/>
  <c r="J414" i="7"/>
  <c r="L414" i="7" s="1"/>
  <c r="J314" i="7"/>
  <c r="K314" i="7"/>
  <c r="K290" i="7"/>
  <c r="J290" i="7"/>
  <c r="J182" i="7"/>
  <c r="K182" i="7"/>
  <c r="J158" i="7"/>
  <c r="K158" i="7"/>
  <c r="K397" i="7"/>
  <c r="J397" i="7"/>
  <c r="L397" i="7" s="1"/>
  <c r="K61" i="7"/>
  <c r="J61" i="7"/>
  <c r="L61" i="7" s="1"/>
  <c r="K47" i="7"/>
  <c r="J47" i="7"/>
  <c r="L47" i="7" s="1"/>
  <c r="J33" i="7"/>
  <c r="L33" i="7" s="1"/>
  <c r="K33" i="7"/>
  <c r="K479" i="7"/>
  <c r="J479" i="7"/>
  <c r="L479" i="7" s="1"/>
  <c r="K347" i="7"/>
  <c r="J347" i="7"/>
  <c r="L347" i="7" s="1"/>
  <c r="K299" i="7"/>
  <c r="J299" i="7"/>
  <c r="L299" i="7" s="1"/>
  <c r="K382" i="7"/>
  <c r="J382" i="7"/>
  <c r="L382" i="7" s="1"/>
  <c r="J298" i="7"/>
  <c r="K298" i="7"/>
  <c r="J274" i="7"/>
  <c r="L274" i="7" s="1"/>
  <c r="K274" i="7"/>
  <c r="K178" i="7"/>
  <c r="J178" i="7"/>
  <c r="L178" i="7" s="1"/>
  <c r="K46" i="7"/>
  <c r="J46" i="7"/>
  <c r="L46" i="7" s="1"/>
  <c r="K237" i="7"/>
  <c r="J237" i="7"/>
  <c r="L237" i="7" s="1"/>
  <c r="K213" i="7"/>
  <c r="J213" i="7"/>
  <c r="L213" i="7" s="1"/>
  <c r="K345" i="7"/>
  <c r="J345" i="7"/>
  <c r="L345" i="7" s="1"/>
  <c r="K488" i="7"/>
  <c r="J488" i="7"/>
  <c r="K175" i="7"/>
  <c r="J175" i="7"/>
  <c r="L175" i="7" s="1"/>
  <c r="J246" i="7"/>
  <c r="K246" i="7"/>
  <c r="K66" i="7"/>
  <c r="J66" i="7"/>
  <c r="L66" i="7" s="1"/>
  <c r="K42" i="7"/>
  <c r="J42" i="7"/>
  <c r="L42" i="7" s="1"/>
  <c r="K161" i="7"/>
  <c r="J161" i="7"/>
  <c r="L161" i="7" s="1"/>
  <c r="K64" i="7"/>
  <c r="J64" i="7"/>
  <c r="K267" i="7"/>
  <c r="J267" i="7"/>
  <c r="K436" i="7"/>
  <c r="J436" i="7"/>
  <c r="L436" i="7" s="1"/>
  <c r="J171" i="7"/>
  <c r="K171" i="7"/>
  <c r="AD141" i="7" l="1"/>
  <c r="S141" i="7"/>
  <c r="AB141" i="7" s="1"/>
  <c r="AC141" i="7" s="1"/>
  <c r="AD465" i="7"/>
  <c r="AC465" i="7"/>
  <c r="AD155" i="7"/>
  <c r="O155" i="7"/>
  <c r="AB155" i="7" s="1"/>
  <c r="AC155" i="7" s="1"/>
  <c r="AD125" i="7"/>
  <c r="S125" i="7"/>
  <c r="AB125" i="7" s="1"/>
  <c r="AC125" i="7" s="1"/>
  <c r="AD55" i="7"/>
  <c r="O55" i="7"/>
  <c r="S55" i="7"/>
  <c r="L266" i="7"/>
  <c r="L152" i="7"/>
  <c r="L241" i="7"/>
  <c r="L232" i="7"/>
  <c r="AD46" i="7"/>
  <c r="O46" i="7"/>
  <c r="AB46" i="7" s="1"/>
  <c r="AC46" i="7" s="1"/>
  <c r="AD496" i="7"/>
  <c r="AC496" i="7"/>
  <c r="L331" i="7"/>
  <c r="L19" i="7"/>
  <c r="L412" i="7"/>
  <c r="AD44" i="7"/>
  <c r="S44" i="7"/>
  <c r="AB44" i="7" s="1"/>
  <c r="AC44" i="7" s="1"/>
  <c r="AD22" i="7"/>
  <c r="AC22" i="7"/>
  <c r="AD23" i="7"/>
  <c r="S23" i="7"/>
  <c r="AB23" i="7" s="1"/>
  <c r="AC23" i="7" s="1"/>
  <c r="AD461" i="7"/>
  <c r="AC461" i="7"/>
  <c r="AD441" i="7"/>
  <c r="S441" i="7"/>
  <c r="AB441" i="7" s="1"/>
  <c r="AC441" i="7" s="1"/>
  <c r="AD375" i="7"/>
  <c r="S375" i="7"/>
  <c r="AB375" i="7" s="1"/>
  <c r="AC375" i="7" s="1"/>
  <c r="AD76" i="7"/>
  <c r="S76" i="7"/>
  <c r="AB76" i="7" s="1"/>
  <c r="AC76" i="7" s="1"/>
  <c r="AD321" i="7"/>
  <c r="S321" i="7"/>
  <c r="O321" i="7"/>
  <c r="AD45" i="7"/>
  <c r="S45" i="7"/>
  <c r="AB45" i="7" s="1"/>
  <c r="AC45" i="7" s="1"/>
  <c r="AD110" i="7"/>
  <c r="S110" i="7"/>
  <c r="AB110" i="7" s="1"/>
  <c r="AC110" i="7" s="1"/>
  <c r="AD474" i="7"/>
  <c r="AC474" i="7"/>
  <c r="L445" i="7"/>
  <c r="AD364" i="7"/>
  <c r="O364" i="7"/>
  <c r="S364" i="7"/>
  <c r="AD391" i="7"/>
  <c r="S391" i="7"/>
  <c r="AB391" i="7" s="1"/>
  <c r="AC391" i="7" s="1"/>
  <c r="AD418" i="7"/>
  <c r="S418" i="7"/>
  <c r="AB418" i="7" s="1"/>
  <c r="AC418" i="7" s="1"/>
  <c r="AD493" i="7"/>
  <c r="S493" i="7"/>
  <c r="AB493" i="7" s="1"/>
  <c r="AC493" i="7" s="1"/>
  <c r="AD227" i="7"/>
  <c r="S227" i="7"/>
  <c r="AB227" i="7" s="1"/>
  <c r="AC227" i="7" s="1"/>
  <c r="AD398" i="7"/>
  <c r="S398" i="7"/>
  <c r="AB398" i="7" s="1"/>
  <c r="AC398" i="7" s="1"/>
  <c r="AD469" i="7"/>
  <c r="AC469" i="7"/>
  <c r="L173" i="7"/>
  <c r="AD121" i="7"/>
  <c r="S121" i="7"/>
  <c r="O121" i="7"/>
  <c r="AD503" i="7"/>
  <c r="S503" i="7"/>
  <c r="AB503" i="7" s="1"/>
  <c r="AC503" i="7" s="1"/>
  <c r="L279" i="7"/>
  <c r="L302" i="7"/>
  <c r="AD480" i="7"/>
  <c r="S480" i="7"/>
  <c r="AB480" i="7" s="1"/>
  <c r="AC480" i="7" s="1"/>
  <c r="AD448" i="7"/>
  <c r="AC448" i="7"/>
  <c r="AC27" i="7"/>
  <c r="AD27" i="7"/>
  <c r="AD174" i="7"/>
  <c r="AC174" i="7"/>
  <c r="AD357" i="7"/>
  <c r="S357" i="7"/>
  <c r="AB357" i="7" s="1"/>
  <c r="AC357" i="7" s="1"/>
  <c r="AD86" i="7"/>
  <c r="AC86" i="7"/>
  <c r="AD476" i="7"/>
  <c r="AC476" i="7"/>
  <c r="L438" i="7"/>
  <c r="AD153" i="7"/>
  <c r="S153" i="7"/>
  <c r="AB153" i="7" s="1"/>
  <c r="AC153" i="7" s="1"/>
  <c r="L179" i="7"/>
  <c r="L395" i="7"/>
  <c r="L417" i="7"/>
  <c r="AC131" i="7"/>
  <c r="AD131" i="7"/>
  <c r="L204" i="7"/>
  <c r="L447" i="7"/>
  <c r="AD329" i="7"/>
  <c r="S329" i="7"/>
  <c r="AB329" i="7" s="1"/>
  <c r="AC329" i="7" s="1"/>
  <c r="L369" i="7"/>
  <c r="AD403" i="7"/>
  <c r="AC403" i="7"/>
  <c r="AD261" i="7"/>
  <c r="AC261" i="7"/>
  <c r="AD419" i="7"/>
  <c r="S419" i="7"/>
  <c r="AB419" i="7" s="1"/>
  <c r="AC419" i="7" s="1"/>
  <c r="AC425" i="7"/>
  <c r="AD425" i="7"/>
  <c r="L477" i="7"/>
  <c r="AD185" i="7"/>
  <c r="S185" i="7"/>
  <c r="AB185" i="7" s="1"/>
  <c r="AC185" i="7" s="1"/>
  <c r="AD138" i="7"/>
  <c r="S138" i="7"/>
  <c r="AB138" i="7" s="1"/>
  <c r="AC138" i="7" s="1"/>
  <c r="AD397" i="7"/>
  <c r="AC397" i="7"/>
  <c r="AD455" i="7"/>
  <c r="AC455" i="7"/>
  <c r="AD366" i="7"/>
  <c r="S366" i="7"/>
  <c r="AB366" i="7" s="1"/>
  <c r="AC366" i="7" s="1"/>
  <c r="AD502" i="7"/>
  <c r="AC502" i="7"/>
  <c r="AD353" i="7"/>
  <c r="S353" i="7"/>
  <c r="AB353" i="7" s="1"/>
  <c r="AC353" i="7" s="1"/>
  <c r="AC81" i="7"/>
  <c r="AD81" i="7"/>
  <c r="AD157" i="7"/>
  <c r="S157" i="7"/>
  <c r="AB157" i="7" s="1"/>
  <c r="AC157" i="7" s="1"/>
  <c r="L195" i="7"/>
  <c r="AD498" i="7"/>
  <c r="O498" i="7"/>
  <c r="AB498" i="7" s="1"/>
  <c r="AC498" i="7" s="1"/>
  <c r="L40" i="7"/>
  <c r="L348" i="7"/>
  <c r="AD487" i="7"/>
  <c r="AC487" i="7"/>
  <c r="AD355" i="7"/>
  <c r="AC355" i="7"/>
  <c r="AD349" i="7"/>
  <c r="AC349" i="7"/>
  <c r="AC439" i="7"/>
  <c r="AD439" i="7"/>
  <c r="L222" i="7"/>
  <c r="L308" i="7"/>
  <c r="AD91" i="7"/>
  <c r="O91" i="7"/>
  <c r="S91" i="7"/>
  <c r="AD83" i="7"/>
  <c r="S83" i="7"/>
  <c r="O83" i="7"/>
  <c r="AB83" i="7" s="1"/>
  <c r="AC83" i="7" s="1"/>
  <c r="L13" i="7"/>
  <c r="L341" i="7"/>
  <c r="L168" i="7"/>
  <c r="AD225" i="7"/>
  <c r="S225" i="7"/>
  <c r="AB225" i="7" s="1"/>
  <c r="AC225" i="7" s="1"/>
  <c r="AD335" i="7"/>
  <c r="AC335" i="7"/>
  <c r="L166" i="7"/>
  <c r="L108" i="7"/>
  <c r="AD400" i="7"/>
  <c r="AC400" i="7"/>
  <c r="AD234" i="7"/>
  <c r="S234" i="7"/>
  <c r="AB234" i="7" s="1"/>
  <c r="AC234" i="7" s="1"/>
  <c r="AD146" i="7"/>
  <c r="AC146" i="7"/>
  <c r="AD420" i="7"/>
  <c r="S420" i="7"/>
  <c r="AB420" i="7" s="1"/>
  <c r="AC420" i="7" s="1"/>
  <c r="AD160" i="7"/>
  <c r="S160" i="7"/>
  <c r="AB160" i="7" s="1"/>
  <c r="AC160" i="7" s="1"/>
  <c r="AD233" i="7"/>
  <c r="S233" i="7"/>
  <c r="AB233" i="7" s="1"/>
  <c r="AC233" i="7" s="1"/>
  <c r="L164" i="7"/>
  <c r="L205" i="7"/>
  <c r="AC220" i="7"/>
  <c r="AD220" i="7"/>
  <c r="L209" i="7"/>
  <c r="AD103" i="7"/>
  <c r="O103" i="7"/>
  <c r="AB103" i="7" s="1"/>
  <c r="AC103" i="7" s="1"/>
  <c r="AD189" i="7"/>
  <c r="AC189" i="7"/>
  <c r="AD451" i="7"/>
  <c r="S451" i="7"/>
  <c r="AB451" i="7" s="1"/>
  <c r="AC451" i="7" s="1"/>
  <c r="AD49" i="7"/>
  <c r="O49" i="7"/>
  <c r="AB49" i="7" s="1"/>
  <c r="AC49" i="7" s="1"/>
  <c r="AD149" i="7"/>
  <c r="S149" i="7"/>
  <c r="O149" i="7"/>
  <c r="AB149" i="7" s="1"/>
  <c r="AC149" i="7" s="1"/>
  <c r="L117" i="7"/>
  <c r="AD347" i="7"/>
  <c r="S347" i="7"/>
  <c r="AB347" i="7" s="1"/>
  <c r="AC347" i="7" s="1"/>
  <c r="L246" i="7"/>
  <c r="L158" i="7"/>
  <c r="L280" i="7"/>
  <c r="AD147" i="7"/>
  <c r="S147" i="7"/>
  <c r="AB147" i="7" s="1"/>
  <c r="AC147" i="7" s="1"/>
  <c r="AD175" i="7"/>
  <c r="AC175" i="7"/>
  <c r="AD178" i="7"/>
  <c r="AC178" i="7"/>
  <c r="L187" i="7"/>
  <c r="AD501" i="7"/>
  <c r="AC501" i="7"/>
  <c r="AD136" i="7"/>
  <c r="AC136" i="7"/>
  <c r="AD415" i="7"/>
  <c r="S415" i="7"/>
  <c r="AB415" i="7" s="1"/>
  <c r="AC415" i="7" s="1"/>
  <c r="AD106" i="7"/>
  <c r="S106" i="7"/>
  <c r="AB106" i="7" s="1"/>
  <c r="AC106" i="7" s="1"/>
  <c r="AD446" i="7"/>
  <c r="AC446" i="7"/>
  <c r="AD104" i="7"/>
  <c r="AC104" i="7"/>
  <c r="AD442" i="7"/>
  <c r="S442" i="7"/>
  <c r="AB442" i="7" s="1"/>
  <c r="AC442" i="7" s="1"/>
  <c r="AD12" i="7"/>
  <c r="AC12" i="7"/>
  <c r="AD169" i="7"/>
  <c r="AC169" i="7"/>
  <c r="AC389" i="7"/>
  <c r="AD389" i="7"/>
  <c r="AD435" i="7"/>
  <c r="O435" i="7"/>
  <c r="AB435" i="7" s="1"/>
  <c r="AC435" i="7" s="1"/>
  <c r="AD359" i="7"/>
  <c r="S359" i="7"/>
  <c r="AB359" i="7" s="1"/>
  <c r="AC359" i="7" s="1"/>
  <c r="AD97" i="7"/>
  <c r="S97" i="7"/>
  <c r="AB97" i="7" s="1"/>
  <c r="AC97" i="7" s="1"/>
  <c r="AD411" i="7"/>
  <c r="S411" i="7"/>
  <c r="AB411" i="7" s="1"/>
  <c r="AC411" i="7" s="1"/>
  <c r="AD257" i="7"/>
  <c r="S257" i="7"/>
  <c r="AB257" i="7" s="1"/>
  <c r="AC257" i="7" s="1"/>
  <c r="AD361" i="7"/>
  <c r="S361" i="7"/>
  <c r="AB361" i="7" s="1"/>
  <c r="AC361" i="7" s="1"/>
  <c r="L468" i="7"/>
  <c r="L235" i="7"/>
  <c r="L497" i="7"/>
  <c r="L291" i="7"/>
  <c r="L367" i="7"/>
  <c r="L381" i="7"/>
  <c r="L303" i="7"/>
  <c r="L263" i="7"/>
  <c r="L410" i="7"/>
  <c r="L288" i="7"/>
  <c r="AD296" i="7"/>
  <c r="S296" i="7"/>
  <c r="AB296" i="7" s="1"/>
  <c r="AC296" i="7" s="1"/>
  <c r="AC129" i="7"/>
  <c r="AD129" i="7"/>
  <c r="AD265" i="7"/>
  <c r="AC265" i="7"/>
  <c r="L57" i="7"/>
  <c r="L70" i="7"/>
  <c r="AD43" i="7"/>
  <c r="O43" i="7"/>
  <c r="AB43" i="7" s="1"/>
  <c r="AC43" i="7" s="1"/>
  <c r="AD285" i="7"/>
  <c r="O285" i="7"/>
  <c r="S285" i="7"/>
  <c r="AD163" i="7"/>
  <c r="S163" i="7"/>
  <c r="AB163" i="7" s="1"/>
  <c r="AC163" i="7" s="1"/>
  <c r="AD133" i="7"/>
  <c r="AC133" i="7"/>
  <c r="L63" i="7"/>
  <c r="AC269" i="7"/>
  <c r="AD269" i="7"/>
  <c r="AC307" i="7"/>
  <c r="AD307" i="7"/>
  <c r="AD143" i="7"/>
  <c r="S143" i="7"/>
  <c r="AB143" i="7" s="1"/>
  <c r="AC143" i="7" s="1"/>
  <c r="AD159" i="7"/>
  <c r="S159" i="7"/>
  <c r="AB159" i="7" s="1"/>
  <c r="AC159" i="7" s="1"/>
  <c r="L171" i="7"/>
  <c r="AD202" i="7"/>
  <c r="S202" i="7"/>
  <c r="AB202" i="7" s="1"/>
  <c r="AC202" i="7" s="1"/>
  <c r="AC436" i="7"/>
  <c r="AD436" i="7"/>
  <c r="L267" i="7"/>
  <c r="AD479" i="7"/>
  <c r="AC479" i="7"/>
  <c r="AC409" i="7"/>
  <c r="AD409" i="7"/>
  <c r="AD183" i="7"/>
  <c r="AC183" i="7"/>
  <c r="L226" i="7"/>
  <c r="AD472" i="7"/>
  <c r="S472" i="7"/>
  <c r="AB472" i="7" s="1"/>
  <c r="AC472" i="7" s="1"/>
  <c r="AC36" i="7"/>
  <c r="AD36" i="7"/>
  <c r="L130" i="7"/>
  <c r="L293" i="7"/>
  <c r="AC214" i="7"/>
  <c r="AD214" i="7"/>
  <c r="AD264" i="7"/>
  <c r="S264" i="7"/>
  <c r="O264" i="7"/>
  <c r="AD115" i="7"/>
  <c r="AC115" i="7"/>
  <c r="AD208" i="7"/>
  <c r="AC208" i="7"/>
  <c r="AD292" i="7"/>
  <c r="AC292" i="7"/>
  <c r="AD48" i="7"/>
  <c r="AC48" i="7"/>
  <c r="AD184" i="7"/>
  <c r="S184" i="7"/>
  <c r="AB184" i="7" s="1"/>
  <c r="AC184" i="7" s="1"/>
  <c r="AD343" i="7"/>
  <c r="AC343" i="7"/>
  <c r="AD177" i="7"/>
  <c r="S177" i="7"/>
  <c r="AB177" i="7" s="1"/>
  <c r="AC177" i="7" s="1"/>
  <c r="AD254" i="7"/>
  <c r="AC254" i="7"/>
  <c r="AC244" i="7"/>
  <c r="AD244" i="7"/>
  <c r="AD123" i="7"/>
  <c r="S123" i="7"/>
  <c r="AB123" i="7" s="1"/>
  <c r="AC123" i="7" s="1"/>
  <c r="L239" i="7"/>
  <c r="AD228" i="7"/>
  <c r="O228" i="7"/>
  <c r="AB228" i="7" s="1"/>
  <c r="AC228" i="7" s="1"/>
  <c r="S228" i="7"/>
  <c r="AD377" i="7"/>
  <c r="AC377" i="7"/>
  <c r="AD328" i="7"/>
  <c r="S328" i="7"/>
  <c r="AB328" i="7" s="1"/>
  <c r="AC328" i="7" s="1"/>
  <c r="L114" i="7"/>
  <c r="L330" i="7"/>
  <c r="AD162" i="7"/>
  <c r="S162" i="7"/>
  <c r="AB162" i="7" s="1"/>
  <c r="AC162" i="7" s="1"/>
  <c r="L182" i="7"/>
  <c r="L7" i="7"/>
  <c r="AD358" i="7"/>
  <c r="AC358" i="7"/>
  <c r="AD134" i="7"/>
  <c r="AC134" i="7"/>
  <c r="AC432" i="7"/>
  <c r="AD432" i="7"/>
  <c r="L176" i="7"/>
  <c r="L396" i="7"/>
  <c r="L337" i="7"/>
  <c r="L5" i="7"/>
  <c r="L332" i="7"/>
  <c r="L216" i="7"/>
  <c r="L242" i="7"/>
  <c r="L201" i="7"/>
  <c r="L207" i="7"/>
  <c r="L190" i="7"/>
  <c r="L383" i="7"/>
  <c r="L64" i="7"/>
  <c r="L488" i="7"/>
  <c r="L290" i="7"/>
  <c r="L433" i="7"/>
  <c r="L29" i="7"/>
  <c r="L200" i="7"/>
  <c r="L16" i="7"/>
  <c r="L37" i="7"/>
  <c r="L422" i="7"/>
  <c r="L294" i="7"/>
  <c r="L256" i="7"/>
  <c r="L89" i="7"/>
  <c r="L356" i="7"/>
  <c r="L365" i="7"/>
  <c r="L459" i="7"/>
  <c r="L407" i="7"/>
  <c r="L192" i="7"/>
  <c r="L253" i="7"/>
  <c r="L413" i="7"/>
  <c r="L491" i="7"/>
  <c r="L145" i="7"/>
  <c r="L87" i="7"/>
  <c r="L52" i="7"/>
  <c r="L262" i="7"/>
  <c r="L79" i="7"/>
  <c r="L421" i="7"/>
  <c r="L32" i="7"/>
  <c r="L287" i="7"/>
  <c r="L250" i="7"/>
  <c r="L54" i="7"/>
  <c r="L489" i="7"/>
  <c r="L124" i="7"/>
  <c r="L387" i="7"/>
  <c r="L384" i="7"/>
  <c r="L458" i="7"/>
  <c r="L74" i="7"/>
  <c r="L6" i="7"/>
  <c r="L309" i="7"/>
  <c r="L443" i="7"/>
  <c r="L289" i="7"/>
  <c r="L50" i="7"/>
  <c r="L401" i="7"/>
  <c r="L376" i="7"/>
  <c r="L186" i="7"/>
  <c r="L151" i="7"/>
  <c r="L94" i="7"/>
  <c r="L105" i="7"/>
  <c r="L500" i="7"/>
  <c r="L206" i="7"/>
  <c r="L172" i="7"/>
  <c r="L127" i="7"/>
  <c r="AC237" i="7"/>
  <c r="AD237" i="7"/>
  <c r="AD444" i="7"/>
  <c r="AC444" i="7"/>
  <c r="AD240" i="7"/>
  <c r="O240" i="7"/>
  <c r="AB240" i="7" s="1"/>
  <c r="AC240" i="7" s="1"/>
  <c r="AD374" i="7"/>
  <c r="S374" i="7"/>
  <c r="AB374" i="7" s="1"/>
  <c r="AC374" i="7" s="1"/>
  <c r="AD475" i="7"/>
  <c r="AC475" i="7"/>
  <c r="AD252" i="7"/>
  <c r="O252" i="7"/>
  <c r="AB252" i="7" s="1"/>
  <c r="AC252" i="7" s="1"/>
  <c r="AD120" i="7"/>
  <c r="AC120" i="7"/>
  <c r="AD122" i="7"/>
  <c r="S122" i="7"/>
  <c r="AB122" i="7" s="1"/>
  <c r="AC122" i="7" s="1"/>
  <c r="AC434" i="7"/>
  <c r="AD434" i="7"/>
  <c r="AD90" i="7"/>
  <c r="AC90" i="7"/>
  <c r="AD274" i="7"/>
  <c r="S274" i="7"/>
  <c r="AB274" i="7" s="1"/>
  <c r="AC274" i="7" s="1"/>
  <c r="AD60" i="7"/>
  <c r="S60" i="7"/>
  <c r="AB60" i="7" s="1"/>
  <c r="AC60" i="7" s="1"/>
  <c r="AD470" i="7"/>
  <c r="AC470" i="7"/>
  <c r="AD154" i="7"/>
  <c r="S154" i="7"/>
  <c r="AB154" i="7" s="1"/>
  <c r="AC154" i="7" s="1"/>
  <c r="AD300" i="7"/>
  <c r="AC300" i="7"/>
  <c r="AD15" i="7"/>
  <c r="AC15" i="7"/>
  <c r="AD128" i="7"/>
  <c r="S128" i="7"/>
  <c r="AB128" i="7" s="1"/>
  <c r="AC128" i="7" s="1"/>
  <c r="AD273" i="7"/>
  <c r="AC273" i="7"/>
  <c r="AD194" i="7"/>
  <c r="S194" i="7"/>
  <c r="AB194" i="7" s="1"/>
  <c r="AC194" i="7" s="1"/>
  <c r="AD109" i="7"/>
  <c r="S109" i="7"/>
  <c r="AB109" i="7" s="1"/>
  <c r="AC109" i="7" s="1"/>
  <c r="AD351" i="7"/>
  <c r="S351" i="7"/>
  <c r="AB351" i="7" s="1"/>
  <c r="AC351" i="7" s="1"/>
  <c r="AD41" i="7"/>
  <c r="S41" i="7"/>
  <c r="AB41" i="7" s="1"/>
  <c r="AC41" i="7" s="1"/>
  <c r="AD80" i="7"/>
  <c r="AC80" i="7"/>
  <c r="AD170" i="7"/>
  <c r="O170" i="7"/>
  <c r="AB170" i="7" s="1"/>
  <c r="AC170" i="7" s="1"/>
  <c r="AD17" i="7"/>
  <c r="S17" i="7"/>
  <c r="AB17" i="7" s="1"/>
  <c r="AC17" i="7" s="1"/>
  <c r="AD8" i="7"/>
  <c r="S8" i="7"/>
  <c r="AB8" i="7" s="1"/>
  <c r="AC8" i="7" s="1"/>
  <c r="AD142" i="7"/>
  <c r="S142" i="7"/>
  <c r="AB142" i="7" s="1"/>
  <c r="AC142" i="7" s="1"/>
  <c r="AD278" i="7"/>
  <c r="S278" i="7"/>
  <c r="AB278" i="7" s="1"/>
  <c r="AC278" i="7" s="1"/>
  <c r="AD352" i="7"/>
  <c r="S352" i="7"/>
  <c r="AB352" i="7" s="1"/>
  <c r="AC352" i="7" s="1"/>
  <c r="AD320" i="7"/>
  <c r="S320" i="7"/>
  <c r="AB320" i="7" s="1"/>
  <c r="AC320" i="7" s="1"/>
  <c r="AC312" i="7"/>
  <c r="AD312" i="7"/>
  <c r="AD323" i="7"/>
  <c r="S323" i="7"/>
  <c r="AB323" i="7" s="1"/>
  <c r="AC323" i="7" s="1"/>
  <c r="AD463" i="7"/>
  <c r="AC463" i="7"/>
  <c r="AD481" i="7"/>
  <c r="AC481" i="7"/>
  <c r="AD492" i="7"/>
  <c r="S492" i="7"/>
  <c r="AB492" i="7" s="1"/>
  <c r="AC492" i="7" s="1"/>
  <c r="AD28" i="7"/>
  <c r="AC28" i="7"/>
  <c r="AD85" i="7"/>
  <c r="AC85" i="7"/>
  <c r="AD452" i="7"/>
  <c r="AC452" i="7"/>
  <c r="AD101" i="7"/>
  <c r="AC101" i="7"/>
  <c r="AD181" i="7"/>
  <c r="S181" i="7"/>
  <c r="AB181" i="7" s="1"/>
  <c r="AC181" i="7" s="1"/>
  <c r="AD379" i="7"/>
  <c r="S379" i="7"/>
  <c r="AB379" i="7" s="1"/>
  <c r="AC379" i="7" s="1"/>
  <c r="AD77" i="7"/>
  <c r="S77" i="7"/>
  <c r="AB77" i="7" s="1"/>
  <c r="AC77" i="7" s="1"/>
  <c r="AD33" i="7"/>
  <c r="AC33" i="7"/>
  <c r="AC315" i="7"/>
  <c r="AD315" i="7"/>
  <c r="AD380" i="7"/>
  <c r="O380" i="7"/>
  <c r="AB380" i="7" s="1"/>
  <c r="AC380" i="7" s="1"/>
  <c r="S380" i="7"/>
  <c r="AD490" i="7"/>
  <c r="AC490" i="7"/>
  <c r="AD485" i="7"/>
  <c r="AC485" i="7"/>
  <c r="AD284" i="7"/>
  <c r="O284" i="7"/>
  <c r="AB284" i="7" s="1"/>
  <c r="AC284" i="7" s="1"/>
  <c r="AD67" i="7"/>
  <c r="O67" i="7"/>
  <c r="AB67" i="7" s="1"/>
  <c r="AC67" i="7" s="1"/>
  <c r="AD334" i="7"/>
  <c r="AC334" i="7"/>
  <c r="AD229" i="7"/>
  <c r="S229" i="7"/>
  <c r="AB229" i="7" s="1"/>
  <c r="AC229" i="7" s="1"/>
  <c r="AD113" i="7"/>
  <c r="S113" i="7"/>
  <c r="AB113" i="7" s="1"/>
  <c r="AC113" i="7" s="1"/>
  <c r="AD317" i="7"/>
  <c r="S317" i="7"/>
  <c r="AB317" i="7" s="1"/>
  <c r="AC317" i="7" s="1"/>
  <c r="AD161" i="7"/>
  <c r="S161" i="7"/>
  <c r="AB161" i="7" s="1"/>
  <c r="AC161" i="7" s="1"/>
  <c r="AD345" i="7"/>
  <c r="S345" i="7"/>
  <c r="AB345" i="7" s="1"/>
  <c r="AC345" i="7" s="1"/>
  <c r="AD47" i="7"/>
  <c r="S47" i="7"/>
  <c r="AB47" i="7" s="1"/>
  <c r="AC47" i="7" s="1"/>
  <c r="AD457" i="7"/>
  <c r="S457" i="7"/>
  <c r="AB457" i="7" s="1"/>
  <c r="AC457" i="7" s="1"/>
  <c r="AD399" i="7"/>
  <c r="AC399" i="7"/>
  <c r="AD245" i="7"/>
  <c r="S245" i="7"/>
  <c r="AB245" i="7" s="1"/>
  <c r="AC245" i="7" s="1"/>
  <c r="AD18" i="7"/>
  <c r="S18" i="7"/>
  <c r="AB18" i="7" s="1"/>
  <c r="AC18" i="7" s="1"/>
  <c r="AD464" i="7"/>
  <c r="AC464" i="7"/>
  <c r="AD167" i="7"/>
  <c r="S167" i="7"/>
  <c r="AB167" i="7" s="1"/>
  <c r="AC167" i="7" s="1"/>
  <c r="AD483" i="7"/>
  <c r="O483" i="7"/>
  <c r="AB483" i="7" s="1"/>
  <c r="AC483" i="7" s="1"/>
  <c r="AD132" i="7"/>
  <c r="O132" i="7"/>
  <c r="S132" i="7"/>
  <c r="AD259" i="7"/>
  <c r="S259" i="7"/>
  <c r="O259" i="7"/>
  <c r="AB259" i="7" s="1"/>
  <c r="AC259" i="7" s="1"/>
  <c r="AC440" i="7"/>
  <c r="AD440" i="7"/>
  <c r="AD466" i="7"/>
  <c r="AC466" i="7"/>
  <c r="AD372" i="7"/>
  <c r="S372" i="7"/>
  <c r="AB372" i="7" s="1"/>
  <c r="AC372" i="7" s="1"/>
  <c r="AD437" i="7"/>
  <c r="S437" i="7"/>
  <c r="AB437" i="7" s="1"/>
  <c r="AC437" i="7" s="1"/>
  <c r="AD73" i="7"/>
  <c r="AC73" i="7"/>
  <c r="AD427" i="7"/>
  <c r="S427" i="7"/>
  <c r="AB427" i="7" s="1"/>
  <c r="AC427" i="7" s="1"/>
  <c r="AC221" i="7"/>
  <c r="AD221" i="7"/>
  <c r="AD431" i="7"/>
  <c r="S431" i="7"/>
  <c r="AB431" i="7" s="1"/>
  <c r="AC431" i="7" s="1"/>
  <c r="AD277" i="7"/>
  <c r="AC277" i="7"/>
  <c r="AD82" i="7"/>
  <c r="S82" i="7"/>
  <c r="AB82" i="7" s="1"/>
  <c r="AC82" i="7" s="1"/>
  <c r="AD38" i="7"/>
  <c r="AC38" i="7"/>
  <c r="AD426" i="7"/>
  <c r="AC426" i="7"/>
  <c r="AD327" i="7"/>
  <c r="S327" i="7"/>
  <c r="AB327" i="7" s="1"/>
  <c r="AC327" i="7" s="1"/>
  <c r="AD30" i="7"/>
  <c r="S30" i="7"/>
  <c r="AB30" i="7" s="1"/>
  <c r="AC30" i="7" s="1"/>
  <c r="AD286" i="7"/>
  <c r="S286" i="7"/>
  <c r="AB286" i="7" s="1"/>
  <c r="AC286" i="7" s="1"/>
  <c r="AD69" i="7"/>
  <c r="S69" i="7"/>
  <c r="O69" i="7"/>
  <c r="AB69" i="7" s="1"/>
  <c r="AC69" i="7" s="1"/>
  <c r="AD482" i="7"/>
  <c r="O482" i="7"/>
  <c r="AB482" i="7" s="1"/>
  <c r="AC482" i="7" s="1"/>
  <c r="S482" i="7"/>
  <c r="AD333" i="7"/>
  <c r="S333" i="7"/>
  <c r="AB333" i="7" s="1"/>
  <c r="AC333" i="7" s="1"/>
  <c r="AD467" i="7"/>
  <c r="AC467" i="7"/>
  <c r="AD430" i="7"/>
  <c r="S430" i="7"/>
  <c r="AB430" i="7" s="1"/>
  <c r="AC430" i="7" s="1"/>
  <c r="AD26" i="7"/>
  <c r="AC26" i="7"/>
  <c r="AD65" i="7"/>
  <c r="AC65" i="7"/>
  <c r="AD78" i="7"/>
  <c r="AC78" i="7"/>
  <c r="AD56" i="7"/>
  <c r="S56" i="7"/>
  <c r="AB56" i="7" s="1"/>
  <c r="AC56" i="7" s="1"/>
  <c r="AD473" i="7"/>
  <c r="AC473" i="7"/>
  <c r="AD39" i="7"/>
  <c r="S39" i="7"/>
  <c r="AB39" i="7" s="1"/>
  <c r="AC39" i="7" s="1"/>
  <c r="AD223" i="7"/>
  <c r="S223" i="7"/>
  <c r="AB223" i="7" s="1"/>
  <c r="AC223" i="7" s="1"/>
  <c r="AD449" i="7"/>
  <c r="S449" i="7"/>
  <c r="AB449" i="7" s="1"/>
  <c r="AC449" i="7" s="1"/>
  <c r="AD471" i="7"/>
  <c r="S471" i="7"/>
  <c r="O471" i="7"/>
  <c r="AB471" i="7" s="1"/>
  <c r="AC471" i="7" s="1"/>
  <c r="AD484" i="7"/>
  <c r="S484" i="7"/>
  <c r="AB484" i="7" s="1"/>
  <c r="AC484" i="7" s="1"/>
  <c r="AD295" i="7"/>
  <c r="S295" i="7"/>
  <c r="AB295" i="7" s="1"/>
  <c r="AC295" i="7" s="1"/>
  <c r="AD10" i="7"/>
  <c r="AC10" i="7"/>
  <c r="AD360" i="7"/>
  <c r="AC360" i="7"/>
  <c r="AD98" i="7"/>
  <c r="S98" i="7"/>
  <c r="AB98" i="7" s="1"/>
  <c r="AC98" i="7" s="1"/>
  <c r="AD373" i="7"/>
  <c r="S373" i="7"/>
  <c r="AB373" i="7" s="1"/>
  <c r="AC373" i="7" s="1"/>
  <c r="AD460" i="7"/>
  <c r="S460" i="7"/>
  <c r="AB460" i="7" s="1"/>
  <c r="AC460" i="7" s="1"/>
  <c r="AD247" i="7"/>
  <c r="S247" i="7"/>
  <c r="AB247" i="7" s="1"/>
  <c r="AC247" i="7" s="1"/>
  <c r="AD71" i="7"/>
  <c r="S71" i="7"/>
  <c r="AB71" i="7" s="1"/>
  <c r="AC71" i="7" s="1"/>
  <c r="AD423" i="7"/>
  <c r="AC423" i="7"/>
  <c r="L298" i="7"/>
  <c r="L314" i="7"/>
  <c r="L429" i="7"/>
  <c r="L191" i="7"/>
  <c r="L180" i="7"/>
  <c r="L217" i="7"/>
  <c r="L388" i="7"/>
  <c r="L137" i="7"/>
  <c r="L99" i="7"/>
  <c r="L416" i="7"/>
  <c r="L276" i="7"/>
  <c r="L318" i="7"/>
  <c r="L59" i="7"/>
  <c r="L326" i="7"/>
  <c r="L148" i="7"/>
  <c r="L212" i="7"/>
  <c r="L249" i="7"/>
  <c r="L188" i="7"/>
  <c r="L346" i="7"/>
  <c r="L408" i="7"/>
  <c r="L306" i="7"/>
  <c r="L344" i="7"/>
  <c r="L11" i="7"/>
  <c r="L313" i="7"/>
  <c r="L354" i="7"/>
  <c r="L210" i="7"/>
  <c r="L322" i="7"/>
  <c r="L139" i="7"/>
  <c r="L304" i="7"/>
  <c r="L135" i="7"/>
  <c r="AD299" i="7"/>
  <c r="S299" i="7"/>
  <c r="AB299" i="7" s="1"/>
  <c r="AC299" i="7" s="1"/>
  <c r="AD319" i="7"/>
  <c r="AC319" i="7"/>
  <c r="AD486" i="7"/>
  <c r="S486" i="7"/>
  <c r="AB486" i="7" s="1"/>
  <c r="AC486" i="7" s="1"/>
  <c r="AD42" i="7"/>
  <c r="AC42" i="7"/>
  <c r="AD213" i="7"/>
  <c r="S213" i="7"/>
  <c r="O213" i="7"/>
  <c r="AB213" i="7" s="1"/>
  <c r="AC213" i="7" s="1"/>
  <c r="AD382" i="7"/>
  <c r="O382" i="7"/>
  <c r="AB382" i="7" s="1"/>
  <c r="AC382" i="7" s="1"/>
  <c r="S382" i="7"/>
  <c r="AD61" i="7"/>
  <c r="O61" i="7"/>
  <c r="AB61" i="7" s="1"/>
  <c r="AC61" i="7" s="1"/>
  <c r="AD414" i="7"/>
  <c r="S414" i="7"/>
  <c r="AB414" i="7" s="1"/>
  <c r="AC414" i="7" s="1"/>
  <c r="AD456" i="7"/>
  <c r="S456" i="7"/>
  <c r="O456" i="7"/>
  <c r="AD84" i="7"/>
  <c r="S84" i="7"/>
  <c r="AB84" i="7" s="1"/>
  <c r="AC84" i="7" s="1"/>
  <c r="AD282" i="7"/>
  <c r="S282" i="7"/>
  <c r="AB282" i="7" s="1"/>
  <c r="AC282" i="7" s="1"/>
  <c r="AD199" i="7"/>
  <c r="S199" i="7"/>
  <c r="AB199" i="7" s="1"/>
  <c r="AC199" i="7" s="1"/>
  <c r="AD165" i="7"/>
  <c r="S165" i="7"/>
  <c r="AB165" i="7" s="1"/>
  <c r="AC165" i="7" s="1"/>
  <c r="AD251" i="7"/>
  <c r="AC251" i="7"/>
  <c r="L325" i="7"/>
  <c r="AD31" i="7"/>
  <c r="AC31" i="7"/>
  <c r="AD243" i="7"/>
  <c r="AC243" i="7"/>
  <c r="AD283" i="7"/>
  <c r="S283" i="7"/>
  <c r="AB283" i="7" s="1"/>
  <c r="AC283" i="7" s="1"/>
  <c r="AD405" i="7"/>
  <c r="S405" i="7"/>
  <c r="AB405" i="7" s="1"/>
  <c r="AC405" i="7" s="1"/>
  <c r="L193" i="7"/>
  <c r="AD385" i="7"/>
  <c r="S385" i="7"/>
  <c r="AB385" i="7" s="1"/>
  <c r="AC385" i="7" s="1"/>
  <c r="AC126" i="7"/>
  <c r="AD126" i="7"/>
  <c r="AD297" i="7"/>
  <c r="AC297" i="7"/>
  <c r="L211" i="7"/>
  <c r="AD62" i="7"/>
  <c r="O62" i="7"/>
  <c r="AB62" i="7" s="1"/>
  <c r="AC62" i="7" s="1"/>
  <c r="L450" i="7"/>
  <c r="L96" i="7"/>
  <c r="L499" i="7"/>
  <c r="AD203" i="7"/>
  <c r="AC203" i="7"/>
  <c r="AD35" i="7"/>
  <c r="O35" i="7"/>
  <c r="AB35" i="7" s="1"/>
  <c r="AC35" i="7" s="1"/>
  <c r="L402" i="7"/>
  <c r="AD34" i="7"/>
  <c r="O34" i="7"/>
  <c r="AB34" i="7" s="1"/>
  <c r="AC34" i="7" s="1"/>
  <c r="L72" i="7"/>
  <c r="AD305" i="7"/>
  <c r="S305" i="7"/>
  <c r="O305" i="7"/>
  <c r="AD197" i="7"/>
  <c r="AC197" i="7"/>
  <c r="AD371" i="7"/>
  <c r="AC371" i="7"/>
  <c r="AD231" i="7"/>
  <c r="AC231" i="7"/>
  <c r="AC51" i="7"/>
  <c r="AD51" i="7"/>
  <c r="AD368" i="7"/>
  <c r="S368" i="7"/>
  <c r="AB368" i="7" s="1"/>
  <c r="AC368" i="7" s="1"/>
  <c r="AD478" i="7"/>
  <c r="S478" i="7"/>
  <c r="AB478" i="7" s="1"/>
  <c r="AC478" i="7" s="1"/>
  <c r="AD25" i="7"/>
  <c r="AC25" i="7"/>
  <c r="AD378" i="7"/>
  <c r="AC378" i="7"/>
  <c r="AD495" i="7"/>
  <c r="AC495" i="7"/>
  <c r="AD363" i="7"/>
  <c r="AC363" i="7"/>
  <c r="AD116" i="7"/>
  <c r="S116" i="7"/>
  <c r="AB116" i="7" s="1"/>
  <c r="AC116" i="7" s="1"/>
  <c r="AD428" i="7"/>
  <c r="S428" i="7"/>
  <c r="AB428" i="7" s="1"/>
  <c r="AC428" i="7" s="1"/>
  <c r="AD118" i="7"/>
  <c r="S118" i="7"/>
  <c r="AB118" i="7" s="1"/>
  <c r="AC118" i="7" s="1"/>
  <c r="AD95" i="7"/>
  <c r="S95" i="7"/>
  <c r="AB95" i="7" s="1"/>
  <c r="AC95" i="7" s="1"/>
  <c r="AD93" i="7"/>
  <c r="AC93" i="7"/>
  <c r="AC462" i="7"/>
  <c r="AD462" i="7"/>
  <c r="AD494" i="7"/>
  <c r="S494" i="7"/>
  <c r="AB494" i="7" s="1"/>
  <c r="AC494" i="7" s="1"/>
  <c r="AD271" i="7"/>
  <c r="S271" i="7"/>
  <c r="AB271" i="7" s="1"/>
  <c r="AC271" i="7" s="1"/>
  <c r="AD406" i="7"/>
  <c r="S406" i="7"/>
  <c r="AB406" i="7" s="1"/>
  <c r="AC406" i="7" s="1"/>
  <c r="AD68" i="7"/>
  <c r="AC68" i="7"/>
  <c r="AD53" i="7"/>
  <c r="O53" i="7"/>
  <c r="AB53" i="7" s="1"/>
  <c r="AC53" i="7" s="1"/>
  <c r="AD88" i="7"/>
  <c r="AC88" i="7"/>
  <c r="AD66" i="7"/>
  <c r="AC66" i="7"/>
  <c r="AD198" i="7"/>
  <c r="O198" i="7"/>
  <c r="AB198" i="7" s="1"/>
  <c r="AC198" i="7" s="1"/>
  <c r="AD58" i="7"/>
  <c r="AC58" i="7"/>
  <c r="L75" i="7"/>
  <c r="L453" i="7"/>
  <c r="L275" i="7"/>
  <c r="L390" i="7"/>
  <c r="L362" i="7"/>
  <c r="AD100" i="7"/>
  <c r="O100" i="7"/>
  <c r="AB100" i="7" s="1"/>
  <c r="AC100" i="7" s="1"/>
  <c r="AD338" i="7"/>
  <c r="S338" i="7"/>
  <c r="AB338" i="7" s="1"/>
  <c r="AC338" i="7" s="1"/>
  <c r="L119" i="7"/>
  <c r="AD342" i="7"/>
  <c r="AC342" i="7"/>
  <c r="AD156" i="7"/>
  <c r="AC156" i="7"/>
  <c r="L196" i="7"/>
  <c r="L324" i="7"/>
  <c r="L238" i="7"/>
  <c r="L350" i="7"/>
  <c r="AD9" i="7"/>
  <c r="S9" i="7"/>
  <c r="AB9" i="7" s="1"/>
  <c r="AC9" i="7" s="1"/>
  <c r="L258" i="7"/>
  <c r="L424" i="7"/>
  <c r="AD215" i="7"/>
  <c r="AC215" i="7"/>
  <c r="L316" i="7"/>
  <c r="AD102" i="7"/>
  <c r="AC102" i="7"/>
  <c r="AD236" i="7"/>
  <c r="AC236" i="7"/>
  <c r="L394" i="7"/>
  <c r="L392" i="7"/>
  <c r="L219" i="7"/>
  <c r="L230" i="7"/>
  <c r="L92" i="7"/>
  <c r="L112" i="7"/>
  <c r="L270" i="7"/>
  <c r="L336" i="7"/>
  <c r="L14" i="7"/>
  <c r="I504" i="7"/>
  <c r="K4" i="7"/>
  <c r="K504" i="7" s="1"/>
  <c r="J4" i="7"/>
  <c r="AD370" i="7"/>
  <c r="AC370" i="7"/>
  <c r="AC393" i="7"/>
  <c r="AD393" i="7"/>
  <c r="AD386" i="7"/>
  <c r="O386" i="7"/>
  <c r="S386" i="7"/>
  <c r="L20" i="7"/>
  <c r="L301" i="7"/>
  <c r="L310" i="7"/>
  <c r="L218" i="7"/>
  <c r="L144" i="7"/>
  <c r="L311" i="7"/>
  <c r="L21" i="7"/>
  <c r="L340" i="7"/>
  <c r="L281" i="7"/>
  <c r="L150" i="7"/>
  <c r="L260" i="7"/>
  <c r="L268" i="7"/>
  <c r="L111" i="7"/>
  <c r="L224" i="7"/>
  <c r="L140" i="7"/>
  <c r="L107" i="7"/>
  <c r="L24" i="7"/>
  <c r="L248" i="7"/>
  <c r="L255" i="7"/>
  <c r="L272" i="7"/>
  <c r="L454" i="7"/>
  <c r="L404" i="7"/>
  <c r="L339" i="7"/>
  <c r="AE374" i="7" l="1"/>
  <c r="AF374" i="7" s="1"/>
  <c r="AI374" i="7" s="1"/>
  <c r="AJ374" i="7" s="1"/>
  <c r="AE494" i="7"/>
  <c r="AF494" i="7" s="1"/>
  <c r="AI494" i="7" s="1"/>
  <c r="AJ494" i="7" s="1"/>
  <c r="AE213" i="7"/>
  <c r="AF213" i="7" s="1"/>
  <c r="AE492" i="7"/>
  <c r="AF492" i="7" s="1"/>
  <c r="AI492" i="7" s="1"/>
  <c r="AJ492" i="7" s="1"/>
  <c r="AE240" i="7"/>
  <c r="AF240" i="7" s="1"/>
  <c r="AI240" i="7" s="1"/>
  <c r="AJ240" i="7" s="1"/>
  <c r="AE147" i="7"/>
  <c r="AF147" i="7" s="1"/>
  <c r="AI147" i="7" s="1"/>
  <c r="AJ147" i="7" s="1"/>
  <c r="AE110" i="7"/>
  <c r="AF110" i="7" s="1"/>
  <c r="AI110" i="7" s="1"/>
  <c r="AJ110" i="7" s="1"/>
  <c r="AE106" i="7"/>
  <c r="AF106" i="7" s="1"/>
  <c r="AI106" i="7" s="1"/>
  <c r="AJ106" i="7" s="1"/>
  <c r="AE47" i="7"/>
  <c r="AF47" i="7" s="1"/>
  <c r="AI47" i="7" s="1"/>
  <c r="AJ47" i="7" s="1"/>
  <c r="AE229" i="7"/>
  <c r="AF229" i="7" s="1"/>
  <c r="AI229" i="7" s="1"/>
  <c r="AJ229" i="7" s="1"/>
  <c r="AE154" i="7"/>
  <c r="AF154" i="7" s="1"/>
  <c r="AI154" i="7" s="1"/>
  <c r="AJ154" i="7" s="1"/>
  <c r="AE411" i="7"/>
  <c r="AF411" i="7" s="1"/>
  <c r="AI411" i="7" s="1"/>
  <c r="AJ411" i="7" s="1"/>
  <c r="AE415" i="7"/>
  <c r="AF415" i="7" s="1"/>
  <c r="AI415" i="7" s="1"/>
  <c r="AJ415" i="7" s="1"/>
  <c r="AE233" i="7"/>
  <c r="AF233" i="7" s="1"/>
  <c r="AI233" i="7" s="1"/>
  <c r="AJ233" i="7" s="1"/>
  <c r="AE83" i="7"/>
  <c r="AF83" i="7" s="1"/>
  <c r="AI83" i="7" s="1"/>
  <c r="AJ83" i="7" s="1"/>
  <c r="AE385" i="7"/>
  <c r="AF385" i="7" s="1"/>
  <c r="AI385" i="7" s="1"/>
  <c r="AJ385" i="7" s="1"/>
  <c r="AE299" i="7"/>
  <c r="AF299" i="7" s="1"/>
  <c r="AI299" i="7" s="1"/>
  <c r="AJ299" i="7" s="1"/>
  <c r="AE449" i="7"/>
  <c r="AF449" i="7" s="1"/>
  <c r="AI449" i="7" s="1"/>
  <c r="AJ449" i="7" s="1"/>
  <c r="AE431" i="7"/>
  <c r="AF431" i="7" s="1"/>
  <c r="AI431" i="7" s="1"/>
  <c r="AJ431" i="7" s="1"/>
  <c r="AE483" i="7"/>
  <c r="AF483" i="7" s="1"/>
  <c r="AI483" i="7" s="1"/>
  <c r="AJ483" i="7" s="1"/>
  <c r="AE419" i="7"/>
  <c r="AF419" i="7" s="1"/>
  <c r="AI419" i="7" s="1"/>
  <c r="AJ419" i="7" s="1"/>
  <c r="AE44" i="7"/>
  <c r="AF44" i="7" s="1"/>
  <c r="AI44" i="7" s="1"/>
  <c r="AJ44" i="7" s="1"/>
  <c r="AE327" i="7"/>
  <c r="AF327" i="7" s="1"/>
  <c r="AI327" i="7" s="1"/>
  <c r="AJ327" i="7" s="1"/>
  <c r="AE457" i="7"/>
  <c r="AF457" i="7" s="1"/>
  <c r="AI457" i="7" s="1"/>
  <c r="AJ457" i="7" s="1"/>
  <c r="AE379" i="7"/>
  <c r="AF379" i="7" s="1"/>
  <c r="AI379" i="7" s="1"/>
  <c r="AJ379" i="7" s="1"/>
  <c r="AE320" i="7"/>
  <c r="AF320" i="7" s="1"/>
  <c r="AI320" i="7" s="1"/>
  <c r="AJ320" i="7" s="1"/>
  <c r="AE49" i="7"/>
  <c r="AF49" i="7" s="1"/>
  <c r="AI49" i="7" s="1"/>
  <c r="AJ49" i="7" s="1"/>
  <c r="AE493" i="7"/>
  <c r="AF493" i="7" s="1"/>
  <c r="AI493" i="7" s="1"/>
  <c r="AJ493" i="7" s="1"/>
  <c r="AE428" i="7"/>
  <c r="AF428" i="7" s="1"/>
  <c r="AI428" i="7" s="1"/>
  <c r="AJ428" i="7" s="1"/>
  <c r="AE116" i="7"/>
  <c r="AF116" i="7" s="1"/>
  <c r="AI116" i="7" s="1"/>
  <c r="AJ116" i="7" s="1"/>
  <c r="AE427" i="7"/>
  <c r="AF427" i="7" s="1"/>
  <c r="AI427" i="7" s="1"/>
  <c r="AJ427" i="7" s="1"/>
  <c r="AE380" i="7"/>
  <c r="AF380" i="7" s="1"/>
  <c r="AI380" i="7" s="1"/>
  <c r="AJ380" i="7" s="1"/>
  <c r="AE194" i="7"/>
  <c r="AF194" i="7" s="1"/>
  <c r="AI194" i="7" s="1"/>
  <c r="AJ194" i="7" s="1"/>
  <c r="AE122" i="7"/>
  <c r="AF122" i="7" s="1"/>
  <c r="AI122" i="7" s="1"/>
  <c r="AJ122" i="7" s="1"/>
  <c r="AE153" i="7"/>
  <c r="AF153" i="7" s="1"/>
  <c r="AI153" i="7" s="1"/>
  <c r="AJ153" i="7" s="1"/>
  <c r="AE125" i="7"/>
  <c r="AF125" i="7" s="1"/>
  <c r="AI125" i="7" s="1"/>
  <c r="AJ125" i="7" s="1"/>
  <c r="AE53" i="7"/>
  <c r="AF53" i="7" s="1"/>
  <c r="AI53" i="7" s="1"/>
  <c r="AJ53" i="7" s="1"/>
  <c r="AE368" i="7"/>
  <c r="AF368" i="7" s="1"/>
  <c r="AI368" i="7" s="1"/>
  <c r="AJ368" i="7" s="1"/>
  <c r="AE62" i="7"/>
  <c r="AF62" i="7" s="1"/>
  <c r="AI62" i="7" s="1"/>
  <c r="AJ62" i="7" s="1"/>
  <c r="AE295" i="7"/>
  <c r="AF295" i="7" s="1"/>
  <c r="AI295" i="7" s="1"/>
  <c r="AJ295" i="7" s="1"/>
  <c r="AE39" i="7"/>
  <c r="AF39" i="7" s="1"/>
  <c r="AI39" i="7" s="1"/>
  <c r="AJ39" i="7" s="1"/>
  <c r="AE69" i="7"/>
  <c r="AF69" i="7" s="1"/>
  <c r="AI69" i="7" s="1"/>
  <c r="AJ69" i="7" s="1"/>
  <c r="AE345" i="7"/>
  <c r="AF345" i="7" s="1"/>
  <c r="AI345" i="7" s="1"/>
  <c r="AJ345" i="7" s="1"/>
  <c r="AE228" i="7"/>
  <c r="AF228" i="7" s="1"/>
  <c r="AI228" i="7" s="1"/>
  <c r="AJ228" i="7" s="1"/>
  <c r="AE34" i="7"/>
  <c r="AF34" i="7" s="1"/>
  <c r="AI34" i="7" s="1"/>
  <c r="AJ34" i="7" s="1"/>
  <c r="AE484" i="7"/>
  <c r="AF484" i="7" s="1"/>
  <c r="AI484" i="7" s="1"/>
  <c r="AJ484" i="7" s="1"/>
  <c r="AE18" i="7"/>
  <c r="AF18" i="7" s="1"/>
  <c r="AI18" i="7" s="1"/>
  <c r="AJ18" i="7" s="1"/>
  <c r="AE67" i="7"/>
  <c r="AF67" i="7" s="1"/>
  <c r="AI67" i="7" s="1"/>
  <c r="AJ67" i="7" s="1"/>
  <c r="AE184" i="7"/>
  <c r="AF184" i="7" s="1"/>
  <c r="AI184" i="7" s="1"/>
  <c r="AJ184" i="7" s="1"/>
  <c r="AE159" i="7"/>
  <c r="AF159" i="7" s="1"/>
  <c r="AI159" i="7" s="1"/>
  <c r="AJ159" i="7" s="1"/>
  <c r="AE163" i="7"/>
  <c r="AF163" i="7" s="1"/>
  <c r="AI163" i="7" s="1"/>
  <c r="AJ163" i="7" s="1"/>
  <c r="AE442" i="7"/>
  <c r="AF442" i="7" s="1"/>
  <c r="AI442" i="7" s="1"/>
  <c r="AJ442" i="7" s="1"/>
  <c r="AE347" i="7"/>
  <c r="AF347" i="7" s="1"/>
  <c r="AI347" i="7" s="1"/>
  <c r="AJ347" i="7" s="1"/>
  <c r="AE185" i="7"/>
  <c r="AF185" i="7" s="1"/>
  <c r="AI185" i="7" s="1"/>
  <c r="AJ185" i="7" s="1"/>
  <c r="AE329" i="7"/>
  <c r="AF329" i="7" s="1"/>
  <c r="AI329" i="7" s="1"/>
  <c r="AJ329" i="7" s="1"/>
  <c r="AE46" i="7"/>
  <c r="AF46" i="7" s="1"/>
  <c r="AI46" i="7" s="1"/>
  <c r="AJ46" i="7" s="1"/>
  <c r="AE155" i="7"/>
  <c r="AF155" i="7" s="1"/>
  <c r="AI155" i="7" s="1"/>
  <c r="AJ155" i="7" s="1"/>
  <c r="AE61" i="7"/>
  <c r="AF61" i="7" s="1"/>
  <c r="AI61" i="7" s="1"/>
  <c r="AJ61" i="7" s="1"/>
  <c r="AE286" i="7"/>
  <c r="AF286" i="7" s="1"/>
  <c r="AI286" i="7" s="1"/>
  <c r="AJ286" i="7" s="1"/>
  <c r="AE142" i="7"/>
  <c r="AF142" i="7" s="1"/>
  <c r="AI142" i="7" s="1"/>
  <c r="AJ142" i="7" s="1"/>
  <c r="AE252" i="7"/>
  <c r="AF252" i="7" s="1"/>
  <c r="AI252" i="7" s="1"/>
  <c r="AJ252" i="7" s="1"/>
  <c r="AE123" i="7"/>
  <c r="AF123" i="7" s="1"/>
  <c r="AI123" i="7" s="1"/>
  <c r="AJ123" i="7" s="1"/>
  <c r="AE359" i="7"/>
  <c r="AF359" i="7" s="1"/>
  <c r="AI359" i="7" s="1"/>
  <c r="AJ359" i="7" s="1"/>
  <c r="AE103" i="7"/>
  <c r="AF103" i="7" s="1"/>
  <c r="AI103" i="7" s="1"/>
  <c r="AJ103" i="7" s="1"/>
  <c r="AE420" i="7"/>
  <c r="AF420" i="7" s="1"/>
  <c r="AI420" i="7" s="1"/>
  <c r="AJ420" i="7" s="1"/>
  <c r="AE23" i="7"/>
  <c r="AF23" i="7" s="1"/>
  <c r="AI23" i="7" s="1"/>
  <c r="AJ23" i="7" s="1"/>
  <c r="AE199" i="7"/>
  <c r="AF199" i="7" s="1"/>
  <c r="AI199" i="7" s="1"/>
  <c r="AJ199" i="7" s="1"/>
  <c r="AE430" i="7"/>
  <c r="AF430" i="7" s="1"/>
  <c r="AI430" i="7" s="1"/>
  <c r="AJ430" i="7" s="1"/>
  <c r="AE259" i="7"/>
  <c r="AF259" i="7" s="1"/>
  <c r="AI259" i="7" s="1"/>
  <c r="AJ259" i="7" s="1"/>
  <c r="AE406" i="7"/>
  <c r="AF406" i="7" s="1"/>
  <c r="AI406" i="7" s="1"/>
  <c r="AJ406" i="7" s="1"/>
  <c r="AE471" i="7"/>
  <c r="AF471" i="7" s="1"/>
  <c r="AI471" i="7" s="1"/>
  <c r="AJ471" i="7" s="1"/>
  <c r="AE245" i="7"/>
  <c r="AF245" i="7" s="1"/>
  <c r="AI245" i="7" s="1"/>
  <c r="AJ245" i="7" s="1"/>
  <c r="AE284" i="7"/>
  <c r="AF284" i="7" s="1"/>
  <c r="AI284" i="7" s="1"/>
  <c r="AJ284" i="7" s="1"/>
  <c r="AE498" i="7"/>
  <c r="AF498" i="7" s="1"/>
  <c r="AI498" i="7" s="1"/>
  <c r="AJ498" i="7" s="1"/>
  <c r="AE398" i="7"/>
  <c r="AF398" i="7" s="1"/>
  <c r="AI398" i="7" s="1"/>
  <c r="AJ398" i="7" s="1"/>
  <c r="AE278" i="7"/>
  <c r="AF278" i="7" s="1"/>
  <c r="AI278" i="7" s="1"/>
  <c r="AJ278" i="7" s="1"/>
  <c r="AE35" i="7"/>
  <c r="AF35" i="7" s="1"/>
  <c r="AI35" i="7" s="1"/>
  <c r="AJ35" i="7" s="1"/>
  <c r="AE317" i="7"/>
  <c r="AF317" i="7" s="1"/>
  <c r="AI317" i="7" s="1"/>
  <c r="AJ317" i="7" s="1"/>
  <c r="AE8" i="7"/>
  <c r="AF8" i="7" s="1"/>
  <c r="AI8" i="7" s="1"/>
  <c r="AJ8" i="7" s="1"/>
  <c r="AE274" i="7"/>
  <c r="AF274" i="7" s="1"/>
  <c r="AI274" i="7" s="1"/>
  <c r="AJ274" i="7" s="1"/>
  <c r="AE361" i="7"/>
  <c r="AF361" i="7" s="1"/>
  <c r="AI361" i="7" s="1"/>
  <c r="AJ361" i="7" s="1"/>
  <c r="AE149" i="7"/>
  <c r="AF149" i="7" s="1"/>
  <c r="AI149" i="7" s="1"/>
  <c r="AJ149" i="7" s="1"/>
  <c r="AE366" i="7"/>
  <c r="AF366" i="7" s="1"/>
  <c r="AI366" i="7" s="1"/>
  <c r="AJ366" i="7" s="1"/>
  <c r="AE76" i="7"/>
  <c r="AF76" i="7" s="1"/>
  <c r="AI76" i="7" s="1"/>
  <c r="AJ76" i="7" s="1"/>
  <c r="AE141" i="7"/>
  <c r="AF141" i="7" s="1"/>
  <c r="AE283" i="7"/>
  <c r="AF283" i="7" s="1"/>
  <c r="AI283" i="7" s="1"/>
  <c r="AJ283" i="7" s="1"/>
  <c r="AE391" i="7"/>
  <c r="AF391" i="7" s="1"/>
  <c r="AI391" i="7" s="1"/>
  <c r="AJ391" i="7" s="1"/>
  <c r="AE338" i="7"/>
  <c r="AF338" i="7" s="1"/>
  <c r="AI338" i="7" s="1"/>
  <c r="AJ338" i="7" s="1"/>
  <c r="AE198" i="7"/>
  <c r="AF198" i="7" s="1"/>
  <c r="AI198" i="7" s="1"/>
  <c r="AJ198" i="7" s="1"/>
  <c r="AE351" i="7"/>
  <c r="AF351" i="7" s="1"/>
  <c r="AI351" i="7" s="1"/>
  <c r="AJ351" i="7" s="1"/>
  <c r="AE357" i="7"/>
  <c r="AF357" i="7" s="1"/>
  <c r="AI357" i="7" s="1"/>
  <c r="AJ357" i="7" s="1"/>
  <c r="AE227" i="7"/>
  <c r="AF227" i="7" s="1"/>
  <c r="AI227" i="7" s="1"/>
  <c r="AJ227" i="7" s="1"/>
  <c r="AE77" i="7"/>
  <c r="AF77" i="7" s="1"/>
  <c r="AI77" i="7" s="1"/>
  <c r="AJ77" i="7" s="1"/>
  <c r="AD63" i="7"/>
  <c r="S63" i="7"/>
  <c r="AB63" i="7" s="1"/>
  <c r="AC63" i="7" s="1"/>
  <c r="AD263" i="7"/>
  <c r="S263" i="7"/>
  <c r="AB263" i="7" s="1"/>
  <c r="AC263" i="7" s="1"/>
  <c r="AE27" i="7"/>
  <c r="AF27" i="7" s="1"/>
  <c r="AI27" i="7" s="1"/>
  <c r="AJ27" i="7" s="1"/>
  <c r="AB386" i="7"/>
  <c r="AC386" i="7" s="1"/>
  <c r="AD275" i="7"/>
  <c r="AC275" i="7"/>
  <c r="AE371" i="7"/>
  <c r="AF371" i="7" s="1"/>
  <c r="AI371" i="7" s="1"/>
  <c r="AJ371" i="7" s="1"/>
  <c r="AD408" i="7"/>
  <c r="O408" i="7"/>
  <c r="AB408" i="7" s="1"/>
  <c r="AC408" i="7" s="1"/>
  <c r="AE473" i="7"/>
  <c r="AF473" i="7" s="1"/>
  <c r="AI473" i="7" s="1"/>
  <c r="AJ473" i="7" s="1"/>
  <c r="AD206" i="7"/>
  <c r="AC206" i="7"/>
  <c r="AD6" i="7"/>
  <c r="AC6" i="7"/>
  <c r="AD79" i="7"/>
  <c r="AC79" i="7"/>
  <c r="AD356" i="7"/>
  <c r="S356" i="7"/>
  <c r="AB356" i="7" s="1"/>
  <c r="AC356" i="7" s="1"/>
  <c r="AD64" i="7"/>
  <c r="S64" i="7"/>
  <c r="AB64" i="7" s="1"/>
  <c r="AC64" i="7" s="1"/>
  <c r="AC114" i="7"/>
  <c r="AD114" i="7"/>
  <c r="AE183" i="7"/>
  <c r="AF183" i="7" s="1"/>
  <c r="AI183" i="7" s="1"/>
  <c r="AJ183" i="7" s="1"/>
  <c r="AD70" i="7"/>
  <c r="S70" i="7"/>
  <c r="AB70" i="7" s="1"/>
  <c r="AC70" i="7" s="1"/>
  <c r="AD187" i="7"/>
  <c r="S187" i="7"/>
  <c r="AB187" i="7" s="1"/>
  <c r="AC187" i="7" s="1"/>
  <c r="AD13" i="7"/>
  <c r="AC13" i="7"/>
  <c r="AD112" i="7"/>
  <c r="O112" i="7"/>
  <c r="AB112" i="7" s="1"/>
  <c r="AC112" i="7" s="1"/>
  <c r="AE342" i="7"/>
  <c r="AF342" i="7" s="1"/>
  <c r="AI342" i="7" s="1"/>
  <c r="AJ342" i="7" s="1"/>
  <c r="AD453" i="7"/>
  <c r="S453" i="7"/>
  <c r="AB453" i="7" s="1"/>
  <c r="AC453" i="7" s="1"/>
  <c r="AE297" i="7"/>
  <c r="AF297" i="7" s="1"/>
  <c r="AI297" i="7" s="1"/>
  <c r="AJ297" i="7" s="1"/>
  <c r="AD346" i="7"/>
  <c r="S346" i="7"/>
  <c r="AB346" i="7" s="1"/>
  <c r="AC346" i="7" s="1"/>
  <c r="AD388" i="7"/>
  <c r="O388" i="7"/>
  <c r="S388" i="7"/>
  <c r="AE360" i="7"/>
  <c r="AF360" i="7" s="1"/>
  <c r="AI360" i="7" s="1"/>
  <c r="AJ360" i="7" s="1"/>
  <c r="AE221" i="7"/>
  <c r="AF221" i="7" s="1"/>
  <c r="AI221" i="7" s="1"/>
  <c r="AJ221" i="7" s="1"/>
  <c r="AE466" i="7"/>
  <c r="AF466" i="7" s="1"/>
  <c r="AI466" i="7" s="1"/>
  <c r="AJ466" i="7" s="1"/>
  <c r="AE28" i="7"/>
  <c r="AF28" i="7" s="1"/>
  <c r="AI28" i="7" s="1"/>
  <c r="AJ28" i="7" s="1"/>
  <c r="AE434" i="7"/>
  <c r="AF434" i="7" s="1"/>
  <c r="AI434" i="7" s="1"/>
  <c r="AJ434" i="7" s="1"/>
  <c r="AD500" i="7"/>
  <c r="AC500" i="7"/>
  <c r="AD74" i="7"/>
  <c r="S74" i="7"/>
  <c r="O74" i="7"/>
  <c r="AD262" i="7"/>
  <c r="O262" i="7"/>
  <c r="AB262" i="7" s="1"/>
  <c r="AC262" i="7" s="1"/>
  <c r="AD89" i="7"/>
  <c r="AC89" i="7"/>
  <c r="AD383" i="7"/>
  <c r="S383" i="7"/>
  <c r="AB383" i="7" s="1"/>
  <c r="AC383" i="7" s="1"/>
  <c r="AE432" i="7"/>
  <c r="AF432" i="7" s="1"/>
  <c r="AI432" i="7" s="1"/>
  <c r="AJ432" i="7" s="1"/>
  <c r="AD57" i="7"/>
  <c r="S57" i="7"/>
  <c r="AB57" i="7" s="1"/>
  <c r="AC57" i="7" s="1"/>
  <c r="AD381" i="7"/>
  <c r="AC381" i="7"/>
  <c r="AE178" i="7"/>
  <c r="AF178" i="7" s="1"/>
  <c r="AI178" i="7" s="1"/>
  <c r="AJ178" i="7" s="1"/>
  <c r="AE189" i="7"/>
  <c r="AF189" i="7" s="1"/>
  <c r="AI189" i="7" s="1"/>
  <c r="AJ189" i="7" s="1"/>
  <c r="AE400" i="7"/>
  <c r="AF400" i="7" s="1"/>
  <c r="AI400" i="7" s="1"/>
  <c r="AJ400" i="7" s="1"/>
  <c r="AE349" i="7"/>
  <c r="AF349" i="7" s="1"/>
  <c r="AI349" i="7" s="1"/>
  <c r="AJ349" i="7" s="1"/>
  <c r="AE476" i="7"/>
  <c r="AF476" i="7" s="1"/>
  <c r="AI476" i="7" s="1"/>
  <c r="AJ476" i="7" s="1"/>
  <c r="AE474" i="7"/>
  <c r="AF474" i="7" s="1"/>
  <c r="AI474" i="7" s="1"/>
  <c r="AJ474" i="7" s="1"/>
  <c r="AD316" i="7"/>
  <c r="S316" i="7"/>
  <c r="AB316" i="7" s="1"/>
  <c r="AC316" i="7" s="1"/>
  <c r="AE426" i="7"/>
  <c r="AF426" i="7" s="1"/>
  <c r="AI426" i="7" s="1"/>
  <c r="AJ426" i="7" s="1"/>
  <c r="AE490" i="7"/>
  <c r="AF490" i="7" s="1"/>
  <c r="AI490" i="7" s="1"/>
  <c r="AJ490" i="7" s="1"/>
  <c r="AE323" i="7"/>
  <c r="AF323" i="7" s="1"/>
  <c r="AI323" i="7" s="1"/>
  <c r="AJ323" i="7" s="1"/>
  <c r="AE80" i="7"/>
  <c r="AF80" i="7" s="1"/>
  <c r="AI80" i="7" s="1"/>
  <c r="AJ80" i="7" s="1"/>
  <c r="AD171" i="7"/>
  <c r="S171" i="7"/>
  <c r="AB171" i="7" s="1"/>
  <c r="AC171" i="7" s="1"/>
  <c r="AE133" i="7"/>
  <c r="AF133" i="7" s="1"/>
  <c r="AI133" i="7" s="1"/>
  <c r="AJ133" i="7" s="1"/>
  <c r="AD303" i="7"/>
  <c r="AC303" i="7"/>
  <c r="AE435" i="7"/>
  <c r="AF435" i="7" s="1"/>
  <c r="AI435" i="7" s="1"/>
  <c r="AJ435" i="7" s="1"/>
  <c r="AE446" i="7"/>
  <c r="AF446" i="7" s="1"/>
  <c r="AI446" i="7" s="1"/>
  <c r="AJ446" i="7" s="1"/>
  <c r="AE451" i="7"/>
  <c r="AF451" i="7" s="1"/>
  <c r="AI451" i="7" s="1"/>
  <c r="AJ451" i="7" s="1"/>
  <c r="AE439" i="7"/>
  <c r="AF439" i="7" s="1"/>
  <c r="AI439" i="7" s="1"/>
  <c r="AJ439" i="7" s="1"/>
  <c r="AD195" i="7"/>
  <c r="S195" i="7"/>
  <c r="AB195" i="7" s="1"/>
  <c r="AC195" i="7" s="1"/>
  <c r="AD477" i="7"/>
  <c r="O477" i="7"/>
  <c r="AB477" i="7" s="1"/>
  <c r="AC477" i="7" s="1"/>
  <c r="AC438" i="7"/>
  <c r="AD438" i="7"/>
  <c r="AE448" i="7"/>
  <c r="AF448" i="7" s="1"/>
  <c r="AI448" i="7" s="1"/>
  <c r="AJ448" i="7" s="1"/>
  <c r="AD445" i="7"/>
  <c r="O445" i="7"/>
  <c r="AB445" i="7" s="1"/>
  <c r="AC445" i="7" s="1"/>
  <c r="AD404" i="7"/>
  <c r="AC404" i="7"/>
  <c r="AD150" i="7"/>
  <c r="AC150" i="7"/>
  <c r="AD454" i="7"/>
  <c r="S454" i="7"/>
  <c r="AB454" i="7" s="1"/>
  <c r="AC454" i="7" s="1"/>
  <c r="AD281" i="7"/>
  <c r="AC281" i="7"/>
  <c r="AD92" i="7"/>
  <c r="AC92" i="7"/>
  <c r="AD424" i="7"/>
  <c r="O424" i="7"/>
  <c r="AB424" i="7" s="1"/>
  <c r="AC424" i="7" s="1"/>
  <c r="S424" i="7"/>
  <c r="AD75" i="7"/>
  <c r="S75" i="7"/>
  <c r="AB75" i="7" s="1"/>
  <c r="AC75" i="7" s="1"/>
  <c r="AE197" i="7"/>
  <c r="AF197" i="7" s="1"/>
  <c r="AI197" i="7" s="1"/>
  <c r="AJ197" i="7" s="1"/>
  <c r="AD135" i="7"/>
  <c r="S135" i="7"/>
  <c r="AB135" i="7" s="1"/>
  <c r="AC135" i="7" s="1"/>
  <c r="AC188" i="7"/>
  <c r="AD188" i="7"/>
  <c r="AD217" i="7"/>
  <c r="S217" i="7"/>
  <c r="AB217" i="7" s="1"/>
  <c r="AC217" i="7" s="1"/>
  <c r="AE247" i="7"/>
  <c r="AF247" i="7" s="1"/>
  <c r="AI247" i="7" s="1"/>
  <c r="AJ247" i="7" s="1"/>
  <c r="AE467" i="7"/>
  <c r="AF467" i="7" s="1"/>
  <c r="AI467" i="7" s="1"/>
  <c r="AJ467" i="7" s="1"/>
  <c r="AE38" i="7"/>
  <c r="AF38" i="7" s="1"/>
  <c r="AI38" i="7" s="1"/>
  <c r="AJ38" i="7" s="1"/>
  <c r="AE334" i="7"/>
  <c r="AF334" i="7" s="1"/>
  <c r="AI334" i="7" s="1"/>
  <c r="AJ334" i="7" s="1"/>
  <c r="AE312" i="7"/>
  <c r="AF312" i="7" s="1"/>
  <c r="AI312" i="7" s="1"/>
  <c r="AJ312" i="7" s="1"/>
  <c r="AE273" i="7"/>
  <c r="AF273" i="7" s="1"/>
  <c r="AI273" i="7" s="1"/>
  <c r="AJ273" i="7" s="1"/>
  <c r="AE470" i="7"/>
  <c r="AF470" i="7" s="1"/>
  <c r="AI470" i="7" s="1"/>
  <c r="AJ470" i="7" s="1"/>
  <c r="AD105" i="7"/>
  <c r="S105" i="7"/>
  <c r="AB105" i="7" s="1"/>
  <c r="AC105" i="7" s="1"/>
  <c r="AD458" i="7"/>
  <c r="S458" i="7"/>
  <c r="AB458" i="7" s="1"/>
  <c r="AC458" i="7" s="1"/>
  <c r="AD52" i="7"/>
  <c r="S52" i="7"/>
  <c r="AB52" i="7" s="1"/>
  <c r="AC52" i="7" s="1"/>
  <c r="AD256" i="7"/>
  <c r="S256" i="7"/>
  <c r="AB256" i="7" s="1"/>
  <c r="AC256" i="7" s="1"/>
  <c r="AD190" i="7"/>
  <c r="S190" i="7"/>
  <c r="O190" i="7"/>
  <c r="AB190" i="7" s="1"/>
  <c r="AC190" i="7" s="1"/>
  <c r="AE134" i="7"/>
  <c r="AF134" i="7" s="1"/>
  <c r="AI134" i="7" s="1"/>
  <c r="AJ134" i="7" s="1"/>
  <c r="AE48" i="7"/>
  <c r="AF48" i="7" s="1"/>
  <c r="AI48" i="7" s="1"/>
  <c r="AJ48" i="7" s="1"/>
  <c r="AE265" i="7"/>
  <c r="AF265" i="7" s="1"/>
  <c r="AI265" i="7" s="1"/>
  <c r="AJ265" i="7" s="1"/>
  <c r="AD367" i="7"/>
  <c r="O367" i="7"/>
  <c r="AB367" i="7" s="1"/>
  <c r="AC367" i="7" s="1"/>
  <c r="AE389" i="7"/>
  <c r="AF389" i="7" s="1"/>
  <c r="AI389" i="7" s="1"/>
  <c r="AJ389" i="7" s="1"/>
  <c r="AD117" i="7"/>
  <c r="S117" i="7"/>
  <c r="O117" i="7"/>
  <c r="AB117" i="7" s="1"/>
  <c r="AC117" i="7" s="1"/>
  <c r="AE455" i="7"/>
  <c r="AF455" i="7" s="1"/>
  <c r="AI455" i="7" s="1"/>
  <c r="AJ455" i="7" s="1"/>
  <c r="AE425" i="7"/>
  <c r="AF425" i="7" s="1"/>
  <c r="AI425" i="7" s="1"/>
  <c r="AJ425" i="7" s="1"/>
  <c r="AD447" i="7"/>
  <c r="AC447" i="7"/>
  <c r="AD173" i="7"/>
  <c r="AC173" i="7"/>
  <c r="AC172" i="7"/>
  <c r="AD172" i="7"/>
  <c r="AC421" i="7"/>
  <c r="AD421" i="7"/>
  <c r="AD365" i="7"/>
  <c r="AC365" i="7"/>
  <c r="AC176" i="7"/>
  <c r="AD176" i="7"/>
  <c r="AC226" i="7"/>
  <c r="AD226" i="7"/>
  <c r="AE234" i="7"/>
  <c r="AF234" i="7" s="1"/>
  <c r="AI234" i="7" s="1"/>
  <c r="AJ234" i="7" s="1"/>
  <c r="AD211" i="7"/>
  <c r="S211" i="7"/>
  <c r="AB211" i="7" s="1"/>
  <c r="AC211" i="7" s="1"/>
  <c r="AI213" i="7"/>
  <c r="AJ213" i="7" s="1"/>
  <c r="AE41" i="7"/>
  <c r="AF41" i="7" s="1"/>
  <c r="AI41" i="7" s="1"/>
  <c r="AJ41" i="7" s="1"/>
  <c r="AD94" i="7"/>
  <c r="S94" i="7"/>
  <c r="AB94" i="7" s="1"/>
  <c r="AC94" i="7" s="1"/>
  <c r="AD384" i="7"/>
  <c r="O384" i="7"/>
  <c r="AB384" i="7" s="1"/>
  <c r="AC384" i="7" s="1"/>
  <c r="AD87" i="7"/>
  <c r="S87" i="7"/>
  <c r="AB87" i="7" s="1"/>
  <c r="AC87" i="7" s="1"/>
  <c r="AD294" i="7"/>
  <c r="AC294" i="7"/>
  <c r="AD207" i="7"/>
  <c r="S207" i="7"/>
  <c r="AB207" i="7" s="1"/>
  <c r="AC207" i="7" s="1"/>
  <c r="AE328" i="7"/>
  <c r="AF328" i="7" s="1"/>
  <c r="AI328" i="7" s="1"/>
  <c r="AJ328" i="7" s="1"/>
  <c r="AE244" i="7"/>
  <c r="AF244" i="7" s="1"/>
  <c r="AI244" i="7" s="1"/>
  <c r="AJ244" i="7" s="1"/>
  <c r="AE214" i="7"/>
  <c r="AF214" i="7" s="1"/>
  <c r="AI214" i="7" s="1"/>
  <c r="AJ214" i="7" s="1"/>
  <c r="AE409" i="7"/>
  <c r="AF409" i="7" s="1"/>
  <c r="AI409" i="7" s="1"/>
  <c r="AJ409" i="7" s="1"/>
  <c r="AD291" i="7"/>
  <c r="S291" i="7"/>
  <c r="AB291" i="7" s="1"/>
  <c r="AC291" i="7" s="1"/>
  <c r="AE169" i="7"/>
  <c r="AF169" i="7" s="1"/>
  <c r="AI169" i="7" s="1"/>
  <c r="AJ169" i="7" s="1"/>
  <c r="AE175" i="7"/>
  <c r="AF175" i="7" s="1"/>
  <c r="AI175" i="7" s="1"/>
  <c r="AJ175" i="7" s="1"/>
  <c r="AE160" i="7"/>
  <c r="AF160" i="7" s="1"/>
  <c r="AI160" i="7" s="1"/>
  <c r="AJ160" i="7" s="1"/>
  <c r="AC108" i="7"/>
  <c r="AD108" i="7"/>
  <c r="AE355" i="7"/>
  <c r="AF355" i="7" s="1"/>
  <c r="AI355" i="7" s="1"/>
  <c r="AJ355" i="7" s="1"/>
  <c r="AE157" i="7"/>
  <c r="AF157" i="7" s="1"/>
  <c r="AI157" i="7" s="1"/>
  <c r="AJ157" i="7" s="1"/>
  <c r="AD204" i="7"/>
  <c r="S204" i="7"/>
  <c r="AB204" i="7" s="1"/>
  <c r="AC204" i="7" s="1"/>
  <c r="AE86" i="7"/>
  <c r="AF86" i="7" s="1"/>
  <c r="AI86" i="7" s="1"/>
  <c r="AJ86" i="7" s="1"/>
  <c r="AE480" i="7"/>
  <c r="AF480" i="7" s="1"/>
  <c r="AI480" i="7" s="1"/>
  <c r="AJ480" i="7" s="1"/>
  <c r="AE469" i="7"/>
  <c r="AF469" i="7" s="1"/>
  <c r="AI469" i="7" s="1"/>
  <c r="AJ469" i="7" s="1"/>
  <c r="AE418" i="7"/>
  <c r="AF418" i="7" s="1"/>
  <c r="AI418" i="7" s="1"/>
  <c r="AJ418" i="7" s="1"/>
  <c r="AE22" i="7"/>
  <c r="AF22" i="7" s="1"/>
  <c r="AI22" i="7" s="1"/>
  <c r="AJ22" i="7" s="1"/>
  <c r="AD255" i="7"/>
  <c r="AC255" i="7"/>
  <c r="AD21" i="7"/>
  <c r="O21" i="7"/>
  <c r="AB21" i="7" s="1"/>
  <c r="AC21" i="7" s="1"/>
  <c r="AE393" i="7"/>
  <c r="AF393" i="7" s="1"/>
  <c r="AI393" i="7" s="1"/>
  <c r="AJ393" i="7" s="1"/>
  <c r="AD219" i="7"/>
  <c r="AC219" i="7"/>
  <c r="AE93" i="7"/>
  <c r="AF93" i="7" s="1"/>
  <c r="AI93" i="7" s="1"/>
  <c r="AJ93" i="7" s="1"/>
  <c r="AB305" i="7"/>
  <c r="AC305" i="7" s="1"/>
  <c r="AE203" i="7"/>
  <c r="AF203" i="7" s="1"/>
  <c r="AI203" i="7" s="1"/>
  <c r="AJ203" i="7" s="1"/>
  <c r="AE126" i="7"/>
  <c r="AF126" i="7" s="1"/>
  <c r="AI126" i="7" s="1"/>
  <c r="AJ126" i="7" s="1"/>
  <c r="AE42" i="7"/>
  <c r="AF42" i="7" s="1"/>
  <c r="AI42" i="7" s="1"/>
  <c r="AJ42" i="7" s="1"/>
  <c r="AD139" i="7"/>
  <c r="S139" i="7"/>
  <c r="AB139" i="7" s="1"/>
  <c r="AC139" i="7" s="1"/>
  <c r="AD212" i="7"/>
  <c r="S212" i="7"/>
  <c r="AB212" i="7" s="1"/>
  <c r="AC212" i="7" s="1"/>
  <c r="AD191" i="7"/>
  <c r="S191" i="7"/>
  <c r="AB191" i="7" s="1"/>
  <c r="AC191" i="7" s="1"/>
  <c r="AE440" i="7"/>
  <c r="AF440" i="7" s="1"/>
  <c r="AI440" i="7" s="1"/>
  <c r="AJ440" i="7" s="1"/>
  <c r="AD151" i="7"/>
  <c r="S151" i="7"/>
  <c r="AB151" i="7" s="1"/>
  <c r="AC151" i="7" s="1"/>
  <c r="AC387" i="7"/>
  <c r="AD387" i="7"/>
  <c r="AC145" i="7"/>
  <c r="AD145" i="7"/>
  <c r="AD422" i="7"/>
  <c r="S422" i="7"/>
  <c r="O422" i="7"/>
  <c r="AB422" i="7" s="1"/>
  <c r="AC422" i="7" s="1"/>
  <c r="AD201" i="7"/>
  <c r="AC201" i="7"/>
  <c r="AE358" i="7"/>
  <c r="AF358" i="7" s="1"/>
  <c r="AI358" i="7" s="1"/>
  <c r="AJ358" i="7" s="1"/>
  <c r="AE377" i="7"/>
  <c r="AF377" i="7" s="1"/>
  <c r="AI377" i="7" s="1"/>
  <c r="AJ377" i="7" s="1"/>
  <c r="AE254" i="7"/>
  <c r="AF254" i="7" s="1"/>
  <c r="AI254" i="7" s="1"/>
  <c r="AJ254" i="7" s="1"/>
  <c r="AE292" i="7"/>
  <c r="AF292" i="7" s="1"/>
  <c r="AI292" i="7" s="1"/>
  <c r="AJ292" i="7" s="1"/>
  <c r="AD293" i="7"/>
  <c r="S293" i="7"/>
  <c r="AB293" i="7" s="1"/>
  <c r="AC293" i="7" s="1"/>
  <c r="AE479" i="7"/>
  <c r="AF479" i="7" s="1"/>
  <c r="AI479" i="7" s="1"/>
  <c r="AJ479" i="7" s="1"/>
  <c r="AD497" i="7"/>
  <c r="S497" i="7"/>
  <c r="O497" i="7"/>
  <c r="AB497" i="7" s="1"/>
  <c r="AC497" i="7" s="1"/>
  <c r="AD166" i="7"/>
  <c r="AC166" i="7"/>
  <c r="AE397" i="7"/>
  <c r="AF397" i="7" s="1"/>
  <c r="AI397" i="7" s="1"/>
  <c r="AJ397" i="7" s="1"/>
  <c r="AD232" i="7"/>
  <c r="O232" i="7"/>
  <c r="AB232" i="7" s="1"/>
  <c r="AC232" i="7" s="1"/>
  <c r="S232" i="7"/>
  <c r="AE156" i="7"/>
  <c r="AF156" i="7" s="1"/>
  <c r="AI156" i="7" s="1"/>
  <c r="AJ156" i="7" s="1"/>
  <c r="AE382" i="7"/>
  <c r="AF382" i="7" s="1"/>
  <c r="AI382" i="7" s="1"/>
  <c r="AJ382" i="7" s="1"/>
  <c r="AE71" i="7"/>
  <c r="AF71" i="7" s="1"/>
  <c r="AI71" i="7" s="1"/>
  <c r="AJ71" i="7" s="1"/>
  <c r="AE98" i="7"/>
  <c r="AF98" i="7" s="1"/>
  <c r="AI98" i="7" s="1"/>
  <c r="AJ98" i="7" s="1"/>
  <c r="AE25" i="7"/>
  <c r="AF25" i="7" s="1"/>
  <c r="AI25" i="7" s="1"/>
  <c r="AJ25" i="7" s="1"/>
  <c r="AD258" i="7"/>
  <c r="AC258" i="7"/>
  <c r="AE68" i="7"/>
  <c r="AF68" i="7" s="1"/>
  <c r="AI68" i="7" s="1"/>
  <c r="AJ68" i="7" s="1"/>
  <c r="AE370" i="7"/>
  <c r="AF370" i="7" s="1"/>
  <c r="AI370" i="7" s="1"/>
  <c r="AJ370" i="7" s="1"/>
  <c r="AE282" i="7"/>
  <c r="AF282" i="7" s="1"/>
  <c r="AI282" i="7" s="1"/>
  <c r="AJ282" i="7" s="1"/>
  <c r="AD322" i="7"/>
  <c r="AC322" i="7"/>
  <c r="AD148" i="7"/>
  <c r="O148" i="7"/>
  <c r="AB148" i="7" s="1"/>
  <c r="AC148" i="7" s="1"/>
  <c r="AE460" i="7"/>
  <c r="AF460" i="7" s="1"/>
  <c r="AI460" i="7" s="1"/>
  <c r="AJ460" i="7" s="1"/>
  <c r="AE333" i="7"/>
  <c r="AF333" i="7" s="1"/>
  <c r="AI333" i="7" s="1"/>
  <c r="AJ333" i="7" s="1"/>
  <c r="AE167" i="7"/>
  <c r="AF167" i="7" s="1"/>
  <c r="AI167" i="7" s="1"/>
  <c r="AJ167" i="7" s="1"/>
  <c r="AE128" i="7"/>
  <c r="AF128" i="7" s="1"/>
  <c r="AI128" i="7" s="1"/>
  <c r="AJ128" i="7" s="1"/>
  <c r="AE60" i="7"/>
  <c r="AF60" i="7" s="1"/>
  <c r="AI60" i="7" s="1"/>
  <c r="AJ60" i="7" s="1"/>
  <c r="AD186" i="7"/>
  <c r="S186" i="7"/>
  <c r="AB186" i="7" s="1"/>
  <c r="AC186" i="7" s="1"/>
  <c r="AD124" i="7"/>
  <c r="AC124" i="7"/>
  <c r="AD491" i="7"/>
  <c r="AC491" i="7"/>
  <c r="AD37" i="7"/>
  <c r="AC37" i="7"/>
  <c r="AD242" i="7"/>
  <c r="O242" i="7"/>
  <c r="AB242" i="7" s="1"/>
  <c r="AC242" i="7" s="1"/>
  <c r="AD130" i="7"/>
  <c r="AC130" i="7"/>
  <c r="AE143" i="7"/>
  <c r="AF143" i="7" s="1"/>
  <c r="AI143" i="7" s="1"/>
  <c r="AJ143" i="7" s="1"/>
  <c r="AE129" i="7"/>
  <c r="AF129" i="7" s="1"/>
  <c r="AI129" i="7" s="1"/>
  <c r="AJ129" i="7" s="1"/>
  <c r="AD235" i="7"/>
  <c r="AC235" i="7"/>
  <c r="AE97" i="7"/>
  <c r="AF97" i="7" s="1"/>
  <c r="AI97" i="7" s="1"/>
  <c r="AJ97" i="7" s="1"/>
  <c r="AE12" i="7"/>
  <c r="AF12" i="7" s="1"/>
  <c r="AI12" i="7" s="1"/>
  <c r="AJ12" i="7" s="1"/>
  <c r="AE335" i="7"/>
  <c r="AF335" i="7" s="1"/>
  <c r="AI335" i="7" s="1"/>
  <c r="AJ335" i="7" s="1"/>
  <c r="AE487" i="7"/>
  <c r="AF487" i="7" s="1"/>
  <c r="AI487" i="7" s="1"/>
  <c r="AJ487" i="7" s="1"/>
  <c r="AE81" i="7"/>
  <c r="AF81" i="7" s="1"/>
  <c r="AI81" i="7" s="1"/>
  <c r="AJ81" i="7" s="1"/>
  <c r="AE131" i="7"/>
  <c r="AF131" i="7" s="1"/>
  <c r="AI131" i="7" s="1"/>
  <c r="AJ131" i="7" s="1"/>
  <c r="AD302" i="7"/>
  <c r="O302" i="7"/>
  <c r="AB302" i="7" s="1"/>
  <c r="AC302" i="7" s="1"/>
  <c r="S302" i="7"/>
  <c r="AE375" i="7"/>
  <c r="AF375" i="7" s="1"/>
  <c r="AI375" i="7" s="1"/>
  <c r="AJ375" i="7" s="1"/>
  <c r="AD241" i="7"/>
  <c r="AC241" i="7"/>
  <c r="AD24" i="7"/>
  <c r="AC24" i="7"/>
  <c r="AD144" i="7"/>
  <c r="O144" i="7"/>
  <c r="AB144" i="7" s="1"/>
  <c r="AC144" i="7" s="1"/>
  <c r="AD394" i="7"/>
  <c r="O394" i="7"/>
  <c r="AB394" i="7" s="1"/>
  <c r="AC394" i="7" s="1"/>
  <c r="S394" i="7"/>
  <c r="AE363" i="7"/>
  <c r="AF363" i="7" s="1"/>
  <c r="AI363" i="7" s="1"/>
  <c r="AJ363" i="7" s="1"/>
  <c r="AD499" i="7"/>
  <c r="O499" i="7"/>
  <c r="AB499" i="7" s="1"/>
  <c r="AC499" i="7" s="1"/>
  <c r="AD210" i="7"/>
  <c r="O210" i="7"/>
  <c r="AB210" i="7" s="1"/>
  <c r="AC210" i="7" s="1"/>
  <c r="AD326" i="7"/>
  <c r="S326" i="7"/>
  <c r="AB326" i="7" s="1"/>
  <c r="AC326" i="7" s="1"/>
  <c r="AD314" i="7"/>
  <c r="AC314" i="7"/>
  <c r="AE481" i="7"/>
  <c r="AF481" i="7" s="1"/>
  <c r="AI481" i="7" s="1"/>
  <c r="AJ481" i="7" s="1"/>
  <c r="AE444" i="7"/>
  <c r="AF444" i="7" s="1"/>
  <c r="AI444" i="7" s="1"/>
  <c r="AJ444" i="7" s="1"/>
  <c r="AD376" i="7"/>
  <c r="AC376" i="7"/>
  <c r="AD489" i="7"/>
  <c r="S489" i="7"/>
  <c r="AB489" i="7" s="1"/>
  <c r="AC489" i="7" s="1"/>
  <c r="AC413" i="7"/>
  <c r="AD413" i="7"/>
  <c r="AD16" i="7"/>
  <c r="O16" i="7"/>
  <c r="AB16" i="7" s="1"/>
  <c r="AC16" i="7" s="1"/>
  <c r="AC216" i="7"/>
  <c r="AD216" i="7"/>
  <c r="AD7" i="7"/>
  <c r="S7" i="7"/>
  <c r="O7" i="7"/>
  <c r="AE208" i="7"/>
  <c r="AF208" i="7" s="1"/>
  <c r="AI208" i="7" s="1"/>
  <c r="AJ208" i="7" s="1"/>
  <c r="AD267" i="7"/>
  <c r="AC267" i="7"/>
  <c r="AB285" i="7"/>
  <c r="AC285" i="7" s="1"/>
  <c r="AD468" i="7"/>
  <c r="O468" i="7"/>
  <c r="AB468" i="7" s="1"/>
  <c r="AC468" i="7" s="1"/>
  <c r="AD209" i="7"/>
  <c r="AC209" i="7"/>
  <c r="AB91" i="7"/>
  <c r="AC91" i="7" s="1"/>
  <c r="AE261" i="7"/>
  <c r="AF261" i="7" s="1"/>
  <c r="AI261" i="7" s="1"/>
  <c r="AJ261" i="7" s="1"/>
  <c r="AC417" i="7"/>
  <c r="AD417" i="7"/>
  <c r="AD279" i="7"/>
  <c r="S279" i="7"/>
  <c r="AB279" i="7" s="1"/>
  <c r="AC279" i="7" s="1"/>
  <c r="AD152" i="7"/>
  <c r="AC152" i="7"/>
  <c r="AE465" i="7"/>
  <c r="AF465" i="7" s="1"/>
  <c r="AI465" i="7" s="1"/>
  <c r="AJ465" i="7" s="1"/>
  <c r="AD306" i="7"/>
  <c r="S306" i="7"/>
  <c r="AB306" i="7" s="1"/>
  <c r="AC306" i="7" s="1"/>
  <c r="AE170" i="7"/>
  <c r="AF170" i="7" s="1"/>
  <c r="AI170" i="7" s="1"/>
  <c r="AJ170" i="7" s="1"/>
  <c r="AD488" i="7"/>
  <c r="AC488" i="7"/>
  <c r="AD341" i="7"/>
  <c r="S341" i="7"/>
  <c r="AB341" i="7" s="1"/>
  <c r="AC341" i="7" s="1"/>
  <c r="AD260" i="7"/>
  <c r="S260" i="7"/>
  <c r="AB260" i="7" s="1"/>
  <c r="AC260" i="7" s="1"/>
  <c r="AE215" i="7"/>
  <c r="AF215" i="7" s="1"/>
  <c r="AI215" i="7" s="1"/>
  <c r="AJ215" i="7" s="1"/>
  <c r="AD340" i="7"/>
  <c r="O340" i="7"/>
  <c r="S340" i="7"/>
  <c r="AE58" i="7"/>
  <c r="AF58" i="7" s="1"/>
  <c r="AI58" i="7" s="1"/>
  <c r="AJ58" i="7" s="1"/>
  <c r="AE414" i="7"/>
  <c r="AF414" i="7" s="1"/>
  <c r="AI414" i="7" s="1"/>
  <c r="AJ414" i="7" s="1"/>
  <c r="AC180" i="7"/>
  <c r="AD180" i="7"/>
  <c r="AE56" i="7"/>
  <c r="AF56" i="7" s="1"/>
  <c r="AI56" i="7" s="1"/>
  <c r="AJ56" i="7" s="1"/>
  <c r="AE399" i="7"/>
  <c r="AF399" i="7" s="1"/>
  <c r="AI399" i="7" s="1"/>
  <c r="AJ399" i="7" s="1"/>
  <c r="AE161" i="7"/>
  <c r="AF161" i="7" s="1"/>
  <c r="AI161" i="7" s="1"/>
  <c r="AJ161" i="7" s="1"/>
  <c r="AE31" i="7"/>
  <c r="AF31" i="7" s="1"/>
  <c r="AI31" i="7" s="1"/>
  <c r="AJ31" i="7" s="1"/>
  <c r="AD429" i="7"/>
  <c r="O429" i="7"/>
  <c r="AB429" i="7" s="1"/>
  <c r="AC429" i="7" s="1"/>
  <c r="J504" i="7"/>
  <c r="L4" i="7"/>
  <c r="AE236" i="7"/>
  <c r="AF236" i="7" s="1"/>
  <c r="AI236" i="7" s="1"/>
  <c r="AJ236" i="7" s="1"/>
  <c r="AD350" i="7"/>
  <c r="S350" i="7"/>
  <c r="AB350" i="7" s="1"/>
  <c r="AC350" i="7" s="1"/>
  <c r="AE95" i="7"/>
  <c r="AF95" i="7" s="1"/>
  <c r="AI95" i="7" s="1"/>
  <c r="AJ95" i="7" s="1"/>
  <c r="AD96" i="7"/>
  <c r="AC96" i="7"/>
  <c r="AD325" i="7"/>
  <c r="S325" i="7"/>
  <c r="AB325" i="7" s="1"/>
  <c r="AC325" i="7" s="1"/>
  <c r="AE486" i="7"/>
  <c r="AF486" i="7" s="1"/>
  <c r="AI486" i="7" s="1"/>
  <c r="AJ486" i="7" s="1"/>
  <c r="AD354" i="7"/>
  <c r="S354" i="7"/>
  <c r="AB354" i="7" s="1"/>
  <c r="AC354" i="7" s="1"/>
  <c r="AD59" i="7"/>
  <c r="S59" i="7"/>
  <c r="AB59" i="7" s="1"/>
  <c r="AC59" i="7" s="1"/>
  <c r="AD298" i="7"/>
  <c r="S298" i="7"/>
  <c r="AB298" i="7" s="1"/>
  <c r="AC298" i="7" s="1"/>
  <c r="AE223" i="7"/>
  <c r="AF223" i="7" s="1"/>
  <c r="AI223" i="7" s="1"/>
  <c r="AJ223" i="7" s="1"/>
  <c r="AE65" i="7"/>
  <c r="AF65" i="7" s="1"/>
  <c r="AI65" i="7" s="1"/>
  <c r="AJ65" i="7" s="1"/>
  <c r="AE30" i="7"/>
  <c r="AF30" i="7" s="1"/>
  <c r="AI30" i="7" s="1"/>
  <c r="AJ30" i="7" s="1"/>
  <c r="AE277" i="7"/>
  <c r="AF277" i="7" s="1"/>
  <c r="AI277" i="7" s="1"/>
  <c r="AJ277" i="7" s="1"/>
  <c r="AE464" i="7"/>
  <c r="AF464" i="7" s="1"/>
  <c r="AI464" i="7" s="1"/>
  <c r="AJ464" i="7" s="1"/>
  <c r="AE315" i="7"/>
  <c r="AF315" i="7" s="1"/>
  <c r="AI315" i="7" s="1"/>
  <c r="AJ315" i="7" s="1"/>
  <c r="AE101" i="7"/>
  <c r="AF101" i="7" s="1"/>
  <c r="AI101" i="7" s="1"/>
  <c r="AJ101" i="7" s="1"/>
  <c r="AE352" i="7"/>
  <c r="AF352" i="7" s="1"/>
  <c r="AI352" i="7" s="1"/>
  <c r="AJ352" i="7" s="1"/>
  <c r="AE17" i="7"/>
  <c r="AF17" i="7" s="1"/>
  <c r="AI17" i="7" s="1"/>
  <c r="AJ17" i="7" s="1"/>
  <c r="AE15" i="7"/>
  <c r="AF15" i="7" s="1"/>
  <c r="AI15" i="7" s="1"/>
  <c r="AJ15" i="7" s="1"/>
  <c r="AC401" i="7"/>
  <c r="AD401" i="7"/>
  <c r="AD54" i="7"/>
  <c r="AC54" i="7"/>
  <c r="AD253" i="7"/>
  <c r="S253" i="7"/>
  <c r="O253" i="7"/>
  <c r="AD200" i="7"/>
  <c r="AC200" i="7"/>
  <c r="AD332" i="7"/>
  <c r="S332" i="7"/>
  <c r="AB332" i="7" s="1"/>
  <c r="AC332" i="7" s="1"/>
  <c r="AC182" i="7"/>
  <c r="AD182" i="7"/>
  <c r="AE177" i="7"/>
  <c r="AF177" i="7" s="1"/>
  <c r="AI177" i="7" s="1"/>
  <c r="AJ177" i="7" s="1"/>
  <c r="AE36" i="7"/>
  <c r="AF36" i="7" s="1"/>
  <c r="AI36" i="7" s="1"/>
  <c r="AJ36" i="7" s="1"/>
  <c r="AE296" i="7"/>
  <c r="AF296" i="7" s="1"/>
  <c r="AI296" i="7" s="1"/>
  <c r="AJ296" i="7" s="1"/>
  <c r="AC348" i="7"/>
  <c r="AD348" i="7"/>
  <c r="AE353" i="7"/>
  <c r="AF353" i="7" s="1"/>
  <c r="AI353" i="7" s="1"/>
  <c r="AJ353" i="7" s="1"/>
  <c r="AD395" i="7"/>
  <c r="S395" i="7"/>
  <c r="AB395" i="7" s="1"/>
  <c r="AC395" i="7" s="1"/>
  <c r="AE45" i="7"/>
  <c r="AF45" i="7" s="1"/>
  <c r="AI45" i="7" s="1"/>
  <c r="AJ45" i="7" s="1"/>
  <c r="AD266" i="7"/>
  <c r="AC266" i="7"/>
  <c r="AE165" i="7"/>
  <c r="AF165" i="7" s="1"/>
  <c r="AI165" i="7" s="1"/>
  <c r="AJ165" i="7" s="1"/>
  <c r="AD311" i="7"/>
  <c r="S311" i="7"/>
  <c r="AB311" i="7" s="1"/>
  <c r="AC311" i="7" s="1"/>
  <c r="AD392" i="7"/>
  <c r="S392" i="7"/>
  <c r="AB392" i="7" s="1"/>
  <c r="AC392" i="7" s="1"/>
  <c r="AE9" i="7"/>
  <c r="AF9" i="7" s="1"/>
  <c r="AI9" i="7" s="1"/>
  <c r="AJ9" i="7" s="1"/>
  <c r="AD238" i="7"/>
  <c r="O238" i="7"/>
  <c r="AB238" i="7" s="1"/>
  <c r="AC238" i="7" s="1"/>
  <c r="AE66" i="7"/>
  <c r="AF66" i="7" s="1"/>
  <c r="AI66" i="7" s="1"/>
  <c r="AJ66" i="7" s="1"/>
  <c r="AE495" i="7"/>
  <c r="AF495" i="7" s="1"/>
  <c r="AI495" i="7" s="1"/>
  <c r="AJ495" i="7" s="1"/>
  <c r="AD72" i="7"/>
  <c r="S72" i="7"/>
  <c r="AB72" i="7" s="1"/>
  <c r="AC72" i="7" s="1"/>
  <c r="AD450" i="7"/>
  <c r="S450" i="7"/>
  <c r="AB450" i="7" s="1"/>
  <c r="AC450" i="7" s="1"/>
  <c r="AD193" i="7"/>
  <c r="AC193" i="7"/>
  <c r="AE251" i="7"/>
  <c r="AF251" i="7" s="1"/>
  <c r="AI251" i="7" s="1"/>
  <c r="AJ251" i="7" s="1"/>
  <c r="AE84" i="7"/>
  <c r="AF84" i="7" s="1"/>
  <c r="AI84" i="7" s="1"/>
  <c r="AJ84" i="7" s="1"/>
  <c r="AD313" i="7"/>
  <c r="AC313" i="7"/>
  <c r="AD318" i="7"/>
  <c r="S318" i="7"/>
  <c r="AB318" i="7" s="1"/>
  <c r="AC318" i="7" s="1"/>
  <c r="AE423" i="7"/>
  <c r="AF423" i="7" s="1"/>
  <c r="AI423" i="7" s="1"/>
  <c r="AJ423" i="7" s="1"/>
  <c r="AE373" i="7"/>
  <c r="AF373" i="7" s="1"/>
  <c r="AI373" i="7" s="1"/>
  <c r="AJ373" i="7" s="1"/>
  <c r="AE33" i="7"/>
  <c r="AF33" i="7" s="1"/>
  <c r="AI33" i="7" s="1"/>
  <c r="AJ33" i="7" s="1"/>
  <c r="AE463" i="7"/>
  <c r="AF463" i="7" s="1"/>
  <c r="AI463" i="7" s="1"/>
  <c r="AJ463" i="7" s="1"/>
  <c r="AD50" i="7"/>
  <c r="O50" i="7"/>
  <c r="S50" i="7"/>
  <c r="AD250" i="7"/>
  <c r="AC250" i="7"/>
  <c r="AD192" i="7"/>
  <c r="S192" i="7"/>
  <c r="O192" i="7"/>
  <c r="AD29" i="7"/>
  <c r="S29" i="7"/>
  <c r="AB29" i="7" s="1"/>
  <c r="AC29" i="7" s="1"/>
  <c r="AD5" i="7"/>
  <c r="AC5" i="7"/>
  <c r="AE115" i="7"/>
  <c r="AF115" i="7" s="1"/>
  <c r="AI115" i="7" s="1"/>
  <c r="AJ115" i="7" s="1"/>
  <c r="AE436" i="7"/>
  <c r="AF436" i="7" s="1"/>
  <c r="AI436" i="7" s="1"/>
  <c r="AJ436" i="7" s="1"/>
  <c r="AE307" i="7"/>
  <c r="AF307" i="7" s="1"/>
  <c r="AI307" i="7" s="1"/>
  <c r="AJ307" i="7" s="1"/>
  <c r="AE136" i="7"/>
  <c r="AF136" i="7" s="1"/>
  <c r="AI136" i="7" s="1"/>
  <c r="AJ136" i="7" s="1"/>
  <c r="AD280" i="7"/>
  <c r="S280" i="7"/>
  <c r="AB280" i="7" s="1"/>
  <c r="AC280" i="7" s="1"/>
  <c r="AE220" i="7"/>
  <c r="AF220" i="7" s="1"/>
  <c r="AI220" i="7" s="1"/>
  <c r="AJ220" i="7" s="1"/>
  <c r="AE146" i="7"/>
  <c r="AF146" i="7" s="1"/>
  <c r="AI146" i="7" s="1"/>
  <c r="AJ146" i="7" s="1"/>
  <c r="AE225" i="7"/>
  <c r="AF225" i="7" s="1"/>
  <c r="AI225" i="7" s="1"/>
  <c r="AJ225" i="7" s="1"/>
  <c r="AD40" i="7"/>
  <c r="S40" i="7"/>
  <c r="AB40" i="7" s="1"/>
  <c r="AC40" i="7" s="1"/>
  <c r="AE138" i="7"/>
  <c r="AF138" i="7" s="1"/>
  <c r="AI138" i="7" s="1"/>
  <c r="AJ138" i="7" s="1"/>
  <c r="AE403" i="7"/>
  <c r="AF403" i="7" s="1"/>
  <c r="AI403" i="7" s="1"/>
  <c r="AJ403" i="7" s="1"/>
  <c r="AD179" i="7"/>
  <c r="AC179" i="7"/>
  <c r="AE174" i="7"/>
  <c r="AF174" i="7" s="1"/>
  <c r="AI174" i="7" s="1"/>
  <c r="AJ174" i="7" s="1"/>
  <c r="AE503" i="7"/>
  <c r="AF503" i="7" s="1"/>
  <c r="AI503" i="7" s="1"/>
  <c r="AJ503" i="7" s="1"/>
  <c r="AE441" i="7"/>
  <c r="AF441" i="7" s="1"/>
  <c r="AI441" i="7" s="1"/>
  <c r="AJ441" i="7" s="1"/>
  <c r="AD412" i="7"/>
  <c r="S412" i="7"/>
  <c r="AB412" i="7" s="1"/>
  <c r="AC412" i="7" s="1"/>
  <c r="AD268" i="7"/>
  <c r="S268" i="7"/>
  <c r="AB268" i="7" s="1"/>
  <c r="AC268" i="7" s="1"/>
  <c r="AD99" i="7"/>
  <c r="S99" i="7"/>
  <c r="O99" i="7"/>
  <c r="AB99" i="7" s="1"/>
  <c r="AC99" i="7" s="1"/>
  <c r="AD309" i="7"/>
  <c r="S309" i="7"/>
  <c r="AB309" i="7" s="1"/>
  <c r="AC309" i="7" s="1"/>
  <c r="AC330" i="7"/>
  <c r="AD330" i="7"/>
  <c r="AE202" i="7"/>
  <c r="AF202" i="7" s="1"/>
  <c r="AI202" i="7" s="1"/>
  <c r="AJ202" i="7" s="1"/>
  <c r="AE257" i="7"/>
  <c r="AF257" i="7" s="1"/>
  <c r="AI257" i="7" s="1"/>
  <c r="AJ257" i="7" s="1"/>
  <c r="AD249" i="7"/>
  <c r="AC249" i="7"/>
  <c r="AE82" i="7"/>
  <c r="AF82" i="7" s="1"/>
  <c r="AI82" i="7" s="1"/>
  <c r="AJ82" i="7" s="1"/>
  <c r="AD324" i="7"/>
  <c r="S324" i="7"/>
  <c r="O324" i="7"/>
  <c r="AB324" i="7" s="1"/>
  <c r="AC324" i="7" s="1"/>
  <c r="AE271" i="7"/>
  <c r="AF271" i="7" s="1"/>
  <c r="AI271" i="7" s="1"/>
  <c r="AJ271" i="7" s="1"/>
  <c r="AE51" i="7"/>
  <c r="AF51" i="7" s="1"/>
  <c r="AI51" i="7" s="1"/>
  <c r="AJ51" i="7" s="1"/>
  <c r="AE319" i="7"/>
  <c r="AF319" i="7" s="1"/>
  <c r="AI319" i="7" s="1"/>
  <c r="AJ319" i="7" s="1"/>
  <c r="AD11" i="7"/>
  <c r="AC11" i="7"/>
  <c r="AD276" i="7"/>
  <c r="O276" i="7"/>
  <c r="AB276" i="7" s="1"/>
  <c r="AC276" i="7" s="1"/>
  <c r="AE26" i="7"/>
  <c r="AF26" i="7" s="1"/>
  <c r="AI26" i="7" s="1"/>
  <c r="AJ26" i="7" s="1"/>
  <c r="AE482" i="7"/>
  <c r="AF482" i="7" s="1"/>
  <c r="AI482" i="7" s="1"/>
  <c r="AJ482" i="7" s="1"/>
  <c r="AE437" i="7"/>
  <c r="AF437" i="7" s="1"/>
  <c r="AI437" i="7" s="1"/>
  <c r="AJ437" i="7" s="1"/>
  <c r="AE113" i="7"/>
  <c r="AF113" i="7" s="1"/>
  <c r="AI113" i="7" s="1"/>
  <c r="AJ113" i="7" s="1"/>
  <c r="AE452" i="7"/>
  <c r="AF452" i="7" s="1"/>
  <c r="AI452" i="7" s="1"/>
  <c r="AJ452" i="7" s="1"/>
  <c r="AE109" i="7"/>
  <c r="AF109" i="7" s="1"/>
  <c r="AI109" i="7" s="1"/>
  <c r="AJ109" i="7" s="1"/>
  <c r="AE300" i="7"/>
  <c r="AF300" i="7" s="1"/>
  <c r="AI300" i="7" s="1"/>
  <c r="AJ300" i="7" s="1"/>
  <c r="AE237" i="7"/>
  <c r="AF237" i="7" s="1"/>
  <c r="AI237" i="7" s="1"/>
  <c r="AJ237" i="7" s="1"/>
  <c r="AD289" i="7"/>
  <c r="S289" i="7"/>
  <c r="AB289" i="7" s="1"/>
  <c r="AC289" i="7" s="1"/>
  <c r="AD287" i="7"/>
  <c r="AC287" i="7"/>
  <c r="AD407" i="7"/>
  <c r="S407" i="7"/>
  <c r="AB407" i="7" s="1"/>
  <c r="AC407" i="7" s="1"/>
  <c r="AC433" i="7"/>
  <c r="AD433" i="7"/>
  <c r="AD337" i="7"/>
  <c r="S337" i="7"/>
  <c r="AB337" i="7" s="1"/>
  <c r="AC337" i="7" s="1"/>
  <c r="AE162" i="7"/>
  <c r="AF162" i="7" s="1"/>
  <c r="AI162" i="7" s="1"/>
  <c r="AJ162" i="7" s="1"/>
  <c r="AE343" i="7"/>
  <c r="AF343" i="7" s="1"/>
  <c r="AI343" i="7" s="1"/>
  <c r="AJ343" i="7" s="1"/>
  <c r="AE472" i="7"/>
  <c r="AF472" i="7" s="1"/>
  <c r="AI472" i="7" s="1"/>
  <c r="AJ472" i="7" s="1"/>
  <c r="AD288" i="7"/>
  <c r="S288" i="7"/>
  <c r="AB288" i="7" s="1"/>
  <c r="AC288" i="7" s="1"/>
  <c r="AD158" i="7"/>
  <c r="AC158" i="7"/>
  <c r="AD205" i="7"/>
  <c r="S205" i="7"/>
  <c r="AB205" i="7" s="1"/>
  <c r="AC205" i="7" s="1"/>
  <c r="AC308" i="7"/>
  <c r="AD308" i="7"/>
  <c r="AE502" i="7"/>
  <c r="AF502" i="7" s="1"/>
  <c r="AI502" i="7" s="1"/>
  <c r="AJ502" i="7" s="1"/>
  <c r="AB364" i="7"/>
  <c r="AC364" i="7" s="1"/>
  <c r="AB321" i="7"/>
  <c r="AC321" i="7" s="1"/>
  <c r="AD19" i="7"/>
  <c r="S19" i="7"/>
  <c r="AB19" i="7" s="1"/>
  <c r="AC19" i="7" s="1"/>
  <c r="AB55" i="7"/>
  <c r="AC55" i="7" s="1"/>
  <c r="AC336" i="7"/>
  <c r="AD336" i="7"/>
  <c r="AD390" i="7"/>
  <c r="AC390" i="7"/>
  <c r="AE118" i="7"/>
  <c r="AF118" i="7" s="1"/>
  <c r="AI118" i="7" s="1"/>
  <c r="AJ118" i="7" s="1"/>
  <c r="AE405" i="7"/>
  <c r="AF405" i="7" s="1"/>
  <c r="AI405" i="7" s="1"/>
  <c r="AJ405" i="7" s="1"/>
  <c r="AE372" i="7"/>
  <c r="AF372" i="7" s="1"/>
  <c r="AI372" i="7" s="1"/>
  <c r="AJ372" i="7" s="1"/>
  <c r="AE85" i="7"/>
  <c r="AF85" i="7" s="1"/>
  <c r="AI85" i="7" s="1"/>
  <c r="AJ85" i="7" s="1"/>
  <c r="AE43" i="7"/>
  <c r="AF43" i="7" s="1"/>
  <c r="AI43" i="7" s="1"/>
  <c r="AJ43" i="7" s="1"/>
  <c r="AE496" i="7"/>
  <c r="AF496" i="7" s="1"/>
  <c r="AI496" i="7" s="1"/>
  <c r="AJ496" i="7" s="1"/>
  <c r="AD339" i="7"/>
  <c r="AC339" i="7"/>
  <c r="AD270" i="7"/>
  <c r="S270" i="7"/>
  <c r="AB270" i="7" s="1"/>
  <c r="AC270" i="7" s="1"/>
  <c r="AD402" i="7"/>
  <c r="AC402" i="7"/>
  <c r="AC137" i="7"/>
  <c r="AD137" i="7"/>
  <c r="AD272" i="7"/>
  <c r="AC272" i="7"/>
  <c r="AC230" i="7"/>
  <c r="AD230" i="7"/>
  <c r="AD119" i="7"/>
  <c r="AC119" i="7"/>
  <c r="AE462" i="7"/>
  <c r="AF462" i="7" s="1"/>
  <c r="AI462" i="7" s="1"/>
  <c r="AJ462" i="7" s="1"/>
  <c r="AE478" i="7"/>
  <c r="AF478" i="7" s="1"/>
  <c r="AI478" i="7" s="1"/>
  <c r="AJ478" i="7" s="1"/>
  <c r="AE243" i="7"/>
  <c r="AF243" i="7" s="1"/>
  <c r="AI243" i="7" s="1"/>
  <c r="AJ243" i="7" s="1"/>
  <c r="AD304" i="7"/>
  <c r="O304" i="7"/>
  <c r="AB304" i="7" s="1"/>
  <c r="AC304" i="7" s="1"/>
  <c r="AE10" i="7"/>
  <c r="AF10" i="7" s="1"/>
  <c r="AI10" i="7" s="1"/>
  <c r="AJ10" i="7" s="1"/>
  <c r="AD248" i="7"/>
  <c r="AC248" i="7"/>
  <c r="AE78" i="7"/>
  <c r="AF78" i="7" s="1"/>
  <c r="AI78" i="7" s="1"/>
  <c r="AJ78" i="7" s="1"/>
  <c r="AE73" i="7"/>
  <c r="AF73" i="7" s="1"/>
  <c r="AI73" i="7" s="1"/>
  <c r="AJ73" i="7" s="1"/>
  <c r="AE181" i="7"/>
  <c r="AF181" i="7" s="1"/>
  <c r="AI181" i="7" s="1"/>
  <c r="AJ181" i="7" s="1"/>
  <c r="AE120" i="7"/>
  <c r="AF120" i="7" s="1"/>
  <c r="AI120" i="7" s="1"/>
  <c r="AJ120" i="7" s="1"/>
  <c r="AD107" i="7"/>
  <c r="AC107" i="7"/>
  <c r="AD218" i="7"/>
  <c r="S218" i="7"/>
  <c r="AB218" i="7" s="1"/>
  <c r="AC218" i="7" s="1"/>
  <c r="AD140" i="7"/>
  <c r="S140" i="7"/>
  <c r="AB140" i="7" s="1"/>
  <c r="AC140" i="7" s="1"/>
  <c r="AD310" i="7"/>
  <c r="O310" i="7"/>
  <c r="S310" i="7"/>
  <c r="AD224" i="7"/>
  <c r="AC224" i="7"/>
  <c r="AD301" i="7"/>
  <c r="AC301" i="7"/>
  <c r="AE102" i="7"/>
  <c r="AF102" i="7" s="1"/>
  <c r="AI102" i="7" s="1"/>
  <c r="AJ102" i="7" s="1"/>
  <c r="AE100" i="7"/>
  <c r="AF100" i="7" s="1"/>
  <c r="AI100" i="7" s="1"/>
  <c r="AJ100" i="7" s="1"/>
  <c r="AC111" i="7"/>
  <c r="AD111" i="7"/>
  <c r="AC20" i="7"/>
  <c r="AD20" i="7"/>
  <c r="AC14" i="7"/>
  <c r="AD14" i="7"/>
  <c r="AD196" i="7"/>
  <c r="S196" i="7"/>
  <c r="AB196" i="7" s="1"/>
  <c r="AC196" i="7" s="1"/>
  <c r="AD362" i="7"/>
  <c r="AC362" i="7"/>
  <c r="AE88" i="7"/>
  <c r="AF88" i="7" s="1"/>
  <c r="AI88" i="7" s="1"/>
  <c r="AJ88" i="7" s="1"/>
  <c r="AE378" i="7"/>
  <c r="AF378" i="7" s="1"/>
  <c r="AI378" i="7" s="1"/>
  <c r="AJ378" i="7" s="1"/>
  <c r="AE231" i="7"/>
  <c r="AF231" i="7" s="1"/>
  <c r="AI231" i="7" s="1"/>
  <c r="AJ231" i="7" s="1"/>
  <c r="AB456" i="7"/>
  <c r="AC456" i="7" s="1"/>
  <c r="AD344" i="7"/>
  <c r="S344" i="7"/>
  <c r="AB344" i="7" s="1"/>
  <c r="AC344" i="7" s="1"/>
  <c r="AD416" i="7"/>
  <c r="AC416" i="7"/>
  <c r="AB132" i="7"/>
  <c r="AC132" i="7" s="1"/>
  <c r="AE485" i="7"/>
  <c r="AF485" i="7" s="1"/>
  <c r="AI485" i="7" s="1"/>
  <c r="AJ485" i="7" s="1"/>
  <c r="AE90" i="7"/>
  <c r="AF90" i="7" s="1"/>
  <c r="AI90" i="7" s="1"/>
  <c r="AJ90" i="7" s="1"/>
  <c r="AE475" i="7"/>
  <c r="AF475" i="7" s="1"/>
  <c r="AI475" i="7" s="1"/>
  <c r="AJ475" i="7" s="1"/>
  <c r="AD127" i="7"/>
  <c r="AC127" i="7"/>
  <c r="AD443" i="7"/>
  <c r="S443" i="7"/>
  <c r="AB443" i="7" s="1"/>
  <c r="AC443" i="7" s="1"/>
  <c r="AD32" i="7"/>
  <c r="AC32" i="7"/>
  <c r="AC459" i="7"/>
  <c r="AD459" i="7"/>
  <c r="AD290" i="7"/>
  <c r="S290" i="7"/>
  <c r="AB290" i="7" s="1"/>
  <c r="AC290" i="7" s="1"/>
  <c r="AC396" i="7"/>
  <c r="AD396" i="7"/>
  <c r="AD239" i="7"/>
  <c r="S239" i="7"/>
  <c r="AB239" i="7" s="1"/>
  <c r="AC239" i="7" s="1"/>
  <c r="AB264" i="7"/>
  <c r="AC264" i="7" s="1"/>
  <c r="AE269" i="7"/>
  <c r="AF269" i="7" s="1"/>
  <c r="AI269" i="7" s="1"/>
  <c r="AJ269" i="7" s="1"/>
  <c r="AD410" i="7"/>
  <c r="S410" i="7"/>
  <c r="O410" i="7"/>
  <c r="AB410" i="7" s="1"/>
  <c r="AC410" i="7" s="1"/>
  <c r="AE104" i="7"/>
  <c r="AF104" i="7" s="1"/>
  <c r="AI104" i="7" s="1"/>
  <c r="AJ104" i="7" s="1"/>
  <c r="AE501" i="7"/>
  <c r="AF501" i="7" s="1"/>
  <c r="AI501" i="7" s="1"/>
  <c r="AJ501" i="7" s="1"/>
  <c r="AD246" i="7"/>
  <c r="S246" i="7"/>
  <c r="O246" i="7"/>
  <c r="AD164" i="7"/>
  <c r="O164" i="7"/>
  <c r="S164" i="7"/>
  <c r="AD168" i="7"/>
  <c r="S168" i="7"/>
  <c r="AB168" i="7" s="1"/>
  <c r="AC168" i="7" s="1"/>
  <c r="AD222" i="7"/>
  <c r="S222" i="7"/>
  <c r="AB222" i="7" s="1"/>
  <c r="AC222" i="7" s="1"/>
  <c r="AD369" i="7"/>
  <c r="S369" i="7"/>
  <c r="AB369" i="7" s="1"/>
  <c r="AC369" i="7" s="1"/>
  <c r="AB121" i="7"/>
  <c r="AC121" i="7" s="1"/>
  <c r="AE461" i="7"/>
  <c r="AF461" i="7" s="1"/>
  <c r="AI461" i="7" s="1"/>
  <c r="AJ461" i="7" s="1"/>
  <c r="AC331" i="7"/>
  <c r="AD331" i="7"/>
  <c r="AI141" i="7"/>
  <c r="AJ141" i="7" s="1"/>
  <c r="AE453" i="7" l="1"/>
  <c r="AF453" i="7" s="1"/>
  <c r="AI453" i="7" s="1"/>
  <c r="AJ453" i="7" s="1"/>
  <c r="AE205" i="7"/>
  <c r="AF205" i="7" s="1"/>
  <c r="AI205" i="7" s="1"/>
  <c r="AJ205" i="7" s="1"/>
  <c r="AE429" i="7"/>
  <c r="AF429" i="7" s="1"/>
  <c r="AI429" i="7" s="1"/>
  <c r="AJ429" i="7" s="1"/>
  <c r="AE279" i="7"/>
  <c r="AF279" i="7" s="1"/>
  <c r="AI279" i="7" s="1"/>
  <c r="AJ279" i="7" s="1"/>
  <c r="AE468" i="7"/>
  <c r="AF468" i="7" s="1"/>
  <c r="AI468" i="7" s="1"/>
  <c r="AJ468" i="7" s="1"/>
  <c r="AE454" i="7"/>
  <c r="AF454" i="7" s="1"/>
  <c r="AI454" i="7" s="1"/>
  <c r="AJ454" i="7" s="1"/>
  <c r="AE477" i="7"/>
  <c r="AF477" i="7" s="1"/>
  <c r="AI477" i="7" s="1"/>
  <c r="AJ477" i="7" s="1"/>
  <c r="AE40" i="7"/>
  <c r="AF40" i="7" s="1"/>
  <c r="AI40" i="7" s="1"/>
  <c r="AJ40" i="7" s="1"/>
  <c r="AE412" i="7"/>
  <c r="AF412" i="7" s="1"/>
  <c r="AI412" i="7" s="1"/>
  <c r="AJ412" i="7" s="1"/>
  <c r="AE29" i="7"/>
  <c r="AF29" i="7" s="1"/>
  <c r="AI29" i="7" s="1"/>
  <c r="AJ29" i="7" s="1"/>
  <c r="AE16" i="7"/>
  <c r="AF16" i="7" s="1"/>
  <c r="AI16" i="7" s="1"/>
  <c r="AJ16" i="7" s="1"/>
  <c r="AE499" i="7"/>
  <c r="AF499" i="7" s="1"/>
  <c r="AI499" i="7" s="1"/>
  <c r="AJ499" i="7" s="1"/>
  <c r="AE186" i="7"/>
  <c r="AF186" i="7" s="1"/>
  <c r="AI186" i="7" s="1"/>
  <c r="AJ186" i="7" s="1"/>
  <c r="AE139" i="7"/>
  <c r="AF139" i="7" s="1"/>
  <c r="AI139" i="7" s="1"/>
  <c r="AJ139" i="7" s="1"/>
  <c r="AE290" i="7"/>
  <c r="AF290" i="7" s="1"/>
  <c r="AI290" i="7" s="1"/>
  <c r="AJ290" i="7" s="1"/>
  <c r="AE204" i="7"/>
  <c r="AF204" i="7" s="1"/>
  <c r="AI204" i="7" s="1"/>
  <c r="AJ204" i="7" s="1"/>
  <c r="AE168" i="7"/>
  <c r="AF168" i="7" s="1"/>
  <c r="AI168" i="7" s="1"/>
  <c r="AJ168" i="7" s="1"/>
  <c r="AE212" i="7"/>
  <c r="AF212" i="7" s="1"/>
  <c r="AI212" i="7" s="1"/>
  <c r="AJ212" i="7" s="1"/>
  <c r="AE70" i="7"/>
  <c r="AF70" i="7" s="1"/>
  <c r="AI70" i="7" s="1"/>
  <c r="AJ70" i="7" s="1"/>
  <c r="AE497" i="7"/>
  <c r="AF497" i="7" s="1"/>
  <c r="AI497" i="7" s="1"/>
  <c r="AJ497" i="7" s="1"/>
  <c r="AE117" i="7"/>
  <c r="AF117" i="7" s="1"/>
  <c r="AI117" i="7" s="1"/>
  <c r="AJ117" i="7" s="1"/>
  <c r="AE75" i="7"/>
  <c r="AF75" i="7" s="1"/>
  <c r="AI75" i="7" s="1"/>
  <c r="AJ75" i="7" s="1"/>
  <c r="AE112" i="7"/>
  <c r="AF112" i="7" s="1"/>
  <c r="AI112" i="7" s="1"/>
  <c r="AJ112" i="7" s="1"/>
  <c r="AE140" i="7"/>
  <c r="AF140" i="7" s="1"/>
  <c r="AI140" i="7" s="1"/>
  <c r="AJ140" i="7" s="1"/>
  <c r="AE337" i="7"/>
  <c r="AF337" i="7" s="1"/>
  <c r="AI337" i="7" s="1"/>
  <c r="AJ337" i="7" s="1"/>
  <c r="AE324" i="7"/>
  <c r="AF324" i="7" s="1"/>
  <c r="AI324" i="7" s="1"/>
  <c r="AJ324" i="7" s="1"/>
  <c r="AE238" i="7"/>
  <c r="AF238" i="7" s="1"/>
  <c r="AI238" i="7" s="1"/>
  <c r="AJ238" i="7" s="1"/>
  <c r="AE332" i="7"/>
  <c r="AF332" i="7" s="1"/>
  <c r="AI332" i="7" s="1"/>
  <c r="AJ332" i="7" s="1"/>
  <c r="AE298" i="7"/>
  <c r="AF298" i="7" s="1"/>
  <c r="AI298" i="7" s="1"/>
  <c r="AJ298" i="7" s="1"/>
  <c r="AE211" i="7"/>
  <c r="AF211" i="7" s="1"/>
  <c r="AI211" i="7" s="1"/>
  <c r="AJ211" i="7" s="1"/>
  <c r="AE384" i="7"/>
  <c r="AF384" i="7" s="1"/>
  <c r="AI384" i="7" s="1"/>
  <c r="AJ384" i="7" s="1"/>
  <c r="AE63" i="7"/>
  <c r="AF63" i="7" s="1"/>
  <c r="AI63" i="7" s="1"/>
  <c r="AJ63" i="7" s="1"/>
  <c r="AE458" i="7"/>
  <c r="AF458" i="7" s="1"/>
  <c r="AI458" i="7" s="1"/>
  <c r="AJ458" i="7" s="1"/>
  <c r="AE268" i="7"/>
  <c r="AF268" i="7" s="1"/>
  <c r="AI268" i="7" s="1"/>
  <c r="AJ268" i="7" s="1"/>
  <c r="AE325" i="7"/>
  <c r="AF325" i="7" s="1"/>
  <c r="AI325" i="7" s="1"/>
  <c r="AJ325" i="7" s="1"/>
  <c r="AE21" i="7"/>
  <c r="AF21" i="7" s="1"/>
  <c r="AI21" i="7" s="1"/>
  <c r="AJ21" i="7" s="1"/>
  <c r="AE291" i="7"/>
  <c r="AF291" i="7" s="1"/>
  <c r="AI291" i="7" s="1"/>
  <c r="AJ291" i="7" s="1"/>
  <c r="AE443" i="7"/>
  <c r="AF443" i="7" s="1"/>
  <c r="AI443" i="7" s="1"/>
  <c r="AJ443" i="7" s="1"/>
  <c r="AE276" i="7"/>
  <c r="AF276" i="7" s="1"/>
  <c r="AI276" i="7" s="1"/>
  <c r="AJ276" i="7" s="1"/>
  <c r="AE280" i="7"/>
  <c r="AF280" i="7" s="1"/>
  <c r="AI280" i="7" s="1"/>
  <c r="AJ280" i="7" s="1"/>
  <c r="AE369" i="7"/>
  <c r="AF369" i="7" s="1"/>
  <c r="AI369" i="7" s="1"/>
  <c r="AJ369" i="7" s="1"/>
  <c r="AE218" i="7"/>
  <c r="AF218" i="7" s="1"/>
  <c r="AI218" i="7" s="1"/>
  <c r="AJ218" i="7" s="1"/>
  <c r="AE309" i="7"/>
  <c r="AF309" i="7" s="1"/>
  <c r="AI309" i="7" s="1"/>
  <c r="AJ309" i="7" s="1"/>
  <c r="AE59" i="7"/>
  <c r="AF59" i="7" s="1"/>
  <c r="AI59" i="7" s="1"/>
  <c r="AJ59" i="7" s="1"/>
  <c r="AE489" i="7"/>
  <c r="AF489" i="7" s="1"/>
  <c r="AI489" i="7" s="1"/>
  <c r="AJ489" i="7" s="1"/>
  <c r="AE242" i="7"/>
  <c r="AF242" i="7" s="1"/>
  <c r="AI242" i="7" s="1"/>
  <c r="AJ242" i="7" s="1"/>
  <c r="AE422" i="7"/>
  <c r="AF422" i="7" s="1"/>
  <c r="AI422" i="7" s="1"/>
  <c r="AJ422" i="7" s="1"/>
  <c r="AE256" i="7"/>
  <c r="AF256" i="7" s="1"/>
  <c r="AI256" i="7" s="1"/>
  <c r="AJ256" i="7" s="1"/>
  <c r="AE262" i="7"/>
  <c r="AF262" i="7" s="1"/>
  <c r="AI262" i="7" s="1"/>
  <c r="AJ262" i="7" s="1"/>
  <c r="AE302" i="7"/>
  <c r="AF302" i="7" s="1"/>
  <c r="AE94" i="7"/>
  <c r="AF94" i="7" s="1"/>
  <c r="AI94" i="7" s="1"/>
  <c r="AJ94" i="7" s="1"/>
  <c r="AE367" i="7"/>
  <c r="AF367" i="7" s="1"/>
  <c r="AI367" i="7" s="1"/>
  <c r="AJ367" i="7" s="1"/>
  <c r="AE424" i="7"/>
  <c r="AF424" i="7" s="1"/>
  <c r="AI424" i="7" s="1"/>
  <c r="AJ424" i="7" s="1"/>
  <c r="AE408" i="7"/>
  <c r="AF408" i="7" s="1"/>
  <c r="AI408" i="7" s="1"/>
  <c r="AJ408" i="7" s="1"/>
  <c r="AE239" i="7"/>
  <c r="AF239" i="7" s="1"/>
  <c r="AI239" i="7" s="1"/>
  <c r="AJ239" i="7" s="1"/>
  <c r="AE450" i="7"/>
  <c r="AF450" i="7" s="1"/>
  <c r="AI450" i="7" s="1"/>
  <c r="AJ450" i="7" s="1"/>
  <c r="AE356" i="7"/>
  <c r="AF356" i="7" s="1"/>
  <c r="AI356" i="7" s="1"/>
  <c r="AJ356" i="7" s="1"/>
  <c r="AE344" i="7"/>
  <c r="AF344" i="7" s="1"/>
  <c r="AI344" i="7" s="1"/>
  <c r="AJ344" i="7" s="1"/>
  <c r="AE304" i="7"/>
  <c r="AF304" i="7" s="1"/>
  <c r="AI304" i="7" s="1"/>
  <c r="AJ304" i="7" s="1"/>
  <c r="AE306" i="7"/>
  <c r="AF306" i="7" s="1"/>
  <c r="AI306" i="7" s="1"/>
  <c r="AJ306" i="7" s="1"/>
  <c r="AE394" i="7"/>
  <c r="AF394" i="7" s="1"/>
  <c r="AI394" i="7" s="1"/>
  <c r="AJ394" i="7" s="1"/>
  <c r="AE392" i="7"/>
  <c r="AF392" i="7" s="1"/>
  <c r="AI392" i="7" s="1"/>
  <c r="AJ392" i="7" s="1"/>
  <c r="AE354" i="7"/>
  <c r="AF354" i="7" s="1"/>
  <c r="AI354" i="7" s="1"/>
  <c r="AJ354" i="7" s="1"/>
  <c r="AE196" i="7"/>
  <c r="AF196" i="7" s="1"/>
  <c r="AI196" i="7" s="1"/>
  <c r="AJ196" i="7" s="1"/>
  <c r="AE288" i="7"/>
  <c r="AF288" i="7" s="1"/>
  <c r="AI288" i="7" s="1"/>
  <c r="AJ288" i="7" s="1"/>
  <c r="AE318" i="7"/>
  <c r="AF318" i="7" s="1"/>
  <c r="AI318" i="7" s="1"/>
  <c r="AJ318" i="7" s="1"/>
  <c r="AE72" i="7"/>
  <c r="AF72" i="7" s="1"/>
  <c r="AI72" i="7" s="1"/>
  <c r="AJ72" i="7" s="1"/>
  <c r="AE135" i="7"/>
  <c r="AF135" i="7" s="1"/>
  <c r="AI135" i="7" s="1"/>
  <c r="AJ135" i="7" s="1"/>
  <c r="AE99" i="7"/>
  <c r="AF99" i="7" s="1"/>
  <c r="AI99" i="7" s="1"/>
  <c r="AJ99" i="7" s="1"/>
  <c r="AE326" i="7"/>
  <c r="AF326" i="7" s="1"/>
  <c r="AI326" i="7" s="1"/>
  <c r="AJ326" i="7" s="1"/>
  <c r="AE410" i="7"/>
  <c r="AF410" i="7" s="1"/>
  <c r="AI410" i="7" s="1"/>
  <c r="AJ410" i="7" s="1"/>
  <c r="AE311" i="7"/>
  <c r="AF311" i="7" s="1"/>
  <c r="AI311" i="7" s="1"/>
  <c r="AJ311" i="7" s="1"/>
  <c r="AE395" i="7"/>
  <c r="AF395" i="7" s="1"/>
  <c r="AI395" i="7" s="1"/>
  <c r="AJ395" i="7" s="1"/>
  <c r="AE144" i="7"/>
  <c r="AF144" i="7" s="1"/>
  <c r="AI144" i="7" s="1"/>
  <c r="AJ144" i="7" s="1"/>
  <c r="AE191" i="7"/>
  <c r="AF191" i="7" s="1"/>
  <c r="AI191" i="7" s="1"/>
  <c r="AJ191" i="7" s="1"/>
  <c r="AE187" i="7"/>
  <c r="AF187" i="7" s="1"/>
  <c r="AI187" i="7" s="1"/>
  <c r="AJ187" i="7" s="1"/>
  <c r="AE107" i="7"/>
  <c r="AF107" i="7" s="1"/>
  <c r="AI107" i="7" s="1"/>
  <c r="AJ107" i="7" s="1"/>
  <c r="AE87" i="7"/>
  <c r="AF87" i="7" s="1"/>
  <c r="AI87" i="7" s="1"/>
  <c r="AJ87" i="7" s="1"/>
  <c r="AE416" i="7"/>
  <c r="AF416" i="7" s="1"/>
  <c r="AI416" i="7" s="1"/>
  <c r="AJ416" i="7" s="1"/>
  <c r="AB50" i="7"/>
  <c r="AC50" i="7" s="1"/>
  <c r="AE267" i="7"/>
  <c r="AF267" i="7" s="1"/>
  <c r="AI267" i="7" s="1"/>
  <c r="AJ267" i="7" s="1"/>
  <c r="AE305" i="7"/>
  <c r="AF305" i="7" s="1"/>
  <c r="AI305" i="7" s="1"/>
  <c r="AJ305" i="7" s="1"/>
  <c r="AB388" i="7"/>
  <c r="AC388" i="7" s="1"/>
  <c r="AE19" i="7"/>
  <c r="AF19" i="7" s="1"/>
  <c r="AI19" i="7" s="1"/>
  <c r="AJ19" i="7" s="1"/>
  <c r="AE341" i="7"/>
  <c r="AF341" i="7" s="1"/>
  <c r="AI341" i="7" s="1"/>
  <c r="AJ341" i="7" s="1"/>
  <c r="AE119" i="7"/>
  <c r="AF119" i="7" s="1"/>
  <c r="AI119" i="7" s="1"/>
  <c r="AJ119" i="7" s="1"/>
  <c r="AE91" i="7"/>
  <c r="AF91" i="7" s="1"/>
  <c r="AI91" i="7" s="1"/>
  <c r="AJ91" i="7" s="1"/>
  <c r="AE321" i="7"/>
  <c r="AF321" i="7" s="1"/>
  <c r="AI321" i="7" s="1"/>
  <c r="AJ321" i="7" s="1"/>
  <c r="AE488" i="7"/>
  <c r="AF488" i="7" s="1"/>
  <c r="AI488" i="7" s="1"/>
  <c r="AJ488" i="7" s="1"/>
  <c r="AE176" i="7"/>
  <c r="AF176" i="7" s="1"/>
  <c r="AI176" i="7" s="1"/>
  <c r="AJ176" i="7" s="1"/>
  <c r="AE188" i="7"/>
  <c r="AF188" i="7" s="1"/>
  <c r="AI188" i="7" s="1"/>
  <c r="AJ188" i="7" s="1"/>
  <c r="AE438" i="7"/>
  <c r="AF438" i="7" s="1"/>
  <c r="AI438" i="7" s="1"/>
  <c r="AJ438" i="7" s="1"/>
  <c r="AE381" i="7"/>
  <c r="AF381" i="7" s="1"/>
  <c r="AI381" i="7" s="1"/>
  <c r="AJ381" i="7" s="1"/>
  <c r="AE500" i="7"/>
  <c r="AF500" i="7" s="1"/>
  <c r="AI500" i="7" s="1"/>
  <c r="AJ500" i="7" s="1"/>
  <c r="AE13" i="7"/>
  <c r="AF13" i="7" s="1"/>
  <c r="AI13" i="7" s="1"/>
  <c r="AJ13" i="7" s="1"/>
  <c r="AE206" i="7"/>
  <c r="AF206" i="7" s="1"/>
  <c r="AI206" i="7" s="1"/>
  <c r="AJ206" i="7" s="1"/>
  <c r="AE331" i="7"/>
  <c r="AF331" i="7" s="1"/>
  <c r="AI331" i="7" s="1"/>
  <c r="AJ331" i="7" s="1"/>
  <c r="AE285" i="7"/>
  <c r="AF285" i="7" s="1"/>
  <c r="AI285" i="7" s="1"/>
  <c r="AJ285" i="7" s="1"/>
  <c r="AE293" i="7"/>
  <c r="AF293" i="7" s="1"/>
  <c r="AI293" i="7" s="1"/>
  <c r="AJ293" i="7" s="1"/>
  <c r="L504" i="7"/>
  <c r="AD4" i="7"/>
  <c r="O4" i="7"/>
  <c r="S4" i="7"/>
  <c r="S504" i="7" s="1"/>
  <c r="AE217" i="7"/>
  <c r="AF217" i="7" s="1"/>
  <c r="AI217" i="7" s="1"/>
  <c r="AJ217" i="7" s="1"/>
  <c r="AE32" i="7"/>
  <c r="AF32" i="7" s="1"/>
  <c r="AI32" i="7" s="1"/>
  <c r="AJ32" i="7" s="1"/>
  <c r="AI302" i="7"/>
  <c r="AJ302" i="7" s="1"/>
  <c r="AE20" i="7"/>
  <c r="AF20" i="7" s="1"/>
  <c r="AI20" i="7" s="1"/>
  <c r="AJ20" i="7" s="1"/>
  <c r="AE11" i="7"/>
  <c r="AF11" i="7" s="1"/>
  <c r="AI11" i="7" s="1"/>
  <c r="AJ11" i="7" s="1"/>
  <c r="AE54" i="7"/>
  <c r="AF54" i="7" s="1"/>
  <c r="AI54" i="7" s="1"/>
  <c r="AJ54" i="7" s="1"/>
  <c r="AE433" i="7"/>
  <c r="AF433" i="7" s="1"/>
  <c r="AI433" i="7" s="1"/>
  <c r="AJ433" i="7" s="1"/>
  <c r="AE313" i="7"/>
  <c r="AF313" i="7" s="1"/>
  <c r="AI313" i="7" s="1"/>
  <c r="AJ313" i="7" s="1"/>
  <c r="AE209" i="7"/>
  <c r="AF209" i="7" s="1"/>
  <c r="AI209" i="7" s="1"/>
  <c r="AJ209" i="7" s="1"/>
  <c r="AE24" i="7"/>
  <c r="AF24" i="7" s="1"/>
  <c r="AI24" i="7" s="1"/>
  <c r="AJ24" i="7" s="1"/>
  <c r="AE255" i="7"/>
  <c r="AF255" i="7" s="1"/>
  <c r="AI255" i="7" s="1"/>
  <c r="AJ255" i="7" s="1"/>
  <c r="AE108" i="7"/>
  <c r="AF108" i="7" s="1"/>
  <c r="AI108" i="7" s="1"/>
  <c r="AJ108" i="7" s="1"/>
  <c r="AE365" i="7"/>
  <c r="AF365" i="7" s="1"/>
  <c r="AI365" i="7" s="1"/>
  <c r="AJ365" i="7" s="1"/>
  <c r="AE447" i="7"/>
  <c r="AF447" i="7" s="1"/>
  <c r="AI447" i="7" s="1"/>
  <c r="AJ447" i="7" s="1"/>
  <c r="AE316" i="7"/>
  <c r="AF316" i="7" s="1"/>
  <c r="AI316" i="7" s="1"/>
  <c r="AJ316" i="7" s="1"/>
  <c r="AE383" i="7"/>
  <c r="AF383" i="7" s="1"/>
  <c r="AI383" i="7" s="1"/>
  <c r="AJ383" i="7" s="1"/>
  <c r="AE114" i="7"/>
  <c r="AF114" i="7" s="1"/>
  <c r="AI114" i="7" s="1"/>
  <c r="AJ114" i="7" s="1"/>
  <c r="AB164" i="7"/>
  <c r="AC164" i="7" s="1"/>
  <c r="AE111" i="7"/>
  <c r="AF111" i="7" s="1"/>
  <c r="AI111" i="7" s="1"/>
  <c r="AJ111" i="7" s="1"/>
  <c r="AE272" i="7"/>
  <c r="AF272" i="7" s="1"/>
  <c r="AI272" i="7" s="1"/>
  <c r="AJ272" i="7" s="1"/>
  <c r="AE182" i="7"/>
  <c r="AF182" i="7" s="1"/>
  <c r="AI182" i="7" s="1"/>
  <c r="AJ182" i="7" s="1"/>
  <c r="AE413" i="7"/>
  <c r="AF413" i="7" s="1"/>
  <c r="AI413" i="7" s="1"/>
  <c r="AJ413" i="7" s="1"/>
  <c r="AE235" i="7"/>
  <c r="AF235" i="7" s="1"/>
  <c r="AI235" i="7" s="1"/>
  <c r="AJ235" i="7" s="1"/>
  <c r="AE145" i="7"/>
  <c r="AF145" i="7" s="1"/>
  <c r="AI145" i="7" s="1"/>
  <c r="AJ145" i="7" s="1"/>
  <c r="AE150" i="7"/>
  <c r="AF150" i="7" s="1"/>
  <c r="AI150" i="7" s="1"/>
  <c r="AJ150" i="7" s="1"/>
  <c r="AE275" i="7"/>
  <c r="AF275" i="7" s="1"/>
  <c r="AI275" i="7" s="1"/>
  <c r="AJ275" i="7" s="1"/>
  <c r="AE226" i="7"/>
  <c r="AF226" i="7" s="1"/>
  <c r="AI226" i="7" s="1"/>
  <c r="AJ226" i="7" s="1"/>
  <c r="AB310" i="7"/>
  <c r="AC310" i="7" s="1"/>
  <c r="AE364" i="7"/>
  <c r="AF364" i="7" s="1"/>
  <c r="AI364" i="7" s="1"/>
  <c r="AJ364" i="7" s="1"/>
  <c r="AE362" i="7"/>
  <c r="AF362" i="7" s="1"/>
  <c r="AI362" i="7" s="1"/>
  <c r="AJ362" i="7" s="1"/>
  <c r="AE401" i="7"/>
  <c r="AF401" i="7" s="1"/>
  <c r="AI401" i="7" s="1"/>
  <c r="AJ401" i="7" s="1"/>
  <c r="AE207" i="7"/>
  <c r="AF207" i="7" s="1"/>
  <c r="AI207" i="7" s="1"/>
  <c r="AJ207" i="7" s="1"/>
  <c r="AE52" i="7"/>
  <c r="AF52" i="7" s="1"/>
  <c r="AI52" i="7" s="1"/>
  <c r="AJ52" i="7" s="1"/>
  <c r="AE57" i="7"/>
  <c r="AF57" i="7" s="1"/>
  <c r="AI57" i="7" s="1"/>
  <c r="AJ57" i="7" s="1"/>
  <c r="AE89" i="7"/>
  <c r="AF89" i="7" s="1"/>
  <c r="AI89" i="7" s="1"/>
  <c r="AJ89" i="7" s="1"/>
  <c r="AE346" i="7"/>
  <c r="AF346" i="7" s="1"/>
  <c r="AI346" i="7" s="1"/>
  <c r="AJ346" i="7" s="1"/>
  <c r="AE64" i="7"/>
  <c r="AF64" i="7" s="1"/>
  <c r="AI64" i="7" s="1"/>
  <c r="AJ64" i="7" s="1"/>
  <c r="AE222" i="7"/>
  <c r="AF222" i="7" s="1"/>
  <c r="AI222" i="7" s="1"/>
  <c r="AJ222" i="7" s="1"/>
  <c r="AE96" i="7"/>
  <c r="AF96" i="7" s="1"/>
  <c r="AI96" i="7" s="1"/>
  <c r="AJ96" i="7" s="1"/>
  <c r="AE216" i="7"/>
  <c r="AF216" i="7" s="1"/>
  <c r="AI216" i="7" s="1"/>
  <c r="AJ216" i="7" s="1"/>
  <c r="AE459" i="7"/>
  <c r="AF459" i="7" s="1"/>
  <c r="AI459" i="7" s="1"/>
  <c r="AJ459" i="7" s="1"/>
  <c r="AE124" i="7"/>
  <c r="AF124" i="7" s="1"/>
  <c r="AI124" i="7" s="1"/>
  <c r="AJ124" i="7" s="1"/>
  <c r="AE173" i="7"/>
  <c r="AF173" i="7" s="1"/>
  <c r="AI173" i="7" s="1"/>
  <c r="AJ173" i="7" s="1"/>
  <c r="AE190" i="7"/>
  <c r="AF190" i="7" s="1"/>
  <c r="AI190" i="7" s="1"/>
  <c r="AJ190" i="7" s="1"/>
  <c r="AE171" i="7"/>
  <c r="AF171" i="7" s="1"/>
  <c r="AI171" i="7" s="1"/>
  <c r="AJ171" i="7" s="1"/>
  <c r="AE6" i="7"/>
  <c r="AF6" i="7" s="1"/>
  <c r="AI6" i="7" s="1"/>
  <c r="AJ6" i="7" s="1"/>
  <c r="AE263" i="7"/>
  <c r="AF263" i="7" s="1"/>
  <c r="AI263" i="7" s="1"/>
  <c r="AJ263" i="7" s="1"/>
  <c r="AE5" i="7"/>
  <c r="AF5" i="7" s="1"/>
  <c r="AI5" i="7" s="1"/>
  <c r="AJ5" i="7" s="1"/>
  <c r="AE348" i="7"/>
  <c r="AF348" i="7" s="1"/>
  <c r="AI348" i="7" s="1"/>
  <c r="AJ348" i="7" s="1"/>
  <c r="AB340" i="7"/>
  <c r="AC340" i="7" s="1"/>
  <c r="AE121" i="7"/>
  <c r="AF121" i="7" s="1"/>
  <c r="AI121" i="7" s="1"/>
  <c r="AJ121" i="7" s="1"/>
  <c r="AE230" i="7"/>
  <c r="AF230" i="7" s="1"/>
  <c r="AI230" i="7" s="1"/>
  <c r="AJ230" i="7" s="1"/>
  <c r="AE390" i="7"/>
  <c r="AF390" i="7" s="1"/>
  <c r="AI390" i="7" s="1"/>
  <c r="AJ390" i="7" s="1"/>
  <c r="AE158" i="7"/>
  <c r="AF158" i="7" s="1"/>
  <c r="AI158" i="7" s="1"/>
  <c r="AJ158" i="7" s="1"/>
  <c r="AE407" i="7"/>
  <c r="AF407" i="7" s="1"/>
  <c r="AI407" i="7" s="1"/>
  <c r="AJ407" i="7" s="1"/>
  <c r="AE127" i="7"/>
  <c r="AF127" i="7" s="1"/>
  <c r="AI127" i="7" s="1"/>
  <c r="AJ127" i="7" s="1"/>
  <c r="AE179" i="7"/>
  <c r="AF179" i="7" s="1"/>
  <c r="AI179" i="7" s="1"/>
  <c r="AJ179" i="7" s="1"/>
  <c r="AB192" i="7"/>
  <c r="AC192" i="7" s="1"/>
  <c r="AE180" i="7"/>
  <c r="AF180" i="7" s="1"/>
  <c r="AI180" i="7" s="1"/>
  <c r="AJ180" i="7" s="1"/>
  <c r="AB7" i="7"/>
  <c r="AC7" i="7" s="1"/>
  <c r="AE241" i="7"/>
  <c r="AF241" i="7" s="1"/>
  <c r="AI241" i="7" s="1"/>
  <c r="AJ241" i="7" s="1"/>
  <c r="AE387" i="7"/>
  <c r="AF387" i="7" s="1"/>
  <c r="AI387" i="7" s="1"/>
  <c r="AJ387" i="7" s="1"/>
  <c r="AE421" i="7"/>
  <c r="AF421" i="7" s="1"/>
  <c r="AI421" i="7" s="1"/>
  <c r="AJ421" i="7" s="1"/>
  <c r="AE404" i="7"/>
  <c r="AF404" i="7" s="1"/>
  <c r="AI404" i="7" s="1"/>
  <c r="AJ404" i="7" s="1"/>
  <c r="AE303" i="7"/>
  <c r="AF303" i="7" s="1"/>
  <c r="AI303" i="7" s="1"/>
  <c r="AJ303" i="7" s="1"/>
  <c r="AE386" i="7"/>
  <c r="AF386" i="7" s="1"/>
  <c r="AI386" i="7" s="1"/>
  <c r="AJ386" i="7" s="1"/>
  <c r="AE224" i="7"/>
  <c r="AF224" i="7" s="1"/>
  <c r="AI224" i="7" s="1"/>
  <c r="AJ224" i="7" s="1"/>
  <c r="AE105" i="7"/>
  <c r="AF105" i="7" s="1"/>
  <c r="AI105" i="7" s="1"/>
  <c r="AJ105" i="7" s="1"/>
  <c r="AE264" i="7"/>
  <c r="AF264" i="7" s="1"/>
  <c r="AI264" i="7" s="1"/>
  <c r="AJ264" i="7" s="1"/>
  <c r="AB246" i="7"/>
  <c r="AC246" i="7" s="1"/>
  <c r="AE396" i="7"/>
  <c r="AF396" i="7" s="1"/>
  <c r="AI396" i="7" s="1"/>
  <c r="AJ396" i="7" s="1"/>
  <c r="AE456" i="7"/>
  <c r="AF456" i="7" s="1"/>
  <c r="AI456" i="7" s="1"/>
  <c r="AJ456" i="7" s="1"/>
  <c r="AE137" i="7"/>
  <c r="AF137" i="7" s="1"/>
  <c r="AI137" i="7" s="1"/>
  <c r="AJ137" i="7" s="1"/>
  <c r="AE287" i="7"/>
  <c r="AF287" i="7" s="1"/>
  <c r="AI287" i="7" s="1"/>
  <c r="AJ287" i="7" s="1"/>
  <c r="AE330" i="7"/>
  <c r="AF330" i="7" s="1"/>
  <c r="AI330" i="7" s="1"/>
  <c r="AJ330" i="7" s="1"/>
  <c r="AE260" i="7"/>
  <c r="AF260" i="7" s="1"/>
  <c r="AI260" i="7" s="1"/>
  <c r="AJ260" i="7" s="1"/>
  <c r="AE210" i="7"/>
  <c r="AF210" i="7" s="1"/>
  <c r="AI210" i="7" s="1"/>
  <c r="AJ210" i="7" s="1"/>
  <c r="AE294" i="7"/>
  <c r="AF294" i="7" s="1"/>
  <c r="AI294" i="7" s="1"/>
  <c r="AJ294" i="7" s="1"/>
  <c r="AE195" i="7"/>
  <c r="AF195" i="7" s="1"/>
  <c r="AI195" i="7" s="1"/>
  <c r="AJ195" i="7" s="1"/>
  <c r="AE339" i="7"/>
  <c r="AF339" i="7" s="1"/>
  <c r="AI339" i="7" s="1"/>
  <c r="AJ339" i="7" s="1"/>
  <c r="AE132" i="7"/>
  <c r="AF132" i="7" s="1"/>
  <c r="AI132" i="7" s="1"/>
  <c r="AJ132" i="7" s="1"/>
  <c r="AE402" i="7"/>
  <c r="AF402" i="7" s="1"/>
  <c r="AI402" i="7" s="1"/>
  <c r="AJ402" i="7" s="1"/>
  <c r="AE336" i="7"/>
  <c r="AF336" i="7" s="1"/>
  <c r="AI336" i="7" s="1"/>
  <c r="AJ336" i="7" s="1"/>
  <c r="AE249" i="7"/>
  <c r="AF249" i="7" s="1"/>
  <c r="AI249" i="7" s="1"/>
  <c r="AJ249" i="7" s="1"/>
  <c r="AE200" i="7"/>
  <c r="AF200" i="7" s="1"/>
  <c r="AI200" i="7" s="1"/>
  <c r="AJ200" i="7" s="1"/>
  <c r="AE350" i="7"/>
  <c r="AF350" i="7" s="1"/>
  <c r="AI350" i="7" s="1"/>
  <c r="AJ350" i="7" s="1"/>
  <c r="AE376" i="7"/>
  <c r="AF376" i="7" s="1"/>
  <c r="AI376" i="7" s="1"/>
  <c r="AJ376" i="7" s="1"/>
  <c r="AE37" i="7"/>
  <c r="AF37" i="7" s="1"/>
  <c r="AI37" i="7" s="1"/>
  <c r="AJ37" i="7" s="1"/>
  <c r="AE148" i="7"/>
  <c r="AF148" i="7" s="1"/>
  <c r="AI148" i="7" s="1"/>
  <c r="AJ148" i="7" s="1"/>
  <c r="AE232" i="7"/>
  <c r="AF232" i="7" s="1"/>
  <c r="AI232" i="7" s="1"/>
  <c r="AJ232" i="7" s="1"/>
  <c r="AE151" i="7"/>
  <c r="AF151" i="7" s="1"/>
  <c r="AI151" i="7" s="1"/>
  <c r="AJ151" i="7" s="1"/>
  <c r="AE219" i="7"/>
  <c r="AF219" i="7" s="1"/>
  <c r="AI219" i="7" s="1"/>
  <c r="AJ219" i="7" s="1"/>
  <c r="AE172" i="7"/>
  <c r="AF172" i="7" s="1"/>
  <c r="AI172" i="7" s="1"/>
  <c r="AJ172" i="7" s="1"/>
  <c r="AE92" i="7"/>
  <c r="AF92" i="7" s="1"/>
  <c r="AI92" i="7" s="1"/>
  <c r="AJ92" i="7" s="1"/>
  <c r="AE281" i="7"/>
  <c r="AF281" i="7" s="1"/>
  <c r="AI281" i="7" s="1"/>
  <c r="AJ281" i="7" s="1"/>
  <c r="AE152" i="7"/>
  <c r="AF152" i="7" s="1"/>
  <c r="AI152" i="7" s="1"/>
  <c r="AJ152" i="7" s="1"/>
  <c r="AE301" i="7"/>
  <c r="AF301" i="7" s="1"/>
  <c r="AI301" i="7" s="1"/>
  <c r="AJ301" i="7" s="1"/>
  <c r="AE55" i="7"/>
  <c r="AF55" i="7" s="1"/>
  <c r="AI55" i="7" s="1"/>
  <c r="AJ55" i="7" s="1"/>
  <c r="AE417" i="7"/>
  <c r="AF417" i="7" s="1"/>
  <c r="AI417" i="7" s="1"/>
  <c r="AJ417" i="7" s="1"/>
  <c r="AE166" i="7"/>
  <c r="AF166" i="7" s="1"/>
  <c r="AI166" i="7" s="1"/>
  <c r="AJ166" i="7" s="1"/>
  <c r="AE201" i="7"/>
  <c r="AF201" i="7" s="1"/>
  <c r="AI201" i="7" s="1"/>
  <c r="AJ201" i="7" s="1"/>
  <c r="AE445" i="7"/>
  <c r="AF445" i="7" s="1"/>
  <c r="AI445" i="7" s="1"/>
  <c r="AJ445" i="7" s="1"/>
  <c r="AE270" i="7"/>
  <c r="AF270" i="7" s="1"/>
  <c r="AI270" i="7" s="1"/>
  <c r="AJ270" i="7" s="1"/>
  <c r="AE130" i="7"/>
  <c r="AF130" i="7" s="1"/>
  <c r="AI130" i="7" s="1"/>
  <c r="AJ130" i="7" s="1"/>
  <c r="AE14" i="7"/>
  <c r="AF14" i="7" s="1"/>
  <c r="AI14" i="7" s="1"/>
  <c r="AJ14" i="7" s="1"/>
  <c r="AE314" i="7"/>
  <c r="AF314" i="7" s="1"/>
  <c r="AI314" i="7" s="1"/>
  <c r="AJ314" i="7" s="1"/>
  <c r="AE248" i="7"/>
  <c r="AF248" i="7" s="1"/>
  <c r="AI248" i="7" s="1"/>
  <c r="AJ248" i="7" s="1"/>
  <c r="AE308" i="7"/>
  <c r="AF308" i="7" s="1"/>
  <c r="AI308" i="7" s="1"/>
  <c r="AJ308" i="7" s="1"/>
  <c r="AE289" i="7"/>
  <c r="AF289" i="7" s="1"/>
  <c r="AI289" i="7" s="1"/>
  <c r="AJ289" i="7" s="1"/>
  <c r="AE250" i="7"/>
  <c r="AF250" i="7" s="1"/>
  <c r="AI250" i="7" s="1"/>
  <c r="AJ250" i="7" s="1"/>
  <c r="AE193" i="7"/>
  <c r="AF193" i="7" s="1"/>
  <c r="AI193" i="7" s="1"/>
  <c r="AJ193" i="7" s="1"/>
  <c r="AE266" i="7"/>
  <c r="AF266" i="7" s="1"/>
  <c r="AI266" i="7" s="1"/>
  <c r="AJ266" i="7" s="1"/>
  <c r="AB253" i="7"/>
  <c r="AC253" i="7" s="1"/>
  <c r="AE491" i="7"/>
  <c r="AF491" i="7" s="1"/>
  <c r="AI491" i="7" s="1"/>
  <c r="AJ491" i="7" s="1"/>
  <c r="AE322" i="7"/>
  <c r="AF322" i="7" s="1"/>
  <c r="AI322" i="7" s="1"/>
  <c r="AJ322" i="7" s="1"/>
  <c r="AE258" i="7"/>
  <c r="AF258" i="7" s="1"/>
  <c r="AI258" i="7" s="1"/>
  <c r="AJ258" i="7" s="1"/>
  <c r="AB74" i="7"/>
  <c r="AC74" i="7" s="1"/>
  <c r="AE79" i="7"/>
  <c r="AF79" i="7" s="1"/>
  <c r="AI79" i="7" s="1"/>
  <c r="AJ79" i="7" s="1"/>
  <c r="AE340" i="7" l="1"/>
  <c r="AF340" i="7" s="1"/>
  <c r="AI340" i="7" s="1"/>
  <c r="AJ340" i="7" s="1"/>
  <c r="AE388" i="7"/>
  <c r="AF388" i="7" s="1"/>
  <c r="AI388" i="7" s="1"/>
  <c r="AJ388" i="7" s="1"/>
  <c r="AE164" i="7"/>
  <c r="AF164" i="7" s="1"/>
  <c r="AI164" i="7" s="1"/>
  <c r="AJ164" i="7" s="1"/>
  <c r="AE246" i="7"/>
  <c r="AF246" i="7" s="1"/>
  <c r="AI246" i="7" s="1"/>
  <c r="AJ246" i="7" s="1"/>
  <c r="AD504" i="7"/>
  <c r="AE74" i="7"/>
  <c r="AF74" i="7" s="1"/>
  <c r="AI74" i="7" s="1"/>
  <c r="AJ74" i="7" s="1"/>
  <c r="AE7" i="7"/>
  <c r="AF7" i="7" s="1"/>
  <c r="AI7" i="7" s="1"/>
  <c r="AJ7" i="7" s="1"/>
  <c r="AE50" i="7"/>
  <c r="AF50" i="7" s="1"/>
  <c r="AI50" i="7" s="1"/>
  <c r="AJ50" i="7" s="1"/>
  <c r="AE310" i="7"/>
  <c r="AF310" i="7" s="1"/>
  <c r="AI310" i="7" s="1"/>
  <c r="AJ310" i="7" s="1"/>
  <c r="O504" i="7"/>
  <c r="AB4" i="7"/>
  <c r="AE253" i="7"/>
  <c r="AF253" i="7" s="1"/>
  <c r="AI253" i="7" s="1"/>
  <c r="AJ253" i="7" s="1"/>
  <c r="AE192" i="7"/>
  <c r="AF192" i="7" s="1"/>
  <c r="AI192" i="7" s="1"/>
  <c r="AJ192" i="7" s="1"/>
  <c r="AB504" i="7" l="1"/>
  <c r="AC4" i="7"/>
  <c r="AC504" i="7" l="1"/>
  <c r="AE4" i="7"/>
  <c r="AE504" i="7" l="1"/>
  <c r="AF4" i="7"/>
  <c r="AF504" i="7" l="1"/>
  <c r="AI4" i="7"/>
  <c r="AI504" i="7" l="1"/>
  <c r="AJ4" i="7"/>
  <c r="AJ504" i="7" s="1"/>
</calcChain>
</file>

<file path=xl/sharedStrings.xml><?xml version="1.0" encoding="utf-8"?>
<sst xmlns="http://schemas.openxmlformats.org/spreadsheetml/2006/main" count="21795" uniqueCount="6265">
  <si>
    <t>📂  NAVIGATE TO SHEETS</t>
  </si>
  <si>
    <t>This navigation page</t>
  </si>
  <si>
    <t>What to update &amp; workflow</t>
  </si>
  <si>
    <t>500 records – main input sheet</t>
  </si>
  <si>
    <t>Monthly payroll output</t>
  </si>
  <si>
    <t>Ministry→Dept→Division hierarchy</t>
  </si>
  <si>
    <t>Country→Province→District</t>
  </si>
  <si>
    <t>Bank→Branch hierarchy</t>
  </si>
  <si>
    <t>Edu×Experience→Grade/Step</t>
  </si>
  <si>
    <t>Multiplier lookup table</t>
  </si>
  <si>
    <t>All rates – update here</t>
  </si>
  <si>
    <t>Income tax brackets</t>
  </si>
  <si>
    <t>⚠️  DISCLAIMER: This toolkit contains mock data for illustration and stakeholder review. 
All names, IDs and figures are fictitious. Finance departments must verify all rates against 
current MoF circulars, SSO decrees, and GDT orders before operational use.</t>
  </si>
  <si>
    <t>ສາທາລະນະລັດ ປະຊາທິປະໄຕ ປະຊາຊົນລາວ  |  Lao People's Democratic Republic</t>
  </si>
  <si>
    <t>Read this sheet fully before making any changes to the workbook.  
🟡 Yellow cells = manual input.  🟢 Green cells = auto-calculated (do NOT edit).  
All master lookup tables drive downstream calculations automatically — 
change a master table and every dependent field across all 500 records updates instantly.</t>
  </si>
  <si>
    <t>1.  COLOUR CODING GUIDE</t>
  </si>
  <si>
    <t>Element / Field</t>
  </si>
  <si>
    <t>Description</t>
  </si>
  <si>
    <t>Frequency / Trigger</t>
  </si>
  <si>
    <t>🟡 Yellow background (Blue text)</t>
  </si>
  <si>
    <t>Editable INPUT cell — enter or update data here. These are the only cells stakeholders should write into.</t>
  </si>
  <si>
    <t>As required</t>
  </si>
  <si>
    <t>🟢 Green background (Green text)</t>
  </si>
  <si>
    <t>AUTO-CALCULATED formula cell — driven by master tables or other inputs. DO NOT edit. Editing will break the chain of calculations.</t>
  </si>
  <si>
    <t>Never edit</t>
  </si>
  <si>
    <t>⬜ White background</t>
  </si>
  <si>
    <t>Reference or display value — informational, not used in formulas.</t>
  </si>
  <si>
    <t>Read only</t>
  </si>
  <si>
    <t>🔴 Red / Orange text in master tables</t>
  </si>
  <si>
    <t>Flagged value requiring attention (e.g. Is Remote = Yes, Is Hazardous = Yes in Location Master).</t>
  </si>
  <si>
    <t>Informational</t>
  </si>
  <si>
    <t>2.  DEPENDENT DROPDOWNS — HOW THEY WORK</t>
  </si>
  <si>
    <t>ℹ️  159 named ranges power all dropdowns. They are stored in the hidden LK_DropdownLists sheet. 
Each dropdown is driven by INDIRECT() — selecting a value in the parent column automatically 
narrows the child dropdown to only relevant options.</t>
  </si>
  <si>
    <t>Ministry (Col T)  →  Dept (Col U)  →  Division (Col V)</t>
  </si>
  <si>
    <t>Select Ministry first. Department dropdown immediately narrows to only that ministry's departments. 
Then select Department — Division narrows to only that department's divisions. 
Driven by named ranges DEPT_&lt;MinistryKey&gt; and DIV_&lt;DeptKey&gt; in LK_DropdownLists.</t>
  </si>
  <si>
    <t>Org Master driven</t>
  </si>
  <si>
    <t>Service Country (Col W)  →  Province (Col X)  →  District (Col Y)</t>
  </si>
  <si>
    <t>Select Country (Lao PDR or Foreign/International) first. Province dropdown narrows to only 
that country's provinces or postings. Then select Province — District narrows to that province's districts. 
Driven by PROV_&lt;CountryKey&gt; and DIST_&lt;ProvinceKey&gt; named ranges.</t>
  </si>
  <si>
    <t>Location Master driven</t>
  </si>
  <si>
    <t>Position (Col M)  →  driven by Profession (Col Z)</t>
  </si>
  <si>
    <t>Position dropdown shows only positions relevant to the employee's Profession Category. 
Profession (Col Z) is auto-derived from Ministry via LK_OrgMaster. 
Named ranges: POS_TEACHER, POS_MEDICAL, POS_FINANCE, POS_ADMINISTRATION, POS_TECHNICAL, POS_LEGAL, POS_DIPLOMATIC, POS_GENERAL.</t>
  </si>
  <si>
    <t>Org Master / Profession driven</t>
  </si>
  <si>
    <t>Bank Name (Col AJ)  →  Bank Branch (Col AK)</t>
  </si>
  <si>
    <t>Select Bank Name first. Branch dropdown narrows to only that bank's branches. 
Driven by BRANCH_&lt;BankKey&gt; named ranges (e.g. BRANCH_BCEL shows all 8 BCEL branches). 
Bank Master has 5 banks and 20 branches total.</t>
  </si>
  <si>
    <t>Bank Master driven</t>
  </si>
  <si>
    <t>Prior Experience (Col O)  →  Grade (Col P)  →  Step (Col Q)</t>
  </si>
  <si>
    <t>Prior Experience is the only manual grade input. Enter years worked before joining government. 
Grade and Step auto-derive via SUMPRODUCT against LK_GradeDerivation (Education × Exp band). 
If left blank, Grade defaults to the education baseline (0 prior exp row).</t>
  </si>
  <si>
    <t>Grade Derivation driven</t>
  </si>
  <si>
    <t>3.  MASTER LOOKUP TABLES — WHAT TO UPDATE &amp; WHERE</t>
  </si>
  <si>
    <t>⭐ RULE: Never change values in PAYROLL_CALC or EMPLOYEE_MASTER formula cells (green). 
All changes go into the master tables below. One update here flows to all 500 employee records automatically.</t>
  </si>
  <si>
    <t>LK_GradeStep  ⭐</t>
  </si>
  <si>
    <t>TWO INPUT COLUMNS: Col D = Multiplier | Col E = Index Value (LAK).  
Basic Salary = Index Value × Multiplier for each employee's grade/step.  
► Update Col E (Index Value) when MoF issues a new ຄ່າດັດສະນີ circular — 
set the same LAK amount across all 100 rows for a uniform index, or enter different values 
per grade row if MoF ever introduces a tiered/grade-differentiated index.  
► Update Col D (Multiplier) when Civil Service Authority revises the multiplier table.</t>
  </si>
  <si>
    <t>Per MoF circular (Index Value) / Per CSA order (Multiplier)</t>
  </si>
  <si>
    <t>LK_GradeDerivation  ⭐</t>
  </si>
  <si>
    <t>Maps Education Level × Prior Experience band → Grade &amp; Step.  
126 rows (6 education levels × 21 experience bands).  
► Update Col D (Grade) and Col E (Step) if CSA revises entry grade rules.  
► Do NOT change Col A (Education) or Cols B/C (Exp Min/Max) unless adding new bands — 
these are the lookup keys used by Employee Master SUMPRODUCT formulas.</t>
  </si>
  <si>
    <t>Per CSA revision</t>
  </si>
  <si>
    <t>LK_OrgMaster  ⭐</t>
  </si>
  <si>
    <t>Full Ministry → Department → Division hierarchy (18 orgs, 86 dept rows).  
Three derived fields in Employee Master source from here:  
(1) Profession Category (Col F) → drives Position dropdown and Teaching/Medical allowances.  
(2) NA Allowance Eligible (Col G) → drives Is NA Member and NA Member Allowance.  
(3) Field Allowance Type (Col H) → Teaching = Teaching Allowance, Medical = Medical Allowance.  
► Add new ministries/departments as new rows. ► Change profession/allowance type in Cols F-H as needed.  
DO NOT change Ministry Key (Col C) or Dept Key (Col E) — these power dependent dropdowns.</t>
  </si>
  <si>
    <t>When org structure changes</t>
  </si>
  <si>
    <t>LK_LocationMaster  ⭐</t>
  </si>
  <si>
    <t>All 18 Lao PDR provinces + 17 foreign postings, each expanded to district level (154 rows).  
Three flags auto-derive in Employee Master from this table:  
(1) Is Remote (Col G) → Remote Area Allowance.  
(2) Is Hazardous (Col H) → Hardship &amp; Hazardous Allowance.  
(3) Is Foreign (derived from Country = Foreign/International) → Foreign Living Allowance.  
► Update Col G or H when MoHA/MoF gazette revises province classification.  
DO NOT change Province Key (Col C) — it powers dependent district dropdowns.</t>
  </si>
  <si>
    <t>Per MoHA/MoF gazette</t>
  </si>
  <si>
    <t>LK_BankMaster</t>
  </si>
  <si>
    <t>5 banks, 20 branches. Bank Name and Branch Name drive dependent dropdowns in Employee Master.  
Bank Branch Code (Col D) and SWIFT/BIC Code (Col E) are auto-looked up in Employee Master.  
► Add new branches as new rows — keep bank name in Col A exactly matching existing entries.  
Col H (helper key) is auto-calculated — do not edit.</t>
  </si>
  <si>
    <t>When new branch added</t>
  </si>
  <si>
    <t>LK_AllowanceRates</t>
  </si>
  <si>
    <t>All cash allowance amounts and SSO/PIT-related rates.  
► Update Col B (Amount) for any allowance when MoF issues revised rates.  
Note: Index Value (ຄ່າດັດສະນີ) is NO LONGER here — it is now in LK_GradeStep Col E.  
► Update Row 26 (SSO Employee Rate %) and Row 27 (SSO Employer Rate %) when SSO revises rates.  
DO NOT change the allowance names in Col A — these are VLOOKUP keys used by PAYROLL_CALC.</t>
  </si>
  <si>
    <t>Per MoF circular / SSO decree</t>
  </si>
  <si>
    <t>LK_PIT</t>
  </si>
  <si>
    <t>Personal Income Tax progressive brackets for Lao PDR.  
► Update Col D (Rate %) and Col F (Cumulative Tax at lower bound) if GDT/MoF revises tax slabs.  
PIT is calculated on Taxable Income = Gross Earnings minus SSO Employee Contribution.</t>
  </si>
  <si>
    <t>Per GDT/MoF order</t>
  </si>
  <si>
    <t>4.  EMPLOYEE MASTER — FIELD-BY-FIELD ENTRY GUIDE</t>
  </si>
  <si>
    <t>PERSONAL &amp; EMPLOYMENT DETAILS (Cols A–L)</t>
  </si>
  <si>
    <t>Employee Code (Col A)</t>
  </si>
  <si>
    <t>Unique identifier — format LAO00001. Pre-populated in mock data. Do not duplicate.</t>
  </si>
  <si>
    <t>One-time, system assigned</t>
  </si>
  <si>
    <t>Title (Col B)</t>
  </si>
  <si>
    <t>Mr. / Ms. / Mrs. / Dr.</t>
  </si>
  <si>
    <t>On record</t>
  </si>
  <si>
    <t>First Name (Col C), Last Name (Col D)</t>
  </si>
  <si>
    <t>Employee's name in English.</t>
  </si>
  <si>
    <t>Gender (Col E)</t>
  </si>
  <si>
    <t>Dropdown: Male / Female.</t>
  </si>
  <si>
    <t>Date of Birth (Col F)</t>
  </si>
  <si>
    <t>DD-MMM-YYYY. Drives auto-calculation of Date of Retirement (age 60) in Col K.</t>
  </si>
  <si>
    <t>Date of Joining (Col I)</t>
  </si>
  <si>
    <t>Date employee joined government service. Drives auto-calculation of Years of Service (Col J).</t>
  </si>
  <si>
    <t>Years of Service (Col J)</t>
  </si>
  <si>
    <t>🟢 AUTO — DATEDIF formula from Date of Joining to today. Do not edit.</t>
  </si>
  <si>
    <t>Automatic</t>
  </si>
  <si>
    <t>Date of Retirement (Col K)</t>
  </si>
  <si>
    <t>🟢 AUTO — Date of Birth + 60 years. Do not edit.</t>
  </si>
  <si>
    <t>Employment Type (Col L)</t>
  </si>
  <si>
    <t>Dropdown: Permanent / Probationary / Contract / Intern.</t>
  </si>
  <si>
    <t>On joining / change</t>
  </si>
  <si>
    <t>GRADE &amp; SALARY INPUTS (Cols M–Q)</t>
  </si>
  <si>
    <t>Position / Designation (Col M)</t>
  </si>
  <si>
    <t>🔗 DEPENDENT DROPDOWN — shows positions for this employee's Profession Category (Col Z). 
Profession is auto-derived from Ministry via LK_OrgMaster. Select Ministry first, then choose the position title.</t>
  </si>
  <si>
    <t>On joining / promotion</t>
  </si>
  <si>
    <t>Education Qualification (Col N)</t>
  </si>
  <si>
    <t>Dropdown: Below Secondary / Secondary / Diploma / Bachelor's / Master's / PhD. 
Drives Grade derivation — more senior education = higher base grade.</t>
  </si>
  <si>
    <t>On record / change</t>
  </si>
  <si>
    <t>Prior Experience (Col O)</t>
  </si>
  <si>
    <t>🟡 KEY INPUT — enter total years worked in any sector BEFORE joining government service. 
E.g., if employee worked in private sector for 5 years before joining, enter 5. 
Directly drives Grade (Col P) and Step (Col Q) via LK_GradeDerivation. 
If blank, Grade defaults to the education baseline with 0 prior experience.</t>
  </si>
  <si>
    <t>On joining / verification</t>
  </si>
  <si>
    <t>Grade (Col P)</t>
  </si>
  <si>
    <t>🟢 AUTO — SUMPRODUCT formula matching Education (Col N) and Prior Experience (Col O) 
against LK_GradeDerivation table. Updates instantly when either input changes.</t>
  </si>
  <si>
    <t>Step (Col Q)</t>
  </si>
  <si>
    <t>🟢 AUTO — same SUMPRODUCT formula as Grade. Updates with Grade.</t>
  </si>
  <si>
    <t>ORGANISATION (Cols T–V) — Dependent Dropdowns</t>
  </si>
  <si>
    <t>Ministry / Province / Central Org (Col T)</t>
  </si>
  <si>
    <t>🔗 DROPDOWN from master list of 18 organisations. 
Selecting this drives: (a) Department dropdown, (b) Profession Category, (c) NA Member flag, (d) Field Allowance Type — all auto-derived.</t>
  </si>
  <si>
    <t>On joining / transfer</t>
  </si>
  <si>
    <t>Department (Col U)</t>
  </si>
  <si>
    <t>🔗 DEPENDENT on Ministry — shows only departments under the selected ministry. 
Do not type manually. Clear and re-select if ministry changes.</t>
  </si>
  <si>
    <t>Division (Col V)</t>
  </si>
  <si>
    <t>🔗 DEPENDENT on Department — shows only divisions under the selected department. 
Do not type manually.</t>
  </si>
  <si>
    <t>SERVICE LOCATION (Cols W–AC) — Dependent Dropdowns + Auto-Derived</t>
  </si>
  <si>
    <t>Service Country (Col W)</t>
  </si>
  <si>
    <t>🔗 DROPDOWN: Lao PDR or Foreign/International. Drives Province dropdown.</t>
  </si>
  <si>
    <t>On posting</t>
  </si>
  <si>
    <t>Service Province / Posting (Col X)</t>
  </si>
  <si>
    <t>🔗 DEPENDENT on Country — shows provinces (Lao PDR) or diplomatic postings (Foreign). 
This single field drives three auto-derived flags below.</t>
  </si>
  <si>
    <t>Service District (Col Y)</t>
  </si>
  <si>
    <t>🔗 DEPENDENT on Province — shows districts for the selected province.</t>
  </si>
  <si>
    <t>Profession Category (Col Z)</t>
  </si>
  <si>
    <t>🟢 AUTO — VLOOKUP on Ministry in LK_OrgMaster. Drives Position dropdown and Teaching/Medical allowances.</t>
  </si>
  <si>
    <t>Is Remote Area (Col AA)</t>
  </si>
  <si>
    <t>🟢 AUTO — VLOOKUP of Service Province in LK_LocationMaster Col G. Drives Remote Area Allowance in payroll.</t>
  </si>
  <si>
    <t>Is Foreign Posting (Col AB)</t>
  </si>
  <si>
    <t>🟢 AUTO — Yes if Service Country = Foreign/International. Drives Foreign Living Allowance.</t>
  </si>
  <si>
    <t>Is Hazardous Area (Col AC)</t>
  </si>
  <si>
    <t>🟢 AUTO — VLOOKUP of Service Province in LK_LocationMaster Col H. Drives Hardship &amp; Hazardous Allowance.</t>
  </si>
  <si>
    <t>BANK DETAILS (Cols AJ–AN) — Dependent Dropdowns + Auto-Derived</t>
  </si>
  <si>
    <t>Bank Name (Col AJ)</t>
  </si>
  <si>
    <t>🔗 DROPDOWN from list of 5 approved banks. Drives Branch dropdown.</t>
  </si>
  <si>
    <t>Bank Branch (Col AK)</t>
  </si>
  <si>
    <t>🔗 DEPENDENT on Bank — shows only branches for the selected bank. E.g. selecting BCEL shows all 8 BCEL branches.</t>
  </si>
  <si>
    <t>Bank Branch Code (Col AL)</t>
  </si>
  <si>
    <t>🟢 AUTO — INDEX/MATCH on Bank Name + Branch Name against LK_BankMaster helper column. Do not edit.</t>
  </si>
  <si>
    <t>Bank Account No. (Col AM)</t>
  </si>
  <si>
    <t>🟡 Manual input — employee's actual account number for salary crediting.</t>
  </si>
  <si>
    <t>SWIFT / BIC Code (Col AN)</t>
  </si>
  <si>
    <t>🟢 AUTO — VLOOKUP of Bank Name in LK_BankMaster. Do not edit.</t>
  </si>
  <si>
    <t>PAYROLL FLAGS (Cols AO–AS) — Manual + Auto-Derived</t>
  </si>
  <si>
    <t>Has Spouse (Col AO)</t>
  </si>
  <si>
    <t>🟡 Manual dropdown: Yes / No. Drives Spouse Benefit in payroll calculation.</t>
  </si>
  <si>
    <t>On change</t>
  </si>
  <si>
    <t>No. of Eligible Children (Col AP)</t>
  </si>
  <si>
    <t>🟡 Manual — enter 0 to 3. Maximum 3 children recognised per MoF guidelines. Drives Child Benefit.</t>
  </si>
  <si>
    <t>Position Level (Col AQ)</t>
  </si>
  <si>
    <t>🟢 AUTO — nested IF formula on Position title keywords. 
Maps to: General Staff / Section Chief / Division Chief / Deputy Director / Director / Deputy Minister / Minister. 
Drives Position Allowance via VLOOKUP in PAYROLL_CALC.</t>
  </si>
  <si>
    <t>Is NA Member (Col AR)</t>
  </si>
  <si>
    <t>🟢 AUTO — VLOOKUP on Ministry in LK_OrgMaster Col G. Yes only for National Assembly org. Drives NA Member Allowance.</t>
  </si>
  <si>
    <t>Field Allowance Type (Col AS)</t>
  </si>
  <si>
    <t>🟢 AUTO — VLOOKUP on Ministry in LK_OrgMaster Col H. 
Teaching = Teaching Profession Allowance. Medical = Medical Personnel Allowance. None = neither.</t>
  </si>
  <si>
    <t>5.  PAYROLL_CALC — HOW THE CALCULATION WORKS</t>
  </si>
  <si>
    <t>Basic Salary (Col L)</t>
  </si>
  <si>
    <t>Index Value (from LK_GradeStep Col E for employee's grade/step) × Multiplier (from LK_GradeStep Col D). 
Fully dynamic — change either value in LK_GradeStep and all 500 basic salaries update.</t>
  </si>
  <si>
    <t>Earnings / Allowances (Cols M–X)</t>
  </si>
  <si>
    <t>12 allowance columns, each conditionally calculated:  
Position Allowance = VLOOKUP of Position Level (Col AQ).  
Years of Service = stepped IF on years served.  
Teaching / Medical = triggered by Field Allowance Type (Col AS).  
NA Member = triggered by Is NA Member (Col AR).  
Hazardous / Remote / Foreign = triggered by Cols AA, AB, AC.  
Fuel Benefit = if Grade ≥ 8.  Spouse + Child = from manual flags.</t>
  </si>
  <si>
    <t>Gross Earnings (Col Z)</t>
  </si>
  <si>
    <t>Basic Salary + Total Allowances. All earnings before deductions.</t>
  </si>
  <si>
    <t>SSO Employee Contribution (Col AA)</t>
  </si>
  <si>
    <t>5.5% of Basic Salary (rate from LK_AllowanceRates Row 26). Deducted from gross.</t>
  </si>
  <si>
    <t>Taxable Income (Col AB)</t>
  </si>
  <si>
    <t>Gross Earnings − SSO Employee Contribution.</t>
  </si>
  <si>
    <t>PIT Amount (Col AC)</t>
  </si>
  <si>
    <t>Progressive Lao PDR income tax on Taxable Income. Brackets from LK_PIT. Deducted from gross.</t>
  </si>
  <si>
    <t>NET SALARY (Col AE)</t>
  </si>
  <si>
    <t>Gross Earnings − Total Deductions (SSO + PIT). The take-home salary figure.</t>
  </si>
  <si>
    <t>Grand Totals Row</t>
  </si>
  <si>
    <t>Row 504. SUM of all 500 employees for each column. Useful for ministry-level payroll aggregates.</t>
  </si>
  <si>
    <t>6.  ADDING NEW EMPLOYEES</t>
  </si>
  <si>
    <t>Step 1 — Employee Master</t>
  </si>
  <si>
    <t>Go to EMPLOYEE_MASTER. Scroll to row 504 (after the last mock record). 
Enter a new Employee Code (e.g. LAO00501). Fill all yellow input cells using the dropdowns provided.</t>
  </si>
  <si>
    <t>On new hire</t>
  </si>
  <si>
    <t>Step 2 — Verify auto-derived fields</t>
  </si>
  <si>
    <t>Check that green cells (Grade, Profession, Is Remote etc.) have populated correctly. 
If a dropdown shows blank, check that Ministry/Province matches the master table spelling exactly.</t>
  </si>
  <si>
    <t>Step 3 — Payroll Calc</t>
  </si>
  <si>
    <t>Go to PAYROLL_CALC. In row 504, enter the Employee Code in Col A. 
Copy the entire formula row from row 503 down to row 504 (select row 503, copy, select row 504, paste formulas only).</t>
  </si>
  <si>
    <t>Step 4 — Verify payroll</t>
  </si>
  <si>
    <t>Confirm the new row shows correct basic salary, allowances, and net salary.</t>
  </si>
  <si>
    <t>7.  IMPORTANT RULES &amp; WARNINGS</t>
  </si>
  <si>
    <t>⛔ Never delete rows</t>
  </si>
  <si>
    <t>Deleting rows in EMPLOYEE_MASTER breaks all PAYROLL_CALC formula references. Hide rows instead (right-click → Hide).</t>
  </si>
  <si>
    <t>Always</t>
  </si>
  <si>
    <t>⛔ Never rename or move sheets</t>
  </si>
  <si>
    <t>All cross-sheet VLOOKUP and SUMPRODUCT formulas reference sheets by exact name. Renaming breaks them.</t>
  </si>
  <si>
    <t>⛔ Never edit green cells</t>
  </si>
  <si>
    <t>All green cells are formula-driven. Editing them will overwrite formulas permanently and break the calculation chain.</t>
  </si>
  <si>
    <t>⛔ Never change keys in master tables</t>
  </si>
  <si>
    <t>Ministry Key (LK_OrgMaster Col C), Dept Key (Col E), Province Key (LK_LocationMaster Col C), Bank Key (LK_BankMaster Col B) — these power named ranges for all dependent dropdowns. Changing them breaks all dropdowns.</t>
  </si>
  <si>
    <t>✅ Always update master tables first</t>
  </si>
  <si>
    <t>Change LK_GradeStep, LK_AllowanceRates, LK_OrgMaster, LK_LocationMaster first. Employee Master and Payroll Calc will reflect changes automatically.</t>
  </si>
  <si>
    <t>Before payroll run</t>
  </si>
  <si>
    <t>✅ Save a backup before bulk changes</t>
  </si>
  <si>
    <t>Save the file under a new name before making large edits to master tables or adding many employees.</t>
  </si>
  <si>
    <t>Before bulk edits</t>
  </si>
  <si>
    <t>✅ Currency</t>
  </si>
  <si>
    <t>All monetary values are in LAK (Lao Kip). Thousands separators are applied for readability. Do not enter amounts in other currencies.</t>
  </si>
  <si>
    <t>✅ Mock data</t>
  </si>
  <si>
    <t>All 500 employee records are fictitious. Replace with actual employee data as confirmed by HR departments.</t>
  </si>
  <si>
    <t>One-time migration</t>
  </si>
  <si>
    <t>8.  FREE FIELDS IN PAYROLL_CALC + AUDIT TRAIL IN MASTER TABLES</t>
  </si>
  <si>
    <t>PAYROLL_CALC Cols Y-AA
(Other Allowances 1-3)</t>
  </si>
  <si>
    <t>🔓 FREE INPUT FIELDS — Enter any additional allowances not covered by the standard columns. Blue background. Enter the LAK amount directly. Examples: special project bonus, performance incentive, one-off MoF-approved subsidy. These are included in Total Allowances and Gross Earnings.</t>
  </si>
  <si>
    <t>Per month / as needed</t>
  </si>
  <si>
    <t>PAYROLL_CALC Cols AG-AH
(Additional Deductions 1-2)</t>
  </si>
  <si>
    <t>🔓 FREE INPUT FIELDS — Enter any additional deductions not covered by SSO or PIT. Light red background. Enter the LAK amount directly. Examples: employee loan repayment, salary advance recovery, voluntary savings contribution, disciplinary fine. These are included in Total Deductions and reduce Net Salary.</t>
  </si>
  <si>
    <t>Audit Trail Cols in All Master Tables</t>
  </si>
  <si>
    <t>📅 Six audit columns added to every master lookup table (LK_OrgMaster, LK_LocationMaster, LK_BankMaster, LK_GradeStep, LK_AllowanceRates, LK_PIT, LK_GradeDerivation):
  • Effective From — Date this record became effective
  • Effective To — Date this record was superseded (blank = still active)
  • Last Updated — Date of most recent change
  • Last Updated By — Name or staff code of who changed it
  • Circular / Reference — MoF circular or gazette number authorising the value
  • Change Remarks — Brief note on what changed and why
RULE: Update these 6 fields EVERY TIME you change any value in a master table row.</t>
  </si>
  <si>
    <t>Update whenever master data changes</t>
  </si>
  <si>
    <t>Audit Trail — Best Practice</t>
  </si>
  <si>
    <t>When a rate changes (e.g. Index Value rises): (1) Set Effective To on the old row to the last date it applied. (2) Add a NEW row with the new values and the new Effective From date. (3) Never delete old rows — they form the historical record. This allows you to reconstruct any month's payroll from the correct historical rates.</t>
  </si>
  <si>
    <t>Always — never delete history</t>
  </si>
  <si>
    <t>Plain language explanations for the users.</t>
  </si>
  <si>
    <t xml:space="preserve">  WHAT IS THIS FILE?</t>
  </si>
  <si>
    <t>What is this toolkit?</t>
  </si>
  <si>
    <t>This Excel file is a payroll preparation tool for the Lao PDR Government. It holds personal, employment, and salary information for 500 civil servants (mock data). When the correct data is entered, it automatically calculates every employee's monthly salary, allowances, deductions, and take-home pay — without any manual arithmetic.</t>
  </si>
  <si>
    <t xml:space="preserve">  YELLOW AND GREEN CELLS EXPLAINED</t>
  </si>
  <si>
    <t>Yellow cells — YOU fill these in</t>
  </si>
  <si>
    <t>Yellow cells are where staff enter or update data. Examples:
  Employee name, date of birth, date of joining government
  Education qualification and years of prior work experience
  Ministry, department, and division (select from dropdown)
  Service province (select from dropdown)
  Bank name and branch (select from dropdown)
  Has Spouse: Yes / No
  Number of eligible children (0 to 3)
RULE: Yellow cells are the ONLY cells you should type into.</t>
  </si>
  <si>
    <t>Green cells — the file fills automatically</t>
  </si>
  <si>
    <t>Green cells contain formulas. You never need to type into them. Examples:
  Grade and Step — calculated from education + years of prior experience
  Profession Category — identified from the ministry the employee works in
  Is Remote Area / Is Hazardous — checked from the province of posting
  Is Foreign Posting — Yes if posted outside Lao PDR
  Basic Salary — Index Value times Multiplier (from the grade/step table)
  All allowances and deductions — from rates in master tables
  Net Salary — Gross Earnings minus total deductions
RULE: NEVER type into a green cell. Doing so will break the formula.</t>
  </si>
  <si>
    <t xml:space="preserve">  HOW SALARY IS CALCULATED — STEP BY STEP</t>
  </si>
  <si>
    <t>Step 1 — Grade and Step</t>
  </si>
  <si>
    <t>Every civil servant has a Grade (1 to 10) and a Step (1 to 10).
Grade is based on your highest education level:
  Below Secondary = Grade 1     |  Secondary School = Grade 2
  Diploma = Grade 3             |  Bachelor Degree = Grade 4
  Master Degree = Grade 6       |  Doctorate (PhD) = Grade 8
Step goes up by 1 for every 2 years of work experience BEFORE joining government.
Example: Bachelor degree + 6 years prior experience = Grade 5, Step 4.</t>
  </si>
  <si>
    <t>Step 2 — Basic Salary</t>
  </si>
  <si>
    <t>Basic Salary = Index Value x Multiplier
Index Value is a LAK amount set by MoF per grade:
  Grade 1 = 820,000 LAK  |  Grade 5 = 920,000 LAK  |  Grade 10 = 1,250,000 LAK
Multiplier increases with each grade and step:
  Grade 1 Step 1 = 1.45x  |  Grade 10 Step 10 = 8.35x
Example: Grade 4, Step 3 = 890,000 LAK x 3.10 = 2,759,000 LAK basic salary</t>
  </si>
  <si>
    <t>Step 3 — Allowances added on top</t>
  </si>
  <si>
    <t>These allowances are added to basic salary based on the employee's situation:
  Position Allowance — based on job title (General Staff up to Minister level)
  Years of Service Allowance — increases at 5, 10, 15, 20 and 25 years
  Teaching Allowance — for all Ministry of Education staff
  Medical Allowance — for all Ministry of Health staff
  NA Member Allowance — for National Assembly staff
  Remote Area Allowance — if posted to a remote province
  Hazardous Area Allowance — if posted to a UXO / security zone province
  Foreign Living Allowance — if posted abroad
  Fuel Benefit — if Grade 8 or above
  Spouse Benefit and Child Benefit — if married or have eligible children</t>
  </si>
  <si>
    <t>Step 4 — Deductions</t>
  </si>
  <si>
    <t>Two deductions are made from Gross Earnings:
  1. SSO Employee Contribution = 5.5% of Basic Salary
     (paid to Social Security Organisation / MLSW)
  2. Personal Income Tax (PIT) using progressive Lao PDR rates:
     Taxable Income = Gross Earnings minus SSO Contribution
     Up to 1,300,000 LAK = 0% (exempt)
     1,300,001 to 5,000,000 LAK = 5%
     5,000,001 to 10,000,000 LAK = 10%
     10,000,001 to 20,000,000 LAK = 15%
     20,000,001 to 40,000,000 LAK = 20%
     Above 40,000,000 LAK = 24%</t>
  </si>
  <si>
    <t>Step 5 — Net (Take-Home) Salary</t>
  </si>
  <si>
    <t>Net Salary = Gross Earnings minus Total Deductions (SSO + PIT).
This is the amount credited to the employee's bank account each month.
Shown in column AE of the PAYROLL_CALC sheet.</t>
  </si>
  <si>
    <t xml:space="preserve">  DEPENDENT DROPDOWNS — HOW TO USE THEM</t>
  </si>
  <si>
    <t>How dropdowns work</t>
  </si>
  <si>
    <t>Many cells have a dropdown arrow. Click the cell, then click the arrow to see the list.
The dropdowns are smart — selecting one option narrows choices in the next column:
  Ministry → Department → Division
  Country → Province → District
  Bank → Branch
Example: Selecting Ministry of Health shows only MoH departments in the next dropdown.
IMPORTANT: Always select in order — Ministry first, then Department, then Division.
If you change Ministry after selecting Department, clear Department and re-select.</t>
  </si>
  <si>
    <t>Position dropdown</t>
  </si>
  <si>
    <t>The Position dropdown shows only positions relevant to the employee's profession.
  Ministry of Health staff — see: Doctor, Nurse, Pharmacist, etc.
  Ministry of Education staff — see: Teacher, Lecturer, Principal, etc.
  Finance Ministry staff — see: Accountant, Budget Officer, Tax Officer, etc.
Profession is automatically detected from the Ministry selected.</t>
  </si>
  <si>
    <t xml:space="preserve">  WHEN AND HOW TO UPDATE MASTER TABLES</t>
  </si>
  <si>
    <t>When MoF issues a new salary circular</t>
  </si>
  <si>
    <t>1. Go to sheet LK_GradeStep.
2. Find the grade row(s) that changed.
3. Update Column E (Index Value) with the new LAK amount.
   Same amount for all grades: update all 10 grade rows (G1 through G10).
   Different amounts per grade: update each grade row separately.
4. All 500 basic salaries update instantly.</t>
  </si>
  <si>
    <t>When SSO changes the contribution rate</t>
  </si>
  <si>
    <t>1. Go to sheet LK_AllowanceRates.
2. Find row 26 (SSO Employee Contribution Rate %).
3. Change the value in Column B to the new rate (e.g. enter 6 for 6%).
4. All 500 SSO deductions update automatically.</t>
  </si>
  <si>
    <t>When an employee is promoted</t>
  </si>
  <si>
    <t>1. Go to EMPLOYEE_MASTER, find the employee's row.
2. If Prior Experience changed, update Column O.
   Grade and Step will auto-update from education + prior experience.
3. If position title changed, update Column M.
   Position Level (for allowance) will auto-derive from the new title.
4. PAYROLL_CALC reflects the new salary automatically.</t>
  </si>
  <si>
    <t>When an employee transfers to a new location</t>
  </si>
  <si>
    <t>1. Go to EMPLOYEE_MASTER, find the employee's row.
2. Update Column W (Country), Column X (Province), Column Y (District).
   Use the dropdowns in order: Country, then Province, then District.
3. Is Remote, Is Hazardous, Is Foreign update automatically from Location Master.
4. Relevant allowances in PAYROLL_CALC turn on or off automatically.</t>
  </si>
  <si>
    <t>When a new employee joins</t>
  </si>
  <si>
    <t>1. Go to EMPLOYEE_MASTER, scroll to row 504 (after last record).
2. Enter a new Employee Code (e.g. LAO00501).
3. Fill all yellow cells using the dropdowns.
4. Enter Prior Experience in Column O — Grade and Step auto-calculate.
5. Go to PAYROLL_CALC row 504, enter the employee code in Column A.
6. Copy the formula row from row 503 and paste (formulas only) into row 504.</t>
  </si>
  <si>
    <t xml:space="preserve">  WHAT EACH SHEET DOES</t>
  </si>
  <si>
    <t>EMPLOYEE_MASTER</t>
  </si>
  <si>
    <t>Main data entry sheet. One row per employee, 45 columns. Covers personal details, employment, grade inputs, organisation, location, bank, and payroll flags. This is the sheet HR officers update most frequently.</t>
  </si>
  <si>
    <t>PAYROLL_CALC</t>
  </si>
  <si>
    <t>Monthly payroll output. All cells are formulas — nothing is typed here directly. Each row shows one employee's full salary breakdown: Basic Salary, 12 Allowances, Gross Earnings, SSO, PIT, and Net Salary. Row 504 shows grand totals for all 500 employees.</t>
  </si>
  <si>
    <t>LK_GradeStep</t>
  </si>
  <si>
    <t>Rate table for basic salary. 100 rows: 10 grades x 10 steps. Two editable values per row: Column D = Multiplier, Column E = Index Value in LAK. Basic Salary = Index Value x Multiplier.</t>
  </si>
  <si>
    <t>LK_OrgMaster</t>
  </si>
  <si>
    <t>Organisation hierarchy: all 18 ministries and provinces with their departments and divisions. Also records profession type and allowance types per organisation. Powers the Ministry to Department to Division dropdown chain.</t>
  </si>
  <si>
    <t>LK_LocationMaster</t>
  </si>
  <si>
    <t>Geography table: every province and district in Lao PDR, plus all foreign postings. Each province is tagged Remote (Yes/No) and Hazardous (Yes/No). Powers the Country to Province to District dropdown chain.</t>
  </si>
  <si>
    <t>Approved banks and branches: 5 banks, 20 branches. Includes branch codes and SWIFT codes. Powers the Bank to Branch dropdown. Branch code and SWIFT auto-fill when selected.</t>
  </si>
  <si>
    <t>DB_STTM</t>
  </si>
  <si>
    <t>Database Standard Technical Table Metadata. Technical reference for IT and database teams. Specifies column names, data types, lengths, constraints, primary/foreign keys, and derivation rules for all 9 tables in the payroll database schema.</t>
  </si>
  <si>
    <t>PROMPT_LOG</t>
  </si>
  <si>
    <t>Build history of this file. Records every user prompt that led to this toolkit, the version it produced, estimated generation time, and what was built or changed in each iteration.</t>
  </si>
  <si>
    <t>LOCATION MASTER  —  Country → Province → District  (LK_LocationMaster)</t>
  </si>
  <si>
    <t>ℹ️  Employee Master derives Is Remote (from Col G), Is Hazardous (Col H), and Is Foreign (derived from Country) 
via VLOOKUP on Service Province (col X in Employee Master). 
Province and District dropdowns are driven by named ranges in LK_DropdownLists — 
all sourced from this table. Update Col G (Is Remote) or Col H (Is Hazardous) as MoHA classifications change.</t>
  </si>
  <si>
    <t>Country</t>
  </si>
  <si>
    <t>Country Key</t>
  </si>
  <si>
    <t>Province Key</t>
  </si>
  <si>
    <t>Province / Posting</t>
  </si>
  <si>
    <t>District Key</t>
  </si>
  <si>
    <t>District</t>
  </si>
  <si>
    <t>Is Remote
(Yes/No)</t>
  </si>
  <si>
    <t>Is Hazardous
(Yes/No)</t>
  </si>
  <si>
    <t>Notes</t>
  </si>
  <si>
    <t>Effective From
(Date)</t>
  </si>
  <si>
    <t>Effective To
(Date)</t>
  </si>
  <si>
    <t>Last Updated
(Date)</t>
  </si>
  <si>
    <t>Last Updated By
(Name/Code)</t>
  </si>
  <si>
    <t>Circular /
Reference</t>
  </si>
  <si>
    <t>Change Remarks</t>
  </si>
  <si>
    <t>Lao PDR</t>
  </si>
  <si>
    <t>LAO</t>
  </si>
  <si>
    <t>VTE</t>
  </si>
  <si>
    <t>Vientiane Capital</t>
  </si>
  <si>
    <t>VTE_CHANTHAB</t>
  </si>
  <si>
    <t>Chanthabouli</t>
  </si>
  <si>
    <t>No</t>
  </si>
  <si>
    <t>MoF System Update</t>
  </si>
  <si>
    <t>MoHA Gazette / Decree 292/GoL 2021</t>
  </si>
  <si>
    <t>Updated per MoF Guideline 4904/MOF (Jan 2026)</t>
  </si>
  <si>
    <t>VTE_SIKHOTTA</t>
  </si>
  <si>
    <t>Sikhottabong</t>
  </si>
  <si>
    <t>VTE_XAYSETTH</t>
  </si>
  <si>
    <t>Xaysettha</t>
  </si>
  <si>
    <t>VTE_SAYSETTH</t>
  </si>
  <si>
    <t>Saysettha</t>
  </si>
  <si>
    <t>VTE_HADXAYFO</t>
  </si>
  <si>
    <t>Hadxayfong</t>
  </si>
  <si>
    <t>VTE_NAXAYTHO</t>
  </si>
  <si>
    <t>Naxaythong</t>
  </si>
  <si>
    <t>VTE_XAYTHANY</t>
  </si>
  <si>
    <t>Xaythany</t>
  </si>
  <si>
    <t>VTE_SANGTHON</t>
  </si>
  <si>
    <t>Sangthong</t>
  </si>
  <si>
    <t>VTE_MAYPARKN</t>
  </si>
  <si>
    <t>Mayparkngum</t>
  </si>
  <si>
    <t>PGS</t>
  </si>
  <si>
    <t>Phongsali</t>
  </si>
  <si>
    <t>PGS_PHONGSAL</t>
  </si>
  <si>
    <t>Yes</t>
  </si>
  <si>
    <t>Remote / Difficult Area</t>
  </si>
  <si>
    <t>PGS_BOUNNEUA</t>
  </si>
  <si>
    <t>Boun Neua</t>
  </si>
  <si>
    <t>PGS_MAY</t>
  </si>
  <si>
    <t>May</t>
  </si>
  <si>
    <t>PGS_KHUA</t>
  </si>
  <si>
    <t>Khua</t>
  </si>
  <si>
    <t>PGS_SAMPHANH</t>
  </si>
  <si>
    <t>Samphanh</t>
  </si>
  <si>
    <t>PGS_BOUNTAI</t>
  </si>
  <si>
    <t>Boun Tai</t>
  </si>
  <si>
    <t>PGS_NHOTOU</t>
  </si>
  <si>
    <t>Nhot Ou</t>
  </si>
  <si>
    <t>LNT</t>
  </si>
  <si>
    <t>Luang Namtha</t>
  </si>
  <si>
    <t>LNT_LUANGNAM</t>
  </si>
  <si>
    <t>LNT_SING</t>
  </si>
  <si>
    <t>Sing</t>
  </si>
  <si>
    <t>LNT_LONG</t>
  </si>
  <si>
    <t>Long</t>
  </si>
  <si>
    <t>LNT_VIENGPHO</t>
  </si>
  <si>
    <t>Viengphoukha</t>
  </si>
  <si>
    <t>LNT_NALAE</t>
  </si>
  <si>
    <t>Nalae</t>
  </si>
  <si>
    <t>ODX</t>
  </si>
  <si>
    <t>Oudomxay</t>
  </si>
  <si>
    <t>ODX_XAY</t>
  </si>
  <si>
    <t>Xay</t>
  </si>
  <si>
    <t>ODX_LA</t>
  </si>
  <si>
    <t>La</t>
  </si>
  <si>
    <t>ODX_BENG</t>
  </si>
  <si>
    <t>Beng</t>
  </si>
  <si>
    <t>ODX_NAMOR</t>
  </si>
  <si>
    <t>Namor</t>
  </si>
  <si>
    <t>ODX_NGA</t>
  </si>
  <si>
    <t>Nga</t>
  </si>
  <si>
    <t>ODX_HOUN</t>
  </si>
  <si>
    <t>Houn</t>
  </si>
  <si>
    <t>ODX_PAKBENG</t>
  </si>
  <si>
    <t>Pakbeng</t>
  </si>
  <si>
    <t>BKO</t>
  </si>
  <si>
    <t>Bokeo</t>
  </si>
  <si>
    <t>BKO_HUOIXAI</t>
  </si>
  <si>
    <t>Huoixai</t>
  </si>
  <si>
    <t>BKO_TONPHEUN</t>
  </si>
  <si>
    <t>Ton Pheung</t>
  </si>
  <si>
    <t>BKO_PHAOUDOM</t>
  </si>
  <si>
    <t>Pha Oudom</t>
  </si>
  <si>
    <t>BKO_MEUNG</t>
  </si>
  <si>
    <t>Meung</t>
  </si>
  <si>
    <t>BKO_PAKTHA</t>
  </si>
  <si>
    <t>Pak Tha</t>
  </si>
  <si>
    <t>LPB</t>
  </si>
  <si>
    <t>Luang Prabang</t>
  </si>
  <si>
    <t>LPB_LUANGPRA</t>
  </si>
  <si>
    <t>LPB_XIENGNGE</t>
  </si>
  <si>
    <t>Xieng Ngeun</t>
  </si>
  <si>
    <t>LPB_NAN</t>
  </si>
  <si>
    <t>Nan</t>
  </si>
  <si>
    <t>LPB_PAKOU</t>
  </si>
  <si>
    <t>Pak Ou</t>
  </si>
  <si>
    <t>LPB_NAMBAK</t>
  </si>
  <si>
    <t>Nambak</t>
  </si>
  <si>
    <t>LPB_NGOI</t>
  </si>
  <si>
    <t>Ngoi</t>
  </si>
  <si>
    <t>LPB_PAKXENG</t>
  </si>
  <si>
    <t>Pakxeng</t>
  </si>
  <si>
    <t>LPB_PHONXAY</t>
  </si>
  <si>
    <t>Phonxay</t>
  </si>
  <si>
    <t>LPB_CHOMPHET</t>
  </si>
  <si>
    <t>Chomphet</t>
  </si>
  <si>
    <t>LPB_VIENGKHA</t>
  </si>
  <si>
    <t>Viengkham</t>
  </si>
  <si>
    <t>LPB_PHOUKHOU</t>
  </si>
  <si>
    <t>Phoukhoune</t>
  </si>
  <si>
    <t>HUA</t>
  </si>
  <si>
    <t>Huaphan</t>
  </si>
  <si>
    <t>HUA_XAMNEUA</t>
  </si>
  <si>
    <t>Xamneua</t>
  </si>
  <si>
    <t>Remote + Hazardous (UXO affected)</t>
  </si>
  <si>
    <t>HUA_XIENGKHO</t>
  </si>
  <si>
    <t>Xiengkho</t>
  </si>
  <si>
    <t>HUA_VIENGXAY</t>
  </si>
  <si>
    <t>Viengxay</t>
  </si>
  <si>
    <t>HUA_HUAMUANG</t>
  </si>
  <si>
    <t>Huamuang</t>
  </si>
  <si>
    <t>HUA_XAMTAI</t>
  </si>
  <si>
    <t>Xam Tai</t>
  </si>
  <si>
    <t>HUA_KUAN</t>
  </si>
  <si>
    <t>Kuan</t>
  </si>
  <si>
    <t>HUA_HAET</t>
  </si>
  <si>
    <t>Haet</t>
  </si>
  <si>
    <t>SAY</t>
  </si>
  <si>
    <t>Sayabouli</t>
  </si>
  <si>
    <t>SAY_SAYABOUL</t>
  </si>
  <si>
    <t>SAY_KHOP</t>
  </si>
  <si>
    <t>Khop</t>
  </si>
  <si>
    <t>SAY_HONGSA</t>
  </si>
  <si>
    <t>Hongsa</t>
  </si>
  <si>
    <t>SAY_NGEUN</t>
  </si>
  <si>
    <t>Ngeun</t>
  </si>
  <si>
    <t>SAY_XIENGHON</t>
  </si>
  <si>
    <t>Xienghon</t>
  </si>
  <si>
    <t>SAY_PHIENG</t>
  </si>
  <si>
    <t>Phieng</t>
  </si>
  <si>
    <t>SAY_PARKLAI</t>
  </si>
  <si>
    <t>Parklai</t>
  </si>
  <si>
    <t>SAY_KENETHAO</t>
  </si>
  <si>
    <t>Kenethao</t>
  </si>
  <si>
    <t>SAY_BOTENE</t>
  </si>
  <si>
    <t>Botene</t>
  </si>
  <si>
    <t>SAY_THONGMIX</t>
  </si>
  <si>
    <t>Thongmixay</t>
  </si>
  <si>
    <t>XKH</t>
  </si>
  <si>
    <t>Xiengkhuang</t>
  </si>
  <si>
    <t>XKH_PHONSAVA</t>
  </si>
  <si>
    <t>Phonsavan</t>
  </si>
  <si>
    <t>XKH_KHAM</t>
  </si>
  <si>
    <t>Kham</t>
  </si>
  <si>
    <t>XKH_NONGHET</t>
  </si>
  <si>
    <t>Nonghet</t>
  </si>
  <si>
    <t>XKH_KHOUN</t>
  </si>
  <si>
    <t>Khoun</t>
  </si>
  <si>
    <t>XKH_MORK</t>
  </si>
  <si>
    <t>Mork</t>
  </si>
  <si>
    <t>XKH_PHOOKOOD</t>
  </si>
  <si>
    <t>Phookood</t>
  </si>
  <si>
    <t>VTP</t>
  </si>
  <si>
    <t>Vientiane Province</t>
  </si>
  <si>
    <t>VTP_PHONHONG</t>
  </si>
  <si>
    <t>Phon Hong</t>
  </si>
  <si>
    <t>VTP_THOULAKH</t>
  </si>
  <si>
    <t>Thoulakhom</t>
  </si>
  <si>
    <t>VTP_KEOOUDOM</t>
  </si>
  <si>
    <t>Keo Oudom</t>
  </si>
  <si>
    <t>VTP_KASY</t>
  </si>
  <si>
    <t>Kasy</t>
  </si>
  <si>
    <t>VTP_VANGVIEN</t>
  </si>
  <si>
    <t>Vang Vieng</t>
  </si>
  <si>
    <t>VTP_FEUANG</t>
  </si>
  <si>
    <t>Feuang</t>
  </si>
  <si>
    <t>VTP_XANAKHAR</t>
  </si>
  <si>
    <t>Xanakharm</t>
  </si>
  <si>
    <t>VTP_MAD</t>
  </si>
  <si>
    <t>Mad</t>
  </si>
  <si>
    <t>VTP_HINHEUP</t>
  </si>
  <si>
    <t>Hinheup</t>
  </si>
  <si>
    <t>BLK</t>
  </si>
  <si>
    <t>Bolikhamxay</t>
  </si>
  <si>
    <t>BLK_PAKXAN</t>
  </si>
  <si>
    <t>Pakxan</t>
  </si>
  <si>
    <t>BLK_THAPHABA</t>
  </si>
  <si>
    <t>Thaphabath</t>
  </si>
  <si>
    <t>BLK_PAKKADIN</t>
  </si>
  <si>
    <t>Pakkading</t>
  </si>
  <si>
    <t>BLK_BOLIKHAN</t>
  </si>
  <si>
    <t>Bolikhanh</t>
  </si>
  <si>
    <t>BLK_KHAMKEUT</t>
  </si>
  <si>
    <t>Khamkeuth</t>
  </si>
  <si>
    <t>BLK_XAYCHAMP</t>
  </si>
  <si>
    <t>Xaychamphone</t>
  </si>
  <si>
    <t>KMN</t>
  </si>
  <si>
    <t>Khammuane</t>
  </si>
  <si>
    <t>KMN_THAKHEK</t>
  </si>
  <si>
    <t>Thakhek</t>
  </si>
  <si>
    <t>Hazardous (UXO / border security)</t>
  </si>
  <si>
    <t>KMN_MAHAXAY</t>
  </si>
  <si>
    <t>Mahaxay</t>
  </si>
  <si>
    <t>KMN_NONGBOK</t>
  </si>
  <si>
    <t>Nongbok</t>
  </si>
  <si>
    <t>KMN_HINBOUN</t>
  </si>
  <si>
    <t>Hinboun</t>
  </si>
  <si>
    <t>KMN_NHOMMALA</t>
  </si>
  <si>
    <t>Nhommalath</t>
  </si>
  <si>
    <t>KMN_BUALAPHA</t>
  </si>
  <si>
    <t>Bualapha</t>
  </si>
  <si>
    <t>KMN_YOMMALAT</t>
  </si>
  <si>
    <t>Yommalath</t>
  </si>
  <si>
    <t>KMN_XEBANGFA</t>
  </si>
  <si>
    <t>Xebangfai</t>
  </si>
  <si>
    <t>KMN_XAIBULI</t>
  </si>
  <si>
    <t>Xaibuli</t>
  </si>
  <si>
    <t>KMN_NAKAI</t>
  </si>
  <si>
    <t>Nakai</t>
  </si>
  <si>
    <t>SVK</t>
  </si>
  <si>
    <t>Savannakhet</t>
  </si>
  <si>
    <t>SVK_KAYSONEP</t>
  </si>
  <si>
    <t>Kaysone Phomvihane</t>
  </si>
  <si>
    <t>SVK_OUTHOUMP</t>
  </si>
  <si>
    <t>Outhoumphone</t>
  </si>
  <si>
    <t>SVK_ATSAPHON</t>
  </si>
  <si>
    <t>Atsaphon</t>
  </si>
  <si>
    <t>Atsaphone</t>
  </si>
  <si>
    <t>SVK_XAYPHOUT</t>
  </si>
  <si>
    <t>Xayphouthong</t>
  </si>
  <si>
    <t>SVK_CHAMPHON</t>
  </si>
  <si>
    <t>Champhone</t>
  </si>
  <si>
    <t>SVK_SONGKHON</t>
  </si>
  <si>
    <t>Songkhone</t>
  </si>
  <si>
    <t>SVK_BOUNHAPH</t>
  </si>
  <si>
    <t>Bounhaphanh</t>
  </si>
  <si>
    <t>SVK_NONG</t>
  </si>
  <si>
    <t>Nong</t>
  </si>
  <si>
    <t>SVK_THAPHALA</t>
  </si>
  <si>
    <t>Thaphalanxay</t>
  </si>
  <si>
    <t>SVK_VILABOUL</t>
  </si>
  <si>
    <t>Vilabouly</t>
  </si>
  <si>
    <t>SVK_XONNABOU</t>
  </si>
  <si>
    <t>Xonnabouli</t>
  </si>
  <si>
    <t>SVK_PHALANXA</t>
  </si>
  <si>
    <t>Phalanxay</t>
  </si>
  <si>
    <t>SLV</t>
  </si>
  <si>
    <t>Salavan</t>
  </si>
  <si>
    <t>SLV_SALAVAN</t>
  </si>
  <si>
    <t>SLV_TOOMLARN</t>
  </si>
  <si>
    <t>Toomlarn</t>
  </si>
  <si>
    <t>SLV_LAKHONEP</t>
  </si>
  <si>
    <t>Lakhonepheng</t>
  </si>
  <si>
    <t>SLV_VAPI</t>
  </si>
  <si>
    <t>Vapi</t>
  </si>
  <si>
    <t>SLV_KHONGXED</t>
  </si>
  <si>
    <t>Khongxedone</t>
  </si>
  <si>
    <t>SLV_TAOI</t>
  </si>
  <si>
    <t>Ta-Oi</t>
  </si>
  <si>
    <t>SLV_LAONGAM</t>
  </si>
  <si>
    <t>Laongam</t>
  </si>
  <si>
    <t>SLV_SAMUOI</t>
  </si>
  <si>
    <t>Samuoi</t>
  </si>
  <si>
    <t>SKG</t>
  </si>
  <si>
    <t>Sekong</t>
  </si>
  <si>
    <t>SKG_LAMAM</t>
  </si>
  <si>
    <t>Lamam</t>
  </si>
  <si>
    <t>SKG_KALEUM</t>
  </si>
  <si>
    <t>Kaleum</t>
  </si>
  <si>
    <t>SKG_THATENG</t>
  </si>
  <si>
    <t>Thateng</t>
  </si>
  <si>
    <t>SKG_DAKCHEUN</t>
  </si>
  <si>
    <t>Dak Cheung</t>
  </si>
  <si>
    <t>CHP</t>
  </si>
  <si>
    <t>Champasak</t>
  </si>
  <si>
    <t>CHP_PAKSE</t>
  </si>
  <si>
    <t>Pakse</t>
  </si>
  <si>
    <t>CHP_SANASOMB</t>
  </si>
  <si>
    <t>Sanasomboon</t>
  </si>
  <si>
    <t>CHP_BACHIANG</t>
  </si>
  <si>
    <t>Bachiangchaleunsook</t>
  </si>
  <si>
    <t>CHP_PAKXONG</t>
  </si>
  <si>
    <t>Pakxong</t>
  </si>
  <si>
    <t>CHP_PATHOUMP</t>
  </si>
  <si>
    <t>Pathoumphone</t>
  </si>
  <si>
    <t>CHP_PHONTHON</t>
  </si>
  <si>
    <t>Phonthong</t>
  </si>
  <si>
    <t>CHP_CHAMPASA</t>
  </si>
  <si>
    <t>CHP_SUKHUMA</t>
  </si>
  <si>
    <t>Sukhuma</t>
  </si>
  <si>
    <t>CHP_MOUNLAPA</t>
  </si>
  <si>
    <t>Mounlapamok</t>
  </si>
  <si>
    <t>CHP_KHONG</t>
  </si>
  <si>
    <t>Khong</t>
  </si>
  <si>
    <t>ATP</t>
  </si>
  <si>
    <t>Attapeu</t>
  </si>
  <si>
    <t>ATP_SAMAKKHI</t>
  </si>
  <si>
    <t>Samakkhixay</t>
  </si>
  <si>
    <t>ATP_SANAMXAY</t>
  </si>
  <si>
    <t>Sanamxay</t>
  </si>
  <si>
    <t>ATP_SANXAY</t>
  </si>
  <si>
    <t>Sanxay</t>
  </si>
  <si>
    <t>ATP_PHOUVONG</t>
  </si>
  <si>
    <t>Phouvong</t>
  </si>
  <si>
    <t>ATP_XAYSETHA</t>
  </si>
  <si>
    <t>Xaysetha</t>
  </si>
  <si>
    <t>XYS</t>
  </si>
  <si>
    <t>Xaysomboun</t>
  </si>
  <si>
    <t>XYS_ANOUVONG</t>
  </si>
  <si>
    <t>Anouvong</t>
  </si>
  <si>
    <t>XYS_LONGXAN</t>
  </si>
  <si>
    <t>Longxan</t>
  </si>
  <si>
    <t>XYS_HOM</t>
  </si>
  <si>
    <t>Hom</t>
  </si>
  <si>
    <t>XYS_THATHOM</t>
  </si>
  <si>
    <t>Thathom</t>
  </si>
  <si>
    <t>XYS_LONGCHEN</t>
  </si>
  <si>
    <t>Longcheng</t>
  </si>
  <si>
    <t>Foreign / International</t>
  </si>
  <si>
    <t>FOR</t>
  </si>
  <si>
    <t>FOR_THA</t>
  </si>
  <si>
    <t>Thailand - Bangkok</t>
  </si>
  <si>
    <t>FOR_THA_BANGKOK</t>
  </si>
  <si>
    <t>Bangkok</t>
  </si>
  <si>
    <t>Foreign posting – Living Allowance applies</t>
  </si>
  <si>
    <t>FOR_VNM</t>
  </si>
  <si>
    <t>Vietnam - Hanoi</t>
  </si>
  <si>
    <t>FOR_VNM_HANOI</t>
  </si>
  <si>
    <t>Hanoi</t>
  </si>
  <si>
    <t>FOR_CHN</t>
  </si>
  <si>
    <t>China - Beijing</t>
  </si>
  <si>
    <t>FOR_CHN_BEIJING</t>
  </si>
  <si>
    <t>Beijing</t>
  </si>
  <si>
    <t>FOR_FRA</t>
  </si>
  <si>
    <t>France - Paris</t>
  </si>
  <si>
    <t>FOR_FRA_PARIS</t>
  </si>
  <si>
    <t>Paris</t>
  </si>
  <si>
    <t>FOR_USA</t>
  </si>
  <si>
    <t>USA - Washington DC</t>
  </si>
  <si>
    <t>FOR_USA_WASHINGT</t>
  </si>
  <si>
    <t>Washington DC</t>
  </si>
  <si>
    <t>FOR_JPN</t>
  </si>
  <si>
    <t>Japan - Tokyo</t>
  </si>
  <si>
    <t>FOR_JPN_TOKYO</t>
  </si>
  <si>
    <t>Tokyo</t>
  </si>
  <si>
    <t>FOR_AUS</t>
  </si>
  <si>
    <t>Australia - Canberra</t>
  </si>
  <si>
    <t>FOR_AUS_CANBERRA</t>
  </si>
  <si>
    <t>Canberra</t>
  </si>
  <si>
    <t>FOR_DEU</t>
  </si>
  <si>
    <t>Germany - Berlin</t>
  </si>
  <si>
    <t>FOR_DEU_BERLIN</t>
  </si>
  <si>
    <t>Berlin</t>
  </si>
  <si>
    <t>FOR_RUS</t>
  </si>
  <si>
    <t>Russia - Moscow</t>
  </si>
  <si>
    <t>FOR_RUS_MOSCOW</t>
  </si>
  <si>
    <t>Moscow</t>
  </si>
  <si>
    <t>FOR_KOR</t>
  </si>
  <si>
    <t>South Korea - Seoul</t>
  </si>
  <si>
    <t>FOR_KOR_SEOUL</t>
  </si>
  <si>
    <t>Seoul</t>
  </si>
  <si>
    <t>FOR_IND</t>
  </si>
  <si>
    <t>India - New Delhi</t>
  </si>
  <si>
    <t>FOR_IND_NEWDELHI</t>
  </si>
  <si>
    <t>New Delhi</t>
  </si>
  <si>
    <t>FOR_MMR</t>
  </si>
  <si>
    <t>Myanmar - Naypyidaw</t>
  </si>
  <si>
    <t>FOR_MMR_NAYPYIDA</t>
  </si>
  <si>
    <t>Naypyidaw</t>
  </si>
  <si>
    <t>FOR_KHM</t>
  </si>
  <si>
    <t>Cambodia - Phnom Penh</t>
  </si>
  <si>
    <t>FOR_KHM_PHNOMPEN</t>
  </si>
  <si>
    <t>Phnom Penh</t>
  </si>
  <si>
    <t>FOR_MYS</t>
  </si>
  <si>
    <t>Malaysia - Kuala Lumpur</t>
  </si>
  <si>
    <t>FOR_MYS_KUALALUM</t>
  </si>
  <si>
    <t>Kuala Lumpur</t>
  </si>
  <si>
    <t>FOR_SGP</t>
  </si>
  <si>
    <t>Singapore</t>
  </si>
  <si>
    <t>FOR_SGP_SINGAPOR</t>
  </si>
  <si>
    <t>Singapore City</t>
  </si>
  <si>
    <t>FOR_IDN</t>
  </si>
  <si>
    <t>Indonesia - Jakarta</t>
  </si>
  <si>
    <t>FOR_IDN_JAKARTA</t>
  </si>
  <si>
    <t>Jakarta</t>
  </si>
  <si>
    <t>FOR_CHE</t>
  </si>
  <si>
    <t>UN Geneva - Switzerland</t>
  </si>
  <si>
    <t>FOR_CHE_GENEVA</t>
  </si>
  <si>
    <t>Geneva</t>
  </si>
  <si>
    <t>EMPLOYEE MASTER DATA  —  Lao PDR Government Payroll  |  500 Mock Records  |  Yellow = Input  |  Green = Auto-Derived  |  🔵 Blue = Audit Trail (Cols AT-AY)</t>
  </si>
  <si>
    <t>PERSONAL INFORMATION</t>
  </si>
  <si>
    <t>SERVICE DATES</t>
  </si>
  <si>
    <t>EMPLOYMENT &amp; GRADE (P/Q AUTO)</t>
  </si>
  <si>
    <t>IDENTITY CARDS</t>
  </si>
  <si>
    <t>ORGANISATION  ← Dependent Dropdowns</t>
  </si>
  <si>
    <t>SERVICE LOCATION  ← Dependent Dropdowns + Auto-Derived</t>
  </si>
  <si>
    <t>RESIDENTIAL ADDRESS</t>
  </si>
  <si>
    <t>BANK DETAILS  ← Dependent Dropdowns + Auto-Derived</t>
  </si>
  <si>
    <t>PAYROLL FLAGS  (Auto-Derived)</t>
  </si>
  <si>
    <t>📅  AUDIT TRAIL  —  Effective Dates &amp; Change History</t>
  </si>
  <si>
    <t>Employee Code</t>
  </si>
  <si>
    <t>Title</t>
  </si>
  <si>
    <t>First Name</t>
  </si>
  <si>
    <t>Last Name</t>
  </si>
  <si>
    <t>Gender</t>
  </si>
  <si>
    <t>Date of Birth</t>
  </si>
  <si>
    <t>Email Address</t>
  </si>
  <si>
    <t>Mobile Number</t>
  </si>
  <si>
    <t>Date of Joining</t>
  </si>
  <si>
    <t>Years of Service</t>
  </si>
  <si>
    <t>Date of Retirement</t>
  </si>
  <si>
    <t>Employment Type</t>
  </si>
  <si>
    <t>Position / Designation</t>
  </si>
  <si>
    <t>Education Qualification</t>
  </si>
  <si>
    <t>Prior Experience
(Yrs before Govt)</t>
  </si>
  <si>
    <t>Grade</t>
  </si>
  <si>
    <t>Step</t>
  </si>
  <si>
    <t>Civil Service Card ID</t>
  </si>
  <si>
    <t>Social Security No.</t>
  </si>
  <si>
    <t>Ministry / Province / Central Org</t>
  </si>
  <si>
    <t>Department</t>
  </si>
  <si>
    <t>Division</t>
  </si>
  <si>
    <t>Service Country</t>
  </si>
  <si>
    <t>Service Province / Posting</t>
  </si>
  <si>
    <t>Service District</t>
  </si>
  <si>
    <t>Profession Category</t>
  </si>
  <si>
    <t>Is Remote Area</t>
  </si>
  <si>
    <t>Is Foreign Posting</t>
  </si>
  <si>
    <t>Is Hazardous Area</t>
  </si>
  <si>
    <t>House No.</t>
  </si>
  <si>
    <t>Street</t>
  </si>
  <si>
    <t>Area / Baan</t>
  </si>
  <si>
    <t>Province of Residence</t>
  </si>
  <si>
    <t>PIN Code</t>
  </si>
  <si>
    <t>Bank Name</t>
  </si>
  <si>
    <t>Bank Branch</t>
  </si>
  <si>
    <t>Bank Branch Code</t>
  </si>
  <si>
    <t>Bank Account No.</t>
  </si>
  <si>
    <t>SWIFT / BIC Code</t>
  </si>
  <si>
    <t>Has Spouse</t>
  </si>
  <si>
    <t>No. of Eligible
Children (max 3)</t>
  </si>
  <si>
    <t>Position Level
(for Allowance)</t>
  </si>
  <si>
    <t>Is NA Member</t>
  </si>
  <si>
    <t>Field Allowance
Type</t>
  </si>
  <si>
    <t>Effective From
(Record Active Date)</t>
  </si>
  <si>
    <t>Effective To
(Superseded Date)</t>
  </si>
  <si>
    <t>Record Created
(Date)</t>
  </si>
  <si>
    <t>Last Updated By
(Name / Code)</t>
  </si>
  <si>
    <t>LAO00001</t>
  </si>
  <si>
    <t>Mrs.</t>
  </si>
  <si>
    <t>Khamsone</t>
  </si>
  <si>
    <t>Bounseng</t>
  </si>
  <si>
    <t>Female</t>
  </si>
  <si>
    <t>khamsone.bounseng@gov.la</t>
  </si>
  <si>
    <t>+856 20 94519179</t>
  </si>
  <si>
    <t>Permanent</t>
  </si>
  <si>
    <t>School Principal</t>
  </si>
  <si>
    <t>Bachelor's Degree</t>
  </si>
  <si>
    <t>CSC000001</t>
  </si>
  <si>
    <t>SSO6266630</t>
  </si>
  <si>
    <t>Ministry of Education and Sports (MoES)</t>
  </si>
  <si>
    <t>Department of Primary Education</t>
  </si>
  <si>
    <t>Curriculum Division</t>
  </si>
  <si>
    <t>No. 738</t>
  </si>
  <si>
    <t>Street 20</t>
  </si>
  <si>
    <t>Baan Kaisone</t>
  </si>
  <si>
    <t>769100</t>
  </si>
  <si>
    <t>BIC Bank Laos</t>
  </si>
  <si>
    <t>BIC Head Office - Vientiane</t>
  </si>
  <si>
    <t>491079829</t>
  </si>
  <si>
    <t>Initial Load</t>
  </si>
  <si>
    <t>LAO00002</t>
  </si>
  <si>
    <t>Ms.</t>
  </si>
  <si>
    <t>Sisamone</t>
  </si>
  <si>
    <t>Vilayvong</t>
  </si>
  <si>
    <t>sisamone.vilayvon@gov.la</t>
  </si>
  <si>
    <t>+856 20 81204829</t>
  </si>
  <si>
    <t>Senior Officer</t>
  </si>
  <si>
    <t>Master's Degree</t>
  </si>
  <si>
    <t>CSC000002</t>
  </si>
  <si>
    <t>SSO6406444</t>
  </si>
  <si>
    <t>National Assembly (NA)</t>
  </si>
  <si>
    <t>Committee on Economy &amp; Finance</t>
  </si>
  <si>
    <t>Administrative Division</t>
  </si>
  <si>
    <t>No. 453</t>
  </si>
  <si>
    <t>Setthathirath Road</t>
  </si>
  <si>
    <t>Baan Nongping</t>
  </si>
  <si>
    <t>875200</t>
  </si>
  <si>
    <t>Agriculture Promotion Bank (APB)</t>
  </si>
  <si>
    <t>APB Luang Prabang Branch</t>
  </si>
  <si>
    <t>325681936</t>
  </si>
  <si>
    <t>LAO00003</t>
  </si>
  <si>
    <t>Dr.</t>
  </si>
  <si>
    <t>Keovilay</t>
  </si>
  <si>
    <t>Sisouvath</t>
  </si>
  <si>
    <t>Male</t>
  </si>
  <si>
    <t>keovilay.sisouvat@gov.la</t>
  </si>
  <si>
    <t>+856 20 98207378</t>
  </si>
  <si>
    <t>Nurse</t>
  </si>
  <si>
    <t>Secondary School (Grade 12)</t>
  </si>
  <si>
    <t>CSC000003</t>
  </si>
  <si>
    <t>SSO4262081</t>
  </si>
  <si>
    <t>Ministry of Health (MoH)</t>
  </si>
  <si>
    <t>Department of Planning &amp; Finance</t>
  </si>
  <si>
    <t>Health Financing Division</t>
  </si>
  <si>
    <t>No. 507</t>
  </si>
  <si>
    <t>Baan Dongpalane</t>
  </si>
  <si>
    <t>109000</t>
  </si>
  <si>
    <t>BCEL (Banque pour le Commerce Exterieur Lao)</t>
  </si>
  <si>
    <t>BCEL Oudomxay Branch</t>
  </si>
  <si>
    <t>545002643</t>
  </si>
  <si>
    <t>LAO00004</t>
  </si>
  <si>
    <t>Sengphet</t>
  </si>
  <si>
    <t>Sengmixay</t>
  </si>
  <si>
    <t>sengphet.sengmixa@gov.la</t>
  </si>
  <si>
    <t>+856 20 78638087</t>
  </si>
  <si>
    <t>Primary School Teacher</t>
  </si>
  <si>
    <t>CSC000004</t>
  </si>
  <si>
    <t>SSO9468772</t>
  </si>
  <si>
    <t>No. 919</t>
  </si>
  <si>
    <t>Nong Bone Road</t>
  </si>
  <si>
    <t>Baan Saphanthong</t>
  </si>
  <si>
    <t>524600</t>
  </si>
  <si>
    <t>APB Khammuane Branch</t>
  </si>
  <si>
    <t>757830420</t>
  </si>
  <si>
    <t>LAO00005</t>
  </si>
  <si>
    <t>Vilaychith</t>
  </si>
  <si>
    <t>Phommachack</t>
  </si>
  <si>
    <t>vilaychith.phommach@gov.la</t>
  </si>
  <si>
    <t>+856 20 72205074</t>
  </si>
  <si>
    <t>Dental Officer</t>
  </si>
  <si>
    <t>CSC000005</t>
  </si>
  <si>
    <t>SSO7838382</t>
  </si>
  <si>
    <t>Department of Hygiene &amp; Health Promotion</t>
  </si>
  <si>
    <t>Environmental Health Division</t>
  </si>
  <si>
    <t>No. 426</t>
  </si>
  <si>
    <t>Baan Phonthong</t>
  </si>
  <si>
    <t>738100</t>
  </si>
  <si>
    <t>Joint Development Bank (JDB)</t>
  </si>
  <si>
    <t>JDB Vientiane Branch</t>
  </si>
  <si>
    <t>858511779</t>
  </si>
  <si>
    <t>LAO00006</t>
  </si>
  <si>
    <t>Phonethip</t>
  </si>
  <si>
    <t>Phommavong</t>
  </si>
  <si>
    <t>phonethip.phommavo@gov.la</t>
  </si>
  <si>
    <t>+856 20 94887348</t>
  </si>
  <si>
    <t>Senior Doctor</t>
  </si>
  <si>
    <t>CSC000006</t>
  </si>
  <si>
    <t>SSO6639317</t>
  </si>
  <si>
    <t>Department of Personnel &amp; Organisation</t>
  </si>
  <si>
    <t>Recruitment Division</t>
  </si>
  <si>
    <t>No. 742</t>
  </si>
  <si>
    <t>975100</t>
  </si>
  <si>
    <t>Lao Development Bank (LDB)</t>
  </si>
  <si>
    <t>LDB Pakse Branch</t>
  </si>
  <si>
    <t>567975319</t>
  </si>
  <si>
    <t>LAO00007</t>
  </si>
  <si>
    <t>Phonesavanh</t>
  </si>
  <si>
    <t>Soulinthong</t>
  </si>
  <si>
    <t>phonesavanh.soulinth@gov.la</t>
  </si>
  <si>
    <t>+856 20 51300790</t>
  </si>
  <si>
    <t>Department Director</t>
  </si>
  <si>
    <t>CSC000007</t>
  </si>
  <si>
    <t>SSO8890439</t>
  </si>
  <si>
    <t>Ministry of Industry &amp; Commerce (MoIC)</t>
  </si>
  <si>
    <t>Department of Industry</t>
  </si>
  <si>
    <t>No. 975</t>
  </si>
  <si>
    <t>Baan Nongchanh</t>
  </si>
  <si>
    <t>165900</t>
  </si>
  <si>
    <t>370874491</t>
  </si>
  <si>
    <t>LAO00008</t>
  </si>
  <si>
    <t>Mr.</t>
  </si>
  <si>
    <t>Bounma</t>
  </si>
  <si>
    <t>Phongphichith</t>
  </si>
  <si>
    <t>bounma.phongphi@gov.la</t>
  </si>
  <si>
    <t>+856 20 57254384</t>
  </si>
  <si>
    <t>IT Officer</t>
  </si>
  <si>
    <t>CSC000008</t>
  </si>
  <si>
    <t>SSO6218367</t>
  </si>
  <si>
    <t>Ministry of Public Works &amp; Transport (MPWT)</t>
  </si>
  <si>
    <t>Department of Roads</t>
  </si>
  <si>
    <t>Road Construction Division</t>
  </si>
  <si>
    <t>No. 952</t>
  </si>
  <si>
    <t>749800</t>
  </si>
  <si>
    <t>935147672</t>
  </si>
  <si>
    <t>LAO00009</t>
  </si>
  <si>
    <t>Khanthavy</t>
  </si>
  <si>
    <t>khanthavy.sengmixa@gov.la</t>
  </si>
  <si>
    <t>+856 20 57082593</t>
  </si>
  <si>
    <t>CSC000009</t>
  </si>
  <si>
    <t>SSO9224219</t>
  </si>
  <si>
    <t>No. 984</t>
  </si>
  <si>
    <t>813500</t>
  </si>
  <si>
    <t>113585139</t>
  </si>
  <si>
    <t>LAO00010</t>
  </si>
  <si>
    <t>Manyvone</t>
  </si>
  <si>
    <t>Phiaylack</t>
  </si>
  <si>
    <t>manyvone.phiaylac@gov.la</t>
  </si>
  <si>
    <t>+856 20 67337736</t>
  </si>
  <si>
    <t>Senior Legal Advisor</t>
  </si>
  <si>
    <t>CSC000010</t>
  </si>
  <si>
    <t>SSO6952975</t>
  </si>
  <si>
    <t>Ministry of Justice (MoJ)</t>
  </si>
  <si>
    <t>Department of Judicial Administration</t>
  </si>
  <si>
    <t>Legal Aid Division</t>
  </si>
  <si>
    <t>No. 287</t>
  </si>
  <si>
    <t>Samsenthai Road</t>
  </si>
  <si>
    <t>116600</t>
  </si>
  <si>
    <t>448981305</t>
  </si>
  <si>
    <t>LAO00011</t>
  </si>
  <si>
    <t>Vongphet</t>
  </si>
  <si>
    <t>vongphet.bounseng@gov.la</t>
  </si>
  <si>
    <t>+856 20 94557602</t>
  </si>
  <si>
    <t>Officer</t>
  </si>
  <si>
    <t>CSC000011</t>
  </si>
  <si>
    <t>SSO6137284</t>
  </si>
  <si>
    <t>Vientiane Capital Administration</t>
  </si>
  <si>
    <t>Department of Administration</t>
  </si>
  <si>
    <t>Records Division</t>
  </si>
  <si>
    <t>No. 485</t>
  </si>
  <si>
    <t>Street 36</t>
  </si>
  <si>
    <t>Baan Thongpone</t>
  </si>
  <si>
    <t>797100</t>
  </si>
  <si>
    <t>BCEL Khammuane Branch</t>
  </si>
  <si>
    <t>337937327</t>
  </si>
  <si>
    <t>LAO00012</t>
  </si>
  <si>
    <t>Lattana</t>
  </si>
  <si>
    <t>Souksavanh</t>
  </si>
  <si>
    <t>lattana.souksava@gov.la</t>
  </si>
  <si>
    <t>+856 20 98626076</t>
  </si>
  <si>
    <t>Division Chief</t>
  </si>
  <si>
    <t>CSC000012</t>
  </si>
  <si>
    <t>SSO5638893</t>
  </si>
  <si>
    <t>IT Division</t>
  </si>
  <si>
    <t>No. 103</t>
  </si>
  <si>
    <t>Baan Naxaythong</t>
  </si>
  <si>
    <t>691200</t>
  </si>
  <si>
    <t>LDB Savannakhet Branch</t>
  </si>
  <si>
    <t>332341238</t>
  </si>
  <si>
    <t>LAO00013</t>
  </si>
  <si>
    <t>Phengkham</t>
  </si>
  <si>
    <t>Manivong</t>
  </si>
  <si>
    <t>phengkham.manivong@gov.la</t>
  </si>
  <si>
    <t>+856 20 53447833</t>
  </si>
  <si>
    <t>Associate Professor</t>
  </si>
  <si>
    <t>CSC000013</t>
  </si>
  <si>
    <t>SSO4093109</t>
  </si>
  <si>
    <t>Department of Secondary Education</t>
  </si>
  <si>
    <t>School Development Division</t>
  </si>
  <si>
    <t>No. 964</t>
  </si>
  <si>
    <t>Lane Xang Avenue</t>
  </si>
  <si>
    <t>756500</t>
  </si>
  <si>
    <t>604011128</t>
  </si>
  <si>
    <t>LAO00014</t>
  </si>
  <si>
    <t>Sommay</t>
  </si>
  <si>
    <t>sommay.xaysombo@gov.la</t>
  </si>
  <si>
    <t>+856 20 70493721</t>
  </si>
  <si>
    <t>Senior Engineer</t>
  </si>
  <si>
    <t>CSC000014</t>
  </si>
  <si>
    <t>SSO8194570</t>
  </si>
  <si>
    <t>Department of Public Works</t>
  </si>
  <si>
    <t>Infrastructure Division</t>
  </si>
  <si>
    <t>No. 625</t>
  </si>
  <si>
    <t>445700</t>
  </si>
  <si>
    <t>JDB Champasak Branch</t>
  </si>
  <si>
    <t>419280490</t>
  </si>
  <si>
    <t>LAO00015</t>
  </si>
  <si>
    <t>Chanthavong</t>
  </si>
  <si>
    <t>vongphet.chanthav@gov.la</t>
  </si>
  <si>
    <t>+856 20 78530593</t>
  </si>
  <si>
    <t>CSC000015</t>
  </si>
  <si>
    <t>SSO4318855</t>
  </si>
  <si>
    <t>Savannakhet Province Administration</t>
  </si>
  <si>
    <t>Provincial Health Office</t>
  </si>
  <si>
    <t>Hospital Division</t>
  </si>
  <si>
    <t>No. 558</t>
  </si>
  <si>
    <t>333000</t>
  </si>
  <si>
    <t>838073939</t>
  </si>
  <si>
    <t>LAO00016</t>
  </si>
  <si>
    <t>Phongsavanh</t>
  </si>
  <si>
    <t>Sisoulath</t>
  </si>
  <si>
    <t>phongsavanh.sisoulat@gov.la</t>
  </si>
  <si>
    <t>+856 20 51735763</t>
  </si>
  <si>
    <t>CSC000016</t>
  </si>
  <si>
    <t>SSO5200476</t>
  </si>
  <si>
    <t>Department of Curative Medicine</t>
  </si>
  <si>
    <t>Hospital Services Division</t>
  </si>
  <si>
    <t>No. 235</t>
  </si>
  <si>
    <t>Street 44</t>
  </si>
  <si>
    <t>Baan Houayxai</t>
  </si>
  <si>
    <t>133900</t>
  </si>
  <si>
    <t>563887247</t>
  </si>
  <si>
    <t>LAO00017</t>
  </si>
  <si>
    <t>Souvanny</t>
  </si>
  <si>
    <t>Xayyasith</t>
  </si>
  <si>
    <t>souvanny.xayyasit@gov.la</t>
  </si>
  <si>
    <t>+856 20 94465228</t>
  </si>
  <si>
    <t>CSC000017</t>
  </si>
  <si>
    <t>SSO5835492</t>
  </si>
  <si>
    <t>Ministry of Planning &amp; Investment (MPI)</t>
  </si>
  <si>
    <t>Department of Statistics</t>
  </si>
  <si>
    <t>National Accounts Division</t>
  </si>
  <si>
    <t>No. 834</t>
  </si>
  <si>
    <t>Street 49</t>
  </si>
  <si>
    <t>Baan Phonpapao</t>
  </si>
  <si>
    <t>845100</t>
  </si>
  <si>
    <t>542000551</t>
  </si>
  <si>
    <t>LAO00018</t>
  </si>
  <si>
    <t>Chanthida</t>
  </si>
  <si>
    <t>Sengkhounmane</t>
  </si>
  <si>
    <t>chanthida.sengkhou@gov.la</t>
  </si>
  <si>
    <t>+856 20 96858766</t>
  </si>
  <si>
    <t>Deputy Principal</t>
  </si>
  <si>
    <t>CSC000018</t>
  </si>
  <si>
    <t>SSO8350368</t>
  </si>
  <si>
    <t>School Quality Division</t>
  </si>
  <si>
    <t>No. 125</t>
  </si>
  <si>
    <t>Street 2</t>
  </si>
  <si>
    <t>359400</t>
  </si>
  <si>
    <t>BCEL Champasak Branch</t>
  </si>
  <si>
    <t>386749454</t>
  </si>
  <si>
    <t>LAO00019</t>
  </si>
  <si>
    <t>Dalavanh</t>
  </si>
  <si>
    <t>Vongphachanh</t>
  </si>
  <si>
    <t>dalavanh.vongphac@gov.la</t>
  </si>
  <si>
    <t>+856 20 59160919</t>
  </si>
  <si>
    <t>Project Officer</t>
  </si>
  <si>
    <t>CSC000019</t>
  </si>
  <si>
    <t>SSO9526867</t>
  </si>
  <si>
    <t>Department of Housing &amp; Urban Planning</t>
  </si>
  <si>
    <t>Urban Planning Division</t>
  </si>
  <si>
    <t>No. 283</t>
  </si>
  <si>
    <t>931800</t>
  </si>
  <si>
    <t>LDB Luang Namtha Branch</t>
  </si>
  <si>
    <t>691916368</t>
  </si>
  <si>
    <t>LAO00020</t>
  </si>
  <si>
    <t>Visoune</t>
  </si>
  <si>
    <t>Vilayphitak</t>
  </si>
  <si>
    <t>visoune.vilayphi@gov.la</t>
  </si>
  <si>
    <t>+856 20 88372690</t>
  </si>
  <si>
    <t>Section Chief</t>
  </si>
  <si>
    <t>CSC000020</t>
  </si>
  <si>
    <t>SSO5006492</t>
  </si>
  <si>
    <t>Ministry of Agriculture and Forestry (MoAF)</t>
  </si>
  <si>
    <t>Department of Irrigation</t>
  </si>
  <si>
    <t>Irrigation Infrastructure Division</t>
  </si>
  <si>
    <t>No. 240</t>
  </si>
  <si>
    <t>621300</t>
  </si>
  <si>
    <t>302563940</t>
  </si>
  <si>
    <t>LAO00021</t>
  </si>
  <si>
    <t>Phonevieng</t>
  </si>
  <si>
    <t>phonevieng.soulinth@gov.la</t>
  </si>
  <si>
    <t>+856 20 81506980</t>
  </si>
  <si>
    <t>CSC000021</t>
  </si>
  <si>
    <t>SSO2255409</t>
  </si>
  <si>
    <t>Champasak Province Administration</t>
  </si>
  <si>
    <t>Provincial Agriculture Office</t>
  </si>
  <si>
    <t>No. 347</t>
  </si>
  <si>
    <t>638300</t>
  </si>
  <si>
    <t>875718152</t>
  </si>
  <si>
    <t>LAO00022</t>
  </si>
  <si>
    <t>Phonepadith</t>
  </si>
  <si>
    <t>Sisavath</t>
  </si>
  <si>
    <t>phonepadith.sisavath@gov.la</t>
  </si>
  <si>
    <t>+856 20 74056067</t>
  </si>
  <si>
    <t>Senior Administrative Officer</t>
  </si>
  <si>
    <t>CSC000022</t>
  </si>
  <si>
    <t>SSO5921894</t>
  </si>
  <si>
    <t>Department of SME Promotion</t>
  </si>
  <si>
    <t>Finance Access Division</t>
  </si>
  <si>
    <t>No. 442</t>
  </si>
  <si>
    <t>775100</t>
  </si>
  <si>
    <t>131081879</t>
  </si>
  <si>
    <t>LAO00023</t>
  </si>
  <si>
    <t>phonesavanh.phongphi@gov.la</t>
  </si>
  <si>
    <t>+856 20 92878450</t>
  </si>
  <si>
    <t>CSC000023</t>
  </si>
  <si>
    <t>SSO6018975</t>
  </si>
  <si>
    <t>Ministry of Natural Resources &amp; Environment (MoNRE)</t>
  </si>
  <si>
    <t>Department of Environment</t>
  </si>
  <si>
    <t>Pollution Control Division</t>
  </si>
  <si>
    <t>No. 707</t>
  </si>
  <si>
    <t>426300</t>
  </si>
  <si>
    <t>APB Champasak Branch</t>
  </si>
  <si>
    <t>269625036</t>
  </si>
  <si>
    <t>LAO00024</t>
  </si>
  <si>
    <t>Manodham</t>
  </si>
  <si>
    <t>vongphet.manodham@gov.la</t>
  </si>
  <si>
    <t>+856 20 65442983</t>
  </si>
  <si>
    <t>Deputy Department Director</t>
  </si>
  <si>
    <t>CSC000024</t>
  </si>
  <si>
    <t>SSO5801541</t>
  </si>
  <si>
    <t>Committee on Culture &amp; Social Affairs</t>
  </si>
  <si>
    <t>No. 225</t>
  </si>
  <si>
    <t>510600</t>
  </si>
  <si>
    <t>994253959</t>
  </si>
  <si>
    <t>LAO00025</t>
  </si>
  <si>
    <t>Khamphay</t>
  </si>
  <si>
    <t>khamphay.soulinth@gov.la</t>
  </si>
  <si>
    <t>+856 20 83674876</t>
  </si>
  <si>
    <t>Tax Officer</t>
  </si>
  <si>
    <t>Diploma (2 years)</t>
  </si>
  <si>
    <t>CSC000025</t>
  </si>
  <si>
    <t>SSO9906224</t>
  </si>
  <si>
    <t>Ministry of Finance (MoF)</t>
  </si>
  <si>
    <t>Department of State Assets</t>
  </si>
  <si>
    <t>Asset Valuation Division</t>
  </si>
  <si>
    <t>No. 851</t>
  </si>
  <si>
    <t>583500</t>
  </si>
  <si>
    <t>944511703</t>
  </si>
  <si>
    <t>LAO00026</t>
  </si>
  <si>
    <t>Bounthavy</t>
  </si>
  <si>
    <t>bounthavy.xaysombo@gov.la</t>
  </si>
  <si>
    <t>+856 20 51679375</t>
  </si>
  <si>
    <t>CSC000026</t>
  </si>
  <si>
    <t>SSO8910069</t>
  </si>
  <si>
    <t>Luang Prabang Province Administration</t>
  </si>
  <si>
    <t>No. 938</t>
  </si>
  <si>
    <t>860600</t>
  </si>
  <si>
    <t>216335741</t>
  </si>
  <si>
    <t>LAO00027</t>
  </si>
  <si>
    <t>Vilaysack</t>
  </si>
  <si>
    <t>vilaysack.sisavath@gov.la</t>
  </si>
  <si>
    <t>+856 20 91315720</t>
  </si>
  <si>
    <t>Infrastructure Officer</t>
  </si>
  <si>
    <t>CSC000027</t>
  </si>
  <si>
    <t>SSO9209880</t>
  </si>
  <si>
    <t>No. 962</t>
  </si>
  <si>
    <t>455900</t>
  </si>
  <si>
    <t>545478870</t>
  </si>
  <si>
    <t>LAO00028</t>
  </si>
  <si>
    <t>Nouphet</t>
  </si>
  <si>
    <t>Douangmany</t>
  </si>
  <si>
    <t>nouphet.douangma@gov.la</t>
  </si>
  <si>
    <t>+856 20 54604349</t>
  </si>
  <si>
    <t>Deputy Chief of Mission</t>
  </si>
  <si>
    <t>CSC000028</t>
  </si>
  <si>
    <t>SSO4442778</t>
  </si>
  <si>
    <t>Ministry of Foreign Affairs (MFA)</t>
  </si>
  <si>
    <t>Department of Protocol</t>
  </si>
  <si>
    <t>No. 601</t>
  </si>
  <si>
    <t>341700</t>
  </si>
  <si>
    <t>APB Savannakhet Branch</t>
  </si>
  <si>
    <t>235209737</t>
  </si>
  <si>
    <t>LAO00029</t>
  </si>
  <si>
    <t>Lattanaphone</t>
  </si>
  <si>
    <t>lattanaphone.vilayvon@gov.la</t>
  </si>
  <si>
    <t>+856 20 57626875</t>
  </si>
  <si>
    <t>CSC000029</t>
  </si>
  <si>
    <t>SSO9826250</t>
  </si>
  <si>
    <t>Department of Land Management</t>
  </si>
  <si>
    <t>Land Use Planning Division</t>
  </si>
  <si>
    <t>No. 488</t>
  </si>
  <si>
    <t>278600</t>
  </si>
  <si>
    <t>156263020</t>
  </si>
  <si>
    <t>LAO00030</t>
  </si>
  <si>
    <t>Sounthone</t>
  </si>
  <si>
    <t>Phaymany</t>
  </si>
  <si>
    <t>sounthone.phaymany@gov.la</t>
  </si>
  <si>
    <t>+856 20 68456011</t>
  </si>
  <si>
    <t>CSC000030</t>
  </si>
  <si>
    <t>SSO3117143</t>
  </si>
  <si>
    <t>Quality Control Division</t>
  </si>
  <si>
    <t>No. 391</t>
  </si>
  <si>
    <t>Street 39</t>
  </si>
  <si>
    <t>843300</t>
  </si>
  <si>
    <t>BCEL Savannakhet Branch</t>
  </si>
  <si>
    <t>445864933</t>
  </si>
  <si>
    <t>LAO00031</t>
  </si>
  <si>
    <t>Keoviengkham</t>
  </si>
  <si>
    <t>keoviengkham.sengkhou@gov.la</t>
  </si>
  <si>
    <t>+856 20 54505240</t>
  </si>
  <si>
    <t>CSC000031</t>
  </si>
  <si>
    <t>SSO8956894</t>
  </si>
  <si>
    <t>Department of Non-Formal Education</t>
  </si>
  <si>
    <t>No. 852</t>
  </si>
  <si>
    <t>258200</t>
  </si>
  <si>
    <t>814154134</t>
  </si>
  <si>
    <t>LAO00032</t>
  </si>
  <si>
    <t>Vilayphon</t>
  </si>
  <si>
    <t>Bouphanouvong</t>
  </si>
  <si>
    <t>vilayphon.bouphano@gov.la</t>
  </si>
  <si>
    <t>+856 20 57262412</t>
  </si>
  <si>
    <t>Secondary School Teacher</t>
  </si>
  <si>
    <t>CSC000032</t>
  </si>
  <si>
    <t>SSO4762204</t>
  </si>
  <si>
    <t>Department of Planning</t>
  </si>
  <si>
    <t>Finance Division</t>
  </si>
  <si>
    <t>No. 866</t>
  </si>
  <si>
    <t>556400</t>
  </si>
  <si>
    <t>266140258</t>
  </si>
  <si>
    <t>LAO00033</t>
  </si>
  <si>
    <t>Dalasane</t>
  </si>
  <si>
    <t>sisamone.dalasane@gov.la</t>
  </si>
  <si>
    <t>+856 20 85600090</t>
  </si>
  <si>
    <t>Foreign Affairs Officer</t>
  </si>
  <si>
    <t>CSC000033</t>
  </si>
  <si>
    <t>SSO2539438</t>
  </si>
  <si>
    <t>Department of Consular Affairs</t>
  </si>
  <si>
    <t>Lao Diaspora Division</t>
  </si>
  <si>
    <t>N/A</t>
  </si>
  <si>
    <t>No. 386</t>
  </si>
  <si>
    <t>357800</t>
  </si>
  <si>
    <t>174716780</t>
  </si>
  <si>
    <t>LAO00034</t>
  </si>
  <si>
    <t>Sengdavanh</t>
  </si>
  <si>
    <t>Kheudkham</t>
  </si>
  <si>
    <t>sengdavanh.kheudkha@gov.la</t>
  </si>
  <si>
    <t>+856 20 73164158</t>
  </si>
  <si>
    <t>CSC000034</t>
  </si>
  <si>
    <t>SSO2909540</t>
  </si>
  <si>
    <t>Department of Food and Drug</t>
  </si>
  <si>
    <t>Drug Inspection Division</t>
  </si>
  <si>
    <t>No. 114</t>
  </si>
  <si>
    <t>Street 19</t>
  </si>
  <si>
    <t>963300</t>
  </si>
  <si>
    <t>544726404</t>
  </si>
  <si>
    <t>LAO00035</t>
  </si>
  <si>
    <t>Soudabout</t>
  </si>
  <si>
    <t>soudabout.sisoulat@gov.la</t>
  </si>
  <si>
    <t>+856 20 87495303</t>
  </si>
  <si>
    <t>Administrative Officer</t>
  </si>
  <si>
    <t>CSC000035</t>
  </si>
  <si>
    <t>SSO9393009</t>
  </si>
  <si>
    <t>Ministry of Labour &amp; Social Welfare (MLSW)</t>
  </si>
  <si>
    <t>Department of Skills Development</t>
  </si>
  <si>
    <t>Skills Policy Division</t>
  </si>
  <si>
    <t>No. 74</t>
  </si>
  <si>
    <t>130700</t>
  </si>
  <si>
    <t>238712095</t>
  </si>
  <si>
    <t>LAO00036</t>
  </si>
  <si>
    <t>Boupha</t>
  </si>
  <si>
    <t>boupha.phiaylac@gov.la</t>
  </si>
  <si>
    <t>+856 20 85162531</t>
  </si>
  <si>
    <t>Treasury Officer</t>
  </si>
  <si>
    <t>CSC000036</t>
  </si>
  <si>
    <t>SSO7718433</t>
  </si>
  <si>
    <t>Department of Customs</t>
  </si>
  <si>
    <t>Import Control Division</t>
  </si>
  <si>
    <t>No. 406</t>
  </si>
  <si>
    <t>645600</t>
  </si>
  <si>
    <t>BCEL Xiengkhuang Branch</t>
  </si>
  <si>
    <t>213669678</t>
  </si>
  <si>
    <t>LAO00037</t>
  </si>
  <si>
    <t>Sengmany</t>
  </si>
  <si>
    <t>sengmany.sisouvat@gov.la</t>
  </si>
  <si>
    <t>+856 20 95710093</t>
  </si>
  <si>
    <t>CSC000037</t>
  </si>
  <si>
    <t>SSO8531380</t>
  </si>
  <si>
    <t>Provincial Education Office</t>
  </si>
  <si>
    <t>Primary Division</t>
  </si>
  <si>
    <t>No. 885</t>
  </si>
  <si>
    <t>820500</t>
  </si>
  <si>
    <t>598165815</t>
  </si>
  <si>
    <t>LAO00038</t>
  </si>
  <si>
    <t>vilaychith.vilayphi@gov.la</t>
  </si>
  <si>
    <t>+856 20 88945247</t>
  </si>
  <si>
    <t>Health Inspector</t>
  </si>
  <si>
    <t>CSC000038</t>
  </si>
  <si>
    <t>SSO8763013</t>
  </si>
  <si>
    <t>Medical Standards Division</t>
  </si>
  <si>
    <t>No. 461</t>
  </si>
  <si>
    <t>879200</t>
  </si>
  <si>
    <t>760360225</t>
  </si>
  <si>
    <t>LAO00039</t>
  </si>
  <si>
    <t>Phoxay</t>
  </si>
  <si>
    <t>phoxay.douangma@gov.la</t>
  </si>
  <si>
    <t>+856 20 92338081</t>
  </si>
  <si>
    <t>First Secretary</t>
  </si>
  <si>
    <t>CSC000039</t>
  </si>
  <si>
    <t>SSO1878547</t>
  </si>
  <si>
    <t>No. 68</t>
  </si>
  <si>
    <t>733300</t>
  </si>
  <si>
    <t>403754671</t>
  </si>
  <si>
    <t>LAO00040</t>
  </si>
  <si>
    <t>Sombath</t>
  </si>
  <si>
    <t>Phommasack</t>
  </si>
  <si>
    <t>sombath.phommasa@gov.la</t>
  </si>
  <si>
    <t>+856 20 74281872</t>
  </si>
  <si>
    <t>Education Officer</t>
  </si>
  <si>
    <t>CSC000040</t>
  </si>
  <si>
    <t>SSO9531021</t>
  </si>
  <si>
    <t>Department of Higher Education</t>
  </si>
  <si>
    <t>Research Division</t>
  </si>
  <si>
    <t>No. 372</t>
  </si>
  <si>
    <t>659800</t>
  </si>
  <si>
    <t>793663866</t>
  </si>
  <si>
    <t>LAO00041</t>
  </si>
  <si>
    <t>vilaysack.xaysombo@gov.la</t>
  </si>
  <si>
    <t>+856 20 98397771</t>
  </si>
  <si>
    <t>CSC000041</t>
  </si>
  <si>
    <t>SSO3777286</t>
  </si>
  <si>
    <t>Department of International Cooperation</t>
  </si>
  <si>
    <t>South-South Cooperation Division</t>
  </si>
  <si>
    <t>No. 45</t>
  </si>
  <si>
    <t>827700</t>
  </si>
  <si>
    <t>274211616</t>
  </si>
  <si>
    <t>LAO00042</t>
  </si>
  <si>
    <t>Khamphone</t>
  </si>
  <si>
    <t>khamphone.manivong@gov.la</t>
  </si>
  <si>
    <t>+856 20 66777431</t>
  </si>
  <si>
    <t>Counselor</t>
  </si>
  <si>
    <t>CSC000042</t>
  </si>
  <si>
    <t>SSO3321942</t>
  </si>
  <si>
    <t>Consular Services Division</t>
  </si>
  <si>
    <t>No. 657</t>
  </si>
  <si>
    <t>268000</t>
  </si>
  <si>
    <t>977130288</t>
  </si>
  <si>
    <t>LAO00043</t>
  </si>
  <si>
    <t>Xayavong</t>
  </si>
  <si>
    <t>dalavanh.xayavong@gov.la</t>
  </si>
  <si>
    <t>+856 20 55476448</t>
  </si>
  <si>
    <t>Doctorate (PhD)</t>
  </si>
  <si>
    <t>CSC000043</t>
  </si>
  <si>
    <t>SSO7478792</t>
  </si>
  <si>
    <t>Education Planning Division</t>
  </si>
  <si>
    <t>No. 230</t>
  </si>
  <si>
    <t>649300</t>
  </si>
  <si>
    <t>525689202</t>
  </si>
  <si>
    <t>LAO00044</t>
  </si>
  <si>
    <t>Phonemany</t>
  </si>
  <si>
    <t>keovilay.phoneman@gov.la</t>
  </si>
  <si>
    <t>+856 20 78174015</t>
  </si>
  <si>
    <t>CSC000044</t>
  </si>
  <si>
    <t>SSO5000351</t>
  </si>
  <si>
    <t>Ministry of Home Affairs (MoHA)</t>
  </si>
  <si>
    <t>No. 65</t>
  </si>
  <si>
    <t>978200</t>
  </si>
  <si>
    <t>355164255</t>
  </si>
  <si>
    <t>LAO00045</t>
  </si>
  <si>
    <t>keovilay.phiaylac@gov.la</t>
  </si>
  <si>
    <t>+856 20 84065975</t>
  </si>
  <si>
    <t>CSC000045</t>
  </si>
  <si>
    <t>SSO9511546</t>
  </si>
  <si>
    <t>NA Secretariat</t>
  </si>
  <si>
    <t>Documentation Division</t>
  </si>
  <si>
    <t>No. 400</t>
  </si>
  <si>
    <t>711600</t>
  </si>
  <si>
    <t>172670118</t>
  </si>
  <si>
    <t>LAO00046</t>
  </si>
  <si>
    <t>Bounphanixay</t>
  </si>
  <si>
    <t>bounthavy.bounphan@gov.la</t>
  </si>
  <si>
    <t>+856 20 98052970</t>
  </si>
  <si>
    <t>CSC000046</t>
  </si>
  <si>
    <t>SSO2058651</t>
  </si>
  <si>
    <t>University Affairs Division</t>
  </si>
  <si>
    <t>No. 38</t>
  </si>
  <si>
    <t>426800</t>
  </si>
  <si>
    <t>778321204</t>
  </si>
  <si>
    <t>LAO00047</t>
  </si>
  <si>
    <t>Souphan</t>
  </si>
  <si>
    <t>Keokhamphanh</t>
  </si>
  <si>
    <t>souphan.keokhamp@gov.la</t>
  </si>
  <si>
    <t>+856 20 72752362</t>
  </si>
  <si>
    <t>Technical Vocational Trainer</t>
  </si>
  <si>
    <t>CSC000047</t>
  </si>
  <si>
    <t>SSO7486822</t>
  </si>
  <si>
    <t>No. 509</t>
  </si>
  <si>
    <t>950700</t>
  </si>
  <si>
    <t>529520110</t>
  </si>
  <si>
    <t>LAO00048</t>
  </si>
  <si>
    <t>dalavanh.phiaylac@gov.la</t>
  </si>
  <si>
    <t>+856 20 68425098</t>
  </si>
  <si>
    <t>CSC000048</t>
  </si>
  <si>
    <t>SSO8297090</t>
  </si>
  <si>
    <t>Department of Import-Export</t>
  </si>
  <si>
    <t>Import Management Division</t>
  </si>
  <si>
    <t>No. 77</t>
  </si>
  <si>
    <t>940600</t>
  </si>
  <si>
    <t>580101819</t>
  </si>
  <si>
    <t>LAO00049</t>
  </si>
  <si>
    <t>Thongsack</t>
  </si>
  <si>
    <t>Khonesavanh</t>
  </si>
  <si>
    <t>thongsack.khonesav@gov.la</t>
  </si>
  <si>
    <t>+856 20 85531451</t>
  </si>
  <si>
    <t>CSC000049</t>
  </si>
  <si>
    <t>SSO3310140</t>
  </si>
  <si>
    <t>Government Administration Division</t>
  </si>
  <si>
    <t>No. 408</t>
  </si>
  <si>
    <t>285800</t>
  </si>
  <si>
    <t>498320110</t>
  </si>
  <si>
    <t>LAO00050</t>
  </si>
  <si>
    <t>Vannaphone</t>
  </si>
  <si>
    <t>vannaphone.manodham@gov.la</t>
  </si>
  <si>
    <t>+856 20 95763497</t>
  </si>
  <si>
    <t>CSC000050</t>
  </si>
  <si>
    <t>SSO2472884</t>
  </si>
  <si>
    <t>Teacher Training Division</t>
  </si>
  <si>
    <t>No. 684</t>
  </si>
  <si>
    <t>988200</t>
  </si>
  <si>
    <t>BCEL Luang Prabang Branch</t>
  </si>
  <si>
    <t>179512774</t>
  </si>
  <si>
    <t>LAO00051</t>
  </si>
  <si>
    <t>Phomthong</t>
  </si>
  <si>
    <t>phengkham.phomthon@gov.la</t>
  </si>
  <si>
    <t>+856 20 70756148</t>
  </si>
  <si>
    <t>Hospital Director</t>
  </si>
  <si>
    <t>CSC000051</t>
  </si>
  <si>
    <t>SSO2103070</t>
  </si>
  <si>
    <t>No. 735</t>
  </si>
  <si>
    <t>773000</t>
  </si>
  <si>
    <t>757074545</t>
  </si>
  <si>
    <t>LAO00052</t>
  </si>
  <si>
    <t>Bounthong</t>
  </si>
  <si>
    <t>bounthong.soulinth@gov.la</t>
  </si>
  <si>
    <t>+856 20 61049949</t>
  </si>
  <si>
    <t>CSC000052</t>
  </si>
  <si>
    <t>SSO6102363</t>
  </si>
  <si>
    <t>Department of Technical &amp; Vocational Education</t>
  </si>
  <si>
    <t>TVET Policy Division</t>
  </si>
  <si>
    <t>No. 331</t>
  </si>
  <si>
    <t>950100</t>
  </si>
  <si>
    <t>992699085</t>
  </si>
  <si>
    <t>LAO00053</t>
  </si>
  <si>
    <t>Souphavanh</t>
  </si>
  <si>
    <t>Khambounheuang</t>
  </si>
  <si>
    <t>souphavanh.khamboun@gov.la</t>
  </si>
  <si>
    <t>+856 20 53050889</t>
  </si>
  <si>
    <t>CSC000053</t>
  </si>
  <si>
    <t>SSO2362693</t>
  </si>
  <si>
    <t>No. 667</t>
  </si>
  <si>
    <t>Street 14</t>
  </si>
  <si>
    <t>149600</t>
  </si>
  <si>
    <t>705180256</t>
  </si>
  <si>
    <t>LAO00054</t>
  </si>
  <si>
    <t>phonethip.phommach@gov.la</t>
  </si>
  <si>
    <t>+856 20 76757418</t>
  </si>
  <si>
    <t>Survey Officer</t>
  </si>
  <si>
    <t>CSC000054</t>
  </si>
  <si>
    <t>SSO6794356</t>
  </si>
  <si>
    <t>Department of Climate Change</t>
  </si>
  <si>
    <t>GHG Inventory Division</t>
  </si>
  <si>
    <t>No. 779</t>
  </si>
  <si>
    <t>Street 24</t>
  </si>
  <si>
    <t>273900</t>
  </si>
  <si>
    <t>254263081</t>
  </si>
  <si>
    <t>LAO00055</t>
  </si>
  <si>
    <t>Santisouk</t>
  </si>
  <si>
    <t>Khounboulom</t>
  </si>
  <si>
    <t>santisouk.khounbou@gov.la</t>
  </si>
  <si>
    <t>+856 20 84542599</t>
  </si>
  <si>
    <t>Medical Technician</t>
  </si>
  <si>
    <t>CSC000055</t>
  </si>
  <si>
    <t>SSO9359508</t>
  </si>
  <si>
    <t>Drug Registration Division</t>
  </si>
  <si>
    <t>No. 511</t>
  </si>
  <si>
    <t>247500</t>
  </si>
  <si>
    <t>303832812</t>
  </si>
  <si>
    <t>LAO00056</t>
  </si>
  <si>
    <t>Siphone</t>
  </si>
  <si>
    <t>Vongsack</t>
  </si>
  <si>
    <t>siphone.vongsack@gov.la</t>
  </si>
  <si>
    <t>+856 20 77061922</t>
  </si>
  <si>
    <t>Engineer</t>
  </si>
  <si>
    <t>CSC000056</t>
  </si>
  <si>
    <t>SSO7136730</t>
  </si>
  <si>
    <t>No. 47</t>
  </si>
  <si>
    <t>418900</t>
  </si>
  <si>
    <t>243811545</t>
  </si>
  <si>
    <t>LAO00057</t>
  </si>
  <si>
    <t>Viengthong</t>
  </si>
  <si>
    <t>viengthong.sisouvat@gov.la</t>
  </si>
  <si>
    <t>+856 20 53040256</t>
  </si>
  <si>
    <t>Technical Specialist</t>
  </si>
  <si>
    <t>CSC000057</t>
  </si>
  <si>
    <t>SSO1675365</t>
  </si>
  <si>
    <t>Department of Land Survey</t>
  </si>
  <si>
    <t>Geo-Information Division</t>
  </si>
  <si>
    <t>No. 141</t>
  </si>
  <si>
    <t>950800</t>
  </si>
  <si>
    <t>746889670</t>
  </si>
  <si>
    <t>LAO00058</t>
  </si>
  <si>
    <t>bounthong.phongphi@gov.la</t>
  </si>
  <si>
    <t>+856 20 89171587</t>
  </si>
  <si>
    <t>University Lecturer</t>
  </si>
  <si>
    <t>CSC000058</t>
  </si>
  <si>
    <t>SSO7988386</t>
  </si>
  <si>
    <t>Skills Standards Division</t>
  </si>
  <si>
    <t>No. 816</t>
  </si>
  <si>
    <t>877500</t>
  </si>
  <si>
    <t>BCEL Bolikhamxay Branch</t>
  </si>
  <si>
    <t>455665802</t>
  </si>
  <si>
    <t>LAO00059</t>
  </si>
  <si>
    <t>khanthavy.phoneman@gov.la</t>
  </si>
  <si>
    <t>+856 20 77539961</t>
  </si>
  <si>
    <t>CSC000059</t>
  </si>
  <si>
    <t>SSO4420734</t>
  </si>
  <si>
    <t>Academic Standards Division</t>
  </si>
  <si>
    <t>No. 894</t>
  </si>
  <si>
    <t>949800</t>
  </si>
  <si>
    <t>436824737</t>
  </si>
  <si>
    <t>LAO00060</t>
  </si>
  <si>
    <t>+856 20 69972575</t>
  </si>
  <si>
    <t>CSC000060</t>
  </si>
  <si>
    <t>SSO4772642</t>
  </si>
  <si>
    <t>Department of Investment Promotion</t>
  </si>
  <si>
    <t>Special Economic Zones Division</t>
  </si>
  <si>
    <t>No. 722</t>
  </si>
  <si>
    <t>886100</t>
  </si>
  <si>
    <t>364697908</t>
  </si>
  <si>
    <t>LAO00061</t>
  </si>
  <si>
    <t>santisouk.kheudkha@gov.la</t>
  </si>
  <si>
    <t>+856 20 87716390</t>
  </si>
  <si>
    <t>Clerk</t>
  </si>
  <si>
    <t>CSC000061</t>
  </si>
  <si>
    <t>SSO5548852</t>
  </si>
  <si>
    <t>Department of Local Administration</t>
  </si>
  <si>
    <t>Village Affairs Division</t>
  </si>
  <si>
    <t>Street 7</t>
  </si>
  <si>
    <t>492000</t>
  </si>
  <si>
    <t>902448600</t>
  </si>
  <si>
    <t>LAO00062</t>
  </si>
  <si>
    <t>khamphay.vongphac@gov.la</t>
  </si>
  <si>
    <t>+856 20 69153899</t>
  </si>
  <si>
    <t>CSC000062</t>
  </si>
  <si>
    <t>SSO6388299</t>
  </si>
  <si>
    <t>Domestic Investment Division</t>
  </si>
  <si>
    <t>No. 930</t>
  </si>
  <si>
    <t>480400</t>
  </si>
  <si>
    <t>798510601</t>
  </si>
  <si>
    <t>LAO00063</t>
  </si>
  <si>
    <t>Bounthon</t>
  </si>
  <si>
    <t>bounthon.chanthav@gov.la</t>
  </si>
  <si>
    <t>+856 20 68309786</t>
  </si>
  <si>
    <t>Public Health Officer</t>
  </si>
  <si>
    <t>CSC000063</t>
  </si>
  <si>
    <t>SSO8852085</t>
  </si>
  <si>
    <t>No. 829</t>
  </si>
  <si>
    <t>851800</t>
  </si>
  <si>
    <t>244096091</t>
  </si>
  <si>
    <t>LAO00064</t>
  </si>
  <si>
    <t>Somsak</t>
  </si>
  <si>
    <t>Keobounphan</t>
  </si>
  <si>
    <t>somsak.keobounp@gov.la</t>
  </si>
  <si>
    <t>+856 20 67501003</t>
  </si>
  <si>
    <t>CSC000064</t>
  </si>
  <si>
    <t>SSO1114590</t>
  </si>
  <si>
    <t>No. 242</t>
  </si>
  <si>
    <t>594700</t>
  </si>
  <si>
    <t>447464644</t>
  </si>
  <si>
    <t>LAO00065</t>
  </si>
  <si>
    <t>Souphine</t>
  </si>
  <si>
    <t>Siphaseuth</t>
  </si>
  <si>
    <t>souphine.siphaseu@gov.la</t>
  </si>
  <si>
    <t>+856 20 60280109</t>
  </si>
  <si>
    <t>Accountant</t>
  </si>
  <si>
    <t>CSC000065</t>
  </si>
  <si>
    <t>SSO9022561</t>
  </si>
  <si>
    <t>Department of Financial Regulation</t>
  </si>
  <si>
    <t>Banking Supervision Division</t>
  </si>
  <si>
    <t>No. 766</t>
  </si>
  <si>
    <t>999800</t>
  </si>
  <si>
    <t>759949050</t>
  </si>
  <si>
    <t>LAO00066</t>
  </si>
  <si>
    <t>Phonedeth</t>
  </si>
  <si>
    <t>phonedeth.xayavong@gov.la</t>
  </si>
  <si>
    <t>+856 20 57800735</t>
  </si>
  <si>
    <t>CSC000066</t>
  </si>
  <si>
    <t>SSO8412854</t>
  </si>
  <si>
    <t>936100</t>
  </si>
  <si>
    <t>276670424</t>
  </si>
  <si>
    <t>LAO00067</t>
  </si>
  <si>
    <t>Phonevilay</t>
  </si>
  <si>
    <t>phonevilay.sisouvat@gov.la</t>
  </si>
  <si>
    <t>+856 20 54631796</t>
  </si>
  <si>
    <t>CSC000067</t>
  </si>
  <si>
    <t>SSO2010921</t>
  </si>
  <si>
    <t>Climate Policy Division</t>
  </si>
  <si>
    <t>No. 33</t>
  </si>
  <si>
    <t>321800</t>
  </si>
  <si>
    <t>LDB Head Office - Vientiane</t>
  </si>
  <si>
    <t>148629555</t>
  </si>
  <si>
    <t>LAO00068</t>
  </si>
  <si>
    <t>Nongkham</t>
  </si>
  <si>
    <t>nongkham.manodham@gov.la</t>
  </si>
  <si>
    <t>+856 20 85697460</t>
  </si>
  <si>
    <t>CSC000068</t>
  </si>
  <si>
    <t>SSO8115687</t>
  </si>
  <si>
    <t>Department of Civil Registration</t>
  </si>
  <si>
    <t>Marriage Registration Division</t>
  </si>
  <si>
    <t>No. 844</t>
  </si>
  <si>
    <t>667100</t>
  </si>
  <si>
    <t>597146648</t>
  </si>
  <si>
    <t>LAO00069</t>
  </si>
  <si>
    <t>sounthone.xayavong@gov.la</t>
  </si>
  <si>
    <t>+856 20 53787895</t>
  </si>
  <si>
    <t>CSC000069</t>
  </si>
  <si>
    <t>SSO4645172</t>
  </si>
  <si>
    <t>No. 516</t>
  </si>
  <si>
    <t>622400</t>
  </si>
  <si>
    <t>531929128</t>
  </si>
  <si>
    <t>LAO00070</t>
  </si>
  <si>
    <t>lattanaphone.phaymany@gov.la</t>
  </si>
  <si>
    <t>+856 20 71389907</t>
  </si>
  <si>
    <t>Deputy Director</t>
  </si>
  <si>
    <t>CSC000070</t>
  </si>
  <si>
    <t>SSO9799030</t>
  </si>
  <si>
    <t>Preventive Health Division</t>
  </si>
  <si>
    <t>No. 419</t>
  </si>
  <si>
    <t>401200</t>
  </si>
  <si>
    <t>790755362</t>
  </si>
  <si>
    <t>LAO00071</t>
  </si>
  <si>
    <t>Khammany</t>
  </si>
  <si>
    <t>khammany.vilayphi@gov.la</t>
  </si>
  <si>
    <t>+856 20 85945892</t>
  </si>
  <si>
    <t>CSC000071</t>
  </si>
  <si>
    <t>SSO2551288</t>
  </si>
  <si>
    <t>No. 53</t>
  </si>
  <si>
    <t>164700</t>
  </si>
  <si>
    <t>APB Head Office - Vientiane</t>
  </si>
  <si>
    <t>582954920</t>
  </si>
  <si>
    <t>LAO00072</t>
  </si>
  <si>
    <t>Soulisack</t>
  </si>
  <si>
    <t>souvanny.soulisac@gov.la</t>
  </si>
  <si>
    <t>+856 20 81289538</t>
  </si>
  <si>
    <t>CSC000072</t>
  </si>
  <si>
    <t>SSO7386444</t>
  </si>
  <si>
    <t>Provincial Finance Office</t>
  </si>
  <si>
    <t>Revenue Division</t>
  </si>
  <si>
    <t>No. 316</t>
  </si>
  <si>
    <t>914700</t>
  </si>
  <si>
    <t>356979659</t>
  </si>
  <si>
    <t>LAO00073</t>
  </si>
  <si>
    <t>Bounkhong</t>
  </si>
  <si>
    <t>Phetsamone</t>
  </si>
  <si>
    <t>bounkhong.phetsamo@gov.la</t>
  </si>
  <si>
    <t>+856 20 75490615</t>
  </si>
  <si>
    <t>Environmental Officer</t>
  </si>
  <si>
    <t>CSC000073</t>
  </si>
  <si>
    <t>SSO4859072</t>
  </si>
  <si>
    <t>No. 512</t>
  </si>
  <si>
    <t>900500</t>
  </si>
  <si>
    <t>416960306</t>
  </si>
  <si>
    <t>LAO00074</t>
  </si>
  <si>
    <t>sounthone.bounphan@gov.la</t>
  </si>
  <si>
    <t>+856 20 54561251</t>
  </si>
  <si>
    <t>Senior Legal Officer</t>
  </si>
  <si>
    <t>CSC000074</t>
  </si>
  <si>
    <t>SSO4882808</t>
  </si>
  <si>
    <t>Department of International Law</t>
  </si>
  <si>
    <t>No. 10</t>
  </si>
  <si>
    <t>711400</t>
  </si>
  <si>
    <t>247630403</t>
  </si>
  <si>
    <t>LAO00075</t>
  </si>
  <si>
    <t>Bouakham</t>
  </si>
  <si>
    <t>bouakham.phommavo@gov.la</t>
  </si>
  <si>
    <t>+856 20 57181750</t>
  </si>
  <si>
    <t>CSC000075</t>
  </si>
  <si>
    <t>SSO4007598</t>
  </si>
  <si>
    <t>Department of Finance</t>
  </si>
  <si>
    <t>No. 537</t>
  </si>
  <si>
    <t>962500</t>
  </si>
  <si>
    <t>965615974</t>
  </si>
  <si>
    <t>LAO00076</t>
  </si>
  <si>
    <t>Sidalay</t>
  </si>
  <si>
    <t>sidalay.phommasa@gov.la</t>
  </si>
  <si>
    <t>+856 20 92731440</t>
  </si>
  <si>
    <t>CSC000076</t>
  </si>
  <si>
    <t>SSO1941452</t>
  </si>
  <si>
    <t>Department of Health</t>
  </si>
  <si>
    <t>Pharmacy Division</t>
  </si>
  <si>
    <t>No. 720</t>
  </si>
  <si>
    <t>810900</t>
  </si>
  <si>
    <t>507231644</t>
  </si>
  <si>
    <t>LAO00077</t>
  </si>
  <si>
    <t>khammany.soulisac@gov.la</t>
  </si>
  <si>
    <t>+856 20 55163187</t>
  </si>
  <si>
    <t>CSC000077</t>
  </si>
  <si>
    <t>SSO7682298</t>
  </si>
  <si>
    <t>Provincial Affairs Division</t>
  </si>
  <si>
    <t>No. 167</t>
  </si>
  <si>
    <t>737500</t>
  </si>
  <si>
    <t>907727084</t>
  </si>
  <si>
    <t>LAO00078</t>
  </si>
  <si>
    <t>keoviengkham.bounseng@gov.la</t>
  </si>
  <si>
    <t>+856 20 65310108</t>
  </si>
  <si>
    <t>CSC000078</t>
  </si>
  <si>
    <t>SSO9230960</t>
  </si>
  <si>
    <t>Department of Anti-Corruption</t>
  </si>
  <si>
    <t>No. 567</t>
  </si>
  <si>
    <t>722700</t>
  </si>
  <si>
    <t>780884334</t>
  </si>
  <si>
    <t>LAO00079</t>
  </si>
  <si>
    <t>Khounkham</t>
  </si>
  <si>
    <t>phengkham.khounkha@gov.la</t>
  </si>
  <si>
    <t>+856 20 62575649</t>
  </si>
  <si>
    <t>CSC000079</t>
  </si>
  <si>
    <t>SSO2464604</t>
  </si>
  <si>
    <t>Road Maintenance Division</t>
  </si>
  <si>
    <t>No. 460</t>
  </si>
  <si>
    <t>768500</t>
  </si>
  <si>
    <t>917489574</t>
  </si>
  <si>
    <t>LAO00080</t>
  </si>
  <si>
    <t>Khamsing</t>
  </si>
  <si>
    <t>Southichack</t>
  </si>
  <si>
    <t>khamsing.southich@gov.la</t>
  </si>
  <si>
    <t>+856 20 70208577</t>
  </si>
  <si>
    <t>CSC000080</t>
  </si>
  <si>
    <t>SSO5511711</t>
  </si>
  <si>
    <t>No. 505</t>
  </si>
  <si>
    <t>812100</t>
  </si>
  <si>
    <t>835852444</t>
  </si>
  <si>
    <t>LAO00081</t>
  </si>
  <si>
    <t>phonethip.khounkha@gov.la</t>
  </si>
  <si>
    <t>+856 20 72463767</t>
  </si>
  <si>
    <t>CSC000081</t>
  </si>
  <si>
    <t>SSO8385715</t>
  </si>
  <si>
    <t>Department of Treasury</t>
  </si>
  <si>
    <t>No. 836</t>
  </si>
  <si>
    <t>Street 42</t>
  </si>
  <si>
    <t>592200</t>
  </si>
  <si>
    <t>963370520</t>
  </si>
  <si>
    <t>LAO00082</t>
  </si>
  <si>
    <t>chanthida.chanthav@gov.la</t>
  </si>
  <si>
    <t>+856 20 95748960</t>
  </si>
  <si>
    <t>Senior Accountant</t>
  </si>
  <si>
    <t>CSC000082</t>
  </si>
  <si>
    <t>SSO4018677</t>
  </si>
  <si>
    <t>Government Securities Division</t>
  </si>
  <si>
    <t>No. 976</t>
  </si>
  <si>
    <t>818300</t>
  </si>
  <si>
    <t>735898931</t>
  </si>
  <si>
    <t>LAO00083</t>
  </si>
  <si>
    <t>Senglavanh</t>
  </si>
  <si>
    <t>Thammavong</t>
  </si>
  <si>
    <t>senglavanh.thammavo@gov.la</t>
  </si>
  <si>
    <t>+856 20 57339657</t>
  </si>
  <si>
    <t>CSC000083</t>
  </si>
  <si>
    <t>SSO2425760</t>
  </si>
  <si>
    <t>No. 674</t>
  </si>
  <si>
    <t>172500</t>
  </si>
  <si>
    <t>683734594</t>
  </si>
  <si>
    <t>LAO00084</t>
  </si>
  <si>
    <t>Khammoune</t>
  </si>
  <si>
    <t>khammoune.douangma@gov.la</t>
  </si>
  <si>
    <t>+856 20 60116321</t>
  </si>
  <si>
    <t>CSC000084</t>
  </si>
  <si>
    <t>SSO9396422</t>
  </si>
  <si>
    <t>No. 26</t>
  </si>
  <si>
    <t>781500</t>
  </si>
  <si>
    <t>597210335</t>
  </si>
  <si>
    <t>LAO00085</t>
  </si>
  <si>
    <t>khamsing.vilayphi@gov.la</t>
  </si>
  <si>
    <t>+856 20 73023571</t>
  </si>
  <si>
    <t>CSC000085</t>
  </si>
  <si>
    <t>SSO1378915</t>
  </si>
  <si>
    <t>Session Management Division</t>
  </si>
  <si>
    <t>No. 694</t>
  </si>
  <si>
    <t>385800</t>
  </si>
  <si>
    <t>422406106</t>
  </si>
  <si>
    <t>LAO00086</t>
  </si>
  <si>
    <t>manyvone.vongphac@gov.la</t>
  </si>
  <si>
    <t>+856 20 86030011</t>
  </si>
  <si>
    <t>CSC000086</t>
  </si>
  <si>
    <t>SSO2707116</t>
  </si>
  <si>
    <t>Non-Formal Division</t>
  </si>
  <si>
    <t>No. 375</t>
  </si>
  <si>
    <t>286700</t>
  </si>
  <si>
    <t>320959407</t>
  </si>
  <si>
    <t>LAO00087</t>
  </si>
  <si>
    <t>Khamsouk</t>
  </si>
  <si>
    <t>khamsouk.manodham@gov.la</t>
  </si>
  <si>
    <t>+856 20 75052146</t>
  </si>
  <si>
    <t>Legal Advisor</t>
  </si>
  <si>
    <t>CSC000087</t>
  </si>
  <si>
    <t>SSO4070977</t>
  </si>
  <si>
    <t>No. 524</t>
  </si>
  <si>
    <t>325800</t>
  </si>
  <si>
    <t>226552991</t>
  </si>
  <si>
    <t>LAO00088</t>
  </si>
  <si>
    <t>Bounmy</t>
  </si>
  <si>
    <t>bounmy.thammavo@gov.la</t>
  </si>
  <si>
    <t>+856 20 93826769</t>
  </si>
  <si>
    <t>CSC000088</t>
  </si>
  <si>
    <t>SSO9479842</t>
  </si>
  <si>
    <t>827200</t>
  </si>
  <si>
    <t>620344871</t>
  </si>
  <si>
    <t>LAO00089</t>
  </si>
  <si>
    <t>Bounpone</t>
  </si>
  <si>
    <t>Vongkhamphanh</t>
  </si>
  <si>
    <t>bounpone.vongkham@gov.la</t>
  </si>
  <si>
    <t>+856 20 86375915</t>
  </si>
  <si>
    <t>CSC000089</t>
  </si>
  <si>
    <t>SSO7154919</t>
  </si>
  <si>
    <t>Livestock Division</t>
  </si>
  <si>
    <t>458000</t>
  </si>
  <si>
    <t>714947037</t>
  </si>
  <si>
    <t>LAO00090</t>
  </si>
  <si>
    <t>phongsavanh.sisavath@gov.la</t>
  </si>
  <si>
    <t>+856 20 53983436</t>
  </si>
  <si>
    <t>CSC000090</t>
  </si>
  <si>
    <t>SSO4471922</t>
  </si>
  <si>
    <t>Department of Medical Equipment</t>
  </si>
  <si>
    <t>Equipment Procurement Division</t>
  </si>
  <si>
    <t>No. 546</t>
  </si>
  <si>
    <t>Street 18</t>
  </si>
  <si>
    <t>375800</t>
  </si>
  <si>
    <t>761587312</t>
  </si>
  <si>
    <t>LAO00091</t>
  </si>
  <si>
    <t>boupha.khounbou@gov.la</t>
  </si>
  <si>
    <t>+856 20 59540976</t>
  </si>
  <si>
    <t>Midwife</t>
  </si>
  <si>
    <t>CSC000091</t>
  </si>
  <si>
    <t>SSO9211754</t>
  </si>
  <si>
    <t>No. 643</t>
  </si>
  <si>
    <t>223700</t>
  </si>
  <si>
    <t>989575564</t>
  </si>
  <si>
    <t>LAO00092</t>
  </si>
  <si>
    <t>lattana.siphaseu@gov.la</t>
  </si>
  <si>
    <t>+856 20 68021202</t>
  </si>
  <si>
    <t>CSC000092</t>
  </si>
  <si>
    <t>SSO9299939</t>
  </si>
  <si>
    <t>Department of Personnel</t>
  </si>
  <si>
    <t>No. 849</t>
  </si>
  <si>
    <t>313900</t>
  </si>
  <si>
    <t>561325766</t>
  </si>
  <si>
    <t>LAO00093</t>
  </si>
  <si>
    <t>senglavanh.xayavong@gov.la</t>
  </si>
  <si>
    <t>+856 20 56263940</t>
  </si>
  <si>
    <t>CSC000093</t>
  </si>
  <si>
    <t>SSO5597283</t>
  </si>
  <si>
    <t>Department of Employment</t>
  </si>
  <si>
    <t>No. 257</t>
  </si>
  <si>
    <t>184800</t>
  </si>
  <si>
    <t>270700744</t>
  </si>
  <si>
    <t>LAO00094</t>
  </si>
  <si>
    <t>Chansamone</t>
  </si>
  <si>
    <t>chansamone.soulinth@gov.la</t>
  </si>
  <si>
    <t>+856 20 82057920</t>
  </si>
  <si>
    <t>CSC000094</t>
  </si>
  <si>
    <t>SSO3217531</t>
  </si>
  <si>
    <t>Survey Division</t>
  </si>
  <si>
    <t>269000</t>
  </si>
  <si>
    <t>977364141</t>
  </si>
  <si>
    <t>LAO00095</t>
  </si>
  <si>
    <t>phonevilay.manodham@gov.la</t>
  </si>
  <si>
    <t>+856 20 55817535</t>
  </si>
  <si>
    <t>CSC000095</t>
  </si>
  <si>
    <t>SSO4644760</t>
  </si>
  <si>
    <t>No. 144</t>
  </si>
  <si>
    <t>729100</t>
  </si>
  <si>
    <t>761506578</t>
  </si>
  <si>
    <t>LAO00096</t>
  </si>
  <si>
    <t>phonevilay.phommach@gov.la</t>
  </si>
  <si>
    <t>+856 20 75896342</t>
  </si>
  <si>
    <t>CSC000096</t>
  </si>
  <si>
    <t>SSO9302838</t>
  </si>
  <si>
    <t>No. 247</t>
  </si>
  <si>
    <t>Street 32</t>
  </si>
  <si>
    <t>965500</t>
  </si>
  <si>
    <t>793819512</t>
  </si>
  <si>
    <t>LAO00097</t>
  </si>
  <si>
    <t>+856 20 83998062</t>
  </si>
  <si>
    <t>CSC000097</t>
  </si>
  <si>
    <t>SSO7676912</t>
  </si>
  <si>
    <t>No. 644</t>
  </si>
  <si>
    <t>Street 46</t>
  </si>
  <si>
    <t>793900</t>
  </si>
  <si>
    <t>164927936</t>
  </si>
  <si>
    <t>LAO00098</t>
  </si>
  <si>
    <t>Thongsavanh</t>
  </si>
  <si>
    <t>thongsavanh.phommasa@gov.la</t>
  </si>
  <si>
    <t>+856 20 53886002</t>
  </si>
  <si>
    <t>CSC000098</t>
  </si>
  <si>
    <t>SSO5003671</t>
  </si>
  <si>
    <t>Roads Division</t>
  </si>
  <si>
    <t>No. 89</t>
  </si>
  <si>
    <t>190100</t>
  </si>
  <si>
    <t>883786839</t>
  </si>
  <si>
    <t>LAO00099</t>
  </si>
  <si>
    <t>somsak.phomthon@gov.la</t>
  </si>
  <si>
    <t>+856 20 99186491</t>
  </si>
  <si>
    <t>CSC000099</t>
  </si>
  <si>
    <t>SSO5509119</t>
  </si>
  <si>
    <t>Economic Affairs Division</t>
  </si>
  <si>
    <t>No. 790</t>
  </si>
  <si>
    <t>545600</t>
  </si>
  <si>
    <t>905066256</t>
  </si>
  <si>
    <t>LAO00100</t>
  </si>
  <si>
    <t>Phonsavanh</t>
  </si>
  <si>
    <t>phonsavanh.kheudkha@gov.la</t>
  </si>
  <si>
    <t>+856 20 65327961</t>
  </si>
  <si>
    <t>CSC000100</t>
  </si>
  <si>
    <t>SSO2934976</t>
  </si>
  <si>
    <t>Adult Literacy Division</t>
  </si>
  <si>
    <t>No. 46</t>
  </si>
  <si>
    <t>872900</t>
  </si>
  <si>
    <t>716233644</t>
  </si>
  <si>
    <t>LAO00101</t>
  </si>
  <si>
    <t>sengphet.sisavath@gov.la</t>
  </si>
  <si>
    <t>+856 20 76905611</t>
  </si>
  <si>
    <t>Third Secretary</t>
  </si>
  <si>
    <t>CSC000101</t>
  </si>
  <si>
    <t>SSO1770553</t>
  </si>
  <si>
    <t>Department of ASEAN Affairs</t>
  </si>
  <si>
    <t>No. 899</t>
  </si>
  <si>
    <t>636200</t>
  </si>
  <si>
    <t>BCEL Head Office - Vientiane</t>
  </si>
  <si>
    <t>292569534</t>
  </si>
  <si>
    <t>LAO00102</t>
  </si>
  <si>
    <t>Khamphilavong</t>
  </si>
  <si>
    <t>nouphet.khamphil@gov.la</t>
  </si>
  <si>
    <t>+856 20 92677334</t>
  </si>
  <si>
    <t>CSC000102</t>
  </si>
  <si>
    <t>SSO6812025</t>
  </si>
  <si>
    <t>No. 974</t>
  </si>
  <si>
    <t>603800</t>
  </si>
  <si>
    <t>540272920</t>
  </si>
  <si>
    <t>LAO00103</t>
  </si>
  <si>
    <t>bounthon.thammavo@gov.la</t>
  </si>
  <si>
    <t>+856 20 89721452</t>
  </si>
  <si>
    <t>Second Secretary</t>
  </si>
  <si>
    <t>CSC000103</t>
  </si>
  <si>
    <t>SSO2255447</t>
  </si>
  <si>
    <t>Department of Bilateral Cooperation</t>
  </si>
  <si>
    <t>East Asia Division</t>
  </si>
  <si>
    <t>No. 446</t>
  </si>
  <si>
    <t>577800</t>
  </si>
  <si>
    <t>784205125</t>
  </si>
  <si>
    <t>LAO00104</t>
  </si>
  <si>
    <t>lattana.keobounp@gov.la</t>
  </si>
  <si>
    <t>+856 20 85965287</t>
  </si>
  <si>
    <t>CSC000104</t>
  </si>
  <si>
    <t>SSO3025626</t>
  </si>
  <si>
    <t>Data Management Division</t>
  </si>
  <si>
    <t>No. 988</t>
  </si>
  <si>
    <t>605100</t>
  </si>
  <si>
    <t>582718617</t>
  </si>
  <si>
    <t>LAO00105</t>
  </si>
  <si>
    <t>Phouthavong</t>
  </si>
  <si>
    <t>phonesavanh.phouthav@gov.la</t>
  </si>
  <si>
    <t>+856 20 77138302</t>
  </si>
  <si>
    <t>Laboratory Technician</t>
  </si>
  <si>
    <t>CSC000105</t>
  </si>
  <si>
    <t>SSO1521470</t>
  </si>
  <si>
    <t>Standards Division</t>
  </si>
  <si>
    <t>No. 570</t>
  </si>
  <si>
    <t>Street 48</t>
  </si>
  <si>
    <t>255100</t>
  </si>
  <si>
    <t>827120114</t>
  </si>
  <si>
    <t>LAO00106</t>
  </si>
  <si>
    <t>Soulivanh</t>
  </si>
  <si>
    <t>soulivanh.phommavo@gov.la</t>
  </si>
  <si>
    <t>+856 20 58643054</t>
  </si>
  <si>
    <t>CSC000106</t>
  </si>
  <si>
    <t>SSO8439543</t>
  </si>
  <si>
    <t>SME Policy Division</t>
  </si>
  <si>
    <t>No. 927</t>
  </si>
  <si>
    <t>855200</t>
  </si>
  <si>
    <t>312332805</t>
  </si>
  <si>
    <t>LAO00107</t>
  </si>
  <si>
    <t>visoune.keokhamp@gov.la</t>
  </si>
  <si>
    <t>+856 20 54092236</t>
  </si>
  <si>
    <t>CSC000107</t>
  </si>
  <si>
    <t>SSO9036805</t>
  </si>
  <si>
    <t>426700</t>
  </si>
  <si>
    <t>795009888</t>
  </si>
  <si>
    <t>LAO00108</t>
  </si>
  <si>
    <t>viengthong.phomthon@gov.la</t>
  </si>
  <si>
    <t>+856 20 53931990</t>
  </si>
  <si>
    <t>CSC000108</t>
  </si>
  <si>
    <t>SSO5713268</t>
  </si>
  <si>
    <t>NA Administration Office</t>
  </si>
  <si>
    <t>No. 543</t>
  </si>
  <si>
    <t>Street 23</t>
  </si>
  <si>
    <t>361500</t>
  </si>
  <si>
    <t>442392183</t>
  </si>
  <si>
    <t>LAO00109</t>
  </si>
  <si>
    <t>thongsavanh.manivong@gov.la</t>
  </si>
  <si>
    <t>+856 20 83032776</t>
  </si>
  <si>
    <t>Senior Lecturer</t>
  </si>
  <si>
    <t>CSC000109</t>
  </si>
  <si>
    <t>SSO4158036</t>
  </si>
  <si>
    <t>No. 180</t>
  </si>
  <si>
    <t>192000</t>
  </si>
  <si>
    <t>709511014</t>
  </si>
  <si>
    <t>LAO00110</t>
  </si>
  <si>
    <t>sengmany.phoneman@gov.la</t>
  </si>
  <si>
    <t>+856 20 72586231</t>
  </si>
  <si>
    <t>CSC000110</t>
  </si>
  <si>
    <t>SSO2695038</t>
  </si>
  <si>
    <t>Department of Domestic Trade</t>
  </si>
  <si>
    <t>Consumer Protection Division</t>
  </si>
  <si>
    <t>898200</t>
  </si>
  <si>
    <t>177880216</t>
  </si>
  <si>
    <t>LAO00111</t>
  </si>
  <si>
    <t>phengkham.southich@gov.la</t>
  </si>
  <si>
    <t>+856 20 92925968</t>
  </si>
  <si>
    <t>CSC000111</t>
  </si>
  <si>
    <t>SSO4706007</t>
  </si>
  <si>
    <t>Statistics Division</t>
  </si>
  <si>
    <t>No. 960</t>
  </si>
  <si>
    <t>227400</t>
  </si>
  <si>
    <t>295508799</t>
  </si>
  <si>
    <t>LAO00112</t>
  </si>
  <si>
    <t>Khankham</t>
  </si>
  <si>
    <t>khankham.khamboun@gov.la</t>
  </si>
  <si>
    <t>+856 20 99162913</t>
  </si>
  <si>
    <t>CSC000112</t>
  </si>
  <si>
    <t>SSO8352113</t>
  </si>
  <si>
    <t>Committee on Laws</t>
  </si>
  <si>
    <t>Legislative Research Division</t>
  </si>
  <si>
    <t>No. 993</t>
  </si>
  <si>
    <t>720400</t>
  </si>
  <si>
    <t>873538202</t>
  </si>
  <si>
    <t>LAO00113</t>
  </si>
  <si>
    <t>souvanny.kheudkha@gov.la</t>
  </si>
  <si>
    <t>+856 20 72679479</t>
  </si>
  <si>
    <t>Pharmacist</t>
  </si>
  <si>
    <t>CSC000113</t>
  </si>
  <si>
    <t>SSO2562037</t>
  </si>
  <si>
    <t>Laboratory Division</t>
  </si>
  <si>
    <t>811300</t>
  </si>
  <si>
    <t>272769884</t>
  </si>
  <si>
    <t>LAO00114</t>
  </si>
  <si>
    <t>sombath.soulisac@gov.la</t>
  </si>
  <si>
    <t>+856 20 55880639</t>
  </si>
  <si>
    <t>CSC000114</t>
  </si>
  <si>
    <t>SSO8174037</t>
  </si>
  <si>
    <t>Street 43</t>
  </si>
  <si>
    <t>427100</t>
  </si>
  <si>
    <t>264915937</t>
  </si>
  <si>
    <t>LAO00115</t>
  </si>
  <si>
    <t>Thongchanh</t>
  </si>
  <si>
    <t>thongchanh.khamboun@gov.la</t>
  </si>
  <si>
    <t>+856 20 67669493</t>
  </si>
  <si>
    <t>Legal Officer</t>
  </si>
  <si>
    <t>CSC000115</t>
  </si>
  <si>
    <t>SSO1748547</t>
  </si>
  <si>
    <t>Department of Legislative Affairs</t>
  </si>
  <si>
    <t>Law Drafting Division</t>
  </si>
  <si>
    <t>No. 477</t>
  </si>
  <si>
    <t>200900</t>
  </si>
  <si>
    <t>509573649</t>
  </si>
  <si>
    <t>LAO00116</t>
  </si>
  <si>
    <t>Bounthieng</t>
  </si>
  <si>
    <t>bounthieng.bounphan@gov.la</t>
  </si>
  <si>
    <t>+856 20 88333920</t>
  </si>
  <si>
    <t>CSC000116</t>
  </si>
  <si>
    <t>SSO9423864</t>
  </si>
  <si>
    <t>No. 124</t>
  </si>
  <si>
    <t>373800</t>
  </si>
  <si>
    <t>420890008</t>
  </si>
  <si>
    <t>LAO00117</t>
  </si>
  <si>
    <t>Khamphanh</t>
  </si>
  <si>
    <t>khamphanh.phiaylac@gov.la</t>
  </si>
  <si>
    <t>+856 20 78158465</t>
  </si>
  <si>
    <t>CSC000117</t>
  </si>
  <si>
    <t>SSO9767135</t>
  </si>
  <si>
    <t>Secondary Division</t>
  </si>
  <si>
    <t>No. 425</t>
  </si>
  <si>
    <t>264100</t>
  </si>
  <si>
    <t>658010933</t>
  </si>
  <si>
    <t>LAO00118</t>
  </si>
  <si>
    <t>phonepadith.bounphan@gov.la</t>
  </si>
  <si>
    <t>+856 20 53307861</t>
  </si>
  <si>
    <t>CSC000118</t>
  </si>
  <si>
    <t>SSO4985919</t>
  </si>
  <si>
    <t>No. 943</t>
  </si>
  <si>
    <t>653500</t>
  </si>
  <si>
    <t>141642429</t>
  </si>
  <si>
    <t>LAO00119</t>
  </si>
  <si>
    <t>Boutsady</t>
  </si>
  <si>
    <t>boutsady.sengmixa@gov.la</t>
  </si>
  <si>
    <t>+856 20 75092689</t>
  </si>
  <si>
    <t>CSC000119</t>
  </si>
  <si>
    <t>SSO9665455</t>
  </si>
  <si>
    <t>No. 528</t>
  </si>
  <si>
    <t>930300</t>
  </si>
  <si>
    <t>984730446</t>
  </si>
  <si>
    <t>LAO00120</t>
  </si>
  <si>
    <t>sengphet.khamphil@gov.la</t>
  </si>
  <si>
    <t>+856 20 61917439</t>
  </si>
  <si>
    <t>CSC000120</t>
  </si>
  <si>
    <t>SSO8484373</t>
  </si>
  <si>
    <t>Department of Livestock &amp; Fishery</t>
  </si>
  <si>
    <t>Veterinary Services Division</t>
  </si>
  <si>
    <t>367900</t>
  </si>
  <si>
    <t>359779054</t>
  </si>
  <si>
    <t>LAO00121</t>
  </si>
  <si>
    <t>bouakham.manodham@gov.la</t>
  </si>
  <si>
    <t>+856 20 65016952</t>
  </si>
  <si>
    <t>Budget Officer</t>
  </si>
  <si>
    <t>CSC000121</t>
  </si>
  <si>
    <t>SSO1141997</t>
  </si>
  <si>
    <t>Cash Management Division</t>
  </si>
  <si>
    <t>No. 623</t>
  </si>
  <si>
    <t>716800</t>
  </si>
  <si>
    <t>242071170</t>
  </si>
  <si>
    <t>LAO00122</t>
  </si>
  <si>
    <t>Soudaphone</t>
  </si>
  <si>
    <t>soudaphone.souksava@gov.la</t>
  </si>
  <si>
    <t>+856 20 54284032</t>
  </si>
  <si>
    <t>CSC000122</t>
  </si>
  <si>
    <t>SSO9082229</t>
  </si>
  <si>
    <t>No. 284</t>
  </si>
  <si>
    <t>527800</t>
  </si>
  <si>
    <t>420486085</t>
  </si>
  <si>
    <t>LAO00123</t>
  </si>
  <si>
    <t>sengmany.xayavong@gov.la</t>
  </si>
  <si>
    <t>+856 20 73029550</t>
  </si>
  <si>
    <t>CSC000123</t>
  </si>
  <si>
    <t>SSO4186247</t>
  </si>
  <si>
    <t>No. 703</t>
  </si>
  <si>
    <t>931100</t>
  </si>
  <si>
    <t>516907018</t>
  </si>
  <si>
    <t>LAO00124</t>
  </si>
  <si>
    <t>keovilay.douangma@gov.la</t>
  </si>
  <si>
    <t>+856 20 67485834</t>
  </si>
  <si>
    <t>CSC000124</t>
  </si>
  <si>
    <t>SSO7235796</t>
  </si>
  <si>
    <t>ASEAN Economic Division</t>
  </si>
  <si>
    <t>No. 475</t>
  </si>
  <si>
    <t>216600</t>
  </si>
  <si>
    <t>946205663</t>
  </si>
  <si>
    <t>LAO00125</t>
  </si>
  <si>
    <t>phonedeth.manodham@gov.la</t>
  </si>
  <si>
    <t>+856 20 71032862</t>
  </si>
  <si>
    <t>CSC000125</t>
  </si>
  <si>
    <t>SSO3966618</t>
  </si>
  <si>
    <t>Department of Social Security</t>
  </si>
  <si>
    <t>Benefits Administration Division</t>
  </si>
  <si>
    <t>No. 5</t>
  </si>
  <si>
    <t>376200</t>
  </si>
  <si>
    <t>936381727</t>
  </si>
  <si>
    <t>LAO00126</t>
  </si>
  <si>
    <t>bounkhong.dalasane@gov.la</t>
  </si>
  <si>
    <t>+856 20 85637074</t>
  </si>
  <si>
    <t>CSC000126</t>
  </si>
  <si>
    <t>SSO6405839</t>
  </si>
  <si>
    <t>No. 19</t>
  </si>
  <si>
    <t>470700</t>
  </si>
  <si>
    <t>884539206</t>
  </si>
  <si>
    <t>LAO00127</t>
  </si>
  <si>
    <t>Khamla</t>
  </si>
  <si>
    <t>khamla.manodham@gov.la</t>
  </si>
  <si>
    <t>+856 20 77071155</t>
  </si>
  <si>
    <t>Technical Officer</t>
  </si>
  <si>
    <t>CSC000127</t>
  </si>
  <si>
    <t>SSO3766286</t>
  </si>
  <si>
    <t>No. 234</t>
  </si>
  <si>
    <t>135900</t>
  </si>
  <si>
    <t>626325353</t>
  </si>
  <si>
    <t>LAO00128</t>
  </si>
  <si>
    <t>nouphet.phomthon@gov.la</t>
  </si>
  <si>
    <t>+856 20 81836199</t>
  </si>
  <si>
    <t>CSC000128</t>
  </si>
  <si>
    <t>SSO5240244</t>
  </si>
  <si>
    <t>Department of Meteorology</t>
  </si>
  <si>
    <t>Climate Division</t>
  </si>
  <si>
    <t>No. 211</t>
  </si>
  <si>
    <t>789500</t>
  </si>
  <si>
    <t>577078832</t>
  </si>
  <si>
    <t>LAO00129</t>
  </si>
  <si>
    <t>Phanida</t>
  </si>
  <si>
    <t>phanida.sisoulat@gov.la</t>
  </si>
  <si>
    <t>+856 20 74019727</t>
  </si>
  <si>
    <t>CSC000129</t>
  </si>
  <si>
    <t>SSO4383514</t>
  </si>
  <si>
    <t>No. 303</t>
  </si>
  <si>
    <t>913200</t>
  </si>
  <si>
    <t>935327024</t>
  </si>
  <si>
    <t>LAO00130</t>
  </si>
  <si>
    <t>Vanhkham</t>
  </si>
  <si>
    <t>vanhkham.phommavo@gov.la</t>
  </si>
  <si>
    <t>+856 20 61724039</t>
  </si>
  <si>
    <t>CSC000130</t>
  </si>
  <si>
    <t>SSO2674515</t>
  </si>
  <si>
    <t>No. 873</t>
  </si>
  <si>
    <t>797900</t>
  </si>
  <si>
    <t>417851397</t>
  </si>
  <si>
    <t>LAO00131</t>
  </si>
  <si>
    <t>somsak.vilayvon@gov.la</t>
  </si>
  <si>
    <t>+856 20 78302480</t>
  </si>
  <si>
    <t>CSC000131</t>
  </si>
  <si>
    <t>SSO9023619</t>
  </si>
  <si>
    <t>Industrial Policy Division</t>
  </si>
  <si>
    <t>No. 116</t>
  </si>
  <si>
    <t>269900</t>
  </si>
  <si>
    <t>391878557</t>
  </si>
  <si>
    <t>LAO00132</t>
  </si>
  <si>
    <t>bounmy.phongphi@gov.la</t>
  </si>
  <si>
    <t>+856 20 85104859</t>
  </si>
  <si>
    <t>CSC000132</t>
  </si>
  <si>
    <t>SSO9709047</t>
  </si>
  <si>
    <t>Anti-Smuggling Division</t>
  </si>
  <si>
    <t>No. 444</t>
  </si>
  <si>
    <t>666400</t>
  </si>
  <si>
    <t>819239897</t>
  </si>
  <si>
    <t>LAO00133</t>
  </si>
  <si>
    <t>vilayphon.phongphi@gov.la</t>
  </si>
  <si>
    <t>+856 20 77063460</t>
  </si>
  <si>
    <t>Finance Officer</t>
  </si>
  <si>
    <t>CSC000133</t>
  </si>
  <si>
    <t>SSO7352484</t>
  </si>
  <si>
    <t>No. 81</t>
  </si>
  <si>
    <t>834100</t>
  </si>
  <si>
    <t>398668947</t>
  </si>
  <si>
    <t>LAO00134</t>
  </si>
  <si>
    <t>+856 20 74383500</t>
  </si>
  <si>
    <t>CSC000134</t>
  </si>
  <si>
    <t>SSO6718584</t>
  </si>
  <si>
    <t>No. 837</t>
  </si>
  <si>
    <t>875100</t>
  </si>
  <si>
    <t>802867083</t>
  </si>
  <si>
    <t>LAO00135</t>
  </si>
  <si>
    <t>khamla.xayavong@gov.la</t>
  </si>
  <si>
    <t>+856 20 58103113</t>
  </si>
  <si>
    <t>CSC000135</t>
  </si>
  <si>
    <t>SSO4146456</t>
  </si>
  <si>
    <t>No. 221</t>
  </si>
  <si>
    <t>276500</t>
  </si>
  <si>
    <t>214849044</t>
  </si>
  <si>
    <t>LAO00136</t>
  </si>
  <si>
    <t>Bouavong</t>
  </si>
  <si>
    <t>khamphone.bouavong@gov.la</t>
  </si>
  <si>
    <t>+856 20 75998348</t>
  </si>
  <si>
    <t>CSC000136</t>
  </si>
  <si>
    <t>SSO2737347</t>
  </si>
  <si>
    <t>No. 517</t>
  </si>
  <si>
    <t>506700</t>
  </si>
  <si>
    <t>842833609</t>
  </si>
  <si>
    <t>LAO00137</t>
  </si>
  <si>
    <t>Phonesiri</t>
  </si>
  <si>
    <t>phonesiri.bouavong@gov.la</t>
  </si>
  <si>
    <t>+856 20 95122236</t>
  </si>
  <si>
    <t>CSC000137</t>
  </si>
  <si>
    <t>SSO6793064</t>
  </si>
  <si>
    <t>No. 728</t>
  </si>
  <si>
    <t>988800</t>
  </si>
  <si>
    <t>770194841</t>
  </si>
  <si>
    <t>LAO00138</t>
  </si>
  <si>
    <t>sisamone.phoneman@gov.la</t>
  </si>
  <si>
    <t>+856 20 95861548</t>
  </si>
  <si>
    <t>CSC000138</t>
  </si>
  <si>
    <t>SSO5808610</t>
  </si>
  <si>
    <t>No. 150</t>
  </si>
  <si>
    <t>986600</t>
  </si>
  <si>
    <t>314643586</t>
  </si>
  <si>
    <t>LAO00139</t>
  </si>
  <si>
    <t>Vilayhong</t>
  </si>
  <si>
    <t>vilayhong.phongphi@gov.la</t>
  </si>
  <si>
    <t>+856 20 87052454</t>
  </si>
  <si>
    <t>CSC000139</t>
  </si>
  <si>
    <t>SSO6245463</t>
  </si>
  <si>
    <t>Constitutional Affairs Division</t>
  </si>
  <si>
    <t>No. 14</t>
  </si>
  <si>
    <t>825900</t>
  </si>
  <si>
    <t>946228305</t>
  </si>
  <si>
    <t>LAO00140</t>
  </si>
  <si>
    <t>khamphone.bounseng@gov.la</t>
  </si>
  <si>
    <t>+856 20 50378838</t>
  </si>
  <si>
    <t>CSC000140</t>
  </si>
  <si>
    <t>SSO5278461</t>
  </si>
  <si>
    <t>TVET Division</t>
  </si>
  <si>
    <t>No. 478</t>
  </si>
  <si>
    <t>351800</t>
  </si>
  <si>
    <t>383725108</t>
  </si>
  <si>
    <t>LAO00141</t>
  </si>
  <si>
    <t>boutsady.kheudkha@gov.la</t>
  </si>
  <si>
    <t>+856 20 72217499</t>
  </si>
  <si>
    <t>CSC000141</t>
  </si>
  <si>
    <t>SSO6568081</t>
  </si>
  <si>
    <t>No. 301</t>
  </si>
  <si>
    <t>878000</t>
  </si>
  <si>
    <t>198725784</t>
  </si>
  <si>
    <t>LAO00142</t>
  </si>
  <si>
    <t>nongkham.phommach@gov.la</t>
  </si>
  <si>
    <t>+856 20 82668911</t>
  </si>
  <si>
    <t>CSC000142</t>
  </si>
  <si>
    <t>SSO8475204</t>
  </si>
  <si>
    <t>Budget Division</t>
  </si>
  <si>
    <t>No. 304</t>
  </si>
  <si>
    <t>941900</t>
  </si>
  <si>
    <t>652235149</t>
  </si>
  <si>
    <t>LAO00143</t>
  </si>
  <si>
    <t>+856 20 55873428</t>
  </si>
  <si>
    <t>CSC000143</t>
  </si>
  <si>
    <t>SSO1635626</t>
  </si>
  <si>
    <t>No. 56</t>
  </si>
  <si>
    <t>215400</t>
  </si>
  <si>
    <t>593089342</t>
  </si>
  <si>
    <t>LAO00144</t>
  </si>
  <si>
    <t>Phonesamone</t>
  </si>
  <si>
    <t>phonesamone.manodham@gov.la</t>
  </si>
  <si>
    <t>+856 20 69450604</t>
  </si>
  <si>
    <t>CSC000144</t>
  </si>
  <si>
    <t>SSO2780658</t>
  </si>
  <si>
    <t>Department of Community Development</t>
  </si>
  <si>
    <t>Social Development Division</t>
  </si>
  <si>
    <t>No. 622</t>
  </si>
  <si>
    <t>724900</t>
  </si>
  <si>
    <t>484077593</t>
  </si>
  <si>
    <t>LAO00145</t>
  </si>
  <si>
    <t>khankham.manivong@gov.la</t>
  </si>
  <si>
    <t>+856 20 86047663</t>
  </si>
  <si>
    <t>CSC000145</t>
  </si>
  <si>
    <t>SSO7611593</t>
  </si>
  <si>
    <t>No. 313</t>
  </si>
  <si>
    <t>776000</t>
  </si>
  <si>
    <t>232322744</t>
  </si>
  <si>
    <t>LAO00146</t>
  </si>
  <si>
    <t>sengphet.vongphac@gov.la</t>
  </si>
  <si>
    <t>+856 20 72203030</t>
  </si>
  <si>
    <t>CSC000146</t>
  </si>
  <si>
    <t>SSO9173698</t>
  </si>
  <si>
    <t>No. 132</t>
  </si>
  <si>
    <t>567100</t>
  </si>
  <si>
    <t>205444031</t>
  </si>
  <si>
    <t>LAO00147</t>
  </si>
  <si>
    <t>bounthong.thammavo@gov.la</t>
  </si>
  <si>
    <t>+856 20 68567669</t>
  </si>
  <si>
    <t>CSC000147</t>
  </si>
  <si>
    <t>SSO8316947</t>
  </si>
  <si>
    <t>Personnel Division</t>
  </si>
  <si>
    <t>No. 138</t>
  </si>
  <si>
    <t>858300</t>
  </si>
  <si>
    <t>364328543</t>
  </si>
  <si>
    <t>LAO00148</t>
  </si>
  <si>
    <t>boutsady.southich@gov.la</t>
  </si>
  <si>
    <t>+856 20 52459963</t>
  </si>
  <si>
    <t>CSC000148</t>
  </si>
  <si>
    <t>SSO4569531</t>
  </si>
  <si>
    <t>Contribution Collection Division</t>
  </si>
  <si>
    <t>No. 557</t>
  </si>
  <si>
    <t>699300</t>
  </si>
  <si>
    <t>972568129</t>
  </si>
  <si>
    <t>LAO00149</t>
  </si>
  <si>
    <t>phonevilay.souksava@gov.la</t>
  </si>
  <si>
    <t>+856 20 99386742</t>
  </si>
  <si>
    <t>CSC000149</t>
  </si>
  <si>
    <t>SSO3452813</t>
  </si>
  <si>
    <t>898900</t>
  </si>
  <si>
    <t>270963770</t>
  </si>
  <si>
    <t>LAO00150</t>
  </si>
  <si>
    <t>Phimmaly</t>
  </si>
  <si>
    <t>phimmaly.vongphac@gov.la</t>
  </si>
  <si>
    <t>+856 20 74514651</t>
  </si>
  <si>
    <t>CSC000150</t>
  </si>
  <si>
    <t>SSO7350486</t>
  </si>
  <si>
    <t>No. 530</t>
  </si>
  <si>
    <t>946000</t>
  </si>
  <si>
    <t>684491424</t>
  </si>
  <si>
    <t>LAO00151</t>
  </si>
  <si>
    <t>boutsady.phoneman@gov.la</t>
  </si>
  <si>
    <t>+856 20 77824253</t>
  </si>
  <si>
    <t>CSC000151</t>
  </si>
  <si>
    <t>SSO4864570</t>
  </si>
  <si>
    <t>884800</t>
  </si>
  <si>
    <t>488933925</t>
  </si>
  <si>
    <t>LAO00152</t>
  </si>
  <si>
    <t>bouakham.phommach@gov.la</t>
  </si>
  <si>
    <t>+856 20 55754484</t>
  </si>
  <si>
    <t>CSC000152</t>
  </si>
  <si>
    <t>SSO5755579</t>
  </si>
  <si>
    <t>Examinations Division</t>
  </si>
  <si>
    <t>379400</t>
  </si>
  <si>
    <t>872608028</t>
  </si>
  <si>
    <t>LAO00153</t>
  </si>
  <si>
    <t>khanthavy.dalasane@gov.la</t>
  </si>
  <si>
    <t>+856 20 60036881</t>
  </si>
  <si>
    <t>CSC000153</t>
  </si>
  <si>
    <t>SSO8042991</t>
  </si>
  <si>
    <t>No. 182</t>
  </si>
  <si>
    <t>Street 31</t>
  </si>
  <si>
    <t>163900</t>
  </si>
  <si>
    <t>317270101</t>
  </si>
  <si>
    <t>LAO00154</t>
  </si>
  <si>
    <t>souvanny.phaymany@gov.la</t>
  </si>
  <si>
    <t>+856 20 78554110</t>
  </si>
  <si>
    <t>CSC000154</t>
  </si>
  <si>
    <t>SSO2639417</t>
  </si>
  <si>
    <t>Employment Policy Division</t>
  </si>
  <si>
    <t>No. 261</t>
  </si>
  <si>
    <t>564100</t>
  </si>
  <si>
    <t>732485566</t>
  </si>
  <si>
    <t>LAO00155</t>
  </si>
  <si>
    <t>+856 20 87894378</t>
  </si>
  <si>
    <t>CSC000155</t>
  </si>
  <si>
    <t>SSO8106183</t>
  </si>
  <si>
    <t>Extradition Division</t>
  </si>
  <si>
    <t>No. 627</t>
  </si>
  <si>
    <t>777000</t>
  </si>
  <si>
    <t>380571840</t>
  </si>
  <si>
    <t>LAO00156</t>
  </si>
  <si>
    <t>sisamone.southich@gov.la</t>
  </si>
  <si>
    <t>+856 20 60786945</t>
  </si>
  <si>
    <t>CSC000156</t>
  </si>
  <si>
    <t>SSO1873301</t>
  </si>
  <si>
    <t>Provincial Tourism &amp; Culture Office</t>
  </si>
  <si>
    <t>Cultural Heritage Division</t>
  </si>
  <si>
    <t>338100</t>
  </si>
  <si>
    <t>645829727</t>
  </si>
  <si>
    <t>LAO00157</t>
  </si>
  <si>
    <t>Bounsong</t>
  </si>
  <si>
    <t>Singvongsa</t>
  </si>
  <si>
    <t>bounsong.singvong@gov.la</t>
  </si>
  <si>
    <t>+856 20 63069216</t>
  </si>
  <si>
    <t>CSC000157</t>
  </si>
  <si>
    <t>SSO5798393</t>
  </si>
  <si>
    <t>No. 803</t>
  </si>
  <si>
    <t>479500</t>
  </si>
  <si>
    <t>571342650</t>
  </si>
  <si>
    <t>LAO00158</t>
  </si>
  <si>
    <t>nouphet.phommach@gov.la</t>
  </si>
  <si>
    <t>+856 20 73318658</t>
  </si>
  <si>
    <t>CSC000158</t>
  </si>
  <si>
    <t>SSO6840069</t>
  </si>
  <si>
    <t>Insurance Regulation Division</t>
  </si>
  <si>
    <t>No. 232</t>
  </si>
  <si>
    <t>761800</t>
  </si>
  <si>
    <t>690120616</t>
  </si>
  <si>
    <t>LAO00159</t>
  </si>
  <si>
    <t>bounthon.sisouvat@gov.la</t>
  </si>
  <si>
    <t>+856 20 80792796</t>
  </si>
  <si>
    <t>CSC000159</t>
  </si>
  <si>
    <t>SSO6698561</t>
  </si>
  <si>
    <t>Accounting Division</t>
  </si>
  <si>
    <t>290400</t>
  </si>
  <si>
    <t>704697685</t>
  </si>
  <si>
    <t>LAO00160</t>
  </si>
  <si>
    <t>vilaychith.vongphac@gov.la</t>
  </si>
  <si>
    <t>+856 20 55102207</t>
  </si>
  <si>
    <t>CSC000160</t>
  </si>
  <si>
    <t>SSO6737688</t>
  </si>
  <si>
    <t>540800</t>
  </si>
  <si>
    <t>823377624</t>
  </si>
  <si>
    <t>LAO00161</t>
  </si>
  <si>
    <t>Khamphout</t>
  </si>
  <si>
    <t>khamphout.khamphil@gov.la</t>
  </si>
  <si>
    <t>+856 20 91193231</t>
  </si>
  <si>
    <t>CSC000161</t>
  </si>
  <si>
    <t>SSO9265544</t>
  </si>
  <si>
    <t>No. 783</t>
  </si>
  <si>
    <t>708100</t>
  </si>
  <si>
    <t>825647741</t>
  </si>
  <si>
    <t>LAO00162</t>
  </si>
  <si>
    <t>+856 20 58077771</t>
  </si>
  <si>
    <t>CSC000162</t>
  </si>
  <si>
    <t>SSO8670476</t>
  </si>
  <si>
    <t>Land Survey Division</t>
  </si>
  <si>
    <t>No. 324</t>
  </si>
  <si>
    <t>445200</t>
  </si>
  <si>
    <t>639528648</t>
  </si>
  <si>
    <t>LAO00163</t>
  </si>
  <si>
    <t>phimmaly.phongphi@gov.la</t>
  </si>
  <si>
    <t>+856 20 76883314</t>
  </si>
  <si>
    <t>CSC000163</t>
  </si>
  <si>
    <t>SSO7124992</t>
  </si>
  <si>
    <t>No. 462</t>
  </si>
  <si>
    <t>Street 12</t>
  </si>
  <si>
    <t>474400</t>
  </si>
  <si>
    <t>852384450</t>
  </si>
  <si>
    <t>LAO00164</t>
  </si>
  <si>
    <t>vilayphon.phiaylac@gov.la</t>
  </si>
  <si>
    <t>+856 20 76736299</t>
  </si>
  <si>
    <t>CSC000164</t>
  </si>
  <si>
    <t>SSO1800429</t>
  </si>
  <si>
    <t>Department of Natural Resources</t>
  </si>
  <si>
    <t>Biodiversity Division</t>
  </si>
  <si>
    <t>No. 708</t>
  </si>
  <si>
    <t>516600</t>
  </si>
  <si>
    <t>422159250</t>
  </si>
  <si>
    <t>LAO00165</t>
  </si>
  <si>
    <t>Sengdara</t>
  </si>
  <si>
    <t>khamphout.sengdara@gov.la</t>
  </si>
  <si>
    <t>+856 20 82715151</t>
  </si>
  <si>
    <t>Legislative Officer</t>
  </si>
  <si>
    <t>CSC000165</t>
  </si>
  <si>
    <t>SSO9563838</t>
  </si>
  <si>
    <t>Treaty Division</t>
  </si>
  <si>
    <t>No. 911</t>
  </si>
  <si>
    <t>569400</t>
  </si>
  <si>
    <t>937850514</t>
  </si>
  <si>
    <t>LAO00166</t>
  </si>
  <si>
    <t>khamphay.sengdara@gov.la</t>
  </si>
  <si>
    <t>+856 20 89387519</t>
  </si>
  <si>
    <t>CSC000166</t>
  </si>
  <si>
    <t>SSO7092894</t>
  </si>
  <si>
    <t>Adaptation Division</t>
  </si>
  <si>
    <t>No. 424</t>
  </si>
  <si>
    <t>304800</t>
  </si>
  <si>
    <t>391250425</t>
  </si>
  <si>
    <t>LAO00167</t>
  </si>
  <si>
    <t>khamphout.sengmixa@gov.la</t>
  </si>
  <si>
    <t>+856 20 93945076</t>
  </si>
  <si>
    <t>CSC000167</t>
  </si>
  <si>
    <t>SSO2414508</t>
  </si>
  <si>
    <t>No. 317</t>
  </si>
  <si>
    <t>826000</t>
  </si>
  <si>
    <t>211592272</t>
  </si>
  <si>
    <t>LAO00168</t>
  </si>
  <si>
    <t>bounma.sisavath@gov.la</t>
  </si>
  <si>
    <t>+856 20 85128792</t>
  </si>
  <si>
    <t>CSC000168</t>
  </si>
  <si>
    <t>SSO8297709</t>
  </si>
  <si>
    <t>Department of Transport</t>
  </si>
  <si>
    <t>Aviation Division</t>
  </si>
  <si>
    <t>No. 931</t>
  </si>
  <si>
    <t>472100</t>
  </si>
  <si>
    <t>777582116</t>
  </si>
  <si>
    <t>LAO00169</t>
  </si>
  <si>
    <t>Vongsamphanh</t>
  </si>
  <si>
    <t>phimmaly.vongsamp@gov.la</t>
  </si>
  <si>
    <t>+856 20 70106521</t>
  </si>
  <si>
    <t>CSC000169</t>
  </si>
  <si>
    <t>SSO9003857</t>
  </si>
  <si>
    <t>No. 785</t>
  </si>
  <si>
    <t>478800</t>
  </si>
  <si>
    <t>838487369</t>
  </si>
  <si>
    <t>LAO00170</t>
  </si>
  <si>
    <t>bounthon.southich@gov.la</t>
  </si>
  <si>
    <t>+856 20 68040340</t>
  </si>
  <si>
    <t>CSC000170</t>
  </si>
  <si>
    <t>SSO9924543</t>
  </si>
  <si>
    <t>Member Services Division</t>
  </si>
  <si>
    <t>No. 193</t>
  </si>
  <si>
    <t>574400</t>
  </si>
  <si>
    <t>405669440</t>
  </si>
  <si>
    <t>LAO00171</t>
  </si>
  <si>
    <t>Sinorath</t>
  </si>
  <si>
    <t>sinorath.sengmixa@gov.la</t>
  </si>
  <si>
    <t>+856 20 56053017</t>
  </si>
  <si>
    <t>CSC000171</t>
  </si>
  <si>
    <t>SSO4905912</t>
  </si>
  <si>
    <t>No. 16</t>
  </si>
  <si>
    <t>788500</t>
  </si>
  <si>
    <t>867935795</t>
  </si>
  <si>
    <t>LAO00172</t>
  </si>
  <si>
    <t>manyvone.sengmixa@gov.la</t>
  </si>
  <si>
    <t>+856 20 79726605</t>
  </si>
  <si>
    <t>CSC000172</t>
  </si>
  <si>
    <t>SSO7455837</t>
  </si>
  <si>
    <t>No. 756</t>
  </si>
  <si>
    <t>253900</t>
  </si>
  <si>
    <t>989328868</t>
  </si>
  <si>
    <t>LAO00173</t>
  </si>
  <si>
    <t>Bounlan</t>
  </si>
  <si>
    <t>bounlan.khonesav@gov.la</t>
  </si>
  <si>
    <t>+856 20 57578500</t>
  </si>
  <si>
    <t>CSC000173</t>
  </si>
  <si>
    <t>SSO4653880</t>
  </si>
  <si>
    <t>No. 649</t>
  </si>
  <si>
    <t>374200</t>
  </si>
  <si>
    <t>155928537</t>
  </si>
  <si>
    <t>LAO00174</t>
  </si>
  <si>
    <t>+856 20 57206932</t>
  </si>
  <si>
    <t>CSC000174</t>
  </si>
  <si>
    <t>SSO9998515</t>
  </si>
  <si>
    <t>No. 500</t>
  </si>
  <si>
    <t>669000</t>
  </si>
  <si>
    <t>481734198</t>
  </si>
  <si>
    <t>LAO00175</t>
  </si>
  <si>
    <t>keoviengkham.manodham@gov.la</t>
  </si>
  <si>
    <t>+856 20 90176730</t>
  </si>
  <si>
    <t>CSC000175</t>
  </si>
  <si>
    <t>SSO5619177</t>
  </si>
  <si>
    <t>Maintenance Division</t>
  </si>
  <si>
    <t>No. 71</t>
  </si>
  <si>
    <t>584400</t>
  </si>
  <si>
    <t>683708118</t>
  </si>
  <si>
    <t>LAO00176</t>
  </si>
  <si>
    <t>Sivilay</t>
  </si>
  <si>
    <t>sivilay.dalasane@gov.la</t>
  </si>
  <si>
    <t>+856 20 91140367</t>
  </si>
  <si>
    <t>Medical Specialist</t>
  </si>
  <si>
    <t>CSC000176</t>
  </si>
  <si>
    <t>SSO3585897</t>
  </si>
  <si>
    <t>257700</t>
  </si>
  <si>
    <t>303870775</t>
  </si>
  <si>
    <t>LAO00177</t>
  </si>
  <si>
    <t>+856 20 50878193</t>
  </si>
  <si>
    <t>CSC000177</t>
  </si>
  <si>
    <t>SSO2189067</t>
  </si>
  <si>
    <t>Mineral Resources Division</t>
  </si>
  <si>
    <t>No. 672</t>
  </si>
  <si>
    <t>199400</t>
  </si>
  <si>
    <t>152705290</t>
  </si>
  <si>
    <t>LAO00178</t>
  </si>
  <si>
    <t>phonsavanh.bouphano@gov.la</t>
  </si>
  <si>
    <t>+856 20 87475165</t>
  </si>
  <si>
    <t>CSC000178</t>
  </si>
  <si>
    <t>SSO4001408</t>
  </si>
  <si>
    <t>No. 765</t>
  </si>
  <si>
    <t>851500</t>
  </si>
  <si>
    <t>307360430</t>
  </si>
  <si>
    <t>LAO00179</t>
  </si>
  <si>
    <t>thongchanh.chanthav@gov.la</t>
  </si>
  <si>
    <t>+856 20 98712155</t>
  </si>
  <si>
    <t>CSC000179</t>
  </si>
  <si>
    <t>SSO8224069</t>
  </si>
  <si>
    <t>No. 624</t>
  </si>
  <si>
    <t>Street 16</t>
  </si>
  <si>
    <t>450400</t>
  </si>
  <si>
    <t>542750235</t>
  </si>
  <si>
    <t>LAO00180</t>
  </si>
  <si>
    <t>nongkham.bouavong@gov.la</t>
  </si>
  <si>
    <t>+856 20 96286270</t>
  </si>
  <si>
    <t>CSC000180</t>
  </si>
  <si>
    <t>SSO1364088</t>
  </si>
  <si>
    <t>Arts Division</t>
  </si>
  <si>
    <t>No. 942</t>
  </si>
  <si>
    <t>353400</t>
  </si>
  <si>
    <t>330664237</t>
  </si>
  <si>
    <t>LAO00181</t>
  </si>
  <si>
    <t>khamsone.xaysombo@gov.la</t>
  </si>
  <si>
    <t>+856 20 89945289</t>
  </si>
  <si>
    <t>CSC000181</t>
  </si>
  <si>
    <t>SSO2599943</t>
  </si>
  <si>
    <t>Department of Agriculture</t>
  </si>
  <si>
    <t>Crop Production Division</t>
  </si>
  <si>
    <t>No. 39</t>
  </si>
  <si>
    <t>Street 47</t>
  </si>
  <si>
    <t>228500</t>
  </si>
  <si>
    <t>951374399</t>
  </si>
  <si>
    <t>LAO00182</t>
  </si>
  <si>
    <t>khammoune.vongsamp@gov.la</t>
  </si>
  <si>
    <t>+856 20 89938645</t>
  </si>
  <si>
    <t>CSC000182</t>
  </si>
  <si>
    <t>SSO8476199</t>
  </si>
  <si>
    <t>Classification Division</t>
  </si>
  <si>
    <t>No. 228</t>
  </si>
  <si>
    <t>342500</t>
  </si>
  <si>
    <t>264494545</t>
  </si>
  <si>
    <t>LAO00183</t>
  </si>
  <si>
    <t>+856 20 87659320</t>
  </si>
  <si>
    <t>CSC000183</t>
  </si>
  <si>
    <t>SSO4290000</t>
  </si>
  <si>
    <t>River Transport Division</t>
  </si>
  <si>
    <t>No. 249</t>
  </si>
  <si>
    <t>629800</t>
  </si>
  <si>
    <t>623836867</t>
  </si>
  <si>
    <t>LAO00184</t>
  </si>
  <si>
    <t>khammoune.siphaseu@gov.la</t>
  </si>
  <si>
    <t>+856 20 98887918</t>
  </si>
  <si>
    <t>CSC000184</t>
  </si>
  <si>
    <t>SSO3617098</t>
  </si>
  <si>
    <t>341900</t>
  </si>
  <si>
    <t>978505410</t>
  </si>
  <si>
    <t>LAO00185</t>
  </si>
  <si>
    <t>lattana.sengkhou@gov.la</t>
  </si>
  <si>
    <t>+856 20 75273645</t>
  </si>
  <si>
    <t>CSC000185</t>
  </si>
  <si>
    <t>SSO1308508</t>
  </si>
  <si>
    <t>Curative Services Division</t>
  </si>
  <si>
    <t>No. 262</t>
  </si>
  <si>
    <t>428800</t>
  </si>
  <si>
    <t>689269569</t>
  </si>
  <si>
    <t>LAO00186</t>
  </si>
  <si>
    <t>Khamkhong</t>
  </si>
  <si>
    <t>khamkhong.soulinth@gov.la</t>
  </si>
  <si>
    <t>+856 20 55906967</t>
  </si>
  <si>
    <t>CSC000186</t>
  </si>
  <si>
    <t>SSO9918107</t>
  </si>
  <si>
    <t>No. 204</t>
  </si>
  <si>
    <t>135200</t>
  </si>
  <si>
    <t>438718269</t>
  </si>
  <si>
    <t>LAO00187</t>
  </si>
  <si>
    <t>Vanthong</t>
  </si>
  <si>
    <t>vanthong.thammavo@gov.la</t>
  </si>
  <si>
    <t>+856 20 87241349</t>
  </si>
  <si>
    <t>CSC000187</t>
  </si>
  <si>
    <t>SSO1494355</t>
  </si>
  <si>
    <t>No. 231</t>
  </si>
  <si>
    <t>324800</t>
  </si>
  <si>
    <t>515721250</t>
  </si>
  <si>
    <t>LAO00188</t>
  </si>
  <si>
    <t>bounthon.phommach@gov.la</t>
  </si>
  <si>
    <t>+856 20 59076641</t>
  </si>
  <si>
    <t>CSC000188</t>
  </si>
  <si>
    <t>SSO9787997</t>
  </si>
  <si>
    <t>358900</t>
  </si>
  <si>
    <t>839305702</t>
  </si>
  <si>
    <t>LAO00189</t>
  </si>
  <si>
    <t>sengphet.phetsamo@gov.la</t>
  </si>
  <si>
    <t>+856 20 90641430</t>
  </si>
  <si>
    <t>CSC000189</t>
  </si>
  <si>
    <t>SSO5477211</t>
  </si>
  <si>
    <t>No. 611</t>
  </si>
  <si>
    <t>688600</t>
  </si>
  <si>
    <t>241246317</t>
  </si>
  <si>
    <t>LAO00190</t>
  </si>
  <si>
    <t>Khampasong</t>
  </si>
  <si>
    <t>khampasong.sisoulat@gov.la</t>
  </si>
  <si>
    <t>+856 20 63727930</t>
  </si>
  <si>
    <t>CSC000190</t>
  </si>
  <si>
    <t>SSO4402982</t>
  </si>
  <si>
    <t>Street 29</t>
  </si>
  <si>
    <t>632300</t>
  </si>
  <si>
    <t>338965760</t>
  </si>
  <si>
    <t>LAO00191</t>
  </si>
  <si>
    <t>sidalay.dalasane@gov.la</t>
  </si>
  <si>
    <t>+856 20 66490100</t>
  </si>
  <si>
    <t>CSC000191</t>
  </si>
  <si>
    <t>SSO1711620</t>
  </si>
  <si>
    <t>International Arbitration Division</t>
  </si>
  <si>
    <t>No. 753</t>
  </si>
  <si>
    <t>Street 3</t>
  </si>
  <si>
    <t>945600</t>
  </si>
  <si>
    <t>590593090</t>
  </si>
  <si>
    <t>LAO00192</t>
  </si>
  <si>
    <t>nongkham.keokhamp@gov.la</t>
  </si>
  <si>
    <t>+856 20 76378260</t>
  </si>
  <si>
    <t>CSC000192</t>
  </si>
  <si>
    <t>SSO3270069</t>
  </si>
  <si>
    <t>Water Resources Division</t>
  </si>
  <si>
    <t>No. 332</t>
  </si>
  <si>
    <t>875936087</t>
  </si>
  <si>
    <t>LAO00193</t>
  </si>
  <si>
    <t>Soubanh</t>
  </si>
  <si>
    <t>soubanh.phetsamo@gov.la</t>
  </si>
  <si>
    <t>+856 20 87949497</t>
  </si>
  <si>
    <t>CSC000193</t>
  </si>
  <si>
    <t>SSO6623607</t>
  </si>
  <si>
    <t>787400</t>
  </si>
  <si>
    <t>690929397</t>
  </si>
  <si>
    <t>LAO00194</t>
  </si>
  <si>
    <t>phonesiri.khamboun@gov.la</t>
  </si>
  <si>
    <t>+856 20 77524792</t>
  </si>
  <si>
    <t>CSC000194</t>
  </si>
  <si>
    <t>SSO8612468</t>
  </si>
  <si>
    <t>Maternal Health Division</t>
  </si>
  <si>
    <t>No. 82</t>
  </si>
  <si>
    <t>500900</t>
  </si>
  <si>
    <t>355419939</t>
  </si>
  <si>
    <t>LAO00195</t>
  </si>
  <si>
    <t>Vixay</t>
  </si>
  <si>
    <t>vixay.chanthav@gov.la</t>
  </si>
  <si>
    <t>+856 20 95103229</t>
  </si>
  <si>
    <t>CSC000195</t>
  </si>
  <si>
    <t>SSO3706755</t>
  </si>
  <si>
    <t>Equivalency Division</t>
  </si>
  <si>
    <t>No. 626</t>
  </si>
  <si>
    <t>390600</t>
  </si>
  <si>
    <t>216917219</t>
  </si>
  <si>
    <t>LAO00196</t>
  </si>
  <si>
    <t>phonesavanh.dalasane@gov.la</t>
  </si>
  <si>
    <t>+856 20 91074231</t>
  </si>
  <si>
    <t>CSC000196</t>
  </si>
  <si>
    <t>SSO4507293</t>
  </si>
  <si>
    <t>Fishery Division</t>
  </si>
  <si>
    <t>No. 112</t>
  </si>
  <si>
    <t>Street 37</t>
  </si>
  <si>
    <t>892400</t>
  </si>
  <si>
    <t>665918566</t>
  </si>
  <si>
    <t>LAO00197</t>
  </si>
  <si>
    <t>khamsouk.phetsamo@gov.la</t>
  </si>
  <si>
    <t>+856 20 91973959</t>
  </si>
  <si>
    <t>CSC000197</t>
  </si>
  <si>
    <t>SSO8799486</t>
  </si>
  <si>
    <t>778300</t>
  </si>
  <si>
    <t>307828574</t>
  </si>
  <si>
    <t>LAO00198</t>
  </si>
  <si>
    <t>sisamone.khamboun@gov.la</t>
  </si>
  <si>
    <t>+856 20 61786268</t>
  </si>
  <si>
    <t>Medical Doctor</t>
  </si>
  <si>
    <t>CSC000198</t>
  </si>
  <si>
    <t>SSO1488508</t>
  </si>
  <si>
    <t>Emergency Medicine Division</t>
  </si>
  <si>
    <t>No. 339</t>
  </si>
  <si>
    <t>158200</t>
  </si>
  <si>
    <t>525254727</t>
  </si>
  <si>
    <t>LAO00199</t>
  </si>
  <si>
    <t>khamphay.souksava@gov.la</t>
  </si>
  <si>
    <t>+856 20 54443481</t>
  </si>
  <si>
    <t>CSC000199</t>
  </si>
  <si>
    <t>SSO6932348</t>
  </si>
  <si>
    <t>No. 288</t>
  </si>
  <si>
    <t>975300</t>
  </si>
  <si>
    <t>958494527</t>
  </si>
  <si>
    <t>LAO00200</t>
  </si>
  <si>
    <t>thongsack.sengkhou@gov.la</t>
  </si>
  <si>
    <t>+856 20 52509538</t>
  </si>
  <si>
    <t>CSC000200</t>
  </si>
  <si>
    <t>SSO7278297</t>
  </si>
  <si>
    <t>Department of Education</t>
  </si>
  <si>
    <t>Planning Division</t>
  </si>
  <si>
    <t>No. 936</t>
  </si>
  <si>
    <t>140800</t>
  </si>
  <si>
    <t>663822282</t>
  </si>
  <si>
    <t>LAO00201</t>
  </si>
  <si>
    <t>sombath.phoneman@gov.la</t>
  </si>
  <si>
    <t>+856 20 72366696</t>
  </si>
  <si>
    <t>CSC000201</t>
  </si>
  <si>
    <t>SSO2460891</t>
  </si>
  <si>
    <t>611900</t>
  </si>
  <si>
    <t>147276808</t>
  </si>
  <si>
    <t>LAO00202</t>
  </si>
  <si>
    <t>bounthong.khamphil@gov.la</t>
  </si>
  <si>
    <t>+856 20 68189998</t>
  </si>
  <si>
    <t>CSC000202</t>
  </si>
  <si>
    <t>SSO6343290</t>
  </si>
  <si>
    <t>Agri-Technology Division</t>
  </si>
  <si>
    <t>No. 966</t>
  </si>
  <si>
    <t>501100</t>
  </si>
  <si>
    <t>321810768</t>
  </si>
  <si>
    <t>LAO00203</t>
  </si>
  <si>
    <t>phanida.sengdara@gov.la</t>
  </si>
  <si>
    <t>+856 20 91360222</t>
  </si>
  <si>
    <t>CSC000203</t>
  </si>
  <si>
    <t>SSO8479891</t>
  </si>
  <si>
    <t>Law Review Division</t>
  </si>
  <si>
    <t>No. 320</t>
  </si>
  <si>
    <t>228600</t>
  </si>
  <si>
    <t>557914110</t>
  </si>
  <si>
    <t>LAO00204</t>
  </si>
  <si>
    <t>keoviengkham.souksava@gov.la</t>
  </si>
  <si>
    <t>+856 20 71794347</t>
  </si>
  <si>
    <t>CSC000204</t>
  </si>
  <si>
    <t>SSO6541983</t>
  </si>
  <si>
    <t>Khammuane Province Administration</t>
  </si>
  <si>
    <t>284900</t>
  </si>
  <si>
    <t>851205475</t>
  </si>
  <si>
    <t>LAO00205</t>
  </si>
  <si>
    <t>Luanglath</t>
  </si>
  <si>
    <t>khankham.luanglat@gov.la</t>
  </si>
  <si>
    <t>+856 20 75757486</t>
  </si>
  <si>
    <t>CSC000205</t>
  </si>
  <si>
    <t>SSO9092903</t>
  </si>
  <si>
    <t>No. 349</t>
  </si>
  <si>
    <t>813200</t>
  </si>
  <si>
    <t>766659283</t>
  </si>
  <si>
    <t>LAO00206</t>
  </si>
  <si>
    <t>bounthieng.phaymany@gov.la</t>
  </si>
  <si>
    <t>+856 20 71971995</t>
  </si>
  <si>
    <t>CSC000206</t>
  </si>
  <si>
    <t>SSO7357071</t>
  </si>
  <si>
    <t>No. 661</t>
  </si>
  <si>
    <t>456500</t>
  </si>
  <si>
    <t>836059336</t>
  </si>
  <si>
    <t>LAO00207</t>
  </si>
  <si>
    <t>bounthieng.xaysombo@gov.la</t>
  </si>
  <si>
    <t>+856 20 77125229</t>
  </si>
  <si>
    <t>CSC000207</t>
  </si>
  <si>
    <t>SSO9563491</t>
  </si>
  <si>
    <t>999200</t>
  </si>
  <si>
    <t>195871622</t>
  </si>
  <si>
    <t>LAO00208</t>
  </si>
  <si>
    <t>santisouk.luanglat@gov.la</t>
  </si>
  <si>
    <t>+856 20 78000200</t>
  </si>
  <si>
    <t>CSC000208</t>
  </si>
  <si>
    <t>SSO7044627</t>
  </si>
  <si>
    <t>Department of Budget</t>
  </si>
  <si>
    <t>Revenue Planning Division</t>
  </si>
  <si>
    <t>No. 296</t>
  </si>
  <si>
    <t>119000</t>
  </si>
  <si>
    <t>249324059</t>
  </si>
  <si>
    <t>LAO00209</t>
  </si>
  <si>
    <t>sounthone.thammavo@gov.la</t>
  </si>
  <si>
    <t>+856 20 90572224</t>
  </si>
  <si>
    <t>CSC000209</t>
  </si>
  <si>
    <t>SSO8126489</t>
  </si>
  <si>
    <t>ASEAN Relations Division</t>
  </si>
  <si>
    <t>No. 592</t>
  </si>
  <si>
    <t>541100</t>
  </si>
  <si>
    <t>513084285</t>
  </si>
  <si>
    <t>LAO00210</t>
  </si>
  <si>
    <t>khamphanh.kheudkha@gov.la</t>
  </si>
  <si>
    <t>+856 20 66457194</t>
  </si>
  <si>
    <t>CSC000210</t>
  </si>
  <si>
    <t>SSO2483883</t>
  </si>
  <si>
    <t>Industry Linkage Division</t>
  </si>
  <si>
    <t>No. 646</t>
  </si>
  <si>
    <t>661950074</t>
  </si>
  <si>
    <t>LAO00211</t>
  </si>
  <si>
    <t>souvanny.souksava@gov.la</t>
  </si>
  <si>
    <t>+856 20 99484739</t>
  </si>
  <si>
    <t>CSC000211</t>
  </si>
  <si>
    <t>SSO5894806</t>
  </si>
  <si>
    <t>Regional Planning Division</t>
  </si>
  <si>
    <t>No. 294</t>
  </si>
  <si>
    <t>928300</t>
  </si>
  <si>
    <t>720774271</t>
  </si>
  <si>
    <t>LAO00212</t>
  </si>
  <si>
    <t>phonevilay.phongphi@gov.la</t>
  </si>
  <si>
    <t>+856 20 62133899</t>
  </si>
  <si>
    <t>CSC000212</t>
  </si>
  <si>
    <t>SSO9135582</t>
  </si>
  <si>
    <t>No. 352</t>
  </si>
  <si>
    <t>352500</t>
  </si>
  <si>
    <t>967412340</t>
  </si>
  <si>
    <t>LAO00213</t>
  </si>
  <si>
    <t>vanhkham.phaymany@gov.la</t>
  </si>
  <si>
    <t>+856 20 65680745</t>
  </si>
  <si>
    <t>CSC000213</t>
  </si>
  <si>
    <t>SSO9934217</t>
  </si>
  <si>
    <t>No. 700</t>
  </si>
  <si>
    <t>530200</t>
  </si>
  <si>
    <t>901173040</t>
  </si>
  <si>
    <t>LAO00214</t>
  </si>
  <si>
    <t>keovilay.bouavong@gov.la</t>
  </si>
  <si>
    <t>+856 20 80944473</t>
  </si>
  <si>
    <t>CSC000214</t>
  </si>
  <si>
    <t>SSO7562471</t>
  </si>
  <si>
    <t>No. 752</t>
  </si>
  <si>
    <t>951800</t>
  </si>
  <si>
    <t>961480639</t>
  </si>
  <si>
    <t>LAO00215</t>
  </si>
  <si>
    <t>sisamone.phommavo@gov.la</t>
  </si>
  <si>
    <t>+856 20 89871965</t>
  </si>
  <si>
    <t>CSC000215</t>
  </si>
  <si>
    <t>SSO1954320</t>
  </si>
  <si>
    <t>241500</t>
  </si>
  <si>
    <t>136552071</t>
  </si>
  <si>
    <t>LAO00216</t>
  </si>
  <si>
    <t>phonevieng.xayavong@gov.la</t>
  </si>
  <si>
    <t>+856 20 60869356</t>
  </si>
  <si>
    <t>CSC000216</t>
  </si>
  <si>
    <t>SSO5317391</t>
  </si>
  <si>
    <t>Committee on National Security</t>
  </si>
  <si>
    <t>Defence Oversight Division</t>
  </si>
  <si>
    <t>736600</t>
  </si>
  <si>
    <t>926093073</t>
  </si>
  <si>
    <t>LAO00217</t>
  </si>
  <si>
    <t>Phouthasack</t>
  </si>
  <si>
    <t>phouthasack.chanthav@gov.la</t>
  </si>
  <si>
    <t>+856 20 52339475</t>
  </si>
  <si>
    <t>CSC000217</t>
  </si>
  <si>
    <t>SSO2732870</t>
  </si>
  <si>
    <t>No. 73</t>
  </si>
  <si>
    <t>574144746</t>
  </si>
  <si>
    <t>LAO00218</t>
  </si>
  <si>
    <t>khamphanh.phaymany@gov.la</t>
  </si>
  <si>
    <t>+856 20 86247424</t>
  </si>
  <si>
    <t>CSC000218</t>
  </si>
  <si>
    <t>SSO2176077</t>
  </si>
  <si>
    <t>No. 4</t>
  </si>
  <si>
    <t>977000</t>
  </si>
  <si>
    <t>881434315</t>
  </si>
  <si>
    <t>LAO00219</t>
  </si>
  <si>
    <t>sidalay.bouphano@gov.la</t>
  </si>
  <si>
    <t>+856 20 96699869</t>
  </si>
  <si>
    <t>CSC000219</t>
  </si>
  <si>
    <t>SSO6014212</t>
  </si>
  <si>
    <t>No. 918</t>
  </si>
  <si>
    <t>239000</t>
  </si>
  <si>
    <t>512492602</t>
  </si>
  <si>
    <t>LAO00220</t>
  </si>
  <si>
    <t>+856 20 57931402</t>
  </si>
  <si>
    <t>CSC000220</t>
  </si>
  <si>
    <t>SSO7803292</t>
  </si>
  <si>
    <t>No. 827</t>
  </si>
  <si>
    <t>979100</t>
  </si>
  <si>
    <t>464304610</t>
  </si>
  <si>
    <t>LAO00221</t>
  </si>
  <si>
    <t>khamphanh.keobounp@gov.la</t>
  </si>
  <si>
    <t>+856 20 57135766</t>
  </si>
  <si>
    <t>Charge d'Affaires</t>
  </si>
  <si>
    <t>CSC000221</t>
  </si>
  <si>
    <t>SSO2073030</t>
  </si>
  <si>
    <t>Department of Multilateral Cooperation</t>
  </si>
  <si>
    <t>International Organisations Division</t>
  </si>
  <si>
    <t>No. 510</t>
  </si>
  <si>
    <t>203300</t>
  </si>
  <si>
    <t>589824472</t>
  </si>
  <si>
    <t>LAO00222</t>
  </si>
  <si>
    <t>khamphout.khonesav@gov.la</t>
  </si>
  <si>
    <t>+856 20 96727619</t>
  </si>
  <si>
    <t>CSC000222</t>
  </si>
  <si>
    <t>SSO3819425</t>
  </si>
  <si>
    <t>166600</t>
  </si>
  <si>
    <t>394090757</t>
  </si>
  <si>
    <t>LAO00223</t>
  </si>
  <si>
    <t>sengdavanh.phouthav@gov.la</t>
  </si>
  <si>
    <t>+856 20 66056047</t>
  </si>
  <si>
    <t>CSC000223</t>
  </si>
  <si>
    <t>SSO7912738</t>
  </si>
  <si>
    <t>Disease Prevention Division</t>
  </si>
  <si>
    <t>394900</t>
  </si>
  <si>
    <t>787007622</t>
  </si>
  <si>
    <t>LAO00224</t>
  </si>
  <si>
    <t>khamsone.vongsamp@gov.la</t>
  </si>
  <si>
    <t>+856 20 68550674</t>
  </si>
  <si>
    <t>CSC000224</t>
  </si>
  <si>
    <t>SSO4491484</t>
  </si>
  <si>
    <t>ODA Management Division</t>
  </si>
  <si>
    <t>No. 199</t>
  </si>
  <si>
    <t>915100</t>
  </si>
  <si>
    <t>927136912</t>
  </si>
  <si>
    <t>LAO00225</t>
  </si>
  <si>
    <t>vixay.soulinth@gov.la</t>
  </si>
  <si>
    <t>+856 20 54755300</t>
  </si>
  <si>
    <t>CSC000225</t>
  </si>
  <si>
    <t>SSO2947249</t>
  </si>
  <si>
    <t>No. 739</t>
  </si>
  <si>
    <t>634000</t>
  </si>
  <si>
    <t>943415633</t>
  </si>
  <si>
    <t>LAO00226</t>
  </si>
  <si>
    <t>khamphone.dalasane@gov.la</t>
  </si>
  <si>
    <t>+856 20 64506598</t>
  </si>
  <si>
    <t>CSC000226</t>
  </si>
  <si>
    <t>SSO3431711</t>
  </si>
  <si>
    <t>Provincial Industry &amp; Commerce Office</t>
  </si>
  <si>
    <t>Trade Division</t>
  </si>
  <si>
    <t>No. 183</t>
  </si>
  <si>
    <t>849900</t>
  </si>
  <si>
    <t>158346438</t>
  </si>
  <si>
    <t>LAO00227</t>
  </si>
  <si>
    <t>sinorath.khamphil@gov.la</t>
  </si>
  <si>
    <t>+856 20 88797073</t>
  </si>
  <si>
    <t>CSC000227</t>
  </si>
  <si>
    <t>SSO3851044</t>
  </si>
  <si>
    <t>Street 27</t>
  </si>
  <si>
    <t>454600</t>
  </si>
  <si>
    <t>268349963</t>
  </si>
  <si>
    <t>LAO00228</t>
  </si>
  <si>
    <t>sivilay.bounseng@gov.la</t>
  </si>
  <si>
    <t>+856 20 52256237</t>
  </si>
  <si>
    <t>CSC000228</t>
  </si>
  <si>
    <t>SSO9459346</t>
  </si>
  <si>
    <t>No. 544</t>
  </si>
  <si>
    <t>841200</t>
  </si>
  <si>
    <t>605359412</t>
  </si>
  <si>
    <t>LAO00229</t>
  </si>
  <si>
    <t>vilayphon.xayavong@gov.la</t>
  </si>
  <si>
    <t>+856 20 62411498</t>
  </si>
  <si>
    <t>CSC000229</t>
  </si>
  <si>
    <t>SSO7800818</t>
  </si>
  <si>
    <t>No. 642</t>
  </si>
  <si>
    <t>730500</t>
  </si>
  <si>
    <t>588381587</t>
  </si>
  <si>
    <t>LAO00230</t>
  </si>
  <si>
    <t>khammoune.xayavong@gov.la</t>
  </si>
  <si>
    <t>+856 20 61761996</t>
  </si>
  <si>
    <t>CSC000230</t>
  </si>
  <si>
    <t>SSO7147725</t>
  </si>
  <si>
    <t>No. 575</t>
  </si>
  <si>
    <t>648700</t>
  </si>
  <si>
    <t>599668842</t>
  </si>
  <si>
    <t>LAO00231</t>
  </si>
  <si>
    <t>khamphout.xayavong@gov.la</t>
  </si>
  <si>
    <t>+856 20 97635568</t>
  </si>
  <si>
    <t>CSC000231</t>
  </si>
  <si>
    <t>SSO8888040</t>
  </si>
  <si>
    <t>No. 463</t>
  </si>
  <si>
    <t>408500</t>
  </si>
  <si>
    <t>622082166</t>
  </si>
  <si>
    <t>LAO00232</t>
  </si>
  <si>
    <t>soudabout.chanthav@gov.la</t>
  </si>
  <si>
    <t>+856 20 81803220</t>
  </si>
  <si>
    <t>CSC000232</t>
  </si>
  <si>
    <t>SSO3215051</t>
  </si>
  <si>
    <t>No. 431</t>
  </si>
  <si>
    <t>409700</t>
  </si>
  <si>
    <t>414788293</t>
  </si>
  <si>
    <t>LAO00233</t>
  </si>
  <si>
    <t>sengmany.soulinth@gov.la</t>
  </si>
  <si>
    <t>+856 20 69337170</t>
  </si>
  <si>
    <t>Consul</t>
  </si>
  <si>
    <t>CSC000233</t>
  </si>
  <si>
    <t>SSO7239485</t>
  </si>
  <si>
    <t>No. 152</t>
  </si>
  <si>
    <t>372500</t>
  </si>
  <si>
    <t>947469747</t>
  </si>
  <si>
    <t>LAO00234</t>
  </si>
  <si>
    <t>bounmy.chanthav@gov.la</t>
  </si>
  <si>
    <t>+856 20 73075182</t>
  </si>
  <si>
    <t>CSC000234</t>
  </si>
  <si>
    <t>SSO6317433</t>
  </si>
  <si>
    <t>No. 382</t>
  </si>
  <si>
    <t>974300</t>
  </si>
  <si>
    <t>298101702</t>
  </si>
  <si>
    <t>LAO00235</t>
  </si>
  <si>
    <t>soudabout.thammavo@gov.la</t>
  </si>
  <si>
    <t>+856 20 52689784</t>
  </si>
  <si>
    <t>CSC000235</t>
  </si>
  <si>
    <t>SSO9035971</t>
  </si>
  <si>
    <t>No. 695</t>
  </si>
  <si>
    <t>140600</t>
  </si>
  <si>
    <t>463659637</t>
  </si>
  <si>
    <t>LAO00236</t>
  </si>
  <si>
    <t>khamsone.phommasa@gov.la</t>
  </si>
  <si>
    <t>+856 20 53761291</t>
  </si>
  <si>
    <t>CSC000236</t>
  </si>
  <si>
    <t>SSO9582482</t>
  </si>
  <si>
    <t>732600</t>
  </si>
  <si>
    <t>308789137</t>
  </si>
  <si>
    <t>LAO00237</t>
  </si>
  <si>
    <t>khamsone.bounphan@gov.la</t>
  </si>
  <si>
    <t>+856 20 59639469</t>
  </si>
  <si>
    <t>CSC000237</t>
  </si>
  <si>
    <t>SSO2444148</t>
  </si>
  <si>
    <t>No. 311</t>
  </si>
  <si>
    <t>208300</t>
  </si>
  <si>
    <t>249859658</t>
  </si>
  <si>
    <t>LAO00238</t>
  </si>
  <si>
    <t>bounthon.khamboun@gov.la</t>
  </si>
  <si>
    <t>+856 20 89272661</t>
  </si>
  <si>
    <t>CSC000238</t>
  </si>
  <si>
    <t>SSO6066600</t>
  </si>
  <si>
    <t>Tourism Division</t>
  </si>
  <si>
    <t>No. 506</t>
  </si>
  <si>
    <t>143900</t>
  </si>
  <si>
    <t>145347243</t>
  </si>
  <si>
    <t>LAO00239</t>
  </si>
  <si>
    <t>Bounthanh</t>
  </si>
  <si>
    <t>bounthanh.khamboun@gov.la</t>
  </si>
  <si>
    <t>+856 20 87955068</t>
  </si>
  <si>
    <t>CSC000239</t>
  </si>
  <si>
    <t>SSO9061215</t>
  </si>
  <si>
    <t>No. 890</t>
  </si>
  <si>
    <t>171645238</t>
  </si>
  <si>
    <t>LAO00240</t>
  </si>
  <si>
    <t>khankham.vongsack@gov.la</t>
  </si>
  <si>
    <t>+856 20 84484996</t>
  </si>
  <si>
    <t>CSC000240</t>
  </si>
  <si>
    <t>SSO2288937</t>
  </si>
  <si>
    <t>668666911</t>
  </si>
  <si>
    <t>LAO00241</t>
  </si>
  <si>
    <t>senglavanh.vilayphi@gov.la</t>
  </si>
  <si>
    <t>+856 20 64621425</t>
  </si>
  <si>
    <t>CSC000241</t>
  </si>
  <si>
    <t>SSO2718286</t>
  </si>
  <si>
    <t>961200</t>
  </si>
  <si>
    <t>542375728</t>
  </si>
  <si>
    <t>LAO00242</t>
  </si>
  <si>
    <t>manyvone.khounkha@gov.la</t>
  </si>
  <si>
    <t>+856 20 64922182</t>
  </si>
  <si>
    <t>CSC000242</t>
  </si>
  <si>
    <t>SSO2989725</t>
  </si>
  <si>
    <t>No. 878</t>
  </si>
  <si>
    <t>603600</t>
  </si>
  <si>
    <t>130880314</t>
  </si>
  <si>
    <t>LAO00243</t>
  </si>
  <si>
    <t>phonesavanh.phiaylac@gov.la</t>
  </si>
  <si>
    <t>+856 20 54445785</t>
  </si>
  <si>
    <t>CSC000243</t>
  </si>
  <si>
    <t>SSO1726143</t>
  </si>
  <si>
    <t>436500</t>
  </si>
  <si>
    <t>227691754</t>
  </si>
  <si>
    <t>LAO00244</t>
  </si>
  <si>
    <t>+856 20 85489767</t>
  </si>
  <si>
    <t>CSC000244</t>
  </si>
  <si>
    <t>SSO1234617</t>
  </si>
  <si>
    <t>No. 733</t>
  </si>
  <si>
    <t>980000</t>
  </si>
  <si>
    <t>206413916</t>
  </si>
  <si>
    <t>LAO00245</t>
  </si>
  <si>
    <t>khampasong.phomthon@gov.la</t>
  </si>
  <si>
    <t>+856 20 81266133</t>
  </si>
  <si>
    <t>CSC000245</t>
  </si>
  <si>
    <t>SSO3073922</t>
  </si>
  <si>
    <t>No. 533</t>
  </si>
  <si>
    <t>572300</t>
  </si>
  <si>
    <t>537633515</t>
  </si>
  <si>
    <t>LAO00246</t>
  </si>
  <si>
    <t>+856 20 50858043</t>
  </si>
  <si>
    <t>CSC000246</t>
  </si>
  <si>
    <t>SSO4008109</t>
  </si>
  <si>
    <t>Weather Forecasting Division</t>
  </si>
  <si>
    <t>No. 689</t>
  </si>
  <si>
    <t>956300</t>
  </si>
  <si>
    <t>961609527</t>
  </si>
  <si>
    <t>LAO00247</t>
  </si>
  <si>
    <t>sommay.keokhamp@gov.la</t>
  </si>
  <si>
    <t>+856 20 93206778</t>
  </si>
  <si>
    <t>CSC000247</t>
  </si>
  <si>
    <t>SSO5579723</t>
  </si>
  <si>
    <t>Health Planning Division</t>
  </si>
  <si>
    <t>No. 365</t>
  </si>
  <si>
    <t>893800</t>
  </si>
  <si>
    <t>878678109</t>
  </si>
  <si>
    <t>LAO00248</t>
  </si>
  <si>
    <t>vilayhong.sengkhou@gov.la</t>
  </si>
  <si>
    <t>+856 20 70317383</t>
  </si>
  <si>
    <t>CSC000248</t>
  </si>
  <si>
    <t>SSO3562495</t>
  </si>
  <si>
    <t>Street 5</t>
  </si>
  <si>
    <t>863500</t>
  </si>
  <si>
    <t>749167041</t>
  </si>
  <si>
    <t>LAO00249</t>
  </si>
  <si>
    <t>boutsady.sisouvat@gov.la</t>
  </si>
  <si>
    <t>+856 20 61869489</t>
  </si>
  <si>
    <t>CSC000249</t>
  </si>
  <si>
    <t>SSO1551295</t>
  </si>
  <si>
    <t>No. 906</t>
  </si>
  <si>
    <t>805600</t>
  </si>
  <si>
    <t>504088307</t>
  </si>
  <si>
    <t>LAO00250</t>
  </si>
  <si>
    <t>boutsady.xayavong@gov.la</t>
  </si>
  <si>
    <t>+856 20 69088280</t>
  </si>
  <si>
    <t>CSC000250</t>
  </si>
  <si>
    <t>SSO6918393</t>
  </si>
  <si>
    <t>No. 63</t>
  </si>
  <si>
    <t>310000</t>
  </si>
  <si>
    <t>631170553</t>
  </si>
  <si>
    <t>LAO00251</t>
  </si>
  <si>
    <t>Bounlert</t>
  </si>
  <si>
    <t>bounlert.khamboun@gov.la</t>
  </si>
  <si>
    <t>+856 20 52508369</t>
  </si>
  <si>
    <t>CSC000251</t>
  </si>
  <si>
    <t>SSO6471332</t>
  </si>
  <si>
    <t>ASEAN Socio-Cultural Division</t>
  </si>
  <si>
    <t>Street 28</t>
  </si>
  <si>
    <t>790000</t>
  </si>
  <si>
    <t>222912620</t>
  </si>
  <si>
    <t>LAO00252</t>
  </si>
  <si>
    <t>Khamphet</t>
  </si>
  <si>
    <t>khamphet.vongkham@gov.la</t>
  </si>
  <si>
    <t>+856 20 61182163</t>
  </si>
  <si>
    <t>CSC000252</t>
  </si>
  <si>
    <t>SSO6696526</t>
  </si>
  <si>
    <t>No. 373</t>
  </si>
  <si>
    <t>223400</t>
  </si>
  <si>
    <t>639843588</t>
  </si>
  <si>
    <t>LAO00253</t>
  </si>
  <si>
    <t>Phonepasert</t>
  </si>
  <si>
    <t>phonepasert.vilayphi@gov.la</t>
  </si>
  <si>
    <t>+856 20 83865785</t>
  </si>
  <si>
    <t>CSC000253</t>
  </si>
  <si>
    <t>SSO6064152</t>
  </si>
  <si>
    <t>427800</t>
  </si>
  <si>
    <t>472928235</t>
  </si>
  <si>
    <t>LAO00254</t>
  </si>
  <si>
    <t>phanida.sisouvat@gov.la</t>
  </si>
  <si>
    <t>+856 20 85048918</t>
  </si>
  <si>
    <t>CSC000254</t>
  </si>
  <si>
    <t>SSO2004647</t>
  </si>
  <si>
    <t>No. 374</t>
  </si>
  <si>
    <t>346500</t>
  </si>
  <si>
    <t>707862900</t>
  </si>
  <si>
    <t>LAO00255</t>
  </si>
  <si>
    <t>chanthida.khounkha@gov.la</t>
  </si>
  <si>
    <t>+856 20 82573458</t>
  </si>
  <si>
    <t>CSC000255</t>
  </si>
  <si>
    <t>SSO8787307</t>
  </si>
  <si>
    <t>No. 433</t>
  </si>
  <si>
    <t>361000</t>
  </si>
  <si>
    <t>306068248</t>
  </si>
  <si>
    <t>LAO00256</t>
  </si>
  <si>
    <t>soubanh.khounbou@gov.la</t>
  </si>
  <si>
    <t>+856 20 65840453</t>
  </si>
  <si>
    <t>CSC000256</t>
  </si>
  <si>
    <t>SSO3358208</t>
  </si>
  <si>
    <t>No. 585</t>
  </si>
  <si>
    <t>955100</t>
  </si>
  <si>
    <t>526162812</t>
  </si>
  <si>
    <t>LAO00257</t>
  </si>
  <si>
    <t>vongphet.sisoulat@gov.la</t>
  </si>
  <si>
    <t>+856 20 96950550</t>
  </si>
  <si>
    <t>CSC000257</t>
  </si>
  <si>
    <t>SSO7286506</t>
  </si>
  <si>
    <t>No. 325</t>
  </si>
  <si>
    <t>503600</t>
  </si>
  <si>
    <t>732950344</t>
  </si>
  <si>
    <t>LAO00258</t>
  </si>
  <si>
    <t>phonethip.phomthon@gov.la</t>
  </si>
  <si>
    <t>+856 20 76069848</t>
  </si>
  <si>
    <t>CSC000258</t>
  </si>
  <si>
    <t>SSO8422287</t>
  </si>
  <si>
    <t>No. 932</t>
  </si>
  <si>
    <t>247800</t>
  </si>
  <si>
    <t>674355978</t>
  </si>
  <si>
    <t>LAO00259</t>
  </si>
  <si>
    <t>thongchanh.bouavong@gov.la</t>
  </si>
  <si>
    <t>+856 20 54453829</t>
  </si>
  <si>
    <t>CSC000259</t>
  </si>
  <si>
    <t>SSO9494883</t>
  </si>
  <si>
    <t>842600</t>
  </si>
  <si>
    <t>985193689</t>
  </si>
  <si>
    <t>LAO00260</t>
  </si>
  <si>
    <t>khamphay.bouavong@gov.la</t>
  </si>
  <si>
    <t>+856 20 82102563</t>
  </si>
  <si>
    <t>CSC000260</t>
  </si>
  <si>
    <t>SSO8574743</t>
  </si>
  <si>
    <t>Department of Labour</t>
  </si>
  <si>
    <t>Labour Policy Division</t>
  </si>
  <si>
    <t>No. 267</t>
  </si>
  <si>
    <t>561600</t>
  </si>
  <si>
    <t>951093177</t>
  </si>
  <si>
    <t>LAO00261</t>
  </si>
  <si>
    <t>phimmaly.chanthav@gov.la</t>
  </si>
  <si>
    <t>+856 20 76912997</t>
  </si>
  <si>
    <t>CSC000261</t>
  </si>
  <si>
    <t>SSO1835219</t>
  </si>
  <si>
    <t>No. 615</t>
  </si>
  <si>
    <t>702800</t>
  </si>
  <si>
    <t>852973431</t>
  </si>
  <si>
    <t>LAO00262</t>
  </si>
  <si>
    <t>phengkham.xayyasit@gov.la</t>
  </si>
  <si>
    <t>+856 20 68989610</t>
  </si>
  <si>
    <t>CSC000262</t>
  </si>
  <si>
    <t>SSO4616607</t>
  </si>
  <si>
    <t>No. 429</t>
  </si>
  <si>
    <t>147100</t>
  </si>
  <si>
    <t>510248318</t>
  </si>
  <si>
    <t>LAO00263</t>
  </si>
  <si>
    <t>Somchit</t>
  </si>
  <si>
    <t>somchit.bouavong@gov.la</t>
  </si>
  <si>
    <t>+856 20 72338026</t>
  </si>
  <si>
    <t>CSC000263</t>
  </si>
  <si>
    <t>SSO1874304</t>
  </si>
  <si>
    <t>No. 483</t>
  </si>
  <si>
    <t>174500</t>
  </si>
  <si>
    <t>178442874</t>
  </si>
  <si>
    <t>LAO00264</t>
  </si>
  <si>
    <t>bounthanh.keokhamp@gov.la</t>
  </si>
  <si>
    <t>+856 20 59515750</t>
  </si>
  <si>
    <t>CSC000264</t>
  </si>
  <si>
    <t>SSO8263354</t>
  </si>
  <si>
    <t>Occupational Safety Division</t>
  </si>
  <si>
    <t>No. 120</t>
  </si>
  <si>
    <t>917900</t>
  </si>
  <si>
    <t>440716951</t>
  </si>
  <si>
    <t>LAO00265</t>
  </si>
  <si>
    <t>phonesiri.singvong@gov.la</t>
  </si>
  <si>
    <t>+856 20 81557777</t>
  </si>
  <si>
    <t>CSC000265</t>
  </si>
  <si>
    <t>SSO1601668</t>
  </si>
  <si>
    <t>No. 168</t>
  </si>
  <si>
    <t>290000</t>
  </si>
  <si>
    <t>259580383</t>
  </si>
  <si>
    <t>LAO00266</t>
  </si>
  <si>
    <t>khamsone.phomthon@gov.la</t>
  </si>
  <si>
    <t>+856 20 68306731</t>
  </si>
  <si>
    <t>CSC000266</t>
  </si>
  <si>
    <t>SSO9535203</t>
  </si>
  <si>
    <t>Culture Division</t>
  </si>
  <si>
    <t>No. 598</t>
  </si>
  <si>
    <t>Street 1</t>
  </si>
  <si>
    <t>395800</t>
  </si>
  <si>
    <t>405067716</t>
  </si>
  <si>
    <t>LAO00267</t>
  </si>
  <si>
    <t>khamphone.thammavo@gov.la</t>
  </si>
  <si>
    <t>+856 20 80471149</t>
  </si>
  <si>
    <t>CSC000267</t>
  </si>
  <si>
    <t>SSO9050632</t>
  </si>
  <si>
    <t>No. 609</t>
  </si>
  <si>
    <t>171800</t>
  </si>
  <si>
    <t>991956502</t>
  </si>
  <si>
    <t>LAO00268</t>
  </si>
  <si>
    <t>siphone.bouphano@gov.la</t>
  </si>
  <si>
    <t>+856 20 93430709</t>
  </si>
  <si>
    <t>CSC000268</t>
  </si>
  <si>
    <t>SSO5780430</t>
  </si>
  <si>
    <t>Aid Effectiveness Division</t>
  </si>
  <si>
    <t>608000</t>
  </si>
  <si>
    <t>323577467</t>
  </si>
  <si>
    <t>LAO00269</t>
  </si>
  <si>
    <t>phonevieng.douangma@gov.la</t>
  </si>
  <si>
    <t>+856 20 92324638</t>
  </si>
  <si>
    <t>CSC000269</t>
  </si>
  <si>
    <t>SSO8283088</t>
  </si>
  <si>
    <t>No. 96</t>
  </si>
  <si>
    <t>859400</t>
  </si>
  <si>
    <t>970798567</t>
  </si>
  <si>
    <t>LAO00270</t>
  </si>
  <si>
    <t>Thongpheth</t>
  </si>
  <si>
    <t>thongpheth.xayyasit@gov.la</t>
  </si>
  <si>
    <t>+856 20 53026267</t>
  </si>
  <si>
    <t>CSC000270</t>
  </si>
  <si>
    <t>SSO2284002</t>
  </si>
  <si>
    <t>No. 523</t>
  </si>
  <si>
    <t>861200</t>
  </si>
  <si>
    <t>417270985</t>
  </si>
  <si>
    <t>LAO00271</t>
  </si>
  <si>
    <t>phouthasack.vongsack@gov.la</t>
  </si>
  <si>
    <t>+856 20 91863206</t>
  </si>
  <si>
    <t>CSC000271</t>
  </si>
  <si>
    <t>SSO8548873</t>
  </si>
  <si>
    <t>Women Affairs Division</t>
  </si>
  <si>
    <t>No. 350</t>
  </si>
  <si>
    <t>228100</t>
  </si>
  <si>
    <t>730510203</t>
  </si>
  <si>
    <t>LAO00272</t>
  </si>
  <si>
    <t>phonepadith.vongkham@gov.la</t>
  </si>
  <si>
    <t>+856 20 70310944</t>
  </si>
  <si>
    <t>CSC000272</t>
  </si>
  <si>
    <t>SSO7626953</t>
  </si>
  <si>
    <t>Investigation Division</t>
  </si>
  <si>
    <t>No. 129</t>
  </si>
  <si>
    <t>283300</t>
  </si>
  <si>
    <t>841592991</t>
  </si>
  <si>
    <t>LAO00273</t>
  </si>
  <si>
    <t>siphone.phoneman@gov.la</t>
  </si>
  <si>
    <t>+856 20 81641104</t>
  </si>
  <si>
    <t>CSC000273</t>
  </si>
  <si>
    <t>SSO9137735</t>
  </si>
  <si>
    <t>No. 881</t>
  </si>
  <si>
    <t>429800</t>
  </si>
  <si>
    <t>893260250</t>
  </si>
  <si>
    <t>LAO00274</t>
  </si>
  <si>
    <t>sombath.phommavo@gov.la</t>
  </si>
  <si>
    <t>+856 20 67975033</t>
  </si>
  <si>
    <t>CSC000274</t>
  </si>
  <si>
    <t>SSO2065530</t>
  </si>
  <si>
    <t>668100</t>
  </si>
  <si>
    <t>553123931</t>
  </si>
  <si>
    <t>LAO00275</t>
  </si>
  <si>
    <t>thongchanh.luanglat@gov.la</t>
  </si>
  <si>
    <t>+856 20 81697183</t>
  </si>
  <si>
    <t>CSC000275</t>
  </si>
  <si>
    <t>SSO7044085</t>
  </si>
  <si>
    <t>No. 637</t>
  </si>
  <si>
    <t>891100</t>
  </si>
  <si>
    <t>547601168</t>
  </si>
  <si>
    <t>LAO00276</t>
  </si>
  <si>
    <t>thongchanh.sisoulat@gov.la</t>
  </si>
  <si>
    <t>+856 20 52145470</t>
  </si>
  <si>
    <t>CSC000276</t>
  </si>
  <si>
    <t>SSO9446974</t>
  </si>
  <si>
    <t>No. 346</t>
  </si>
  <si>
    <t>471400</t>
  </si>
  <si>
    <t>989003129</t>
  </si>
  <si>
    <t>LAO00277</t>
  </si>
  <si>
    <t>phouthasack.sengdara@gov.la</t>
  </si>
  <si>
    <t>+856 20 87746915</t>
  </si>
  <si>
    <t>CSC000277</t>
  </si>
  <si>
    <t>SSO2709062</t>
  </si>
  <si>
    <t>Labour Inspection Division</t>
  </si>
  <si>
    <t>No. 520</t>
  </si>
  <si>
    <t>213700517</t>
  </si>
  <si>
    <t>LAO00278</t>
  </si>
  <si>
    <t>phonsavanh.bouavong@gov.la</t>
  </si>
  <si>
    <t>+856 20 67852006</t>
  </si>
  <si>
    <t>CSC000278</t>
  </si>
  <si>
    <t>SSO2429986</t>
  </si>
  <si>
    <t>502100</t>
  </si>
  <si>
    <t>466489637</t>
  </si>
  <si>
    <t>LAO00279</t>
  </si>
  <si>
    <t>vilaysack.phiaylac@gov.la</t>
  </si>
  <si>
    <t>+856 20 54125069</t>
  </si>
  <si>
    <t>CSC000279</t>
  </si>
  <si>
    <t>SSO8282524</t>
  </si>
  <si>
    <t>No. 778</t>
  </si>
  <si>
    <t>194700</t>
  </si>
  <si>
    <t>438018832</t>
  </si>
  <si>
    <t>LAO00280</t>
  </si>
  <si>
    <t>senglavanh.sengmixa@gov.la</t>
  </si>
  <si>
    <t>+856 20 70235430</t>
  </si>
  <si>
    <t>CSC000280</t>
  </si>
  <si>
    <t>SSO4310073</t>
  </si>
  <si>
    <t>306400</t>
  </si>
  <si>
    <t>848903745</t>
  </si>
  <si>
    <t>LAO00281</t>
  </si>
  <si>
    <t>phonesavanh.sisouvat@gov.la</t>
  </si>
  <si>
    <t>+856 20 92076555</t>
  </si>
  <si>
    <t>CSC000281</t>
  </si>
  <si>
    <t>SSO5357990</t>
  </si>
  <si>
    <t>No. 127</t>
  </si>
  <si>
    <t>588100</t>
  </si>
  <si>
    <t>885964167</t>
  </si>
  <si>
    <t>LAO00282</t>
  </si>
  <si>
    <t>vanthong.phommach@gov.la</t>
  </si>
  <si>
    <t>+856 20 74244253</t>
  </si>
  <si>
    <t>CSC000282</t>
  </si>
  <si>
    <t>SSO4230541</t>
  </si>
  <si>
    <t>No. 101</t>
  </si>
  <si>
    <t>234200</t>
  </si>
  <si>
    <t>212986551</t>
  </si>
  <si>
    <t>LAO00283</t>
  </si>
  <si>
    <t>phonevilay.phoneman@gov.la</t>
  </si>
  <si>
    <t>+856 20 99104693</t>
  </si>
  <si>
    <t>CSC000283</t>
  </si>
  <si>
    <t>SSO9213136</t>
  </si>
  <si>
    <t>308200</t>
  </si>
  <si>
    <t>572532253</t>
  </si>
  <si>
    <t>LAO00284</t>
  </si>
  <si>
    <t>phengkham.sisouvat@gov.la</t>
  </si>
  <si>
    <t>+856 20 85083004</t>
  </si>
  <si>
    <t>CSC000284</t>
  </si>
  <si>
    <t>SSO1675822</t>
  </si>
  <si>
    <t>No. 121</t>
  </si>
  <si>
    <t>596800</t>
  </si>
  <si>
    <t>229779337</t>
  </si>
  <si>
    <t>LAO00285</t>
  </si>
  <si>
    <t>+856 20 72670934</t>
  </si>
  <si>
    <t>CSC000285</t>
  </si>
  <si>
    <t>SSO8589583</t>
  </si>
  <si>
    <t>No. 487</t>
  </si>
  <si>
    <t>326900</t>
  </si>
  <si>
    <t>548367904</t>
  </si>
  <si>
    <t>LAO00286</t>
  </si>
  <si>
    <t>lattanaphone.bounseng@gov.la</t>
  </si>
  <si>
    <t>+856 20 93212349</t>
  </si>
  <si>
    <t>CSC000286</t>
  </si>
  <si>
    <t>SSO3076710</t>
  </si>
  <si>
    <t>No. 198</t>
  </si>
  <si>
    <t>Street 40</t>
  </si>
  <si>
    <t>186600</t>
  </si>
  <si>
    <t>859359486</t>
  </si>
  <si>
    <t>LAO00287</t>
  </si>
  <si>
    <t>soulivanh.phaymany@gov.la</t>
  </si>
  <si>
    <t>+856 20 79327742</t>
  </si>
  <si>
    <t>CSC000287</t>
  </si>
  <si>
    <t>SSO6703524</t>
  </si>
  <si>
    <t>725800</t>
  </si>
  <si>
    <t>732319072</t>
  </si>
  <si>
    <t>LAO00288</t>
  </si>
  <si>
    <t>khamla.manivong@gov.la</t>
  </si>
  <si>
    <t>+856 20 76168411</t>
  </si>
  <si>
    <t>CSC000288</t>
  </si>
  <si>
    <t>SSO6000018</t>
  </si>
  <si>
    <t>Food Safety Division</t>
  </si>
  <si>
    <t>No. 328</t>
  </si>
  <si>
    <t>522500</t>
  </si>
  <si>
    <t>129174843</t>
  </si>
  <si>
    <t>LAO00289</t>
  </si>
  <si>
    <t>Phonexay</t>
  </si>
  <si>
    <t>phonexay.phommach@gov.la</t>
  </si>
  <si>
    <t>+856 20 68063004</t>
  </si>
  <si>
    <t>CSC000289</t>
  </si>
  <si>
    <t>SSO1312439</t>
  </si>
  <si>
    <t>SSO Policy Division</t>
  </si>
  <si>
    <t>No. 253</t>
  </si>
  <si>
    <t>599000</t>
  </si>
  <si>
    <t>537543120</t>
  </si>
  <si>
    <t>LAO00290</t>
  </si>
  <si>
    <t>dalavanh.khamboun@gov.la</t>
  </si>
  <si>
    <t>+856 20 93826037</t>
  </si>
  <si>
    <t>CSC000290</t>
  </si>
  <si>
    <t>SSO5852800</t>
  </si>
  <si>
    <t>No. 1</t>
  </si>
  <si>
    <t>511000</t>
  </si>
  <si>
    <t>972569546</t>
  </si>
  <si>
    <t>LAO00291</t>
  </si>
  <si>
    <t>vilaychith.soulisac@gov.la</t>
  </si>
  <si>
    <t>+856 20 64149915</t>
  </si>
  <si>
    <t>CSC000291</t>
  </si>
  <si>
    <t>SSO8247127</t>
  </si>
  <si>
    <t>841700</t>
  </si>
  <si>
    <t>878542046</t>
  </si>
  <si>
    <t>LAO00292</t>
  </si>
  <si>
    <t>vanthong.soulisac@gov.la</t>
  </si>
  <si>
    <t>+856 20 76359763</t>
  </si>
  <si>
    <t>CSC000292</t>
  </si>
  <si>
    <t>SSO9203667</t>
  </si>
  <si>
    <t>No. 807</t>
  </si>
  <si>
    <t>150700</t>
  </si>
  <si>
    <t>696775664</t>
  </si>
  <si>
    <t>LAO00293</t>
  </si>
  <si>
    <t>bounlan.sisoulat@gov.la</t>
  </si>
  <si>
    <t>+856 20 98171382</t>
  </si>
  <si>
    <t>CSC000293</t>
  </si>
  <si>
    <t>SSO6086491</t>
  </si>
  <si>
    <t>559900</t>
  </si>
  <si>
    <t>305634099</t>
  </si>
  <si>
    <t>LAO00294</t>
  </si>
  <si>
    <t>phonexay.khamboun@gov.la</t>
  </si>
  <si>
    <t>+856 20 85103301</t>
  </si>
  <si>
    <t>CSC000294</t>
  </si>
  <si>
    <t>SSO4824620</t>
  </si>
  <si>
    <t>No. 197</t>
  </si>
  <si>
    <t>514300</t>
  </si>
  <si>
    <t>900982881</t>
  </si>
  <si>
    <t>LAO00295</t>
  </si>
  <si>
    <t>+856 20 80122585</t>
  </si>
  <si>
    <t>CSC000295</t>
  </si>
  <si>
    <t>SSO9932362</t>
  </si>
  <si>
    <t>No. 6</t>
  </si>
  <si>
    <t>234000</t>
  </si>
  <si>
    <t>398428319</t>
  </si>
  <si>
    <t>LAO00296</t>
  </si>
  <si>
    <t>keoviengkham.phiaylac@gov.la</t>
  </si>
  <si>
    <t>+856 20 72870832</t>
  </si>
  <si>
    <t>CSC000296</t>
  </si>
  <si>
    <t>SSO4999003</t>
  </si>
  <si>
    <t>No. 842</t>
  </si>
  <si>
    <t>Street 22</t>
  </si>
  <si>
    <t>219400</t>
  </si>
  <si>
    <t>368875123</t>
  </si>
  <si>
    <t>LAO00297</t>
  </si>
  <si>
    <t>+856 20 56833533</t>
  </si>
  <si>
    <t>CSC000297</t>
  </si>
  <si>
    <t>SSO2103777</t>
  </si>
  <si>
    <t>No. 573</t>
  </si>
  <si>
    <t>758100</t>
  </si>
  <si>
    <t>158829061</t>
  </si>
  <si>
    <t>LAO00298</t>
  </si>
  <si>
    <t>thongsack.phaymany@gov.la</t>
  </si>
  <si>
    <t>+856 20 89941525</t>
  </si>
  <si>
    <t>CSC000298</t>
  </si>
  <si>
    <t>SSO1206168</t>
  </si>
  <si>
    <t>No. 608</t>
  </si>
  <si>
    <t>Street 13</t>
  </si>
  <si>
    <t>933700</t>
  </si>
  <si>
    <t>731159790</t>
  </si>
  <si>
    <t>LAO00299</t>
  </si>
  <si>
    <t>phonethip.bounseng@gov.la</t>
  </si>
  <si>
    <t>+856 20 81509206</t>
  </si>
  <si>
    <t>CSC000299</t>
  </si>
  <si>
    <t>SSO3473113</t>
  </si>
  <si>
    <t>No. 618</t>
  </si>
  <si>
    <t>113200</t>
  </si>
  <si>
    <t>681048625</t>
  </si>
  <si>
    <t>LAO00300</t>
  </si>
  <si>
    <t>vongphet.sisouvat@gov.la</t>
  </si>
  <si>
    <t>+856 20 78098165</t>
  </si>
  <si>
    <t>CSC000300</t>
  </si>
  <si>
    <t>SSO6026983</t>
  </si>
  <si>
    <t>Training &amp; Development Division</t>
  </si>
  <si>
    <t>912500</t>
  </si>
  <si>
    <t>721063811</t>
  </si>
  <si>
    <t>LAO00301</t>
  </si>
  <si>
    <t>keoviengkham.vongphac@gov.la</t>
  </si>
  <si>
    <t>+856 20 69500239</t>
  </si>
  <si>
    <t>CSC000301</t>
  </si>
  <si>
    <t>SSO3389108</t>
  </si>
  <si>
    <t>No. 200</t>
  </si>
  <si>
    <t>Street 41</t>
  </si>
  <si>
    <t>171900</t>
  </si>
  <si>
    <t>484277885</t>
  </si>
  <si>
    <t>LAO00302</t>
  </si>
  <si>
    <t>keovilay.chanthav@gov.la</t>
  </si>
  <si>
    <t>+856 20 72708517</t>
  </si>
  <si>
    <t>CSC000302</t>
  </si>
  <si>
    <t>SSO2861751</t>
  </si>
  <si>
    <t>710000</t>
  </si>
  <si>
    <t>506865213</t>
  </si>
  <si>
    <t>LAO00303</t>
  </si>
  <si>
    <t>soulivanh.xaysombo@gov.la</t>
  </si>
  <si>
    <t>+856 20 66587408</t>
  </si>
  <si>
    <t>CSC000303</t>
  </si>
  <si>
    <t>SSO6497568</t>
  </si>
  <si>
    <t>No. 645</t>
  </si>
  <si>
    <t>901100</t>
  </si>
  <si>
    <t>674954759</t>
  </si>
  <si>
    <t>LAO00304</t>
  </si>
  <si>
    <t>phonevieng.phongphi@gov.la</t>
  </si>
  <si>
    <t>+856 20 63904929</t>
  </si>
  <si>
    <t>CSC000304</t>
  </si>
  <si>
    <t>SSO1614121</t>
  </si>
  <si>
    <t>Court Administration Division</t>
  </si>
  <si>
    <t>No. 917</t>
  </si>
  <si>
    <t>748600</t>
  </si>
  <si>
    <t>608693948</t>
  </si>
  <si>
    <t>LAO00305</t>
  </si>
  <si>
    <t>bounlan.kheudkha@gov.la</t>
  </si>
  <si>
    <t>+856 20 80276244</t>
  </si>
  <si>
    <t>CSC000305</t>
  </si>
  <si>
    <t>SSO8148811</t>
  </si>
  <si>
    <t>Department of Taxation</t>
  </si>
  <si>
    <t>Tax Audit &amp; Inspection Division</t>
  </si>
  <si>
    <t>No. 443</t>
  </si>
  <si>
    <t>619400</t>
  </si>
  <si>
    <t>599561727</t>
  </si>
  <si>
    <t>LAO00306</t>
  </si>
  <si>
    <t>sengphet.bouavong@gov.la</t>
  </si>
  <si>
    <t>+856 20 72398109</t>
  </si>
  <si>
    <t>CSC000306</t>
  </si>
  <si>
    <t>SSO4360587</t>
  </si>
  <si>
    <t>No. 692</t>
  </si>
  <si>
    <t>549600</t>
  </si>
  <si>
    <t>227332770</t>
  </si>
  <si>
    <t>LAO00307</t>
  </si>
  <si>
    <t>+856 20 81839012</t>
  </si>
  <si>
    <t>CSC000307</t>
  </si>
  <si>
    <t>SSO4521118</t>
  </si>
  <si>
    <t>No. 529</t>
  </si>
  <si>
    <t>Street 38</t>
  </si>
  <si>
    <t>855900</t>
  </si>
  <si>
    <t>343660262</t>
  </si>
  <si>
    <t>LAO00308</t>
  </si>
  <si>
    <t>souphavanh.phiaylac@gov.la</t>
  </si>
  <si>
    <t>+856 20 72805084</t>
  </si>
  <si>
    <t>CSC000308</t>
  </si>
  <si>
    <t>SSO6950248</t>
  </si>
  <si>
    <t>Cadastral Survey Division</t>
  </si>
  <si>
    <t>No. 430</t>
  </si>
  <si>
    <t>590900</t>
  </si>
  <si>
    <t>970161858</t>
  </si>
  <si>
    <t>LAO00309</t>
  </si>
  <si>
    <t>+856 20 61504047</t>
  </si>
  <si>
    <t>CSC000309</t>
  </si>
  <si>
    <t>SSO2564332</t>
  </si>
  <si>
    <t>786124569</t>
  </si>
  <si>
    <t>LAO00310</t>
  </si>
  <si>
    <t>bounsong.manodham@gov.la</t>
  </si>
  <si>
    <t>+856 20 86000752</t>
  </si>
  <si>
    <t>CSC000310</t>
  </si>
  <si>
    <t>SSO3166570</t>
  </si>
  <si>
    <t>No. 490</t>
  </si>
  <si>
    <t>438200</t>
  </si>
  <si>
    <t>268615534</t>
  </si>
  <si>
    <t>LAO00311</t>
  </si>
  <si>
    <t>khammoune.phomthon@gov.la</t>
  </si>
  <si>
    <t>+856 20 72071532</t>
  </si>
  <si>
    <t>CSC000311</t>
  </si>
  <si>
    <t>SSO9822408</t>
  </si>
  <si>
    <t>Department of Social Welfare</t>
  </si>
  <si>
    <t>Disability Affairs Division</t>
  </si>
  <si>
    <t>No. 472</t>
  </si>
  <si>
    <t>Street 30</t>
  </si>
  <si>
    <t>249200</t>
  </si>
  <si>
    <t>985388850</t>
  </si>
  <si>
    <t>LAO00312</t>
  </si>
  <si>
    <t>lattana.phomthon@gov.la</t>
  </si>
  <si>
    <t>+856 20 66085676</t>
  </si>
  <si>
    <t>CSC000312</t>
  </si>
  <si>
    <t>SSO1732568</t>
  </si>
  <si>
    <t>No. 281</t>
  </si>
  <si>
    <t>209300</t>
  </si>
  <si>
    <t>522572507</t>
  </si>
  <si>
    <t>LAO00313</t>
  </si>
  <si>
    <t>bounkhong.southich@gov.la</t>
  </si>
  <si>
    <t>+856 20 75578917</t>
  </si>
  <si>
    <t>CSC000313</t>
  </si>
  <si>
    <t>SSO8749462</t>
  </si>
  <si>
    <t>No. 764</t>
  </si>
  <si>
    <t>161800</t>
  </si>
  <si>
    <t>178593060</t>
  </si>
  <si>
    <t>LAO00314</t>
  </si>
  <si>
    <t>phengkham.vilayvon@gov.la</t>
  </si>
  <si>
    <t>+856 20 61894147</t>
  </si>
  <si>
    <t>CSC000314</t>
  </si>
  <si>
    <t>SSO2686363</t>
  </si>
  <si>
    <t>No. 128</t>
  </si>
  <si>
    <t>227100</t>
  </si>
  <si>
    <t>273265999</t>
  </si>
  <si>
    <t>LAO00315</t>
  </si>
  <si>
    <t>phoxay.bounphan@gov.la</t>
  </si>
  <si>
    <t>+856 20 75326585</t>
  </si>
  <si>
    <t>CSC000315</t>
  </si>
  <si>
    <t>SSO1816458</t>
  </si>
  <si>
    <t>427600</t>
  </si>
  <si>
    <t>576727072</t>
  </si>
  <si>
    <t>LAO00316</t>
  </si>
  <si>
    <t>+856 20 91921119</t>
  </si>
  <si>
    <t>CSC000316</t>
  </si>
  <si>
    <t>SSO4180079</t>
  </si>
  <si>
    <t>No. 957</t>
  </si>
  <si>
    <t>297900</t>
  </si>
  <si>
    <t>975769961</t>
  </si>
  <si>
    <t>LAO00317</t>
  </si>
  <si>
    <t>khamsing.phetsamo@gov.la</t>
  </si>
  <si>
    <t>+856 20 70235620</t>
  </si>
  <si>
    <t>Probationary</t>
  </si>
  <si>
    <t>CSC000317</t>
  </si>
  <si>
    <t>SSO7897060</t>
  </si>
  <si>
    <t>No. 105</t>
  </si>
  <si>
    <t>380900</t>
  </si>
  <si>
    <t>147179086</t>
  </si>
  <si>
    <t>LAO00318</t>
  </si>
  <si>
    <t>vilaychith.sengmixa@gov.la</t>
  </si>
  <si>
    <t>+856 20 51423605</t>
  </si>
  <si>
    <t>CSC000318</t>
  </si>
  <si>
    <t>SSO4902479</t>
  </si>
  <si>
    <t>230000</t>
  </si>
  <si>
    <t>640543154</t>
  </si>
  <si>
    <t>LAO00319</t>
  </si>
  <si>
    <t>boutsady.luanglat@gov.la</t>
  </si>
  <si>
    <t>+856 20 84955185</t>
  </si>
  <si>
    <t>CSC000319</t>
  </si>
  <si>
    <t>SSO1664503</t>
  </si>
  <si>
    <t>Specialist Care Division</t>
  </si>
  <si>
    <t>No. 664</t>
  </si>
  <si>
    <t>642700</t>
  </si>
  <si>
    <t>791062461</t>
  </si>
  <si>
    <t>LAO00320</t>
  </si>
  <si>
    <t>Phommachanh</t>
  </si>
  <si>
    <t>phommachanh.bouphano@gov.la</t>
  </si>
  <si>
    <t>+856 20 58426256</t>
  </si>
  <si>
    <t>CSC000320</t>
  </si>
  <si>
    <t>SSO4426243</t>
  </si>
  <si>
    <t>Water Management Division</t>
  </si>
  <si>
    <t>No. 178</t>
  </si>
  <si>
    <t>487100</t>
  </si>
  <si>
    <t>781146329</t>
  </si>
  <si>
    <t>LAO00321</t>
  </si>
  <si>
    <t>visoune.souksava@gov.la</t>
  </si>
  <si>
    <t>+856 20 76725734</t>
  </si>
  <si>
    <t>CSC000321</t>
  </si>
  <si>
    <t>SSO7032783</t>
  </si>
  <si>
    <t>No. 172</t>
  </si>
  <si>
    <t>927800</t>
  </si>
  <si>
    <t>185916488</t>
  </si>
  <si>
    <t>LAO00322</t>
  </si>
  <si>
    <t>souvanny.vongkham@gov.la</t>
  </si>
  <si>
    <t>+856 20 72362964</t>
  </si>
  <si>
    <t>CSC000322</t>
  </si>
  <si>
    <t>SSO2206947</t>
  </si>
  <si>
    <t>410600</t>
  </si>
  <si>
    <t>502810902</t>
  </si>
  <si>
    <t>LAO00323</t>
  </si>
  <si>
    <t>boutsady.keokhamp@gov.la</t>
  </si>
  <si>
    <t>+856 20 98469061</t>
  </si>
  <si>
    <t>CSC000323</t>
  </si>
  <si>
    <t>SSO5282525</t>
  </si>
  <si>
    <t>No. 522</t>
  </si>
  <si>
    <t>194500</t>
  </si>
  <si>
    <t>308550942</t>
  </si>
  <si>
    <t>LAO00324</t>
  </si>
  <si>
    <t>khamphout.phommach@gov.la</t>
  </si>
  <si>
    <t>+856 20 57833660</t>
  </si>
  <si>
    <t>Customs Officer</t>
  </si>
  <si>
    <t>CSC000324</t>
  </si>
  <si>
    <t>SSO1206987</t>
  </si>
  <si>
    <t>No. 660</t>
  </si>
  <si>
    <t>231600</t>
  </si>
  <si>
    <t>746552918</t>
  </si>
  <si>
    <t>LAO00325</t>
  </si>
  <si>
    <t>chansamone.singvong@gov.la</t>
  </si>
  <si>
    <t>+856 20 61301044</t>
  </si>
  <si>
    <t>CSC000325</t>
  </si>
  <si>
    <t>SSO1107714</t>
  </si>
  <si>
    <t>No. 2</t>
  </si>
  <si>
    <t>960000</t>
  </si>
  <si>
    <t>903470543</t>
  </si>
  <si>
    <t>LAO00326</t>
  </si>
  <si>
    <t>khankham.chanthav@gov.la</t>
  </si>
  <si>
    <t>+856 20 77433593</t>
  </si>
  <si>
    <t>CSC000326</t>
  </si>
  <si>
    <t>SSO5351203</t>
  </si>
  <si>
    <t>230700</t>
  </si>
  <si>
    <t>905215891</t>
  </si>
  <si>
    <t>LAO00327</t>
  </si>
  <si>
    <t>+856 20 90465629</t>
  </si>
  <si>
    <t>CSC000327</t>
  </si>
  <si>
    <t>SSO7302626</t>
  </si>
  <si>
    <t>ASEAN Political Division</t>
  </si>
  <si>
    <t>No. 955</t>
  </si>
  <si>
    <t>803600</t>
  </si>
  <si>
    <t>203983146</t>
  </si>
  <si>
    <t>LAO00328</t>
  </si>
  <si>
    <t>chanthida.phommach@gov.la</t>
  </si>
  <si>
    <t>+856 20 96926854</t>
  </si>
  <si>
    <t>CSC000328</t>
  </si>
  <si>
    <t>SSO5688687</t>
  </si>
  <si>
    <t>No. 378</t>
  </si>
  <si>
    <t>943600</t>
  </si>
  <si>
    <t>746295060</t>
  </si>
  <si>
    <t>LAO00329</t>
  </si>
  <si>
    <t>khamphay.phetsamo@gov.la</t>
  </si>
  <si>
    <t>+856 20 99276545</t>
  </si>
  <si>
    <t>CSC000329</t>
  </si>
  <si>
    <t>SSO2685367</t>
  </si>
  <si>
    <t>952000</t>
  </si>
  <si>
    <t>806886123</t>
  </si>
  <si>
    <t>LAO00330</t>
  </si>
  <si>
    <t>dalavanh.vilayphi@gov.la</t>
  </si>
  <si>
    <t>+856 20 60753207</t>
  </si>
  <si>
    <t>CSC000330</t>
  </si>
  <si>
    <t>SSO1490260</t>
  </si>
  <si>
    <t>No. 925</t>
  </si>
  <si>
    <t>522000</t>
  </si>
  <si>
    <t>566963239</t>
  </si>
  <si>
    <t>LAO00331</t>
  </si>
  <si>
    <t>phommachanh.khamboun@gov.la</t>
  </si>
  <si>
    <t>+856 20 69527102</t>
  </si>
  <si>
    <t>CSC000331</t>
  </si>
  <si>
    <t>SSO2940955</t>
  </si>
  <si>
    <t>No. 115</t>
  </si>
  <si>
    <t>408200</t>
  </si>
  <si>
    <t>968063877</t>
  </si>
  <si>
    <t>LAO00332</t>
  </si>
  <si>
    <t>bounthong.manodham@gov.la</t>
  </si>
  <si>
    <t>+856 20 71201450</t>
  </si>
  <si>
    <t>CSC000332</t>
  </si>
  <si>
    <t>SSO8727632</t>
  </si>
  <si>
    <t>846700</t>
  </si>
  <si>
    <t>214445764</t>
  </si>
  <si>
    <t>LAO00333</t>
  </si>
  <si>
    <t>xayavong.phaymany@gov.la</t>
  </si>
  <si>
    <t>+856 20 72356952</t>
  </si>
  <si>
    <t>CSC000333</t>
  </si>
  <si>
    <t>SSO1986711</t>
  </si>
  <si>
    <t>No. 848</t>
  </si>
  <si>
    <t>186100</t>
  </si>
  <si>
    <t>856065079</t>
  </si>
  <si>
    <t>LAO00334</t>
  </si>
  <si>
    <t>bounthanh.phaymany@gov.la</t>
  </si>
  <si>
    <t>+856 20 56531005</t>
  </si>
  <si>
    <t>CSC000334</t>
  </si>
  <si>
    <t>SSO7606405</t>
  </si>
  <si>
    <t>Vaccination Division</t>
  </si>
  <si>
    <t>598100</t>
  </si>
  <si>
    <t>847728374</t>
  </si>
  <si>
    <t>LAO00335</t>
  </si>
  <si>
    <t>phoxay.sengmixa@gov.la</t>
  </si>
  <si>
    <t>+856 20 56445654</t>
  </si>
  <si>
    <t>CSC000335</t>
  </si>
  <si>
    <t>SSO1945085</t>
  </si>
  <si>
    <t>Export Control Division</t>
  </si>
  <si>
    <t>No. 998</t>
  </si>
  <si>
    <t>292200</t>
  </si>
  <si>
    <t>829548792</t>
  </si>
  <si>
    <t>LAO00336</t>
  </si>
  <si>
    <t>lattanaphone.khamboun@gov.la</t>
  </si>
  <si>
    <t>+856 20 92435183</t>
  </si>
  <si>
    <t>CSC000336</t>
  </si>
  <si>
    <t>SSO5617358</t>
  </si>
  <si>
    <t>Labour Migration Division</t>
  </si>
  <si>
    <t>No. 377</t>
  </si>
  <si>
    <t>235300</t>
  </si>
  <si>
    <t>935082100</t>
  </si>
  <si>
    <t>LAO00337</t>
  </si>
  <si>
    <t>bounma.vongsack@gov.la</t>
  </si>
  <si>
    <t>+856 20 77201270</t>
  </si>
  <si>
    <t>CSC000337</t>
  </si>
  <si>
    <t>SSO4101936</t>
  </si>
  <si>
    <t>No. 404</t>
  </si>
  <si>
    <t>900400</t>
  </si>
  <si>
    <t>866402704</t>
  </si>
  <si>
    <t>LAO00338</t>
  </si>
  <si>
    <t>bounthieng.sengkhou@gov.la</t>
  </si>
  <si>
    <t>+856 20 58369624</t>
  </si>
  <si>
    <t>CSC000338</t>
  </si>
  <si>
    <t>SSO2419525</t>
  </si>
  <si>
    <t>100100</t>
  </si>
  <si>
    <t>703975707</t>
  </si>
  <si>
    <t>LAO00339</t>
  </si>
  <si>
    <t>sengmany.luanglat@gov.la</t>
  </si>
  <si>
    <t>+856 20 59006546</t>
  </si>
  <si>
    <t>CSC000339</t>
  </si>
  <si>
    <t>SSO4610673</t>
  </si>
  <si>
    <t>Department of Forestry</t>
  </si>
  <si>
    <t>Reforestation Division</t>
  </si>
  <si>
    <t>No. 606</t>
  </si>
  <si>
    <t>791400</t>
  </si>
  <si>
    <t>139442778</t>
  </si>
  <si>
    <t>LAO00340</t>
  </si>
  <si>
    <t>bounlan.soulinth@gov.la</t>
  </si>
  <si>
    <t>+856 20 97945590</t>
  </si>
  <si>
    <t>CSC000340</t>
  </si>
  <si>
    <t>SSO4231751</t>
  </si>
  <si>
    <t>No. 578</t>
  </si>
  <si>
    <t>368700</t>
  </si>
  <si>
    <t>775993707</t>
  </si>
  <si>
    <t>LAO00341</t>
  </si>
  <si>
    <t>khammoune.manodham@gov.la</t>
  </si>
  <si>
    <t>+856 20 65150864</t>
  </si>
  <si>
    <t>CSC000341</t>
  </si>
  <si>
    <t>SSO3455003</t>
  </si>
  <si>
    <t>No. 11</t>
  </si>
  <si>
    <t>720300</t>
  </si>
  <si>
    <t>458111525</t>
  </si>
  <si>
    <t>LAO00342</t>
  </si>
  <si>
    <t>sengmany.bounseng@gov.la</t>
  </si>
  <si>
    <t>+856 20 73164160</t>
  </si>
  <si>
    <t>CSC000342</t>
  </si>
  <si>
    <t>SSO4031181</t>
  </si>
  <si>
    <t>Road Planning Division</t>
  </si>
  <si>
    <t>No. 489</t>
  </si>
  <si>
    <t>115500</t>
  </si>
  <si>
    <t>283338643</t>
  </si>
  <si>
    <t>LAO00343</t>
  </si>
  <si>
    <t>sommay.manodham@gov.la</t>
  </si>
  <si>
    <t>+856 20 70480781</t>
  </si>
  <si>
    <t>CSC000343</t>
  </si>
  <si>
    <t>SSO4838024</t>
  </si>
  <si>
    <t>No. 971</t>
  </si>
  <si>
    <t>247600</t>
  </si>
  <si>
    <t>658984263</t>
  </si>
  <si>
    <t>LAO00344</t>
  </si>
  <si>
    <t>+856 20 97926471</t>
  </si>
  <si>
    <t>CSC000344</t>
  </si>
  <si>
    <t>SSO1122310</t>
  </si>
  <si>
    <t>965200</t>
  </si>
  <si>
    <t>535371662</t>
  </si>
  <si>
    <t>LAO00345</t>
  </si>
  <si>
    <t>+856 20 69465915</t>
  </si>
  <si>
    <t>CSC000345</t>
  </si>
  <si>
    <t>SSO2977453</t>
  </si>
  <si>
    <t>No. 495</t>
  </si>
  <si>
    <t>103600</t>
  </si>
  <si>
    <t>829138534</t>
  </si>
  <si>
    <t>LAO00346</t>
  </si>
  <si>
    <t>souphine.sisouvat@gov.la</t>
  </si>
  <si>
    <t>+856 20 56800663</t>
  </si>
  <si>
    <t>CSC000346</t>
  </si>
  <si>
    <t>SSO1148708</t>
  </si>
  <si>
    <t>No. 504</t>
  </si>
  <si>
    <t>942600</t>
  </si>
  <si>
    <t>875707160</t>
  </si>
  <si>
    <t>LAO00347</t>
  </si>
  <si>
    <t>thongpheth.phommavo@gov.la</t>
  </si>
  <si>
    <t>+856 20 59386812</t>
  </si>
  <si>
    <t>CSC000347</t>
  </si>
  <si>
    <t>SSO3715129</t>
  </si>
  <si>
    <t>425100</t>
  </si>
  <si>
    <t>804674903</t>
  </si>
  <si>
    <t>LAO00348</t>
  </si>
  <si>
    <t>Keomany</t>
  </si>
  <si>
    <t>keomany.vilayvon@gov.la</t>
  </si>
  <si>
    <t>+856 20 76835225</t>
  </si>
  <si>
    <t>CSC000348</t>
  </si>
  <si>
    <t>SSO6450711</t>
  </si>
  <si>
    <t>No. 135</t>
  </si>
  <si>
    <t>306600</t>
  </si>
  <si>
    <t>690690799</t>
  </si>
  <si>
    <t>LAO00349</t>
  </si>
  <si>
    <t>khamphone.khonesav@gov.la</t>
  </si>
  <si>
    <t>+856 20 57718860</t>
  </si>
  <si>
    <t>CSC000349</t>
  </si>
  <si>
    <t>SSO5716726</t>
  </si>
  <si>
    <t>No. 718</t>
  </si>
  <si>
    <t>876400</t>
  </si>
  <si>
    <t>883024695</t>
  </si>
  <si>
    <t>LAO00350</t>
  </si>
  <si>
    <t>phonexay.vongsack@gov.la</t>
  </si>
  <si>
    <t>+856 20 72560513</t>
  </si>
  <si>
    <t>CSC000350</t>
  </si>
  <si>
    <t>SSO4720771</t>
  </si>
  <si>
    <t>No. 491</t>
  </si>
  <si>
    <t>Street 4</t>
  </si>
  <si>
    <t>184600</t>
  </si>
  <si>
    <t>537332024</t>
  </si>
  <si>
    <t>LAO00351</t>
  </si>
  <si>
    <t>phimmaly.khounbou@gov.la</t>
  </si>
  <si>
    <t>+856 20 78917714</t>
  </si>
  <si>
    <t>CSC000351</t>
  </si>
  <si>
    <t>SSO2690500</t>
  </si>
  <si>
    <t>No. 259</t>
  </si>
  <si>
    <t>598600</t>
  </si>
  <si>
    <t>400818814</t>
  </si>
  <si>
    <t>LAO00352</t>
  </si>
  <si>
    <t>phonedeth.southich@gov.la</t>
  </si>
  <si>
    <t>+856 20 52754076</t>
  </si>
  <si>
    <t>CSC000352</t>
  </si>
  <si>
    <t>SSO3019210</t>
  </si>
  <si>
    <t>222600</t>
  </si>
  <si>
    <t>775983431</t>
  </si>
  <si>
    <t>LAO00353</t>
  </si>
  <si>
    <t>visoune.phoneman@gov.la</t>
  </si>
  <si>
    <t>+856 20 54543840</t>
  </si>
  <si>
    <t>CSC000353</t>
  </si>
  <si>
    <t>SSO8316976</t>
  </si>
  <si>
    <t>Street 34</t>
  </si>
  <si>
    <t>373500</t>
  </si>
  <si>
    <t>776312005</t>
  </si>
  <si>
    <t>LAO00354</t>
  </si>
  <si>
    <t>keovilay.sisavath@gov.la</t>
  </si>
  <si>
    <t>+856 20 50241628</t>
  </si>
  <si>
    <t>CSC000354</t>
  </si>
  <si>
    <t>SSO4088120</t>
  </si>
  <si>
    <t>Performance Division</t>
  </si>
  <si>
    <t>No. 586</t>
  </si>
  <si>
    <t>940100</t>
  </si>
  <si>
    <t>530408291</t>
  </si>
  <si>
    <t>LAO00355</t>
  </si>
  <si>
    <t>khamphone.luanglat@gov.la</t>
  </si>
  <si>
    <t>+856 20 64091008</t>
  </si>
  <si>
    <t>CSC000355</t>
  </si>
  <si>
    <t>SSO5177662</t>
  </si>
  <si>
    <t>Education Oversight Division</t>
  </si>
  <si>
    <t>704700</t>
  </si>
  <si>
    <t>242776948</t>
  </si>
  <si>
    <t>LAO00356</t>
  </si>
  <si>
    <t>visoune.vilayvon@gov.la</t>
  </si>
  <si>
    <t>+856 20 98493012</t>
  </si>
  <si>
    <t>CSC000356</t>
  </si>
  <si>
    <t>SSO2785812</t>
  </si>
  <si>
    <t>No. 969</t>
  </si>
  <si>
    <t>437700</t>
  </si>
  <si>
    <t>677016715</t>
  </si>
  <si>
    <t>LAO00357</t>
  </si>
  <si>
    <t>sinorath.soulisac@gov.la</t>
  </si>
  <si>
    <t>+856 20 88229100</t>
  </si>
  <si>
    <t>CSC000357</t>
  </si>
  <si>
    <t>SSO4168543</t>
  </si>
  <si>
    <t>134400</t>
  </si>
  <si>
    <t>593266377</t>
  </si>
  <si>
    <t>LAO00358</t>
  </si>
  <si>
    <t>soudabout.khonesav@gov.la</t>
  </si>
  <si>
    <t>+856 20 93250462</t>
  </si>
  <si>
    <t>CSC000358</t>
  </si>
  <si>
    <t>SSO1227365</t>
  </si>
  <si>
    <t>Topographic Division</t>
  </si>
  <si>
    <t>No. 136</t>
  </si>
  <si>
    <t>333600</t>
  </si>
  <si>
    <t>505740335</t>
  </si>
  <si>
    <t>LAO00359</t>
  </si>
  <si>
    <t>+856 20 51423238</t>
  </si>
  <si>
    <t>CSC000359</t>
  </si>
  <si>
    <t>SSO3064864</t>
  </si>
  <si>
    <t>Visa Division</t>
  </si>
  <si>
    <t>No. 106</t>
  </si>
  <si>
    <t>938100</t>
  </si>
  <si>
    <t>683607071</t>
  </si>
  <si>
    <t>LAO00360</t>
  </si>
  <si>
    <t>khammany.vongkham@gov.la</t>
  </si>
  <si>
    <t>+856 20 55119731</t>
  </si>
  <si>
    <t>CSC000360</t>
  </si>
  <si>
    <t>SSO6994631</t>
  </si>
  <si>
    <t>No. 122</t>
  </si>
  <si>
    <t>347500</t>
  </si>
  <si>
    <t>341079154</t>
  </si>
  <si>
    <t>LAO00361</t>
  </si>
  <si>
    <t>khamsouk.chanthav@gov.la</t>
  </si>
  <si>
    <t>+856 20 71492016</t>
  </si>
  <si>
    <t>CSC000361</t>
  </si>
  <si>
    <t>SSO3459356</t>
  </si>
  <si>
    <t>285400</t>
  </si>
  <si>
    <t>259604146</t>
  </si>
  <si>
    <t>LAO00362</t>
  </si>
  <si>
    <t>lattanaphone.phommasa@gov.la</t>
  </si>
  <si>
    <t>+856 20 83057920</t>
  </si>
  <si>
    <t>CSC000362</t>
  </si>
  <si>
    <t>SSO9955185</t>
  </si>
  <si>
    <t>No. 394</t>
  </si>
  <si>
    <t>Street 6</t>
  </si>
  <si>
    <t>511441988</t>
  </si>
  <si>
    <t>LAO00363</t>
  </si>
  <si>
    <t>nouphet.phommavo@gov.la</t>
  </si>
  <si>
    <t>+856 20 66273725</t>
  </si>
  <si>
    <t>CSC000363</t>
  </si>
  <si>
    <t>SSO8064499</t>
  </si>
  <si>
    <t>292000</t>
  </si>
  <si>
    <t>996845363</t>
  </si>
  <si>
    <t>LAO00364</t>
  </si>
  <si>
    <t>visoune.vongkham@gov.la</t>
  </si>
  <si>
    <t>+856 20 88197234</t>
  </si>
  <si>
    <t>CSC000364</t>
  </si>
  <si>
    <t>SSO1209341</t>
  </si>
  <si>
    <t>No. 154</t>
  </si>
  <si>
    <t>329500</t>
  </si>
  <si>
    <t>251695555</t>
  </si>
  <si>
    <t>LAO00365</t>
  </si>
  <si>
    <t>visoune.sengdara@gov.la</t>
  </si>
  <si>
    <t>+856 20 88390641</t>
  </si>
  <si>
    <t>CSC000365</t>
  </si>
  <si>
    <t>SSO5329433</t>
  </si>
  <si>
    <t>No. 727</t>
  </si>
  <si>
    <t>545300</t>
  </si>
  <si>
    <t>994083442</t>
  </si>
  <si>
    <t>LAO00366</t>
  </si>
  <si>
    <t>xayavong.soulisac@gov.la</t>
  </si>
  <si>
    <t>+856 20 61061175</t>
  </si>
  <si>
    <t>CSC000366</t>
  </si>
  <si>
    <t>SSO7383228</t>
  </si>
  <si>
    <t>No. 823</t>
  </si>
  <si>
    <t>542200</t>
  </si>
  <si>
    <t>800831233</t>
  </si>
  <si>
    <t>LAO00367</t>
  </si>
  <si>
    <t>nouphet.sisoulat@gov.la</t>
  </si>
  <si>
    <t>+856 20 68063559</t>
  </si>
  <si>
    <t>CSC000367</t>
  </si>
  <si>
    <t>SSO5032154</t>
  </si>
  <si>
    <t>No. 584</t>
  </si>
  <si>
    <t>892600</t>
  </si>
  <si>
    <t>785464921</t>
  </si>
  <si>
    <t>LAO00368</t>
  </si>
  <si>
    <t>+856 20 56778188</t>
  </si>
  <si>
    <t>CSC000368</t>
  </si>
  <si>
    <t>SSO9448643</t>
  </si>
  <si>
    <t>No. 25</t>
  </si>
  <si>
    <t>161200</t>
  </si>
  <si>
    <t>537320614</t>
  </si>
  <si>
    <t>LAO00369</t>
  </si>
  <si>
    <t>phonedeth.souksava@gov.la</t>
  </si>
  <si>
    <t>+856 20 52685220</t>
  </si>
  <si>
    <t>CSC000369</t>
  </si>
  <si>
    <t>SSO8229326</t>
  </si>
  <si>
    <t>Export Promotion Division</t>
  </si>
  <si>
    <t>No. 245</t>
  </si>
  <si>
    <t>222800</t>
  </si>
  <si>
    <t>464020716</t>
  </si>
  <si>
    <t>LAO00370</t>
  </si>
  <si>
    <t>somsak.xaysombo@gov.la</t>
  </si>
  <si>
    <t>+856 20 81760004</t>
  </si>
  <si>
    <t>CSC000370</t>
  </si>
  <si>
    <t>SSO5327583</t>
  </si>
  <si>
    <t>No. 782</t>
  </si>
  <si>
    <t>899900</t>
  </si>
  <si>
    <t>195809173</t>
  </si>
  <si>
    <t>LAO00371</t>
  </si>
  <si>
    <t>sidalay.vongsamp@gov.la</t>
  </si>
  <si>
    <t>+856 20 99730524</t>
  </si>
  <si>
    <t>CSC000371</t>
  </si>
  <si>
    <t>SSO1957285</t>
  </si>
  <si>
    <t>No. 717</t>
  </si>
  <si>
    <t>272500</t>
  </si>
  <si>
    <t>766378908</t>
  </si>
  <si>
    <t>LAO00372</t>
  </si>
  <si>
    <t>bounpone.keokhamp@gov.la</t>
  </si>
  <si>
    <t>+856 20 63386272</t>
  </si>
  <si>
    <t>CSC000372</t>
  </si>
  <si>
    <t>SSO8266453</t>
  </si>
  <si>
    <t>No. 337</t>
  </si>
  <si>
    <t>896700</t>
  </si>
  <si>
    <t>885740776</t>
  </si>
  <si>
    <t>LAO00373</t>
  </si>
  <si>
    <t>thongsavanh.souksava@gov.la</t>
  </si>
  <si>
    <t>+856 20 78864175</t>
  </si>
  <si>
    <t>CSC000373</t>
  </si>
  <si>
    <t>SSO7064842</t>
  </si>
  <si>
    <t>No. 219</t>
  </si>
  <si>
    <t>792900</t>
  </si>
  <si>
    <t>167001765</t>
  </si>
  <si>
    <t>LAO00374</t>
  </si>
  <si>
    <t>phonesavanh.xaysombo@gov.la</t>
  </si>
  <si>
    <t>+856 20 69924956</t>
  </si>
  <si>
    <t>CSC000374</t>
  </si>
  <si>
    <t>SSO6738129</t>
  </si>
  <si>
    <t>Finance Oversight Division</t>
  </si>
  <si>
    <t>879000</t>
  </si>
  <si>
    <t>991795300</t>
  </si>
  <si>
    <t>LAO00375</t>
  </si>
  <si>
    <t>lattana.kheudkha@gov.la</t>
  </si>
  <si>
    <t>+856 20 95227704</t>
  </si>
  <si>
    <t>CSC000375</t>
  </si>
  <si>
    <t>SSO2906007</t>
  </si>
  <si>
    <t>No. 270</t>
  </si>
  <si>
    <t>305900</t>
  </si>
  <si>
    <t>258362512</t>
  </si>
  <si>
    <t>LAO00376</t>
  </si>
  <si>
    <t>siphone.keobounp@gov.la</t>
  </si>
  <si>
    <t>+856 20 70263150</t>
  </si>
  <si>
    <t>CSC000376</t>
  </si>
  <si>
    <t>SSO1271644</t>
  </si>
  <si>
    <t>No. 515</t>
  </si>
  <si>
    <t>497559799</t>
  </si>
  <si>
    <t>LAO00377</t>
  </si>
  <si>
    <t>phonepadith.phiaylac@gov.la</t>
  </si>
  <si>
    <t>+856 20 92554216</t>
  </si>
  <si>
    <t>CSC000377</t>
  </si>
  <si>
    <t>SSO8339925</t>
  </si>
  <si>
    <t>No. 719</t>
  </si>
  <si>
    <t>270000</t>
  </si>
  <si>
    <t>808246120</t>
  </si>
  <si>
    <t>LAO00378</t>
  </si>
  <si>
    <t>vilayhong.thammavo@gov.la</t>
  </si>
  <si>
    <t>+856 20 58351064</t>
  </si>
  <si>
    <t>CSC000378</t>
  </si>
  <si>
    <t>SSO8878148</t>
  </si>
  <si>
    <t>No. 991</t>
  </si>
  <si>
    <t>112400</t>
  </si>
  <si>
    <t>692263008</t>
  </si>
  <si>
    <t>LAO00379</t>
  </si>
  <si>
    <t>sinorath.phaymany@gov.la</t>
  </si>
  <si>
    <t>+856 20 66229011</t>
  </si>
  <si>
    <t>CSC000379</t>
  </si>
  <si>
    <t>SSO8214533</t>
  </si>
  <si>
    <t>803000</t>
  </si>
  <si>
    <t>282977147</t>
  </si>
  <si>
    <t>LAO00380</t>
  </si>
  <si>
    <t>soudabout.phetsamo@gov.la</t>
  </si>
  <si>
    <t>+856 20 50774310</t>
  </si>
  <si>
    <t>CSC000380</t>
  </si>
  <si>
    <t>SSO8338707</t>
  </si>
  <si>
    <t>No. 29</t>
  </si>
  <si>
    <t>726500</t>
  </si>
  <si>
    <t>318788403</t>
  </si>
  <si>
    <t>LAO00381</t>
  </si>
  <si>
    <t>vilaychith.khamboun@gov.la</t>
  </si>
  <si>
    <t>+856 20 92841397</t>
  </si>
  <si>
    <t>CSC000381</t>
  </si>
  <si>
    <t>SSO1388238</t>
  </si>
  <si>
    <t>275400</t>
  </si>
  <si>
    <t>395241238</t>
  </si>
  <si>
    <t>LAO00382</t>
  </si>
  <si>
    <t>bounmy.phommasa@gov.la</t>
  </si>
  <si>
    <t>+856 20 60811482</t>
  </si>
  <si>
    <t>CSC000382</t>
  </si>
  <si>
    <t>SSO8564486</t>
  </si>
  <si>
    <t>No. 306</t>
  </si>
  <si>
    <t>151500</t>
  </si>
  <si>
    <t>436709263</t>
  </si>
  <si>
    <t>LAO00383</t>
  </si>
  <si>
    <t>phonethip.phongphi@gov.la</t>
  </si>
  <si>
    <t>+856 20 64559790</t>
  </si>
  <si>
    <t>CSC000383</t>
  </si>
  <si>
    <t>SSO2925830</t>
  </si>
  <si>
    <t>No. 336</t>
  </si>
  <si>
    <t>307300</t>
  </si>
  <si>
    <t>332257365</t>
  </si>
  <si>
    <t>LAO00384</t>
  </si>
  <si>
    <t>souphavanh.phommasa@gov.la</t>
  </si>
  <si>
    <t>+856 20 76362101</t>
  </si>
  <si>
    <t>CSC000384</t>
  </si>
  <si>
    <t>SSO5715786</t>
  </si>
  <si>
    <t>Street 50</t>
  </si>
  <si>
    <t>371400</t>
  </si>
  <si>
    <t>312468211</t>
  </si>
  <si>
    <t>LAO00385</t>
  </si>
  <si>
    <t>nongkham.phiaylac@gov.la</t>
  </si>
  <si>
    <t>+856 20 90525841</t>
  </si>
  <si>
    <t>CSC000385</t>
  </si>
  <si>
    <t>SSO5923669</t>
  </si>
  <si>
    <t>628600</t>
  </si>
  <si>
    <t>649065195</t>
  </si>
  <si>
    <t>LAO00386</t>
  </si>
  <si>
    <t>vanhkham.khounkha@gov.la</t>
  </si>
  <si>
    <t>+856 20 90386242</t>
  </si>
  <si>
    <t>CSC000386</t>
  </si>
  <si>
    <t>SSO5758257</t>
  </si>
  <si>
    <t>No. 540</t>
  </si>
  <si>
    <t>555500</t>
  </si>
  <si>
    <t>349804684</t>
  </si>
  <si>
    <t>LAO00387</t>
  </si>
  <si>
    <t>chanthida.phetsamo@gov.la</t>
  </si>
  <si>
    <t>+856 20 51196973</t>
  </si>
  <si>
    <t>CSC000387</t>
  </si>
  <si>
    <t>SSO5782125</t>
  </si>
  <si>
    <t>No. 934</t>
  </si>
  <si>
    <t>759900</t>
  </si>
  <si>
    <t>511090135</t>
  </si>
  <si>
    <t>LAO00388</t>
  </si>
  <si>
    <t>souphine.vongkham@gov.la</t>
  </si>
  <si>
    <t>+856 20 93023300</t>
  </si>
  <si>
    <t>CSC000388</t>
  </si>
  <si>
    <t>SSO9276815</t>
  </si>
  <si>
    <t>No. 864</t>
  </si>
  <si>
    <t>147900</t>
  </si>
  <si>
    <t>522332178</t>
  </si>
  <si>
    <t>LAO00389</t>
  </si>
  <si>
    <t>vilaysack.douangma@gov.la</t>
  </si>
  <si>
    <t>+856 20 55035995</t>
  </si>
  <si>
    <t>CSC000389</t>
  </si>
  <si>
    <t>SSO6105140</t>
  </si>
  <si>
    <t>No. 338</t>
  </si>
  <si>
    <t>Street 45</t>
  </si>
  <si>
    <t>942827240</t>
  </si>
  <si>
    <t>LAO00390</t>
  </si>
  <si>
    <t>santisouk.vilayvon@gov.la</t>
  </si>
  <si>
    <t>+856 20 73690079</t>
  </si>
  <si>
    <t>CSC000390</t>
  </si>
  <si>
    <t>SSO2389057</t>
  </si>
  <si>
    <t>No. 676</t>
  </si>
  <si>
    <t>223100</t>
  </si>
  <si>
    <t>342483672</t>
  </si>
  <si>
    <t>LAO00391</t>
  </si>
  <si>
    <t>somsak.phaymany@gov.la</t>
  </si>
  <si>
    <t>+856 20 57090754</t>
  </si>
  <si>
    <t>CSC000391</t>
  </si>
  <si>
    <t>SSO9464296</t>
  </si>
  <si>
    <t>941200</t>
  </si>
  <si>
    <t>860759357</t>
  </si>
  <si>
    <t>LAO00392</t>
  </si>
  <si>
    <t>bounsong.khounbou@gov.la</t>
  </si>
  <si>
    <t>+856 20 73619422</t>
  </si>
  <si>
    <t>CSC000392</t>
  </si>
  <si>
    <t>SSO8594054</t>
  </si>
  <si>
    <t>806900</t>
  </si>
  <si>
    <t>611359256</t>
  </si>
  <si>
    <t>LAO00393</t>
  </si>
  <si>
    <t>souphan.phiaylac@gov.la</t>
  </si>
  <si>
    <t>+856 20 85538354</t>
  </si>
  <si>
    <t>CSC000393</t>
  </si>
  <si>
    <t>SSO5629265</t>
  </si>
  <si>
    <t>No. 532</t>
  </si>
  <si>
    <t>507800</t>
  </si>
  <si>
    <t>303419997</t>
  </si>
  <si>
    <t>LAO00394</t>
  </si>
  <si>
    <t>vixay.sisavath@gov.la</t>
  </si>
  <si>
    <t>+856 20 63804654</t>
  </si>
  <si>
    <t>CSC000394</t>
  </si>
  <si>
    <t>SSO9307601</t>
  </si>
  <si>
    <t>No. 805</t>
  </si>
  <si>
    <t>571800</t>
  </si>
  <si>
    <t>208774639</t>
  </si>
  <si>
    <t>LAO00395</t>
  </si>
  <si>
    <t>khampasong.sengmixa@gov.la</t>
  </si>
  <si>
    <t>+856 20 55165843</t>
  </si>
  <si>
    <t>CSC000395</t>
  </si>
  <si>
    <t>SSO5426369</t>
  </si>
  <si>
    <t>No. 696</t>
  </si>
  <si>
    <t>676900</t>
  </si>
  <si>
    <t>559478337</t>
  </si>
  <si>
    <t>LAO00396</t>
  </si>
  <si>
    <t>vanhkham.phoneman@gov.la</t>
  </si>
  <si>
    <t>+856 20 94520592</t>
  </si>
  <si>
    <t>CSC000396</t>
  </si>
  <si>
    <t>SSO5317440</t>
  </si>
  <si>
    <t>Crop Division</t>
  </si>
  <si>
    <t>No. 260</t>
  </si>
  <si>
    <t>677700</t>
  </si>
  <si>
    <t>585993109</t>
  </si>
  <si>
    <t>LAO00397</t>
  </si>
  <si>
    <t>+856 20 74120263</t>
  </si>
  <si>
    <t>CSC000397</t>
  </si>
  <si>
    <t>SSO8226291</t>
  </si>
  <si>
    <t>Certification Division</t>
  </si>
  <si>
    <t>No. 763</t>
  </si>
  <si>
    <t>276800</t>
  </si>
  <si>
    <t>720176314</t>
  </si>
  <si>
    <t>LAO00398</t>
  </si>
  <si>
    <t>soubanh.khonesav@gov.la</t>
  </si>
  <si>
    <t>+856 20 57394764</t>
  </si>
  <si>
    <t>CSC000398</t>
  </si>
  <si>
    <t>SSO5838692</t>
  </si>
  <si>
    <t>346100</t>
  </si>
  <si>
    <t>953982207</t>
  </si>
  <si>
    <t>LAO00399</t>
  </si>
  <si>
    <t>phongsavanh.thammavo@gov.la</t>
  </si>
  <si>
    <t>+856 20 53348869</t>
  </si>
  <si>
    <t>CSC000399</t>
  </si>
  <si>
    <t>SSO1010766</t>
  </si>
  <si>
    <t>No. 142</t>
  </si>
  <si>
    <t>354000</t>
  </si>
  <si>
    <t>428373339</t>
  </si>
  <si>
    <t>LAO00400</t>
  </si>
  <si>
    <t>sounthone.khamphil@gov.la</t>
  </si>
  <si>
    <t>+856 20 61630098</t>
  </si>
  <si>
    <t>CSC000400</t>
  </si>
  <si>
    <t>SSO6213281</t>
  </si>
  <si>
    <t>Quality Standards Division</t>
  </si>
  <si>
    <t>Street 21</t>
  </si>
  <si>
    <t>380526766</t>
  </si>
  <si>
    <t>LAO00401</t>
  </si>
  <si>
    <t>sisamone.khamphil@gov.la</t>
  </si>
  <si>
    <t>+856 20 73769546</t>
  </si>
  <si>
    <t>CSC000401</t>
  </si>
  <si>
    <t>SSO8858093</t>
  </si>
  <si>
    <t>145300</t>
  </si>
  <si>
    <t>845320049</t>
  </si>
  <si>
    <t>LAO00402</t>
  </si>
  <si>
    <t>bounlert.vilayvon@gov.la</t>
  </si>
  <si>
    <t>+856 20 84762947</t>
  </si>
  <si>
    <t>CSC000402</t>
  </si>
  <si>
    <t>SSO8764626</t>
  </si>
  <si>
    <t>No. 860</t>
  </si>
  <si>
    <t>542600</t>
  </si>
  <si>
    <t>532655812</t>
  </si>
  <si>
    <t>LAO00403</t>
  </si>
  <si>
    <t>keovilay.kheudkha@gov.la</t>
  </si>
  <si>
    <t>+856 20 59153833</t>
  </si>
  <si>
    <t>CSC000403</t>
  </si>
  <si>
    <t>SSO9309833</t>
  </si>
  <si>
    <t>609300</t>
  </si>
  <si>
    <t>703495788</t>
  </si>
  <si>
    <t>LAO00404</t>
  </si>
  <si>
    <t>soulivanh.khounkha@gov.la</t>
  </si>
  <si>
    <t>+856 20 65765741</t>
  </si>
  <si>
    <t>CSC000404</t>
  </si>
  <si>
    <t>SSO4087744</t>
  </si>
  <si>
    <t>301800</t>
  </si>
  <si>
    <t>230794015</t>
  </si>
  <si>
    <t>LAO00405</t>
  </si>
  <si>
    <t>sengphet.xaysombo@gov.la</t>
  </si>
  <si>
    <t>+856 20 81136076</t>
  </si>
  <si>
    <t>CSC000405</t>
  </si>
  <si>
    <t>SSO2800796</t>
  </si>
  <si>
    <t>564300</t>
  </si>
  <si>
    <t>514271914</t>
  </si>
  <si>
    <t>LAO00406</t>
  </si>
  <si>
    <t>sivilay.vongsack@gov.la</t>
  </si>
  <si>
    <t>+856 20 84429877</t>
  </si>
  <si>
    <t>CSC000406</t>
  </si>
  <si>
    <t>SSO7553588</t>
  </si>
  <si>
    <t>No. 179</t>
  </si>
  <si>
    <t>655800</t>
  </si>
  <si>
    <t>640312926</t>
  </si>
  <si>
    <t>LAO00407</t>
  </si>
  <si>
    <t>bounkhong.phaymany@gov.la</t>
  </si>
  <si>
    <t>+856 20 89224676</t>
  </si>
  <si>
    <t>CSC000407</t>
  </si>
  <si>
    <t>SSO6840068</t>
  </si>
  <si>
    <t>No. 70</t>
  </si>
  <si>
    <t>479600</t>
  </si>
  <si>
    <t>849223444</t>
  </si>
  <si>
    <t>LAO00408</t>
  </si>
  <si>
    <t>senglavanh.phoneman@gov.la</t>
  </si>
  <si>
    <t>+856 20 61681454</t>
  </si>
  <si>
    <t>CSC000408</t>
  </si>
  <si>
    <t>SSO1494247</t>
  </si>
  <si>
    <t>Civil Service Policy Division</t>
  </si>
  <si>
    <t>No. 111</t>
  </si>
  <si>
    <t>318200</t>
  </si>
  <si>
    <t>574087562</t>
  </si>
  <si>
    <t>LAO00409</t>
  </si>
  <si>
    <t>soubanh.thammavo@gov.la</t>
  </si>
  <si>
    <t>+856 20 74129730</t>
  </si>
  <si>
    <t>CSC000409</t>
  </si>
  <si>
    <t>SSO1087850</t>
  </si>
  <si>
    <t>No. 582</t>
  </si>
  <si>
    <t>403600</t>
  </si>
  <si>
    <t>318548994</t>
  </si>
  <si>
    <t>LAO00410</t>
  </si>
  <si>
    <t>siphone.kheudkha@gov.la</t>
  </si>
  <si>
    <t>+856 20 56772157</t>
  </si>
  <si>
    <t>CSC000410</t>
  </si>
  <si>
    <t>SSO6003418</t>
  </si>
  <si>
    <t>985600</t>
  </si>
  <si>
    <t>236571776</t>
  </si>
  <si>
    <t>LAO00411</t>
  </si>
  <si>
    <t>keovilay.singvong@gov.la</t>
  </si>
  <si>
    <t>+856 20 89109201</t>
  </si>
  <si>
    <t>CSC000411</t>
  </si>
  <si>
    <t>SSO2860164</t>
  </si>
  <si>
    <t>653800</t>
  </si>
  <si>
    <t>686200347</t>
  </si>
  <si>
    <t>LAO00412</t>
  </si>
  <si>
    <t>sombath.xayavong@gov.la</t>
  </si>
  <si>
    <t>+856 20 87005522</t>
  </si>
  <si>
    <t>CSC000412</t>
  </si>
  <si>
    <t>SSO2352134</t>
  </si>
  <si>
    <t>No. 970</t>
  </si>
  <si>
    <t>270400</t>
  </si>
  <si>
    <t>742256122</t>
  </si>
  <si>
    <t>LAO00413</t>
  </si>
  <si>
    <t>Phetsavanh</t>
  </si>
  <si>
    <t>phetsavanh.bounphan@gov.la</t>
  </si>
  <si>
    <t>+856 20 78837930</t>
  </si>
  <si>
    <t>CSC000413</t>
  </si>
  <si>
    <t>SSO3101134</t>
  </si>
  <si>
    <t>No. 563</t>
  </si>
  <si>
    <t>293300</t>
  </si>
  <si>
    <t>515672079</t>
  </si>
  <si>
    <t>LAO00414</t>
  </si>
  <si>
    <t>sombath.phiaylac@gov.la</t>
  </si>
  <si>
    <t>+856 20 52933961</t>
  </si>
  <si>
    <t>CSC000414</t>
  </si>
  <si>
    <t>SSO5741173</t>
  </si>
  <si>
    <t>No. 359</t>
  </si>
  <si>
    <t>312500</t>
  </si>
  <si>
    <t>160832400</t>
  </si>
  <si>
    <t>LAO00415</t>
  </si>
  <si>
    <t>bounthieng.khounkha@gov.la</t>
  </si>
  <si>
    <t>+856 20 57004700</t>
  </si>
  <si>
    <t>CSC000415</t>
  </si>
  <si>
    <t>SSO9446412</t>
  </si>
  <si>
    <t>No. 355</t>
  </si>
  <si>
    <t>558300</t>
  </si>
  <si>
    <t>442372191</t>
  </si>
  <si>
    <t>LAO00416</t>
  </si>
  <si>
    <t>sengmany.vongphac@gov.la</t>
  </si>
  <si>
    <t>+856 20 68654071</t>
  </si>
  <si>
    <t>CSC000416</t>
  </si>
  <si>
    <t>SSO5534857</t>
  </si>
  <si>
    <t>No. 308</t>
  </si>
  <si>
    <t>729000</t>
  </si>
  <si>
    <t>635697836</t>
  </si>
  <si>
    <t>LAO00417</t>
  </si>
  <si>
    <t>bounlan.bouavong@gov.la</t>
  </si>
  <si>
    <t>+856 20 67618273</t>
  </si>
  <si>
    <t>CSC000417</t>
  </si>
  <si>
    <t>SSO6640806</t>
  </si>
  <si>
    <t>Industry Division</t>
  </si>
  <si>
    <t>No. 776</t>
  </si>
  <si>
    <t>811100</t>
  </si>
  <si>
    <t>753628836</t>
  </si>
  <si>
    <t>LAO00418</t>
  </si>
  <si>
    <t>vilayphon.manodham@gov.la</t>
  </si>
  <si>
    <t>+856 20 66772693</t>
  </si>
  <si>
    <t>CSC000418</t>
  </si>
  <si>
    <t>SSO2435070</t>
  </si>
  <si>
    <t>549300</t>
  </si>
  <si>
    <t>116303070</t>
  </si>
  <si>
    <t>LAO00419</t>
  </si>
  <si>
    <t>souphine.dalasane@gov.la</t>
  </si>
  <si>
    <t>+856 20 92798214</t>
  </si>
  <si>
    <t>CSC000419</t>
  </si>
  <si>
    <t>SSO9056551</t>
  </si>
  <si>
    <t>552900</t>
  </si>
  <si>
    <t>600835600</t>
  </si>
  <si>
    <t>LAO00420</t>
  </si>
  <si>
    <t>phoxay.chanthav@gov.la</t>
  </si>
  <si>
    <t>+856 20 88915807</t>
  </si>
  <si>
    <t>CSC000420</t>
  </si>
  <si>
    <t>SSO8387157</t>
  </si>
  <si>
    <t>Intelligence Review Division</t>
  </si>
  <si>
    <t>No. 43</t>
  </si>
  <si>
    <t>524400</t>
  </si>
  <si>
    <t>802872288</t>
  </si>
  <si>
    <t>LAO00421</t>
  </si>
  <si>
    <t>phonepadith.phomthon@gov.la</t>
  </si>
  <si>
    <t>+856 20 54791114</t>
  </si>
  <si>
    <t>CSC000421</t>
  </si>
  <si>
    <t>SSO7978813</t>
  </si>
  <si>
    <t>No. 897</t>
  </si>
  <si>
    <t>635000</t>
  </si>
  <si>
    <t>990279988</t>
  </si>
  <si>
    <t>LAO00422</t>
  </si>
  <si>
    <t>+856 20 64419595</t>
  </si>
  <si>
    <t>CSC000422</t>
  </si>
  <si>
    <t>SSO6772247</t>
  </si>
  <si>
    <t>Asset Recovery Division</t>
  </si>
  <si>
    <t>724300</t>
  </si>
  <si>
    <t>967620130</t>
  </si>
  <si>
    <t>LAO00423</t>
  </si>
  <si>
    <t>khammany.kheudkha@gov.la</t>
  </si>
  <si>
    <t>+856 20 80589641</t>
  </si>
  <si>
    <t>CSC000423</t>
  </si>
  <si>
    <t>SSO4873703</t>
  </si>
  <si>
    <t>No. 767</t>
  </si>
  <si>
    <t>771600</t>
  </si>
  <si>
    <t>362024137</t>
  </si>
  <si>
    <t>LAO00424</t>
  </si>
  <si>
    <t>sisamone.sisouvat@gov.la</t>
  </si>
  <si>
    <t>+856 20 69252539</t>
  </si>
  <si>
    <t>CSC000424</t>
  </si>
  <si>
    <t>SSO5366756</t>
  </si>
  <si>
    <t>No. 322</t>
  </si>
  <si>
    <t>789800</t>
  </si>
  <si>
    <t>823814870</t>
  </si>
  <si>
    <t>LAO00425</t>
  </si>
  <si>
    <t>sengphet.souksava@gov.la</t>
  </si>
  <si>
    <t>+856 20 84554158</t>
  </si>
  <si>
    <t>CSC000425</t>
  </si>
  <si>
    <t>SSO3220930</t>
  </si>
  <si>
    <t>No. 926</t>
  </si>
  <si>
    <t>759100</t>
  </si>
  <si>
    <t>840931861</t>
  </si>
  <si>
    <t>LAO00426</t>
  </si>
  <si>
    <t>santisouk.sengdara@gov.la</t>
  </si>
  <si>
    <t>+856 20 55623017</t>
  </si>
  <si>
    <t>CSC000426</t>
  </si>
  <si>
    <t>SSO9545877</t>
  </si>
  <si>
    <t>706000</t>
  </si>
  <si>
    <t>887528569</t>
  </si>
  <si>
    <t>LAO00427</t>
  </si>
  <si>
    <t>nongkham.chanthav@gov.la</t>
  </si>
  <si>
    <t>+856 20 59609758</t>
  </si>
  <si>
    <t>CSC000427</t>
  </si>
  <si>
    <t>SSO3993320</t>
  </si>
  <si>
    <t>950500</t>
  </si>
  <si>
    <t>406292586</t>
  </si>
  <si>
    <t>LAO00428</t>
  </si>
  <si>
    <t>khamsing.luanglat@gov.la</t>
  </si>
  <si>
    <t>+856 20 87055061</t>
  </si>
  <si>
    <t>CSC000428</t>
  </si>
  <si>
    <t>SSO4470251</t>
  </si>
  <si>
    <t>981300</t>
  </si>
  <si>
    <t>815577646</t>
  </si>
  <si>
    <t>LAO00429</t>
  </si>
  <si>
    <t>bouakham.siphaseu@gov.la</t>
  </si>
  <si>
    <t>+856 20 99099109</t>
  </si>
  <si>
    <t>CSC000429</t>
  </si>
  <si>
    <t>SSO5671669</t>
  </si>
  <si>
    <t>Market Regulation Division</t>
  </si>
  <si>
    <t>No. 992</t>
  </si>
  <si>
    <t>221800</t>
  </si>
  <si>
    <t>382454804</t>
  </si>
  <si>
    <t>LAO00430</t>
  </si>
  <si>
    <t>sinorath.souksava@gov.la</t>
  </si>
  <si>
    <t>+856 20 59185503</t>
  </si>
  <si>
    <t>CSC000430</t>
  </si>
  <si>
    <t>SSO5125747</t>
  </si>
  <si>
    <t>870200</t>
  </si>
  <si>
    <t>781286134</t>
  </si>
  <si>
    <t>LAO00431</t>
  </si>
  <si>
    <t>+856 20 91163115</t>
  </si>
  <si>
    <t>CSC000431</t>
  </si>
  <si>
    <t>SSO5413646</t>
  </si>
  <si>
    <t>No. 647</t>
  </si>
  <si>
    <t>893300</t>
  </si>
  <si>
    <t>862346505</t>
  </si>
  <si>
    <t>LAO00432</t>
  </si>
  <si>
    <t>+856 20 61824208</t>
  </si>
  <si>
    <t>CSC000432</t>
  </si>
  <si>
    <t>SSO2943123</t>
  </si>
  <si>
    <t>Community Learning Division</t>
  </si>
  <si>
    <t>No. 980</t>
  </si>
  <si>
    <t>752200</t>
  </si>
  <si>
    <t>365639711</t>
  </si>
  <si>
    <t>LAO00433</t>
  </si>
  <si>
    <t>khamsouk.vongsamp@gov.la</t>
  </si>
  <si>
    <t>+856 20 76754929</t>
  </si>
  <si>
    <t>CSC000433</t>
  </si>
  <si>
    <t>SSO8133660</t>
  </si>
  <si>
    <t>No. 935</t>
  </si>
  <si>
    <t>458700</t>
  </si>
  <si>
    <t>520239344</t>
  </si>
  <si>
    <t>LAO00434</t>
  </si>
  <si>
    <t>nongkham.vongsamp@gov.la</t>
  </si>
  <si>
    <t>+856 20 73669338</t>
  </si>
  <si>
    <t>CSC000434</t>
  </si>
  <si>
    <t>SSO6591646</t>
  </si>
  <si>
    <t>No. 671</t>
  </si>
  <si>
    <t>693200</t>
  </si>
  <si>
    <t>196908109</t>
  </si>
  <si>
    <t>LAO00435</t>
  </si>
  <si>
    <t>phommachanh.keokhamp@gov.la</t>
  </si>
  <si>
    <t>+856 20 60532434</t>
  </si>
  <si>
    <t>CSC000435</t>
  </si>
  <si>
    <t>SSO1709427</t>
  </si>
  <si>
    <t>No. 309</t>
  </si>
  <si>
    <t>155300</t>
  </si>
  <si>
    <t>638480797</t>
  </si>
  <si>
    <t>LAO00436</t>
  </si>
  <si>
    <t>souphine.keokhamp@gov.la</t>
  </si>
  <si>
    <t>+856 20 63038183</t>
  </si>
  <si>
    <t>CSC000436</t>
  </si>
  <si>
    <t>SSO7561970</t>
  </si>
  <si>
    <t>No. 804</t>
  </si>
  <si>
    <t>138300</t>
  </si>
  <si>
    <t>202603195</t>
  </si>
  <si>
    <t>LAO00437</t>
  </si>
  <si>
    <t>souphavanh.douangma@gov.la</t>
  </si>
  <si>
    <t>+856 20 75014001</t>
  </si>
  <si>
    <t>CSC000437</t>
  </si>
  <si>
    <t>SSO7604270</t>
  </si>
  <si>
    <t>No. 464</t>
  </si>
  <si>
    <t>Street 15</t>
  </si>
  <si>
    <t>751000</t>
  </si>
  <si>
    <t>510607831</t>
  </si>
  <si>
    <t>LAO00438</t>
  </si>
  <si>
    <t>phonethip.kheudkha@gov.la</t>
  </si>
  <si>
    <t>+856 20 98521883</t>
  </si>
  <si>
    <t>CSC000438</t>
  </si>
  <si>
    <t>SSO9781289</t>
  </si>
  <si>
    <t>No. 61</t>
  </si>
  <si>
    <t>774700</t>
  </si>
  <si>
    <t>761949453</t>
  </si>
  <si>
    <t>LAO00439</t>
  </si>
  <si>
    <t>khamphanh.phetsamo@gov.la</t>
  </si>
  <si>
    <t>+856 20 78568379</t>
  </si>
  <si>
    <t>CSC000439</t>
  </si>
  <si>
    <t>SSO2762343</t>
  </si>
  <si>
    <t>No. 385</t>
  </si>
  <si>
    <t>652366203</t>
  </si>
  <si>
    <t>LAO00440</t>
  </si>
  <si>
    <t>phonexay.bouavong@gov.la</t>
  </si>
  <si>
    <t>+856 20 85063046</t>
  </si>
  <si>
    <t>CSC000440</t>
  </si>
  <si>
    <t>SSO5548431</t>
  </si>
  <si>
    <t>Asset Registration Division</t>
  </si>
  <si>
    <t>No. 630</t>
  </si>
  <si>
    <t>331800</t>
  </si>
  <si>
    <t>418633988</t>
  </si>
  <si>
    <t>LAO00441</t>
  </si>
  <si>
    <t>vannaphone.sisoulat@gov.la</t>
  </si>
  <si>
    <t>+856 20 54499515</t>
  </si>
  <si>
    <t>CSC000441</t>
  </si>
  <si>
    <t>SSO8893570</t>
  </si>
  <si>
    <t>253700</t>
  </si>
  <si>
    <t>441114921</t>
  </si>
  <si>
    <t>LAO00442</t>
  </si>
  <si>
    <t>vilayhong.bouphano@gov.la</t>
  </si>
  <si>
    <t>+856 20 89223009</t>
  </si>
  <si>
    <t>CSC000442</t>
  </si>
  <si>
    <t>SSO8149873</t>
  </si>
  <si>
    <t>986400</t>
  </si>
  <si>
    <t>981278352</t>
  </si>
  <si>
    <t>LAO00443</t>
  </si>
  <si>
    <t>khamla.bounseng@gov.la</t>
  </si>
  <si>
    <t>+856 20 64046335</t>
  </si>
  <si>
    <t>CSC000443</t>
  </si>
  <si>
    <t>SSO8942448</t>
  </si>
  <si>
    <t>No. 3</t>
  </si>
  <si>
    <t>340000</t>
  </si>
  <si>
    <t>966831325</t>
  </si>
  <si>
    <t>LAO00444</t>
  </si>
  <si>
    <t>sivilay.phetsamo@gov.la</t>
  </si>
  <si>
    <t>+856 20 73823085</t>
  </si>
  <si>
    <t>CSC000444</t>
  </si>
  <si>
    <t>SSO8960419</t>
  </si>
  <si>
    <t>No. 859</t>
  </si>
  <si>
    <t>505133040</t>
  </si>
  <si>
    <t>LAO00445</t>
  </si>
  <si>
    <t>phonsavanh.xaysombo@gov.la</t>
  </si>
  <si>
    <t>+856 20 64346530</t>
  </si>
  <si>
    <t>CSC000445</t>
  </si>
  <si>
    <t>SSO8114847</t>
  </si>
  <si>
    <t>No. 392</t>
  </si>
  <si>
    <t>420800</t>
  </si>
  <si>
    <t>927580907</t>
  </si>
  <si>
    <t>LAO00446</t>
  </si>
  <si>
    <t>somsak.vongsack@gov.la</t>
  </si>
  <si>
    <t>+856 20 91961187</t>
  </si>
  <si>
    <t>CSC000446</t>
  </si>
  <si>
    <t>SSO5599873</t>
  </si>
  <si>
    <t>No. 995</t>
  </si>
  <si>
    <t>844600</t>
  </si>
  <si>
    <t>846786447</t>
  </si>
  <si>
    <t>LAO00447</t>
  </si>
  <si>
    <t>khamphout.soulinth@gov.la</t>
  </si>
  <si>
    <t>+856 20 56541467</t>
  </si>
  <si>
    <t>CSC000447</t>
  </si>
  <si>
    <t>SSO6272014</t>
  </si>
  <si>
    <t>No. 874</t>
  </si>
  <si>
    <t>645000</t>
  </si>
  <si>
    <t>160181074</t>
  </si>
  <si>
    <t>LAO00448</t>
  </si>
  <si>
    <t>vannaphone.phommavo@gov.la</t>
  </si>
  <si>
    <t>+856 20 61607700</t>
  </si>
  <si>
    <t>CSC000448</t>
  </si>
  <si>
    <t>SSO7866101</t>
  </si>
  <si>
    <t>Housing Development Division</t>
  </si>
  <si>
    <t>No. 319</t>
  </si>
  <si>
    <t>292800</t>
  </si>
  <si>
    <t>395843204</t>
  </si>
  <si>
    <t>LAO00449</t>
  </si>
  <si>
    <t>bounpone.souksava@gov.la</t>
  </si>
  <si>
    <t>+856 20 95693794</t>
  </si>
  <si>
    <t>CSC000449</t>
  </si>
  <si>
    <t>SSO6163730</t>
  </si>
  <si>
    <t>187300</t>
  </si>
  <si>
    <t>594296083</t>
  </si>
  <si>
    <t>LAO00450</t>
  </si>
  <si>
    <t>thongsavanh.vilayvon@gov.la</t>
  </si>
  <si>
    <t>+856 20 92347465</t>
  </si>
  <si>
    <t>CSC000450</t>
  </si>
  <si>
    <t>SSO8544263</t>
  </si>
  <si>
    <t>SME Division</t>
  </si>
  <si>
    <t>721370276</t>
  </si>
  <si>
    <t>LAO00451</t>
  </si>
  <si>
    <t>khamsone.soulinth@gov.la</t>
  </si>
  <si>
    <t>+856 20 94179924</t>
  </si>
  <si>
    <t>CSC000451</t>
  </si>
  <si>
    <t>SSO9674320</t>
  </si>
  <si>
    <t>629100</t>
  </si>
  <si>
    <t>602176380</t>
  </si>
  <si>
    <t>LAO00452</t>
  </si>
  <si>
    <t>bounthong.sengmixa@gov.la</t>
  </si>
  <si>
    <t>+856 20 51459615</t>
  </si>
  <si>
    <t>CSC000452</t>
  </si>
  <si>
    <t>SSO4123258</t>
  </si>
  <si>
    <t>812600</t>
  </si>
  <si>
    <t>428860953</t>
  </si>
  <si>
    <t>LAO00453</t>
  </si>
  <si>
    <t>vanhkham.singvong@gov.la</t>
  </si>
  <si>
    <t>+856 20 89800660</t>
  </si>
  <si>
    <t>CSC000453</t>
  </si>
  <si>
    <t>SSO7723471</t>
  </si>
  <si>
    <t>958600</t>
  </si>
  <si>
    <t>557300445</t>
  </si>
  <si>
    <t>LAO00454</t>
  </si>
  <si>
    <t>bounthieng.sengdara@gov.la</t>
  </si>
  <si>
    <t>+856 20 79296299</t>
  </si>
  <si>
    <t>CSC000454</t>
  </si>
  <si>
    <t>SSO4411176</t>
  </si>
  <si>
    <t>Health Education Division</t>
  </si>
  <si>
    <t>713100</t>
  </si>
  <si>
    <t>430204342</t>
  </si>
  <si>
    <t>LAO00455</t>
  </si>
  <si>
    <t>khamsing.douangma@gov.la</t>
  </si>
  <si>
    <t>+856 20 76835731</t>
  </si>
  <si>
    <t>CSC000455</t>
  </si>
  <si>
    <t>SSO3240199</t>
  </si>
  <si>
    <t>No. 920</t>
  </si>
  <si>
    <t>745200</t>
  </si>
  <si>
    <t>441832901</t>
  </si>
  <si>
    <t>LAO00456</t>
  </si>
  <si>
    <t>boutsady.phaymany@gov.la</t>
  </si>
  <si>
    <t>+856 20 70262710</t>
  </si>
  <si>
    <t>CSC000456</t>
  </si>
  <si>
    <t>SSO4543890</t>
  </si>
  <si>
    <t>Community Affairs Division</t>
  </si>
  <si>
    <t>797400</t>
  </si>
  <si>
    <t>248262160</t>
  </si>
  <si>
    <t>LAO00457</t>
  </si>
  <si>
    <t>+856 20 60796727</t>
  </si>
  <si>
    <t>CSC000457</t>
  </si>
  <si>
    <t>SSO1205092</t>
  </si>
  <si>
    <t>844900</t>
  </si>
  <si>
    <t>804233550</t>
  </si>
  <si>
    <t>LAO00458</t>
  </si>
  <si>
    <t>khammoune.dalasane@gov.la</t>
  </si>
  <si>
    <t>+856 20 85682563</t>
  </si>
  <si>
    <t>CSC000458</t>
  </si>
  <si>
    <t>SSO8114632</t>
  </si>
  <si>
    <t>No. 892</t>
  </si>
  <si>
    <t>111300</t>
  </si>
  <si>
    <t>219907046</t>
  </si>
  <si>
    <t>LAO00459</t>
  </si>
  <si>
    <t>khampasong.phongphi@gov.la</t>
  </si>
  <si>
    <t>+856 20 61994245</t>
  </si>
  <si>
    <t>CSC000459</t>
  </si>
  <si>
    <t>SSO5483468</t>
  </si>
  <si>
    <t>No. 366</t>
  </si>
  <si>
    <t>631800</t>
  </si>
  <si>
    <t>824771740</t>
  </si>
  <si>
    <t>LAO00460</t>
  </si>
  <si>
    <t>khamsing.bounseng@gov.la</t>
  </si>
  <si>
    <t>+856 20 80737931</t>
  </si>
  <si>
    <t>CSC000460</t>
  </si>
  <si>
    <t>SSO6794620</t>
  </si>
  <si>
    <t>No. 941</t>
  </si>
  <si>
    <t>851000</t>
  </si>
  <si>
    <t>562890681</t>
  </si>
  <si>
    <t>LAO00461</t>
  </si>
  <si>
    <t>phimmaly.sisavath@gov.la</t>
  </si>
  <si>
    <t>+856 20 79087349</t>
  </si>
  <si>
    <t>CSC000461</t>
  </si>
  <si>
    <t>SSO2330152</t>
  </si>
  <si>
    <t>No. 813</t>
  </si>
  <si>
    <t>596700</t>
  </si>
  <si>
    <t>124034078</t>
  </si>
  <si>
    <t>LAO00462</t>
  </si>
  <si>
    <t>nouphet.kheudkha@gov.la</t>
  </si>
  <si>
    <t>+856 20 94104803</t>
  </si>
  <si>
    <t>CSC000462</t>
  </si>
  <si>
    <t>SSO7951217</t>
  </si>
  <si>
    <t>No. 282</t>
  </si>
  <si>
    <t>621200</t>
  </si>
  <si>
    <t>105423527</t>
  </si>
  <si>
    <t>LAO00463</t>
  </si>
  <si>
    <t>bounma.phomthon@gov.la</t>
  </si>
  <si>
    <t>+856 20 60185691</t>
  </si>
  <si>
    <t>CSC000463</t>
  </si>
  <si>
    <t>SSO8455510</t>
  </si>
  <si>
    <t>No. 875</t>
  </si>
  <si>
    <t>972000</t>
  </si>
  <si>
    <t>468240534</t>
  </si>
  <si>
    <t>LAO00464</t>
  </si>
  <si>
    <t>sidalay.sisavath@gov.la</t>
  </si>
  <si>
    <t>+856 20 95265020</t>
  </si>
  <si>
    <t>CSC000464</t>
  </si>
  <si>
    <t>SSO8574899</t>
  </si>
  <si>
    <t>No. 31</t>
  </si>
  <si>
    <t>Street 10</t>
  </si>
  <si>
    <t>373100</t>
  </si>
  <si>
    <t>413342602</t>
  </si>
  <si>
    <t>LAO00465</t>
  </si>
  <si>
    <t>phonesamone.xayavong@gov.la</t>
  </si>
  <si>
    <t>+856 20 61987148</t>
  </si>
  <si>
    <t>CSC000465</t>
  </si>
  <si>
    <t>SSO5854470</t>
  </si>
  <si>
    <t>No. 786</t>
  </si>
  <si>
    <t>769300</t>
  </si>
  <si>
    <t>326887199</t>
  </si>
  <si>
    <t>LAO00466</t>
  </si>
  <si>
    <t>khamsouk.khounbou@gov.la</t>
  </si>
  <si>
    <t>+856 20 61920321</t>
  </si>
  <si>
    <t>CSC000466</t>
  </si>
  <si>
    <t>SSO3633482</t>
  </si>
  <si>
    <t>860200</t>
  </si>
  <si>
    <t>987059388</t>
  </si>
  <si>
    <t>LAO00467</t>
  </si>
  <si>
    <t>khamphet.soulinth@gov.la</t>
  </si>
  <si>
    <t>+856 20 74850138</t>
  </si>
  <si>
    <t>CSC000467</t>
  </si>
  <si>
    <t>SSO2526163</t>
  </si>
  <si>
    <t>UN Affairs Division</t>
  </si>
  <si>
    <t>No. 761</t>
  </si>
  <si>
    <t>937700</t>
  </si>
  <si>
    <t>368371844</t>
  </si>
  <si>
    <t>LAO00468</t>
  </si>
  <si>
    <t>phimmaly.bounseng@gov.la</t>
  </si>
  <si>
    <t>+856 20 83568856</t>
  </si>
  <si>
    <t>CSC000468</t>
  </si>
  <si>
    <t>SSO8741111</t>
  </si>
  <si>
    <t>359720591</t>
  </si>
  <si>
    <t>LAO00469</t>
  </si>
  <si>
    <t>xayavong.sisavath@gov.la</t>
  </si>
  <si>
    <t>+856 20 76735952</t>
  </si>
  <si>
    <t>CSC000469</t>
  </si>
  <si>
    <t>SSO5915104</t>
  </si>
  <si>
    <t>Street 26</t>
  </si>
  <si>
    <t>802100</t>
  </si>
  <si>
    <t>988793910</t>
  </si>
  <si>
    <t>LAO00470</t>
  </si>
  <si>
    <t>soubanh.xayavong@gov.la</t>
  </si>
  <si>
    <t>+856 20 72980954</t>
  </si>
  <si>
    <t>CSC000470</t>
  </si>
  <si>
    <t>SSO5362068</t>
  </si>
  <si>
    <t>No. 706</t>
  </si>
  <si>
    <t>861371949</t>
  </si>
  <si>
    <t>LAO00471</t>
  </si>
  <si>
    <t>sommay.xayyasit@gov.la</t>
  </si>
  <si>
    <t>+856 20 99911087</t>
  </si>
  <si>
    <t>CSC000471</t>
  </si>
  <si>
    <t>SSO3591094</t>
  </si>
  <si>
    <t>No. 151</t>
  </si>
  <si>
    <t>521500</t>
  </si>
  <si>
    <t>865662572</t>
  </si>
  <si>
    <t>LAO00472</t>
  </si>
  <si>
    <t>khanthavy.vilayphi@gov.la</t>
  </si>
  <si>
    <t>+856 20 71092063</t>
  </si>
  <si>
    <t>CSC000472</t>
  </si>
  <si>
    <t>SSO9406983</t>
  </si>
  <si>
    <t>No. 388</t>
  </si>
  <si>
    <t>889700</t>
  </si>
  <si>
    <t>469596475</t>
  </si>
  <si>
    <t>LAO00473</t>
  </si>
  <si>
    <t>sivilay.phaymany@gov.la</t>
  </si>
  <si>
    <t>+856 20 65325739</t>
  </si>
  <si>
    <t>CSC000473</t>
  </si>
  <si>
    <t>SSO9793246</t>
  </si>
  <si>
    <t>261900</t>
  </si>
  <si>
    <t>635571949</t>
  </si>
  <si>
    <t>LAO00474</t>
  </si>
  <si>
    <t>sisamone.manivong@gov.la</t>
  </si>
  <si>
    <t>+856 20 52699976</t>
  </si>
  <si>
    <t>CSC000474</t>
  </si>
  <si>
    <t>SSO3976792</t>
  </si>
  <si>
    <t>No. 566</t>
  </si>
  <si>
    <t>204300</t>
  </si>
  <si>
    <t>840492575</t>
  </si>
  <si>
    <t>LAO00475</t>
  </si>
  <si>
    <t>siphone.vongphac@gov.la</t>
  </si>
  <si>
    <t>+856 20 86397756</t>
  </si>
  <si>
    <t>CSC000475</t>
  </si>
  <si>
    <t>SSO2675639</t>
  </si>
  <si>
    <t>Green Economy Division</t>
  </si>
  <si>
    <t>No. 613</t>
  </si>
  <si>
    <t>115700</t>
  </si>
  <si>
    <t>574484446</t>
  </si>
  <si>
    <t>LAO00476</t>
  </si>
  <si>
    <t>sounthone.bouavong@gov.la</t>
  </si>
  <si>
    <t>+856 20 72893671</t>
  </si>
  <si>
    <t>CSC000476</t>
  </si>
  <si>
    <t>SSO5177895</t>
  </si>
  <si>
    <t>820900</t>
  </si>
  <si>
    <t>792863736</t>
  </si>
  <si>
    <t>LAO00477</t>
  </si>
  <si>
    <t>+856 20 64308713</t>
  </si>
  <si>
    <t>CSC000477</t>
  </si>
  <si>
    <t>SSO4889005</t>
  </si>
  <si>
    <t>Manufacturing Division</t>
  </si>
  <si>
    <t>No. 514</t>
  </si>
  <si>
    <t>873100</t>
  </si>
  <si>
    <t>307871584</t>
  </si>
  <si>
    <t>LAO00478</t>
  </si>
  <si>
    <t>bounpone.khonesav@gov.la</t>
  </si>
  <si>
    <t>+856 20 67639928</t>
  </si>
  <si>
    <t>CSC000478</t>
  </si>
  <si>
    <t>SSO4837345</t>
  </si>
  <si>
    <t>601700</t>
  </si>
  <si>
    <t>937255462</t>
  </si>
  <si>
    <t>LAO00479</t>
  </si>
  <si>
    <t>nongkham.vilayphi@gov.la</t>
  </si>
  <si>
    <t>+856 20 69783484</t>
  </si>
  <si>
    <t>CSC000479</t>
  </si>
  <si>
    <t>SSO5293781</t>
  </si>
  <si>
    <t>633600</t>
  </si>
  <si>
    <t>323992251</t>
  </si>
  <si>
    <t>LAO00480</t>
  </si>
  <si>
    <t>somchit.sisouvat@gov.la</t>
  </si>
  <si>
    <t>+856 20 53980684</t>
  </si>
  <si>
    <t>CSC000480</t>
  </si>
  <si>
    <t>SSO7291774</t>
  </si>
  <si>
    <t>No. 58</t>
  </si>
  <si>
    <t>981200</t>
  </si>
  <si>
    <t>368270238</t>
  </si>
  <si>
    <t>LAO00481</t>
  </si>
  <si>
    <t>santisouk.phoneman@gov.la</t>
  </si>
  <si>
    <t>+856 20 87357788</t>
  </si>
  <si>
    <t>CSC000481</t>
  </si>
  <si>
    <t>SSO5374141</t>
  </si>
  <si>
    <t>614300</t>
  </si>
  <si>
    <t>363310130</t>
  </si>
  <si>
    <t>LAO00482</t>
  </si>
  <si>
    <t>+856 20 85460148</t>
  </si>
  <si>
    <t>CSC000482</t>
  </si>
  <si>
    <t>SSO1805827</t>
  </si>
  <si>
    <t>816300</t>
  </si>
  <si>
    <t>558843089</t>
  </si>
  <si>
    <t>LAO00483</t>
  </si>
  <si>
    <t>phonesiri.kheudkha@gov.la</t>
  </si>
  <si>
    <t>+856 20 54904554</t>
  </si>
  <si>
    <t>CSC000483</t>
  </si>
  <si>
    <t>SSO4202560</t>
  </si>
  <si>
    <t>Budget Analysis Division</t>
  </si>
  <si>
    <t>No. 838</t>
  </si>
  <si>
    <t>349300</t>
  </si>
  <si>
    <t>755016314</t>
  </si>
  <si>
    <t>LAO00484</t>
  </si>
  <si>
    <t>phetsavanh.kheudkha@gov.la</t>
  </si>
  <si>
    <t>+856 20 89216841</t>
  </si>
  <si>
    <t>CSC000484</t>
  </si>
  <si>
    <t>SSO4739473</t>
  </si>
  <si>
    <t>681000</t>
  </si>
  <si>
    <t>446157515</t>
  </si>
  <si>
    <t>LAO00485</t>
  </si>
  <si>
    <t>siphone.vilayphi@gov.la</t>
  </si>
  <si>
    <t>+856 20 64578448</t>
  </si>
  <si>
    <t>CSC000485</t>
  </si>
  <si>
    <t>SSO4908736</t>
  </si>
  <si>
    <t>No. 28</t>
  </si>
  <si>
    <t>714500</t>
  </si>
  <si>
    <t>425268081</t>
  </si>
  <si>
    <t>LAO00486</t>
  </si>
  <si>
    <t>viengthong.bouphano@gov.la</t>
  </si>
  <si>
    <t>+856 20 82823510</t>
  </si>
  <si>
    <t>CSC000486</t>
  </si>
  <si>
    <t>SSO3019277</t>
  </si>
  <si>
    <t>No. 768</t>
  </si>
  <si>
    <t>444600</t>
  </si>
  <si>
    <t>274894283</t>
  </si>
  <si>
    <t>LAO00487</t>
  </si>
  <si>
    <t>phouthasack.sisouvat@gov.la</t>
  </si>
  <si>
    <t>+856 20 93649795</t>
  </si>
  <si>
    <t>CSC000487</t>
  </si>
  <si>
    <t>SSO2416860</t>
  </si>
  <si>
    <t>629600</t>
  </si>
  <si>
    <t>346272168</t>
  </si>
  <si>
    <t>LAO00488</t>
  </si>
  <si>
    <t>sengphet.kheudkha@gov.la</t>
  </si>
  <si>
    <t>+856 20 84802635</t>
  </si>
  <si>
    <t>CSC000488</t>
  </si>
  <si>
    <t>SSO3929930</t>
  </si>
  <si>
    <t>No. 760</t>
  </si>
  <si>
    <t>279200</t>
  </si>
  <si>
    <t>983958713</t>
  </si>
  <si>
    <t>LAO00489</t>
  </si>
  <si>
    <t>soudaphone.vilayphi@gov.la</t>
  </si>
  <si>
    <t>+856 20 60614782</t>
  </si>
  <si>
    <t>CSC000489</t>
  </si>
  <si>
    <t>SSO3847768</t>
  </si>
  <si>
    <t>787900</t>
  </si>
  <si>
    <t>918730606</t>
  </si>
  <si>
    <t>LAO00490</t>
  </si>
  <si>
    <t>manyvone.vongsamp@gov.la</t>
  </si>
  <si>
    <t>+856 20 58444508</t>
  </si>
  <si>
    <t>CSC000490</t>
  </si>
  <si>
    <t>SSO4293151</t>
  </si>
  <si>
    <t>234600</t>
  </si>
  <si>
    <t>613022936</t>
  </si>
  <si>
    <t>LAO00491</t>
  </si>
  <si>
    <t>phonesiri.phongphi@gov.la</t>
  </si>
  <si>
    <t>+856 20 75838926</t>
  </si>
  <si>
    <t>CSC000491</t>
  </si>
  <si>
    <t>SSO1574205</t>
  </si>
  <si>
    <t>No. 814</t>
  </si>
  <si>
    <t>334200</t>
  </si>
  <si>
    <t>553141549</t>
  </si>
  <si>
    <t>LAO00492</t>
  </si>
  <si>
    <t>thongchanh.keokhamp@gov.la</t>
  </si>
  <si>
    <t>+856 20 57906707</t>
  </si>
  <si>
    <t>CSC000492</t>
  </si>
  <si>
    <t>SSO8379676</t>
  </si>
  <si>
    <t>Human Resources Division</t>
  </si>
  <si>
    <t>652500</t>
  </si>
  <si>
    <t>586612913</t>
  </si>
  <si>
    <t>LAO00493</t>
  </si>
  <si>
    <t>boutsady.dalasane@gov.la</t>
  </si>
  <si>
    <t>+856 20 58071702</t>
  </si>
  <si>
    <t>CSC000493</t>
  </si>
  <si>
    <t>SSO2864568</t>
  </si>
  <si>
    <t>No. 130</t>
  </si>
  <si>
    <t>814600</t>
  </si>
  <si>
    <t>343873669</t>
  </si>
  <si>
    <t>LAO00494</t>
  </si>
  <si>
    <t>soudabout.sisouvat@gov.la</t>
  </si>
  <si>
    <t>+856 20 96553066</t>
  </si>
  <si>
    <t>CSC000494</t>
  </si>
  <si>
    <t>SSO4865865</t>
  </si>
  <si>
    <t>No. 384</t>
  </si>
  <si>
    <t>959272620</t>
  </si>
  <si>
    <t>LAO00495</t>
  </si>
  <si>
    <t>souphavanh.khounbou@gov.la</t>
  </si>
  <si>
    <t>+856 20 99221700</t>
  </si>
  <si>
    <t>CSC000495</t>
  </si>
  <si>
    <t>SSO4502324</t>
  </si>
  <si>
    <t>335500</t>
  </si>
  <si>
    <t>860575419</t>
  </si>
  <si>
    <t>LAO00496</t>
  </si>
  <si>
    <t>soudabout.phouthav@gov.la</t>
  </si>
  <si>
    <t>+856 20 50722697</t>
  </si>
  <si>
    <t>CSC000496</t>
  </si>
  <si>
    <t>SSO6494025</t>
  </si>
  <si>
    <t>No. 534</t>
  </si>
  <si>
    <t>871800</t>
  </si>
  <si>
    <t>321009450</t>
  </si>
  <si>
    <t>LAO00497</t>
  </si>
  <si>
    <t>santisouk.manivong@gov.la</t>
  </si>
  <si>
    <t>+856 20 97631232</t>
  </si>
  <si>
    <t>CSC000497</t>
  </si>
  <si>
    <t>SSO3826222</t>
  </si>
  <si>
    <t>No. 777</t>
  </si>
  <si>
    <t>268800</t>
  </si>
  <si>
    <t>773126960</t>
  </si>
  <si>
    <t>LAO00498</t>
  </si>
  <si>
    <t>bounthieng.thammavo@gov.la</t>
  </si>
  <si>
    <t>+856 20 89311306</t>
  </si>
  <si>
    <t>CSC000498</t>
  </si>
  <si>
    <t>SSO5072572</t>
  </si>
  <si>
    <t>No. 227</t>
  </si>
  <si>
    <t>270300</t>
  </si>
  <si>
    <t>189220818</t>
  </si>
  <si>
    <t>LAO00499</t>
  </si>
  <si>
    <t>khamsouk.xayyasit@gov.la</t>
  </si>
  <si>
    <t>+856 20 88476526</t>
  </si>
  <si>
    <t>CSC000499</t>
  </si>
  <si>
    <t>SSO8729984</t>
  </si>
  <si>
    <t>No. 963</t>
  </si>
  <si>
    <t>453900</t>
  </si>
  <si>
    <t>794805953</t>
  </si>
  <si>
    <t>LAO00500</t>
  </si>
  <si>
    <t>vilayhong.luanglat@gov.la</t>
  </si>
  <si>
    <t>+856 20 64051322</t>
  </si>
  <si>
    <t>CSC000500</t>
  </si>
  <si>
    <t>SSO3694288</t>
  </si>
  <si>
    <t>No. 759</t>
  </si>
  <si>
    <t>918900</t>
  </si>
  <si>
    <t>448442536</t>
  </si>
  <si>
    <t>ORGANISATION MASTER  —  Ministry → Department → Division  (LK_OrgMaster)</t>
  </si>
  <si>
    <t>⭐ KEY DERIVATION TABLE. Employee Master derives: Profession Category (from Col D), 
Is NA Member (Col E), Field Allowance Type (Col F) via VLOOKUP on Ministry.  
Ministry Key (Col C) drives the dependent Department dropdown.  
Dept Key (Col D visible col = hidden helper) drives the dependent Division dropdown.  
DO NOT change Col B (Ministry), Col C (Ministry Key), Col D (Dept), Col E (Dept Key) — 
these are used as named range keys. Add new rows to extend.</t>
  </si>
  <si>
    <t>Row</t>
  </si>
  <si>
    <t>Ministry Name</t>
  </si>
  <si>
    <t>Ministry Key</t>
  </si>
  <si>
    <t>Department Name</t>
  </si>
  <si>
    <t>Dept Key</t>
  </si>
  <si>
    <t>NA Allowance Eligible</t>
  </si>
  <si>
    <t>Field Allowance Type</t>
  </si>
  <si>
    <t>MOF</t>
  </si>
  <si>
    <t>MOF_BUD</t>
  </si>
  <si>
    <t>Finance</t>
  </si>
  <si>
    <t>None</t>
  </si>
  <si>
    <t>MoF No. 4904/MOF, 26 Dec 2025</t>
  </si>
  <si>
    <t>MOF_TAX</t>
  </si>
  <si>
    <t>MOF_TRY</t>
  </si>
  <si>
    <t>MOF_CUS</t>
  </si>
  <si>
    <t>MOF_FIN</t>
  </si>
  <si>
    <t>MOF_AST</t>
  </si>
  <si>
    <t>MOH</t>
  </si>
  <si>
    <t>MOH_CUR</t>
  </si>
  <si>
    <t>Medical</t>
  </si>
  <si>
    <t>MOH_HYG</t>
  </si>
  <si>
    <t>MOH_FDD</t>
  </si>
  <si>
    <t>MOH_EQP</t>
  </si>
  <si>
    <t>MOH_PER</t>
  </si>
  <si>
    <t>MOH_PLN</t>
  </si>
  <si>
    <t>MOES</t>
  </si>
  <si>
    <t>MOES_PRI</t>
  </si>
  <si>
    <t>Teacher</t>
  </si>
  <si>
    <t>Teaching</t>
  </si>
  <si>
    <t>MOES_SEC</t>
  </si>
  <si>
    <t>MOES_HED</t>
  </si>
  <si>
    <t>MOES_TVE</t>
  </si>
  <si>
    <t>MOES_NFE</t>
  </si>
  <si>
    <t>MOES_PLN</t>
  </si>
  <si>
    <t>MOHA</t>
  </si>
  <si>
    <t>MOHA_PER</t>
  </si>
  <si>
    <t>Administration</t>
  </si>
  <si>
    <t>MOHA_ADM</t>
  </si>
  <si>
    <t>MOHA_LOC</t>
  </si>
  <si>
    <t>MOHA_CIV</t>
  </si>
  <si>
    <t>MOHA_COM</t>
  </si>
  <si>
    <t>MPWT</t>
  </si>
  <si>
    <t>MPWT_ROD</t>
  </si>
  <si>
    <t>Technical</t>
  </si>
  <si>
    <t>MPWT_TRP</t>
  </si>
  <si>
    <t>MPWT_HOU</t>
  </si>
  <si>
    <t>MPWT_PUB</t>
  </si>
  <si>
    <t>MPWT_MET</t>
  </si>
  <si>
    <t>MFA</t>
  </si>
  <si>
    <t>MFA_BIL</t>
  </si>
  <si>
    <t>Diplomatic</t>
  </si>
  <si>
    <t>MFA_MUL</t>
  </si>
  <si>
    <t>MFA_ASN</t>
  </si>
  <si>
    <t>MFA_PRO</t>
  </si>
  <si>
    <t>MFA_CON</t>
  </si>
  <si>
    <t>MOAF</t>
  </si>
  <si>
    <t>MOAF_AGR</t>
  </si>
  <si>
    <t>MOAF_FOR</t>
  </si>
  <si>
    <t>MOAF_IRR</t>
  </si>
  <si>
    <t>MOAF_LIV</t>
  </si>
  <si>
    <t>MOAF_LND</t>
  </si>
  <si>
    <t>MLSW</t>
  </si>
  <si>
    <t>MLSW_LAB</t>
  </si>
  <si>
    <t>MLSW_SOC</t>
  </si>
  <si>
    <t>MLSW_SKL</t>
  </si>
  <si>
    <t>MLSW_SSO</t>
  </si>
  <si>
    <t>MLSW_EMP</t>
  </si>
  <si>
    <t>MONRE</t>
  </si>
  <si>
    <t>MONRE_NAT</t>
  </si>
  <si>
    <t>MONRE_ENV</t>
  </si>
  <si>
    <t>MONRE_LSV</t>
  </si>
  <si>
    <t>MONRE_CLM</t>
  </si>
  <si>
    <t>MOIC</t>
  </si>
  <si>
    <t>MOIC_IND</t>
  </si>
  <si>
    <t>MOIC_DOM</t>
  </si>
  <si>
    <t>MOIC_IMP</t>
  </si>
  <si>
    <t>MOIC_SME</t>
  </si>
  <si>
    <t>MOJ</t>
  </si>
  <si>
    <t>MOJ_LEG</t>
  </si>
  <si>
    <t>Legal</t>
  </si>
  <si>
    <t>MOJ_JUD</t>
  </si>
  <si>
    <t>MOJ_ANC</t>
  </si>
  <si>
    <t>MOJ_INT</t>
  </si>
  <si>
    <t>MPI</t>
  </si>
  <si>
    <t>MPI_PLN</t>
  </si>
  <si>
    <t>MPI_INV</t>
  </si>
  <si>
    <t>MPI_STA</t>
  </si>
  <si>
    <t>MPI_INT</t>
  </si>
  <si>
    <t>NA</t>
  </si>
  <si>
    <t>NA_SEC</t>
  </si>
  <si>
    <t>NA_LAW</t>
  </si>
  <si>
    <t>NA_ECF</t>
  </si>
  <si>
    <t>NA_CSA</t>
  </si>
  <si>
    <t>NA_NSC</t>
  </si>
  <si>
    <t>NA_ADM</t>
  </si>
  <si>
    <t>VTCAP</t>
  </si>
  <si>
    <t>VTC_FIN</t>
  </si>
  <si>
    <t>VTC_EDU</t>
  </si>
  <si>
    <t>VTC_HLT</t>
  </si>
  <si>
    <t>VTC_PUB</t>
  </si>
  <si>
    <t>VTC_ADM</t>
  </si>
  <si>
    <t>CHAM</t>
  </si>
  <si>
    <t>CHP_FIN</t>
  </si>
  <si>
    <t>CHP_EDU</t>
  </si>
  <si>
    <t>CHP_HLT</t>
  </si>
  <si>
    <t>CHP_AGR</t>
  </si>
  <si>
    <t>LUANGPB</t>
  </si>
  <si>
    <t>LPB_FIN</t>
  </si>
  <si>
    <t>LPB_EDU</t>
  </si>
  <si>
    <t>LPB_HLT</t>
  </si>
  <si>
    <t>LPB_TCO</t>
  </si>
  <si>
    <t>SAVAN</t>
  </si>
  <si>
    <t>SVK_FIN</t>
  </si>
  <si>
    <t>SVK_EDU</t>
  </si>
  <si>
    <t>SVK_HLT</t>
  </si>
  <si>
    <t>SVK_IC</t>
  </si>
  <si>
    <t>KHAMM</t>
  </si>
  <si>
    <t>KMN_FIN</t>
  </si>
  <si>
    <t>KMN_EDU</t>
  </si>
  <si>
    <t>KMN_HLT</t>
  </si>
  <si>
    <t>KMN_AGR</t>
  </si>
  <si>
    <t>MONTHLY PAYROLL CALCULATION  —  Lao PDR Government  |  All amounts in LAK  |  Yellow = free input  |  Green = formula  |  Cols Y-AA = Other Allowances (free)  |  Cols AG-AH = Additional Deductions (free)</t>
  </si>
  <si>
    <t>Payroll Month →</t>
  </si>
  <si>
    <t>UPDATE MONTH HERE</t>
  </si>
  <si>
    <t>EMPLOYEE IDENTITY</t>
  </si>
  <si>
    <t>SALARY BASE</t>
  </si>
  <si>
    <t>⬆  EARNINGS / ALLOWANCES</t>
  </si>
  <si>
    <t>TOTAL
ALLOW</t>
  </si>
  <si>
    <t>GROSS</t>
  </si>
  <si>
    <t>NET SALARY</t>
  </si>
  <si>
    <t>Emp Code</t>
  </si>
  <si>
    <t>Ministry / Org</t>
  </si>
  <si>
    <t>Position</t>
  </si>
  <si>
    <t>Profession</t>
  </si>
  <si>
    <t>Grade-Step
Key</t>
  </si>
  <si>
    <t>Multiplier</t>
  </si>
  <si>
    <t>Index Value
(LAK)</t>
  </si>
  <si>
    <t>Basic Salary
(LAK)</t>
  </si>
  <si>
    <t>Position
Allowance</t>
  </si>
  <si>
    <t>Yrs Service
Allowance</t>
  </si>
  <si>
    <t>Teaching
Allowance</t>
  </si>
  <si>
    <t>Medical
Allowance</t>
  </si>
  <si>
    <t>NA Member
Allowance</t>
  </si>
  <si>
    <t>Hardship/
Hazardous</t>
  </si>
  <si>
    <t>Remote Area
Allowance</t>
  </si>
  <si>
    <t>Foreign Living
Allowance</t>
  </si>
  <si>
    <t>Fuel Benefit
(Gr≥8)</t>
  </si>
  <si>
    <t>Spouse
Benefit</t>
  </si>
  <si>
    <t>Child
Benefit</t>
  </si>
  <si>
    <t>Other
Subsidies</t>
  </si>
  <si>
    <t>Other Allowance 1
(Description + Amount)</t>
  </si>
  <si>
    <t>Other Allowance 2
(Description + Amount)</t>
  </si>
  <si>
    <t>Other Allowance 3
(Description + Amount)</t>
  </si>
  <si>
    <t>Total
Allowances
(LAK)</t>
  </si>
  <si>
    <t>GROSS
EARNINGS
(LAK)</t>
  </si>
  <si>
    <t>SSO Employee
Contrib.</t>
  </si>
  <si>
    <t>Taxable
Income</t>
  </si>
  <si>
    <t>PIT Amount
(LAK)</t>
  </si>
  <si>
    <t>Additional Deduction 1
(e.g. Loan Repayment)</t>
  </si>
  <si>
    <t>Additional Deduction 2
(e.g. Advance Recovery)</t>
  </si>
  <si>
    <t>TOTAL
DEDUCTIONS
(LAK)</t>
  </si>
  <si>
    <t>NET SALARY
(LAK)</t>
  </si>
  <si>
    <t>GRAND TOTALS</t>
  </si>
  <si>
    <t>GRADE &amp; STEP DERIVATION  —  Education × Prior Experience  (LK_GradeDerivation)</t>
  </si>
  <si>
    <t>⭐ UPDATED PER MoF No. 4904/MOF (Dec 2025). Maps Education Level × Prior Experience → Grade/Step. STRUCTURE: Grades 1-5 for regular staff (15 steps each). Grade 6 is leadership by appointment, not derived. Rule: Base grade set by education; each 2 years of prior experience advances 1 step; overflow to next grade. PhD starts at Grade 5 Step 6. Update Col D/E if Civil Service Authority revises entry rules.</t>
  </si>
  <si>
    <t>Education Level</t>
  </si>
  <si>
    <t>Min Prior Exp (Yrs)</t>
  </si>
  <si>
    <t>Max Prior Exp (Yrs)</t>
  </si>
  <si>
    <t>Derived Grade</t>
  </si>
  <si>
    <t>Derived Step</t>
  </si>
  <si>
    <t>Rule Description</t>
  </si>
  <si>
    <t>Below Secondary</t>
  </si>
  <si>
    <t>Edu: Below Secondary | Exp 0–1 yrs → G1 S1</t>
  </si>
  <si>
    <t>MoF No. 4904/MOF, 26 Dec 2025 + CSA Entry Grade Rules</t>
  </si>
  <si>
    <t>Edu: Below Secondary | Exp 2–3 yrs → G1 S2</t>
  </si>
  <si>
    <t>Edu: Below Secondary | Exp 4–5 yrs → G1 S3</t>
  </si>
  <si>
    <t>Edu: Below Secondary | Exp 6–7 yrs → G1 S4</t>
  </si>
  <si>
    <t>Edu: Below Secondary | Exp 8–9 yrs → G1 S5</t>
  </si>
  <si>
    <t>Edu: Below Secondary | Exp 10–11 yrs → G1 S6</t>
  </si>
  <si>
    <t>Edu: Below Secondary | Exp 12–13 yrs → G1 S7</t>
  </si>
  <si>
    <t>Edu: Below Secondary | Exp 14–15 yrs → G1 S8</t>
  </si>
  <si>
    <t>Edu: Below Secondary | Exp 16–17 yrs → G1 S9</t>
  </si>
  <si>
    <t>Edu: Below Secondary | Exp 18–19 yrs → G1 S10</t>
  </si>
  <si>
    <t>Edu: Below Secondary | Exp 20–21 yrs → G1 S11</t>
  </si>
  <si>
    <t>Edu: Below Secondary | Exp 22–23 yrs → G1 S12</t>
  </si>
  <si>
    <t>Edu: Below Secondary | Exp 24–25 yrs → G1 S13</t>
  </si>
  <si>
    <t>Edu: Below Secondary | Exp 26–27 yrs → G1 S14</t>
  </si>
  <si>
    <t>Edu: Below Secondary | Exp 28–29 yrs → G1 S15</t>
  </si>
  <si>
    <t>Edu: Below Secondary | Exp 30–31 yrs → G2 S1</t>
  </si>
  <si>
    <t>Edu: Below Secondary | Exp 32–33 yrs → G2 S2</t>
  </si>
  <si>
    <t>Edu: Below Secondary | Exp 34–35 yrs → G2 S3</t>
  </si>
  <si>
    <t>Edu: Below Secondary | Exp 36–37 yrs → G2 S4</t>
  </si>
  <si>
    <t>Edu: Below Secondary | Exp 38–39 yrs → G2 S5</t>
  </si>
  <si>
    <t>Edu: Below Secondary | Exp 40–40+ yrs → G2 S6</t>
  </si>
  <si>
    <t>Edu: Below Secondary | Exp 42–40+ yrs → G2 S7</t>
  </si>
  <si>
    <t>Edu: Secondary School ( | Exp 0–1 yrs → G2 S1</t>
  </si>
  <si>
    <t>Edu: Secondary School ( | Exp 2–3 yrs → G2 S2</t>
  </si>
  <si>
    <t>Edu: Secondary School ( | Exp 4–5 yrs → G2 S3</t>
  </si>
  <si>
    <t>Edu: Secondary School ( | Exp 6–7 yrs → G2 S4</t>
  </si>
  <si>
    <t>Edu: Secondary School ( | Exp 8–9 yrs → G2 S5</t>
  </si>
  <si>
    <t>Edu: Secondary School ( | Exp 10–11 yrs → G2 S6</t>
  </si>
  <si>
    <t>Edu: Secondary School ( | Exp 12–13 yrs → G2 S7</t>
  </si>
  <si>
    <t>Edu: Secondary School ( | Exp 14–15 yrs → G2 S8</t>
  </si>
  <si>
    <t>Edu: Secondary School ( | Exp 16–17 yrs → G2 S9</t>
  </si>
  <si>
    <t>Edu: Secondary School ( | Exp 18–19 yrs → G2 S10</t>
  </si>
  <si>
    <t>Edu: Secondary School ( | Exp 20–21 yrs → G2 S11</t>
  </si>
  <si>
    <t>Edu: Secondary School ( | Exp 22–23 yrs → G2 S12</t>
  </si>
  <si>
    <t>Edu: Secondary School ( | Exp 24–25 yrs → G2 S13</t>
  </si>
  <si>
    <t>Edu: Secondary School ( | Exp 26–27 yrs → G2 S14</t>
  </si>
  <si>
    <t>Edu: Secondary School ( | Exp 28–29 yrs → G2 S15</t>
  </si>
  <si>
    <t>Edu: Secondary School ( | Exp 30–31 yrs → G3 S1</t>
  </si>
  <si>
    <t>Edu: Secondary School ( | Exp 32–33 yrs → G3 S2</t>
  </si>
  <si>
    <t>Edu: Secondary School ( | Exp 34–35 yrs → G3 S3</t>
  </si>
  <si>
    <t>Edu: Secondary School ( | Exp 36–37 yrs → G3 S4</t>
  </si>
  <si>
    <t>Edu: Secondary School ( | Exp 38–39 yrs → G3 S5</t>
  </si>
  <si>
    <t>Edu: Secondary School ( | Exp 40–40+ yrs → G3 S6</t>
  </si>
  <si>
    <t>Edu: Secondary School ( | Exp 42–40+ yrs → G3 S7</t>
  </si>
  <si>
    <t>Edu: Diploma (2 years) | Exp 0–1 yrs → G3 S1</t>
  </si>
  <si>
    <t>Edu: Diploma (2 years) | Exp 2–3 yrs → G3 S2</t>
  </si>
  <si>
    <t>Edu: Diploma (2 years) | Exp 4–5 yrs → G3 S3</t>
  </si>
  <si>
    <t>Edu: Diploma (2 years) | Exp 6–7 yrs → G3 S4</t>
  </si>
  <si>
    <t>Edu: Diploma (2 years) | Exp 8–9 yrs → G3 S5</t>
  </si>
  <si>
    <t>Edu: Diploma (2 years) | Exp 10–11 yrs → G3 S6</t>
  </si>
  <si>
    <t>Edu: Diploma (2 years) | Exp 12–13 yrs → G3 S7</t>
  </si>
  <si>
    <t>Edu: Diploma (2 years) | Exp 14–15 yrs → G3 S8</t>
  </si>
  <si>
    <t>Edu: Diploma (2 years) | Exp 16–17 yrs → G3 S9</t>
  </si>
  <si>
    <t>Edu: Diploma (2 years) | Exp 18–19 yrs → G3 S10</t>
  </si>
  <si>
    <t>Edu: Diploma (2 years) | Exp 20–21 yrs → G3 S11</t>
  </si>
  <si>
    <t>Edu: Diploma (2 years) | Exp 22–23 yrs → G3 S12</t>
  </si>
  <si>
    <t>Edu: Diploma (2 years) | Exp 24–25 yrs → G3 S13</t>
  </si>
  <si>
    <t>Edu: Diploma (2 years) | Exp 26–27 yrs → G3 S14</t>
  </si>
  <si>
    <t>Edu: Diploma (2 years) | Exp 28–29 yrs → G3 S15</t>
  </si>
  <si>
    <t>Edu: Diploma (2 years) | Exp 30–31 yrs → G4 S1</t>
  </si>
  <si>
    <t>Edu: Diploma (2 years) | Exp 32–33 yrs → G4 S2</t>
  </si>
  <si>
    <t>Edu: Diploma (2 years) | Exp 34–35 yrs → G4 S3</t>
  </si>
  <si>
    <t>Edu: Diploma (2 years) | Exp 36–37 yrs → G4 S4</t>
  </si>
  <si>
    <t>Edu: Diploma (2 years) | Exp 38–39 yrs → G4 S5</t>
  </si>
  <si>
    <t>Edu: Diploma (2 years) | Exp 40–40+ yrs → G4 S6</t>
  </si>
  <si>
    <t>Edu: Diploma (2 years) | Exp 42–40+ yrs → G4 S7</t>
  </si>
  <si>
    <t>Edu: Bachelor's Degree | Exp 0–1 yrs → G4 S1</t>
  </si>
  <si>
    <t>Edu: Bachelor's Degree | Exp 2–3 yrs → G4 S2</t>
  </si>
  <si>
    <t>Edu: Bachelor's Degree | Exp 4–5 yrs → G4 S3</t>
  </si>
  <si>
    <t>Edu: Bachelor's Degree | Exp 6–7 yrs → G4 S4</t>
  </si>
  <si>
    <t>Edu: Bachelor's Degree | Exp 8–9 yrs → G4 S5</t>
  </si>
  <si>
    <t>Edu: Bachelor's Degree | Exp 10–11 yrs → G4 S6</t>
  </si>
  <si>
    <t>Edu: Bachelor's Degree | Exp 12–13 yrs → G4 S7</t>
  </si>
  <si>
    <t>Edu: Bachelor's Degree | Exp 14–15 yrs → G4 S8</t>
  </si>
  <si>
    <t>Edu: Bachelor's Degree | Exp 16–17 yrs → G4 S9</t>
  </si>
  <si>
    <t>Edu: Bachelor's Degree | Exp 18–19 yrs → G4 S10</t>
  </si>
  <si>
    <t>Edu: Bachelor's Degree | Exp 20–21 yrs → G4 S11</t>
  </si>
  <si>
    <t>Edu: Bachelor's Degree | Exp 22–23 yrs → G4 S12</t>
  </si>
  <si>
    <t>Edu: Bachelor's Degree | Exp 24–25 yrs → G4 S13</t>
  </si>
  <si>
    <t>Edu: Bachelor's Degree | Exp 26–27 yrs → G4 S14</t>
  </si>
  <si>
    <t>Edu: Bachelor's Degree | Exp 28–29 yrs → G4 S15</t>
  </si>
  <si>
    <t>Edu: Bachelor's Degree | Exp 30–31 yrs → G5 S1</t>
  </si>
  <si>
    <t>Edu: Bachelor's Degree | Exp 32–33 yrs → G5 S2</t>
  </si>
  <si>
    <t>Edu: Bachelor's Degree | Exp 34–35 yrs → G5 S3</t>
  </si>
  <si>
    <t>Edu: Bachelor's Degree | Exp 36–37 yrs → G5 S4</t>
  </si>
  <si>
    <t>Edu: Bachelor's Degree | Exp 38–39 yrs → G5 S5</t>
  </si>
  <si>
    <t>Edu: Bachelor's Degree | Exp 40–40+ yrs → G5 S6</t>
  </si>
  <si>
    <t>Edu: Bachelor's Degree | Exp 42–40+ yrs → G5 S7</t>
  </si>
  <si>
    <t>Edu: Master's Degree | Exp 0–1 yrs → G5 S1</t>
  </si>
  <si>
    <t>Edu: Master's Degree | Exp 2–3 yrs → G5 S2</t>
  </si>
  <si>
    <t>Edu: Master's Degree | Exp 4–5 yrs → G5 S3</t>
  </si>
  <si>
    <t>Edu: Master's Degree | Exp 6–7 yrs → G5 S4</t>
  </si>
  <si>
    <t>Edu: Master's Degree | Exp 8–9 yrs → G5 S5</t>
  </si>
  <si>
    <t>Edu: Master's Degree | Exp 10–11 yrs → G5 S6</t>
  </si>
  <si>
    <t>Edu: Master's Degree | Exp 12–13 yrs → G5 S7</t>
  </si>
  <si>
    <t>Edu: Master's Degree | Exp 14–15 yrs → G5 S8</t>
  </si>
  <si>
    <t>Edu: Master's Degree | Exp 16–17 yrs → G5 S9</t>
  </si>
  <si>
    <t>Edu: Master's Degree | Exp 18–19 yrs → G5 S10</t>
  </si>
  <si>
    <t>Edu: Master's Degree | Exp 20–21 yrs → G5 S11</t>
  </si>
  <si>
    <t>Edu: Master's Degree | Exp 22–23 yrs → G5 S12</t>
  </si>
  <si>
    <t>Edu: Master's Degree | Exp 24–25 yrs → G5 S13</t>
  </si>
  <si>
    <t>Edu: Master's Degree | Exp 26–27 yrs → G5 S14</t>
  </si>
  <si>
    <t>Edu: Master's Degree | Exp 28–29 yrs → G5 S15</t>
  </si>
  <si>
    <t>Edu: Master's Degree | Exp 30–31 yrs → G5 S1</t>
  </si>
  <si>
    <t>Edu: Master's Degree | Exp 32–33 yrs → G5 S2</t>
  </si>
  <si>
    <t>Edu: Master's Degree | Exp 34–35 yrs → G5 S3</t>
  </si>
  <si>
    <t>Edu: Master's Degree | Exp 36–37 yrs → G5 S4</t>
  </si>
  <si>
    <t>Edu: Master's Degree | Exp 38–39 yrs → G5 S5</t>
  </si>
  <si>
    <t>Edu: Master's Degree | Exp 40–40+ yrs → G5 S6</t>
  </si>
  <si>
    <t>Edu: Master's Degree | Exp 42–40+ yrs → G5 S7</t>
  </si>
  <si>
    <t>Edu: Doctorate (PhD) | Exp 0–1 yrs → G5 S6</t>
  </si>
  <si>
    <t>Edu: Doctorate (PhD) | Exp 2–3 yrs → G5 S7</t>
  </si>
  <si>
    <t>Edu: Doctorate (PhD) | Exp 4–5 yrs → G5 S8</t>
  </si>
  <si>
    <t>Edu: Doctorate (PhD) | Exp 6–7 yrs → G5 S9</t>
  </si>
  <si>
    <t>Edu: Doctorate (PhD) | Exp 8–9 yrs → G5 S10</t>
  </si>
  <si>
    <t>Edu: Doctorate (PhD) | Exp 10–11 yrs → G5 S11</t>
  </si>
  <si>
    <t>Edu: Doctorate (PhD) | Exp 12–13 yrs → G5 S12</t>
  </si>
  <si>
    <t>Edu: Doctorate (PhD) | Exp 14–15 yrs → G5 S13</t>
  </si>
  <si>
    <t>Edu: Doctorate (PhD) | Exp 16–17 yrs → G5 S14</t>
  </si>
  <si>
    <t>Edu: Doctorate (PhD) | Exp 18–19 yrs → G5 S15</t>
  </si>
  <si>
    <t>Edu: Doctorate (PhD) | Exp 20–21 yrs → G5 S1</t>
  </si>
  <si>
    <t>Edu: Doctorate (PhD) | Exp 22–23 yrs → G5 S2</t>
  </si>
  <si>
    <t>Edu: Doctorate (PhD) | Exp 24–25 yrs → G5 S3</t>
  </si>
  <si>
    <t>Edu: Doctorate (PhD) | Exp 26–27 yrs → G5 S4</t>
  </si>
  <si>
    <t>Edu: Doctorate (PhD) | Exp 28–29 yrs → G5 S5</t>
  </si>
  <si>
    <t>Edu: Doctorate (PhD) | Exp 30–31 yrs → G5 S6</t>
  </si>
  <si>
    <t>Edu: Doctorate (PhD) | Exp 32–33 yrs → G5 S7</t>
  </si>
  <si>
    <t>Edu: Doctorate (PhD) | Exp 34–35 yrs → G5 S8</t>
  </si>
  <si>
    <t>Edu: Doctorate (PhD) | Exp 36–37 yrs → G5 S9</t>
  </si>
  <si>
    <t>Edu: Doctorate (PhD) | Exp 38–39 yrs → G5 S10</t>
  </si>
  <si>
    <t>Edu: Doctorate (PhD) | Exp 40–40+ yrs → G5 S11</t>
  </si>
  <si>
    <t>Edu: Doctorate (PhD) | Exp 42–40+ yrs → G5 S12</t>
  </si>
  <si>
    <t>GRADE &amp; STEP MULTIPLIER TABLE  (LK_GradeStep)</t>
  </si>
  <si>
    <t>⭐ UPDATED PER MoF No. 4904/MOF (Dec 2025). TWO INPUT COLUMNS: Col D = Grade/Step Index (from MoF matrix, 260-1200) | Col E = Salary Index Rate (LAK per index point, default 10,000). Basic Salary = Grade/Step Index × Salary Index Rate. STRUCTURE: 5 Grades × 15 Steps (regular staff) + Grade 6 × 7 Steps (leadership/appointed). UPDATE Col E when MoF revises the ຄ່າດັດສະນີ monetary rate. UPDATE Col D values if MoF revises the index matrix.</t>
  </si>
  <si>
    <t>Grade-Step Key</t>
  </si>
  <si>
    <t>Grade/Step Index
(MoF Matrix)</t>
  </si>
  <si>
    <t>Salary Index Rate
(LAK per Index Point)</t>
  </si>
  <si>
    <t>Min. Education</t>
  </si>
  <si>
    <t>Min. Prior Exp (Yrs)</t>
  </si>
  <si>
    <t>Basic=260×10,000=2,600,000 LAK</t>
  </si>
  <si>
    <t>Basic=261×10,000=2,610,000 LAK</t>
  </si>
  <si>
    <t>Basic=262×10,000=2,620,000 LAK</t>
  </si>
  <si>
    <t>Basic=263×10,000=2,630,000 LAK</t>
  </si>
  <si>
    <t>Basic=264×10,000=2,640,000 LAK</t>
  </si>
  <si>
    <t>Basic=265×10,000=2,650,000 LAK</t>
  </si>
  <si>
    <t>Basic=266×10,000=2,660,000 LAK</t>
  </si>
  <si>
    <t>Basic=267×10,000=2,670,000 LAK</t>
  </si>
  <si>
    <t>Basic=268×10,000=2,680,000 LAK</t>
  </si>
  <si>
    <t>Basic=269×10,000=2,690,000 LAK</t>
  </si>
  <si>
    <t>Basic=270×10,000=2,700,000 LAK</t>
  </si>
  <si>
    <t>Basic=271×10,000=2,710,000 LAK</t>
  </si>
  <si>
    <t>Basic=272×10,000=2,720,000 LAK</t>
  </si>
  <si>
    <t>Basic=273×10,000=2,730,000 LAK</t>
  </si>
  <si>
    <t>Basic=274×10,000=2,740,000 LAK</t>
  </si>
  <si>
    <t>Basic=275×10,000=2,750,000 LAK</t>
  </si>
  <si>
    <t>Basic=276×10,000=2,760,000 LAK</t>
  </si>
  <si>
    <t>Basic=277×10,000=2,770,000 LAK</t>
  </si>
  <si>
    <t>Basic=278×10,000=2,780,000 LAK</t>
  </si>
  <si>
    <t>Basic=279×10,000=2,790,000 LAK</t>
  </si>
  <si>
    <t>Basic=280×10,000=2,800,000 LAK</t>
  </si>
  <si>
    <t>Basic=281×10,000=2,810,000 LAK</t>
  </si>
  <si>
    <t>Basic=282×10,000=2,820,000 LAK</t>
  </si>
  <si>
    <t>Basic=284×10,000=2,840,000 LAK</t>
  </si>
  <si>
    <t>Basic=286×10,000=2,860,000 LAK</t>
  </si>
  <si>
    <t>Basic=288×10,000=2,880,000 LAK</t>
  </si>
  <si>
    <t>Basic=290×10,000=2,900,000 LAK</t>
  </si>
  <si>
    <t>Basic=292×10,000=2,920,000 LAK</t>
  </si>
  <si>
    <t>Basic=294×10,000=2,940,000 LAK</t>
  </si>
  <si>
    <t>Basic=296×10,000=2,960,000 LAK</t>
  </si>
  <si>
    <t>Basic=298×10,000=2,980,000 LAK</t>
  </si>
  <si>
    <t>Basic=303×10,000=3,030,000 LAK</t>
  </si>
  <si>
    <t>Basic=308×10,000=3,080,000 LAK</t>
  </si>
  <si>
    <t>Basic=313×10,000=3,130,000 LAK</t>
  </si>
  <si>
    <t>Basic=318×10,000=3,180,000 LAK</t>
  </si>
  <si>
    <t>Basic=323×10,000=3,230,000 LAK</t>
  </si>
  <si>
    <t>Basic=328×10,000=3,280,000 LAK</t>
  </si>
  <si>
    <t>Basic=333×10,000=3,330,000 LAK</t>
  </si>
  <si>
    <t>Basic=338×10,000=3,380,000 LAK</t>
  </si>
  <si>
    <t>Master's / PhD</t>
  </si>
  <si>
    <t>Basic=348×10,000=3,480,000 LAK</t>
  </si>
  <si>
    <t>Basic=358×10,000=3,580,000 LAK</t>
  </si>
  <si>
    <t>Basic=368×10,000=3,680,000 LAK</t>
  </si>
  <si>
    <t>Basic=378×10,000=3,780,000 LAK</t>
  </si>
  <si>
    <t>Basic=388×10,000=3,880,000 LAK</t>
  </si>
  <si>
    <t>Basic=398×10,000=3,980,000 LAK</t>
  </si>
  <si>
    <t>Basic=408×10,000=4,080,000 LAK</t>
  </si>
  <si>
    <t>Basic=418×10,000=4,180,000 LAK</t>
  </si>
  <si>
    <t>Appointed Leadership</t>
  </si>
  <si>
    <t>Appointed</t>
  </si>
  <si>
    <t>Leadership position. Index 600. Basic=6,000,000 LAK</t>
  </si>
  <si>
    <t>Leadership position. Index 700. Basic=7,000,000 LAK</t>
  </si>
  <si>
    <t>Leadership position. Index 800. Basic=8,000,000 LAK</t>
  </si>
  <si>
    <t>Leadership position. Index 900. Basic=9,000,000 LAK</t>
  </si>
  <si>
    <t>Leadership position. Index 1000. Basic=10,000,000 LAK</t>
  </si>
  <si>
    <t>Leadership position. Index 1100. Basic=11,000,000 LAK</t>
  </si>
  <si>
    <t>Leadership position. Index 1200. Basic=12,000,000 LAK</t>
  </si>
  <si>
    <t>ALLOWANCE RATES TABLE  (LK_AllowanceRates)</t>
  </si>
  <si>
    <t>⭐ UPDATED PER MoF No. 4904/MOF, 26 December 2025. IMPORTANT CHANGES: (1) Row 4 = Salary Index Rate (LAK per index point) — was 'Index Value'. (2) Position Allowances restructured to MoF 8-Type system. (3) Years of Service now per-year rates (rows 12-15). (4) Teaching (row 16) and Remote (row 20) stored as % of basic salary (e.g. 0.20 = 20%). (5) Medical=500K, NA=1M, Hazardous=1M, Spouse=200K, Child=200K LAK. UPDATE Col B (Amount) when MoF issues further circulars. DO NOT change Col A names — they are VLOOKUP keys used by PAYROLL_CALC.</t>
  </si>
  <si>
    <t>Allowance / Rate Name</t>
  </si>
  <si>
    <t>Amount (LAK) or Rate</t>
  </si>
  <si>
    <t>Eligibility</t>
  </si>
  <si>
    <t>Description &amp; Notes</t>
  </si>
  <si>
    <t>Salary Index Rate (ຄ່າດັດສະນີ — LAK per Index Point)</t>
  </si>
  <si>
    <t>All Civil Servants</t>
  </si>
  <si>
    <t>Monetary rate per salary index point. Basic Salary = Grade/Step Index × this rate. Update when MoF issues revised ຄ່າດັດສະນີ circular. Current: 10,000 LAK/index point per MoF 4904/MOF indicative rate.</t>
  </si>
  <si>
    <t>Position Allowance - General Staff</t>
  </si>
  <si>
    <t>Technical and general civil servants without administrative position</t>
  </si>
  <si>
    <t>Professional/technical (general staff) allowance per MoF 4904/MOF. 900,000 LAK/person/month.</t>
  </si>
  <si>
    <t>Position Allowance - Section Chief</t>
  </si>
  <si>
    <t>Section Chief / Type 3 administrative position</t>
  </si>
  <si>
    <t>Administrative position Type 3 per MoF 4904/MOF. 1,500,000 LAK/person/month.</t>
  </si>
  <si>
    <t>Position Allowance - Division Chief</t>
  </si>
  <si>
    <t>Division Chief / Type 5 administrative position</t>
  </si>
  <si>
    <t>Administrative position Type 5 per MoF 4904/MOF. 1,900,000 LAK/person/month.</t>
  </si>
  <si>
    <t>Position Allowance - Deputy Director</t>
  </si>
  <si>
    <t>Deputy Director / Type 7 administrative position</t>
  </si>
  <si>
    <t>Administrative position Type 7 per MoF 4904/MOF. 2,300,000 LAK/person/month.</t>
  </si>
  <si>
    <t>Position Allowance - Director</t>
  </si>
  <si>
    <t>Department Director / Type 8 administrative position</t>
  </si>
  <si>
    <t>Administrative position Type 8 per MoF 4904/MOF. 2,500,000 LAK/person/month.</t>
  </si>
  <si>
    <t>Position Allowance - Deputy Minister</t>
  </si>
  <si>
    <t>Deputy Minister / Grade 6 Step 2 leadership</t>
  </si>
  <si>
    <t>Grade 6 Step 2 leadership allowance per MoF 4904/MOF. 4,000,000 LAK/person/month.</t>
  </si>
  <si>
    <t>Position Allowance - Minister</t>
  </si>
  <si>
    <t>Minister / Grade 6 Step 7 highest leadership</t>
  </si>
  <si>
    <t>Grade 6 Step 7 leadership allowance per MoF 4904/MOF. 9,000,000 LAK/person/month.</t>
  </si>
  <si>
    <t>Years of Service Rate — 1 to 5 Years (LAK/year)</t>
  </si>
  <si>
    <t>Staff with 1-5 completed years. Formula: years × 10,000 LAK/year.</t>
  </si>
  <si>
    <t>Per MoF 4904/MOF Sec 2.2.2. Rate of 10,000 LAK per year for first 5 years of service.</t>
  </si>
  <si>
    <t>Years of Service Rate — 6 to 15 Years (LAK/year)</t>
  </si>
  <si>
    <t>Staff with 6-15 completed years. Formula: years × 20,000 LAK/year.</t>
  </si>
  <si>
    <t>Per MoF 4904/MOF Sec 2.2.2. Rate of 20,000 LAK per year for years 6-15.</t>
  </si>
  <si>
    <t>Years of Service Rate — 16 to 25 Years (LAK/year)</t>
  </si>
  <si>
    <t>Staff with 16-25 completed years. Formula: years × 30,000 LAK/year.</t>
  </si>
  <si>
    <t>Per MoF 4904/MOF Sec 2.2.2. Rate of 30,000 LAK per year for years 16-25.</t>
  </si>
  <si>
    <t>Years of Service Rate — 26+ Years (LAK/year)</t>
  </si>
  <si>
    <t>Staff with 26 or more completed years. Formula: years × 40,000 LAK/year.</t>
  </si>
  <si>
    <t>Per MoF 4904/MOF Sec 2.2.2. Rate of 40,000 LAK per year for 26+ years.</t>
  </si>
  <si>
    <t>Teaching Allowance Rate — % of Basic Salary</t>
  </si>
  <si>
    <t>Teachers (Field Allowance Type = Teaching). 20% of basic salary (secondary level default). Update for specific levels: Kindergarten/Primary=25%, Secondary=20%, Vocational=15%, Higher Ed=10%.</t>
  </si>
  <si>
    <t>Per MoF 4904/MOF Sec 2.2.3. Percentage of basic salary. Default: 20% (secondary). Formula in PAYROLL_CALC: Basic Salary × this rate.</t>
  </si>
  <si>
    <t>Medical Personnel Allowance</t>
  </si>
  <si>
    <t>Medical personnel providing medical services/treatment and diagnosis (MoH and equivalent).</t>
  </si>
  <si>
    <t>Per MoF 4904/MOF Sec 4. 500,000 LAK/person/month. Not paid if not performing duty.</t>
  </si>
  <si>
    <t>National Assembly (NA) Member Allowance</t>
  </si>
  <si>
    <t>Elected National Assembly Members.</t>
  </si>
  <si>
    <t>Per MoF 4904/MOF Sec 5. 1,000,000 LAK/person/month for elected NA members.</t>
  </si>
  <si>
    <t>Hardship and Hazardous Jobs Allowance</t>
  </si>
  <si>
    <t>Staff in designated hazardous roles per Instruction No. 127/MoF dated 14 Feb 1994.</t>
  </si>
  <si>
    <t>Per MoF 4904/MOF Sec 6. 1,000,000 LAK/person/month.</t>
  </si>
  <si>
    <t>Remote / Difficult Area Allowance Rate — % of Basic Salary</t>
  </si>
  <si>
    <t>Staff in remote/difficult areas. Default Level 2: 25% of base salary. Level 1=30%, Level 2=25%, Level 3=20% per Decree 292/GoL dated 5 Apr 2021.</t>
  </si>
  <si>
    <t>Per MoF 4904/MOF Sec 7. Percentage of basic salary. Default Level 2 (25%). Formula: Basic Salary × this rate. Update to 0.30 or 0.20 for other levels.</t>
  </si>
  <si>
    <t>Foreign Representative Living Allowance (LAK equivalent)</t>
  </si>
  <si>
    <t>Staff posted to Lao representative offices abroad. Actual amount in USD per position and area (see MoF 4904/MOF Sec 4 tables).</t>
  </si>
  <si>
    <t>Per MoF 4904/MOF Sec 4. Area 1 Second Secretary equivalent: USD 1,012 × 20,000 LAK/USD = 20,240,000 LAK. Update with actual USD rate × exchange rate per MFA directive.</t>
  </si>
  <si>
    <t>Fuel Benefit — High Ranking Officials (Grade 6)</t>
  </si>
  <si>
    <t>Grade 6 leadership officials. Refer to Decree 599/GoL Sep 2021 and MoF Notification 2984/MoF Aug 2024.</t>
  </si>
  <si>
    <t>Per MoF 4904/MOF Sec 3.1. Follow Decree 599/GoL on State Vehicles. Amount per vehicle policy, not fixed cash.</t>
  </si>
  <si>
    <t>Spouse Benefit</t>
  </si>
  <si>
    <t>Married civil servants (Has Spouse = Yes).</t>
  </si>
  <si>
    <t>Per MoF 4904/MOF Sec 3.2. 200,000 LAK/person/month.</t>
  </si>
  <si>
    <t>Child Benefit (per child, max 3)</t>
  </si>
  <si>
    <t>Civil servants with eligible children (max 3).</t>
  </si>
  <si>
    <t>Per MoF 4904/MOF Sec 3.2. 200,000 LAK/person/month per eligible child. Maximum 3 children.</t>
  </si>
  <si>
    <t>SSO Employee Contribution Rate (%)</t>
  </si>
  <si>
    <t>All permanent employees — percentage of Basic Salary.</t>
  </si>
  <si>
    <t>Employee mandatory SSO contribution. Rate per SSO/MLSW decree. Enter as plain number: 5.5 = 5.5%.</t>
  </si>
  <si>
    <t>SSO Employer Contribution Rate (%)</t>
  </si>
  <si>
    <t>Government (employer) contribution — not deducted from employee salary.</t>
  </si>
  <si>
    <t>Reference only. Employer SSO contribution borne by government.</t>
  </si>
  <si>
    <t>PERSONAL INCOME TAX (PIT) BRACKETS  —  Lao PDR  (LK_PIT)</t>
  </si>
  <si>
    <t>PIT is calculated on Taxable Income = Gross Earnings – SSO Employee Contribution. 
Tax is progressive. Col F = cumulative tax at the lower bound. 
Update Col D (Rate) and Col F (Cumulative) per current GDT circular.</t>
  </si>
  <si>
    <t>Bracket</t>
  </si>
  <si>
    <t>From (LAK)</t>
  </si>
  <si>
    <t>To (LAK)</t>
  </si>
  <si>
    <t>Rate %</t>
  </si>
  <si>
    <t>Cumulative Tax at Lower Bound</t>
  </si>
  <si>
    <t>Calculation Formula</t>
  </si>
  <si>
    <t>Exempt</t>
  </si>
  <si>
    <t>Tax: 0 (exempt)</t>
  </si>
  <si>
    <t>GDT / MoF PIT Rates (current)</t>
  </si>
  <si>
    <t>5% on amount over 1,300,000</t>
  </si>
  <si>
    <t>Tax: (Income − 1,300,000) × 5%</t>
  </si>
  <si>
    <t>10% on amount over 5,000,000</t>
  </si>
  <si>
    <t>Tax: 185,000 + (Income − 5,000,000) × 10%</t>
  </si>
  <si>
    <t>15% on amount over 10,000,000</t>
  </si>
  <si>
    <t>Tax: 685,000 + (Income − 10,000,000) × 15%</t>
  </si>
  <si>
    <t>20% on amount over 20,000,000</t>
  </si>
  <si>
    <t>Tax: 2,185,000 + (Income − 20,000,000) × 20%</t>
  </si>
  <si>
    <t>No Limit</t>
  </si>
  <si>
    <t>24% on amount over 40,000,000</t>
  </si>
  <si>
    <t>Tax: 6,185,000 + (Income − 40,000,000) × 24%</t>
  </si>
  <si>
    <t>#</t>
  </si>
  <si>
    <t>Branch Name</t>
  </si>
  <si>
    <t>Branch Code</t>
  </si>
  <si>
    <t>City</t>
  </si>
  <si>
    <t>Branch Address</t>
  </si>
  <si>
    <t>MINISTRY_LIST</t>
  </si>
  <si>
    <t>MINISTRY_KEYS</t>
  </si>
  <si>
    <t>DEPT_MOF</t>
  </si>
  <si>
    <t>DEPT_MOH</t>
  </si>
  <si>
    <t>DEPT_MOES</t>
  </si>
  <si>
    <t>DEPT_MOHA</t>
  </si>
  <si>
    <t>DEPT_MPWT</t>
  </si>
  <si>
    <t>DEPT_MFA</t>
  </si>
  <si>
    <t>DEPT_MOAF</t>
  </si>
  <si>
    <t>DEPT_MLSW</t>
  </si>
  <si>
    <t>DEPT_MONRE</t>
  </si>
  <si>
    <t>DEPT_MOIC</t>
  </si>
  <si>
    <t>DEPT_MOJ</t>
  </si>
  <si>
    <t>DEPT_MPI</t>
  </si>
  <si>
    <t>DEPT_NA</t>
  </si>
  <si>
    <t>DEPT_VTCAP</t>
  </si>
  <si>
    <t>DEPT_CHAM</t>
  </si>
  <si>
    <t>DEPT_LUANGPB</t>
  </si>
  <si>
    <t>DEPT_SAVAN</t>
  </si>
  <si>
    <t>DEPT_KHAMM</t>
  </si>
  <si>
    <t>ALL_DEPT_NAMES</t>
  </si>
  <si>
    <t>ALL_DEPT_KEYS</t>
  </si>
  <si>
    <t>DIV_MOF_BUD</t>
  </si>
  <si>
    <t>DIV_MOF_TAX</t>
  </si>
  <si>
    <t>DIV_MOF_TRY</t>
  </si>
  <si>
    <t>DIV_MOF_CUS</t>
  </si>
  <si>
    <t>DIV_MOF_FIN</t>
  </si>
  <si>
    <t>DIV_MOF_AST</t>
  </si>
  <si>
    <t>DIV_MOH_CUR</t>
  </si>
  <si>
    <t>DIV_MOH_HYG</t>
  </si>
  <si>
    <t>DIV_MOH_FDD</t>
  </si>
  <si>
    <t>DIV_MOH_EQP</t>
  </si>
  <si>
    <t>DIV_MOH_PER</t>
  </si>
  <si>
    <t>DIV_MOH_PLN</t>
  </si>
  <si>
    <t>DIV_MOES_PRI</t>
  </si>
  <si>
    <t>DIV_MOES_SEC</t>
  </si>
  <si>
    <t>DIV_MOES_HED</t>
  </si>
  <si>
    <t>DIV_MOES_TVE</t>
  </si>
  <si>
    <t>DIV_MOES_NFE</t>
  </si>
  <si>
    <t>DIV_MOES_PLN</t>
  </si>
  <si>
    <t>DIV_MOHA_PER</t>
  </si>
  <si>
    <t>DIV_MOHA_ADM</t>
  </si>
  <si>
    <t>DIV_MOHA_LOC</t>
  </si>
  <si>
    <t>DIV_MOHA_CIV</t>
  </si>
  <si>
    <t>DIV_MOHA_COM</t>
  </si>
  <si>
    <t>DIV_MPWT_ROD</t>
  </si>
  <si>
    <t>DIV_MPWT_TRP</t>
  </si>
  <si>
    <t>DIV_MPWT_HOU</t>
  </si>
  <si>
    <t>DIV_MPWT_PUB</t>
  </si>
  <si>
    <t>DIV_MPWT_MET</t>
  </si>
  <si>
    <t>DIV_MFA_BIL</t>
  </si>
  <si>
    <t>DIV_MFA_MUL</t>
  </si>
  <si>
    <t>DIV_MFA_ASN</t>
  </si>
  <si>
    <t>DIV_MFA_PRO</t>
  </si>
  <si>
    <t>DIV_MFA_CON</t>
  </si>
  <si>
    <t>DIV_MOAF_AGR</t>
  </si>
  <si>
    <t>DIV_MOAF_FOR</t>
  </si>
  <si>
    <t>DIV_MOAF_IRR</t>
  </si>
  <si>
    <t>DIV_MOAF_LIV</t>
  </si>
  <si>
    <t>DIV_MOAF_LND</t>
  </si>
  <si>
    <t>DIV_MLSW_LAB</t>
  </si>
  <si>
    <t>DIV_MLSW_SOC</t>
  </si>
  <si>
    <t>DIV_MLSW_SKL</t>
  </si>
  <si>
    <t>DIV_MLSW_SSO</t>
  </si>
  <si>
    <t>DIV_MLSW_EMP</t>
  </si>
  <si>
    <t>DIV_MONRE_NAT</t>
  </si>
  <si>
    <t>DIV_MONRE_ENV</t>
  </si>
  <si>
    <t>DIV_MONRE_LSV</t>
  </si>
  <si>
    <t>DIV_MONRE_CLM</t>
  </si>
  <si>
    <t>DIV_MOIC_IND</t>
  </si>
  <si>
    <t>DIV_MOIC_DOM</t>
  </si>
  <si>
    <t>DIV_MOIC_IMP</t>
  </si>
  <si>
    <t>DIV_MOIC_SME</t>
  </si>
  <si>
    <t>DIV_MOJ_LEG</t>
  </si>
  <si>
    <t>DIV_MOJ_JUD</t>
  </si>
  <si>
    <t>DIV_MOJ_ANC</t>
  </si>
  <si>
    <t>DIV_MOJ_INT</t>
  </si>
  <si>
    <t>DIV_MPI_PLN</t>
  </si>
  <si>
    <t>DIV_MPI_INV</t>
  </si>
  <si>
    <t>DIV_MPI_STA</t>
  </si>
  <si>
    <t>DIV_MPI_INT</t>
  </si>
  <si>
    <t>DIV_NA_SEC</t>
  </si>
  <si>
    <t>DIV_NA_LAW</t>
  </si>
  <si>
    <t>DIV_NA_ECF</t>
  </si>
  <si>
    <t>DIV_NA_CSA</t>
  </si>
  <si>
    <t>DIV_NA_NSC</t>
  </si>
  <si>
    <t>DIV_NA_ADM</t>
  </si>
  <si>
    <t>DIV_VTC_FIN</t>
  </si>
  <si>
    <t>DIV_VTC_EDU</t>
  </si>
  <si>
    <t>DIV_VTC_HLT</t>
  </si>
  <si>
    <t>DIV_VTC_PUB</t>
  </si>
  <si>
    <t>DIV_VTC_ADM</t>
  </si>
  <si>
    <t>DIV_CHP_FIN</t>
  </si>
  <si>
    <t>DIV_CHP_EDU</t>
  </si>
  <si>
    <t>DIV_CHP_HLT</t>
  </si>
  <si>
    <t>DIV_CHP_AGR</t>
  </si>
  <si>
    <t>DIV_LPB_FIN</t>
  </si>
  <si>
    <t>DIV_LPB_EDU</t>
  </si>
  <si>
    <t>DIV_LPB_HLT</t>
  </si>
  <si>
    <t>DIV_LPB_TCO</t>
  </si>
  <si>
    <t>DIV_SVK_FIN</t>
  </si>
  <si>
    <t>DIV_SVK_EDU</t>
  </si>
  <si>
    <t>DIV_SVK_HLT</t>
  </si>
  <si>
    <t>DIV_SVK_IC</t>
  </si>
  <si>
    <t>DIV_KMN_FIN</t>
  </si>
  <si>
    <t>DIV_KMN_EDU</t>
  </si>
  <si>
    <t>DIV_KMN_HLT</t>
  </si>
  <si>
    <t>DIV_KMN_AGR</t>
  </si>
  <si>
    <t>COUNTRY_LIST</t>
  </si>
  <si>
    <t>COUNTRY_KEYS</t>
  </si>
  <si>
    <t>PROV_LAO</t>
  </si>
  <si>
    <t>PROV_FOR</t>
  </si>
  <si>
    <t>ALL_PROV_NAMES</t>
  </si>
  <si>
    <t>ALL_PROV_KEYS</t>
  </si>
  <si>
    <t>DIST_VTE</t>
  </si>
  <si>
    <t>DIST_PGS</t>
  </si>
  <si>
    <t>DIST_LNT</t>
  </si>
  <si>
    <t>DIST_ODX</t>
  </si>
  <si>
    <t>DIST_BKO</t>
  </si>
  <si>
    <t>DIST_LPB</t>
  </si>
  <si>
    <t>DIST_HUA</t>
  </si>
  <si>
    <t>DIST_SAY</t>
  </si>
  <si>
    <t>DIST_XKH</t>
  </si>
  <si>
    <t>DIST_VTP</t>
  </si>
  <si>
    <t>DIST_BLK</t>
  </si>
  <si>
    <t>DIST_KMN</t>
  </si>
  <si>
    <t>DIST_SVK</t>
  </si>
  <si>
    <t>DIST_SLV</t>
  </si>
  <si>
    <t>DIST_SKG</t>
  </si>
  <si>
    <t>DIST_CHP</t>
  </si>
  <si>
    <t>DIST_ATP</t>
  </si>
  <si>
    <t>DIST_XYS</t>
  </si>
  <si>
    <t>DIST_FOR_THA</t>
  </si>
  <si>
    <t>DIST_FOR_VNM</t>
  </si>
  <si>
    <t>DIST_FOR_CHN</t>
  </si>
  <si>
    <t>DIST_FOR_FRA</t>
  </si>
  <si>
    <t>DIST_FOR_USA</t>
  </si>
  <si>
    <t>DIST_FOR_JPN</t>
  </si>
  <si>
    <t>DIST_FOR_AUS</t>
  </si>
  <si>
    <t>DIST_FOR_DEU</t>
  </si>
  <si>
    <t>DIST_FOR_RUS</t>
  </si>
  <si>
    <t>DIST_FOR_KOR</t>
  </si>
  <si>
    <t>DIST_FOR_IND</t>
  </si>
  <si>
    <t>DIST_FOR_MMR</t>
  </si>
  <si>
    <t>DIST_FOR_KHM</t>
  </si>
  <si>
    <t>DIST_FOR_MYS</t>
  </si>
  <si>
    <t>DIST_FOR_SGP</t>
  </si>
  <si>
    <t>DIST_FOR_IDN</t>
  </si>
  <si>
    <t>DIST_FOR_CHE</t>
  </si>
  <si>
    <t>POS_TEACHER</t>
  </si>
  <si>
    <t>POS_MEDICAL</t>
  </si>
  <si>
    <t>POS_FINANCE</t>
  </si>
  <si>
    <t>POS_ADMINISTRATI</t>
  </si>
  <si>
    <t>POS_TECHNICAL</t>
  </si>
  <si>
    <t>POS_LEGAL</t>
  </si>
  <si>
    <t>POS_DIPLOMATIC</t>
  </si>
  <si>
    <t>POS_GENERAL</t>
  </si>
  <si>
    <t>BANK_LIST</t>
  </si>
  <si>
    <t>BRANCH_BCEL</t>
  </si>
  <si>
    <t>BRANCH_LDB</t>
  </si>
  <si>
    <t>BRANCH_APB</t>
  </si>
  <si>
    <t>BRANCH_NBB</t>
  </si>
  <si>
    <t>BRANCH_JDB</t>
  </si>
  <si>
    <t>BRANCH_LVB</t>
  </si>
  <si>
    <t>BRANCH_BFL</t>
  </si>
  <si>
    <t>BRANCH_LCNB</t>
  </si>
  <si>
    <t>BRANCH_PSV</t>
  </si>
  <si>
    <t>BRANCH_BIC</t>
  </si>
  <si>
    <t>BRANCH_STB</t>
  </si>
  <si>
    <t>BRANCH_ICB</t>
  </si>
  <si>
    <t>BRANCH_LMI</t>
  </si>
  <si>
    <t>BRANCH_MJBL</t>
  </si>
  <si>
    <t>BRANCH_ABL</t>
  </si>
  <si>
    <t>BRANCH_CAB</t>
  </si>
  <si>
    <t>BRANCH_PBL</t>
  </si>
  <si>
    <t>BRANCH_SCL</t>
  </si>
  <si>
    <t>BRANCH_SHB</t>
  </si>
  <si>
    <t>BRANCH_VCB</t>
  </si>
  <si>
    <t>BRANCH_VTB</t>
  </si>
  <si>
    <t>BRANCH_BBL</t>
  </si>
  <si>
    <t>BRANCH_BAY</t>
  </si>
  <si>
    <t>BRANCH_KTB</t>
  </si>
  <si>
    <t>BRANCH_SCBV</t>
  </si>
  <si>
    <t>BRANCH_ANZ</t>
  </si>
  <si>
    <t>BRANCH_ICBC</t>
  </si>
  <si>
    <t>BRANCH_BOC</t>
  </si>
  <si>
    <t>Tax Policy Division</t>
  </si>
  <si>
    <t>Birth &amp; Death Registration Division</t>
  </si>
  <si>
    <t>Land Transport Division</t>
  </si>
  <si>
    <t>State Visits Division</t>
  </si>
  <si>
    <t>Forest Management Division</t>
  </si>
  <si>
    <t>Livestock Production Division</t>
  </si>
  <si>
    <t>Social Protection Division</t>
  </si>
  <si>
    <t>Environmental Assessment Division</t>
  </si>
  <si>
    <t>Macro-Economic Planning Division</t>
  </si>
  <si>
    <t>Budget Review Division</t>
  </si>
  <si>
    <t>Security Affairs Division</t>
  </si>
  <si>
    <t>Primary Education Division</t>
  </si>
  <si>
    <t>Policy Officer</t>
  </si>
  <si>
    <t>Banque pour le Commerce Exterieur Lao Public (BCEL)</t>
  </si>
  <si>
    <t>BCEL Head Office — Vientiane</t>
  </si>
  <si>
    <t>LDB Head Office — Vientiane</t>
  </si>
  <si>
    <t>APB Head Office — Vientiane</t>
  </si>
  <si>
    <t>NBB Head Office — Vientiane</t>
  </si>
  <si>
    <t>JDB Head Office — Vientiane</t>
  </si>
  <si>
    <t>LVB Head Office — Vientiane</t>
  </si>
  <si>
    <t>BFL Head Office — Vientiane</t>
  </si>
  <si>
    <t>LCNB Head Office — Vientiane</t>
  </si>
  <si>
    <t>PSV Head Office — Vientiane</t>
  </si>
  <si>
    <t>BIC Head Office — Vientiane</t>
  </si>
  <si>
    <t>STB Head Office — Vientiane</t>
  </si>
  <si>
    <t>Indochina Bank HO — Vientiane</t>
  </si>
  <si>
    <t>LMI Head Office — Vientiane</t>
  </si>
  <si>
    <t>MJBL Head Office — Vientiane</t>
  </si>
  <si>
    <t>ABL Head Office — Vientiane</t>
  </si>
  <si>
    <t>Canadia Bank HO — Vientiane</t>
  </si>
  <si>
    <t>PBL Head Office — Vientiane</t>
  </si>
  <si>
    <t>Sacombank Lao HO — Vientiane</t>
  </si>
  <si>
    <t>SHB Laos HO — Vientiane</t>
  </si>
  <si>
    <t>Vietcombank Laos HO — Vientiane</t>
  </si>
  <si>
    <t>Vietinbank Vientiane Branch</t>
  </si>
  <si>
    <t>Bangkok Bank Vientiane Branch</t>
  </si>
  <si>
    <t>Krungsri Vientiane Branch</t>
  </si>
  <si>
    <t>KTB Vientiane Branch</t>
  </si>
  <si>
    <t>SCB Vientiane Branch</t>
  </si>
  <si>
    <t>ANZ Vientiane Branch</t>
  </si>
  <si>
    <t>ICBC Vientiane Branch</t>
  </si>
  <si>
    <t>Bank of China Vientiane Branch</t>
  </si>
  <si>
    <t>Expenditure Control Division</t>
  </si>
  <si>
    <t>Revenue Collection Division</t>
  </si>
  <si>
    <t>District Affairs Division</t>
  </si>
  <si>
    <t>ID Card Division</t>
  </si>
  <si>
    <t>Diplomatic Accreditation Division</t>
  </si>
  <si>
    <t>Agri-Input Division</t>
  </si>
  <si>
    <t>Forest Inspection Division</t>
  </si>
  <si>
    <t>Land Classification Division</t>
  </si>
  <si>
    <t>Training Centre Division</t>
  </si>
  <si>
    <t>Job Matching Division</t>
  </si>
  <si>
    <t>Business Development Division</t>
  </si>
  <si>
    <t>Enforcement Division</t>
  </si>
  <si>
    <t>Prevention Division</t>
  </si>
  <si>
    <t>Sector Planning Division</t>
  </si>
  <si>
    <t>FDI Division</t>
  </si>
  <si>
    <t>Legal Drafting Division</t>
  </si>
  <si>
    <t>Social Policy Division</t>
  </si>
  <si>
    <t>Senior Finance Officer</t>
  </si>
  <si>
    <t>Research Officer</t>
  </si>
  <si>
    <t>BCEL Samsenthai Branch</t>
  </si>
  <si>
    <t>LDB Nong Bone Branch</t>
  </si>
  <si>
    <t>NBB Savannakhet Branch</t>
  </si>
  <si>
    <t>JDB Samsenthai Branch</t>
  </si>
  <si>
    <t>LVB Savannakhet Branch</t>
  </si>
  <si>
    <t>BFL Savannakhet Branch</t>
  </si>
  <si>
    <t>LCNB Luang Prabang Branch</t>
  </si>
  <si>
    <t>PSV Saysettha Branch</t>
  </si>
  <si>
    <t>BIC Savannakhet Branch</t>
  </si>
  <si>
    <t>STB Champasak Branch</t>
  </si>
  <si>
    <t>MJBL Savannakhet Branch</t>
  </si>
  <si>
    <t>ABL Savannakhet Branch</t>
  </si>
  <si>
    <t>Sacombank Lao Savannakhet</t>
  </si>
  <si>
    <t>State Accounting Division</t>
  </si>
  <si>
    <t>Customs Inspection Division</t>
  </si>
  <si>
    <t>Capital Markets Division</t>
  </si>
  <si>
    <t>Asset Disposal Division</t>
  </si>
  <si>
    <t>Archives Division</t>
  </si>
  <si>
    <t>Building Standards Division</t>
  </si>
  <si>
    <t>Hydrology Division</t>
  </si>
  <si>
    <t>Europe &amp; Americas Division</t>
  </si>
  <si>
    <t>Global Issues Division</t>
  </si>
  <si>
    <t>Ceremonial Division</t>
  </si>
  <si>
    <t>Dam Safety Division</t>
  </si>
  <si>
    <t>Elderly Care Division</t>
  </si>
  <si>
    <t>Price Control Division</t>
  </si>
  <si>
    <t>Trade Facilitation Division</t>
  </si>
  <si>
    <t>Logistics Division</t>
  </si>
  <si>
    <t>Administration Division</t>
  </si>
  <si>
    <t>Utilities Division</t>
  </si>
  <si>
    <t>Forestry Division</t>
  </si>
  <si>
    <t>Higher Education Division</t>
  </si>
  <si>
    <t>Irrigation Division</t>
  </si>
  <si>
    <t>Planning Officer</t>
  </si>
  <si>
    <t>Agricultural Promotion Bank (APB)</t>
  </si>
  <si>
    <t>BCEL Dongpalane Branch</t>
  </si>
  <si>
    <t>NBB Luang Prabang Branch</t>
  </si>
  <si>
    <t>JDB Savannakhet Branch</t>
  </si>
  <si>
    <t>LVB Champasak Branch</t>
  </si>
  <si>
    <t>LCNB Boten SEZ Branch</t>
  </si>
  <si>
    <t>PSV Savannakhet Branch</t>
  </si>
  <si>
    <t>ABL Champasak Branch</t>
  </si>
  <si>
    <t>Taxpayer Services Division</t>
  </si>
  <si>
    <t>Monitoring Officer</t>
  </si>
  <si>
    <t>Nayoby Bank (NBB) — Specialized Development Bank</t>
  </si>
  <si>
    <t>LDB Champasak / Pakse Branch</t>
  </si>
  <si>
    <t>PSV Champasak Branch</t>
  </si>
  <si>
    <t>Inspector</t>
  </si>
  <si>
    <t>LDB Luang Prabang Branch</t>
  </si>
  <si>
    <t>JDB Luang Prabang Branch</t>
  </si>
  <si>
    <t>PSV Luang Prabang Branch</t>
  </si>
  <si>
    <t>Coordinator</t>
  </si>
  <si>
    <t>Lao-Viet Bank (LVB)</t>
  </si>
  <si>
    <t>BCEL Champasak / Pakse Branch</t>
  </si>
  <si>
    <t>APB Xiengkhuang Branch</t>
  </si>
  <si>
    <t>PSV Oudomxay Branch</t>
  </si>
  <si>
    <t>Specialist</t>
  </si>
  <si>
    <t>Banque Franco-Lao (BFL)</t>
  </si>
  <si>
    <t>BCEL Khammuane / Thakhek Branch</t>
  </si>
  <si>
    <t>LDB Khammuane Branch</t>
  </si>
  <si>
    <t>APB Oudomxay Branch</t>
  </si>
  <si>
    <t>Senior Specialist</t>
  </si>
  <si>
    <t>Lao China Bank (LCNB)</t>
  </si>
  <si>
    <t>BCEL Bolikhamxay / Pakxan Branch</t>
  </si>
  <si>
    <t>Revenue Officer</t>
  </si>
  <si>
    <t>Programme Officer</t>
  </si>
  <si>
    <t>Phongsavanh Bank (PSV)</t>
  </si>
  <si>
    <t>BCEL Xiengkhuang / Phonsavan Branch</t>
  </si>
  <si>
    <t>BIC Bank Lao</t>
  </si>
  <si>
    <t>BCEL Oudomxay / Muang Xay Branch</t>
  </si>
  <si>
    <t>ST Bank (STB)</t>
  </si>
  <si>
    <t>BCEL Luang Namtha Branch</t>
  </si>
  <si>
    <t>Indochina Bank Lao</t>
  </si>
  <si>
    <t>BCEL Attapeu Branch</t>
  </si>
  <si>
    <t>Lao Microfinance Institution (LMI)</t>
  </si>
  <si>
    <t>Maruhan Japan Bank Lao (MJBL)</t>
  </si>
  <si>
    <t>ACLEDA Bank Lao Ltd (ABL)</t>
  </si>
  <si>
    <t>Canadia Bank Lao Co., Ltd.</t>
  </si>
  <si>
    <t>Public Bank Lao Ltd.</t>
  </si>
  <si>
    <t>Sacombank Lao</t>
  </si>
  <si>
    <t>SHB Laos</t>
  </si>
  <si>
    <t>Vietcombank Laos Ltd.</t>
  </si>
  <si>
    <t>Vietinbank (Lao Branch)</t>
  </si>
  <si>
    <t>Bangkok Bank Public Co. Ltd — Vientiane Branch</t>
  </si>
  <si>
    <t>Bank of Ayudhya (Krungsri) — Vientiane Branch</t>
  </si>
  <si>
    <t>Krung Thai Bank (KTB) — Vientiane Branch</t>
  </si>
  <si>
    <t>Siam Commercial Bank (SCB) — Vientiane Branch</t>
  </si>
  <si>
    <t>ANZ (Lao Branch)</t>
  </si>
  <si>
    <t>ICBC (Industrial &amp; Commercial Bank of China) — Lao Branch</t>
  </si>
  <si>
    <t>Bank of China (Lao Branch)</t>
  </si>
  <si>
    <t>BANK MASTER — All Licensed Banks in Lao PDR  |  LK_BankMaster</t>
  </si>
  <si>
    <t>Comprehensive list of all licensed commercial banks in Lao PDR as registered with Bank of the Lao PDR (BOL). Categories: A=State-Owned, B=Joint-State, C=Private Lao, D=Foreign Subsidiary, E=Foreign Branch. SWIFT codes sourced from SWIFT registry and BOL records. Col D (Bank Key) and Col F (Branch Name) are VLOOKUP keys — do NOT change. Update Col I (SWIFT) if bank issues new BIC. Add new branches as new rows.</t>
  </si>
  <si>
    <t>🕐  AUDIT TRAIL  —  Effective Dates &amp; Change History  (DO NOT leave blank)</t>
  </si>
  <si>
    <t>Bank Name (Full Official Name)</t>
  </si>
  <si>
    <t>Abbrev</t>
  </si>
  <si>
    <t>Bank Key
(Named Range Key)</t>
  </si>
  <si>
    <t>Category</t>
  </si>
  <si>
    <t>Bank HQ Address</t>
  </si>
  <si>
    <t>Telephone</t>
  </si>
  <si>
    <t>Ownership</t>
  </si>
  <si>
    <t>Established</t>
  </si>
  <si>
    <t>Website</t>
  </si>
  <si>
    <t xml:space="preserve">  🏦 State-Owned Commercial Banks  (4 banks)</t>
  </si>
  <si>
    <t>BOL Bank Registry / Bank of Lao PDR</t>
  </si>
  <si>
    <t>BCEL</t>
  </si>
  <si>
    <t>State-Owned Commercial Bank</t>
  </si>
  <si>
    <t>BCEL001</t>
  </si>
  <si>
    <t>COEBLALAXXX</t>
  </si>
  <si>
    <t>No.1 Pangkham St, Chanthabouli District</t>
  </si>
  <si>
    <t>No.1 Pangkham Street, Vientiane Capital</t>
  </si>
  <si>
    <t>+856 21 213 200</t>
  </si>
  <si>
    <t>100% Lao Government (60% State, 10% Strategic Partner, 30% Public)</t>
  </si>
  <si>
    <t>1975</t>
  </si>
  <si>
    <t>www.bcel.com.la</t>
  </si>
  <si>
    <t>BCEL002</t>
  </si>
  <si>
    <t>Samsenthai Road, Vientiane Capital</t>
  </si>
  <si>
    <t>↑ same bank</t>
  </si>
  <si>
    <t>BCEL003</t>
  </si>
  <si>
    <t>Dongpalane Road, Saysettha District</t>
  </si>
  <si>
    <t>BCEL004</t>
  </si>
  <si>
    <t>Kaysone Phomvihane Road, Kaysone District</t>
  </si>
  <si>
    <t>BCEL005</t>
  </si>
  <si>
    <t>Sisavangvong Road, Luang Prabang District</t>
  </si>
  <si>
    <t>BCEL006</t>
  </si>
  <si>
    <t>Route 13, Pakse City, Champasak</t>
  </si>
  <si>
    <t>BCEL007</t>
  </si>
  <si>
    <t>Setthathirath Road, Thakhek</t>
  </si>
  <si>
    <t>BCEL008</t>
  </si>
  <si>
    <t>Pakxan Town Centre, Bolikhamxay</t>
  </si>
  <si>
    <t>BCEL009</t>
  </si>
  <si>
    <t>Phonsavan Town, Xiengkhuang Province</t>
  </si>
  <si>
    <t>BCEL010</t>
  </si>
  <si>
    <t>Muang Xay Town Centre, Oudomxay</t>
  </si>
  <si>
    <t>BCEL011</t>
  </si>
  <si>
    <t>Luang Namtha Town Centre</t>
  </si>
  <si>
    <t>BCEL012</t>
  </si>
  <si>
    <t>Samakkhixay District, Attapeu Province</t>
  </si>
  <si>
    <t>LDB</t>
  </si>
  <si>
    <t>LDB001</t>
  </si>
  <si>
    <t>LDBBLALAXXX</t>
  </si>
  <si>
    <t>33/1 Lane Xang Avenue, Hatsady District</t>
  </si>
  <si>
    <t>33/1 Lane Xang Avenue, Hatsady District, Vientiane Capital</t>
  </si>
  <si>
    <t>+856 21 213 300</t>
  </si>
  <si>
    <t>100% Ministry of Finance, Lao PDR</t>
  </si>
  <si>
    <t>2003</t>
  </si>
  <si>
    <t>www.ldblao.la</t>
  </si>
  <si>
    <t>LDB002</t>
  </si>
  <si>
    <t>Nong Bone Road, Xaysettha District</t>
  </si>
  <si>
    <t>LDB003</t>
  </si>
  <si>
    <t>Kaysone Phomvihane Town, Savannakhet</t>
  </si>
  <si>
    <t>LDB004</t>
  </si>
  <si>
    <t>Pakse City, Champasak Province</t>
  </si>
  <si>
    <t>LDB005</t>
  </si>
  <si>
    <t>Luang Prabang Town Centre</t>
  </si>
  <si>
    <t>LDB006</t>
  </si>
  <si>
    <t>Luang Namtha Town, Luang Namtha Province</t>
  </si>
  <si>
    <t>LDB007</t>
  </si>
  <si>
    <t>Thakhek Town, Khammuane Province</t>
  </si>
  <si>
    <t>APB</t>
  </si>
  <si>
    <t>APB001</t>
  </si>
  <si>
    <t>AGPBLALAXXX</t>
  </si>
  <si>
    <t>No.58 Hengboun Street, Ban Haysoke</t>
  </si>
  <si>
    <t>No.58 Hengboun Street, Ban Haysoke, Vientiane Capital</t>
  </si>
  <si>
    <t>+856 21 212 024</t>
  </si>
  <si>
    <t>100% Lao Government (Ministry of Finance)</t>
  </si>
  <si>
    <t>1993</t>
  </si>
  <si>
    <t>www.apb.com.la</t>
  </si>
  <si>
    <t>APB002</t>
  </si>
  <si>
    <t>Kaysone Phomvihane Road, Savannakhet</t>
  </si>
  <si>
    <t>APB003</t>
  </si>
  <si>
    <t>Luang Prabang Town</t>
  </si>
  <si>
    <t>APB004</t>
  </si>
  <si>
    <t>Pakse, Champasak Province</t>
  </si>
  <si>
    <t>APB005</t>
  </si>
  <si>
    <t>Thakhek, Khammuane Province</t>
  </si>
  <si>
    <t>APB006</t>
  </si>
  <si>
    <t>Phonsavan Town, Xiengkhuang</t>
  </si>
  <si>
    <t>APB007</t>
  </si>
  <si>
    <t>Muang Xay, Oudomxay Province</t>
  </si>
  <si>
    <t>NBB</t>
  </si>
  <si>
    <t>Specialized State Bank</t>
  </si>
  <si>
    <t>NBB001</t>
  </si>
  <si>
    <t>NAOBLALAXXX</t>
  </si>
  <si>
    <t>Lane Xang Avenue, Vientiane Capital</t>
  </si>
  <si>
    <t>+856 21 222 222</t>
  </si>
  <si>
    <t>100% Lao Government — microfinance and rural credit focus</t>
  </si>
  <si>
    <t>2006</t>
  </si>
  <si>
    <t>www.nbb.com.la</t>
  </si>
  <si>
    <t>NBB002</t>
  </si>
  <si>
    <t>Savannakhet Town, Savannakhet</t>
  </si>
  <si>
    <t>NBB003</t>
  </si>
  <si>
    <t xml:space="preserve">  🏛️ Joint-State Commercial Banks  (4 banks)</t>
  </si>
  <si>
    <t>JDB</t>
  </si>
  <si>
    <t>Joint-State Commercial Bank</t>
  </si>
  <si>
    <t>JDB001</t>
  </si>
  <si>
    <t>JDBLLAOLXXX</t>
  </si>
  <si>
    <t>No.33 Lane Xang Avenue, Vientiane</t>
  </si>
  <si>
    <t>No.33 Lane Xang Avenue, Vientiane Capital</t>
  </si>
  <si>
    <t>+856 21 213 500</t>
  </si>
  <si>
    <t>Lao PDR Govt 50% + Private shareholders 50%</t>
  </si>
  <si>
    <t>1989</t>
  </si>
  <si>
    <t>www.jdblao.com</t>
  </si>
  <si>
    <t>JDB002</t>
  </si>
  <si>
    <t>JDB003</t>
  </si>
  <si>
    <t>Savannakhet Town Centre</t>
  </si>
  <si>
    <t>JDB004</t>
  </si>
  <si>
    <t>Pakse City, Champasak</t>
  </si>
  <si>
    <t>JDB005</t>
  </si>
  <si>
    <t>LVB</t>
  </si>
  <si>
    <t>LVB001</t>
  </si>
  <si>
    <t>LVBKLALAXXX</t>
  </si>
  <si>
    <t>No.41 Thadeua Road, Vientiane</t>
  </si>
  <si>
    <t>No.41 Thadeua Road, Vientiane Capital</t>
  </si>
  <si>
    <t>+856 21 480 777</t>
  </si>
  <si>
    <t>BCEL 50% (Lao) + BIDV 50% (Vietnam)</t>
  </si>
  <si>
    <t>1999</t>
  </si>
  <si>
    <t>www.laovietbank.com.la</t>
  </si>
  <si>
    <t>LVB002</t>
  </si>
  <si>
    <t>Savannakhet Province</t>
  </si>
  <si>
    <t>LVB003</t>
  </si>
  <si>
    <t>BFL</t>
  </si>
  <si>
    <t>BFL001</t>
  </si>
  <si>
    <t>BFLLLALAXXX</t>
  </si>
  <si>
    <t>Avenue Lane Xang, Ban Hatsady, Chanthabouli</t>
  </si>
  <si>
    <t>Avenue Lane Xang, Ban Hatsady, Chanthabouli, Vientiane Capital</t>
  </si>
  <si>
    <t>+856 21 285 111</t>
  </si>
  <si>
    <t>BCEL/Lao Govt 46% + BRED Banque Populaire (France) 54%</t>
  </si>
  <si>
    <t>2008</t>
  </si>
  <si>
    <t>www.bfl-bred.com</t>
  </si>
  <si>
    <t>BFL002</t>
  </si>
  <si>
    <t>Savannakhet Town</t>
  </si>
  <si>
    <t>LCNB</t>
  </si>
  <si>
    <t>LCNB001</t>
  </si>
  <si>
    <t>LCNBLALAXXX</t>
  </si>
  <si>
    <t>Phonhong Road, Vientiane Capital</t>
  </si>
  <si>
    <t>+856 21 255 999</t>
  </si>
  <si>
    <t>BCEL (Lao) + Fudian Bank (China)</t>
  </si>
  <si>
    <t>2014</t>
  </si>
  <si>
    <t>www.lcnb.la</t>
  </si>
  <si>
    <t>LCNB002</t>
  </si>
  <si>
    <t>LCNB003</t>
  </si>
  <si>
    <t>Boten Special Economic Zone, Luang Namtha</t>
  </si>
  <si>
    <t xml:space="preserve">  🏢 Private Lao Commercial Banks  (5 banks)</t>
  </si>
  <si>
    <t>PSV</t>
  </si>
  <si>
    <t>Private Lao Commercial Bank</t>
  </si>
  <si>
    <t>PSV001</t>
  </si>
  <si>
    <t>PSVBLALAXXX</t>
  </si>
  <si>
    <t>No.42 Samsenthai Road, Vientiane</t>
  </si>
  <si>
    <t>No.42 Samsenthai Road, Vientiane Capital</t>
  </si>
  <si>
    <t>+856 21 213 444</t>
  </si>
  <si>
    <t>Lao private shareholders (Phongsavanh Group)</t>
  </si>
  <si>
    <t>2007</t>
  </si>
  <si>
    <t>www.psvbank.com</t>
  </si>
  <si>
    <t>PSV002</t>
  </si>
  <si>
    <t>Nong Bone Road, Saysettha District</t>
  </si>
  <si>
    <t>PSV003</t>
  </si>
  <si>
    <t>Kaysone Phomvihane, Savannakhet</t>
  </si>
  <si>
    <t>PSV004</t>
  </si>
  <si>
    <t>PSV005</t>
  </si>
  <si>
    <t>PSV006</t>
  </si>
  <si>
    <t>BIC</t>
  </si>
  <si>
    <t>BIC001</t>
  </si>
  <si>
    <t>BICBLALAXXX</t>
  </si>
  <si>
    <t>Nong Bone Road, Xaysettha District, Vientiane Capital</t>
  </si>
  <si>
    <t>+856 21 414 333</t>
  </si>
  <si>
    <t>Lao private shareholders (formerly ICB Lao, renamed 2011)</t>
  </si>
  <si>
    <t>www.bicbank.com.la</t>
  </si>
  <si>
    <t>BIC002</t>
  </si>
  <si>
    <t>STB</t>
  </si>
  <si>
    <t>STB001</t>
  </si>
  <si>
    <t>STBDLALAXXX</t>
  </si>
  <si>
    <t>No.144 Samsenthai Road, Ban Anou, Chanthabouly</t>
  </si>
  <si>
    <t>No.144 Samsenthai Road, Ban Anou, Chanthabouly, Vientiane Capital</t>
  </si>
  <si>
    <t>+856 21 241 559</t>
  </si>
  <si>
    <t>Lao private shareholders</t>
  </si>
  <si>
    <t>www.stb.com.la</t>
  </si>
  <si>
    <t>STB002</t>
  </si>
  <si>
    <t>ICB</t>
  </si>
  <si>
    <t>ICB001</t>
  </si>
  <si>
    <t>INDCLALAXXX</t>
  </si>
  <si>
    <t>Khounbulom Road, Vientiane Capital</t>
  </si>
  <si>
    <t>+856 21 213 600</t>
  </si>
  <si>
    <t>www.indochinabank.la</t>
  </si>
  <si>
    <t>LMI</t>
  </si>
  <si>
    <t>LMI001</t>
  </si>
  <si>
    <t>LMFILALAXXX</t>
  </si>
  <si>
    <t>+856 21 220 000</t>
  </si>
  <si>
    <t>2010</t>
  </si>
  <si>
    <t>www.lmi.la</t>
  </si>
  <si>
    <t xml:space="preserve">  🌏 Foreign Bank Subsidiaries  (7 banks)</t>
  </si>
  <si>
    <t>MJBL</t>
  </si>
  <si>
    <t>Foreign Subsidiary Bank</t>
  </si>
  <si>
    <t>MJBL001</t>
  </si>
  <si>
    <t>MJBLLALAXXX</t>
  </si>
  <si>
    <t>Sikhottabong District, Vientiane Capital</t>
  </si>
  <si>
    <t>+856 21 900 100</t>
  </si>
  <si>
    <t>Maruhan Corporation (Japan) 100%</t>
  </si>
  <si>
    <t>www.maruhan-lao.com</t>
  </si>
  <si>
    <t>MJBL002</t>
  </si>
  <si>
    <t>ABL</t>
  </si>
  <si>
    <t>ABL001</t>
  </si>
  <si>
    <t>ACBLLALAXXX</t>
  </si>
  <si>
    <t>Sikhottabong District, Vientiane</t>
  </si>
  <si>
    <t>+856 21 223 506</t>
  </si>
  <si>
    <t>ACLEDA Bank Plc (Cambodia) majority — Cambodia/Lao joint subsidiary</t>
  </si>
  <si>
    <t>2019</t>
  </si>
  <si>
    <t>www.acledabank.com.la</t>
  </si>
  <si>
    <t>ABL002</t>
  </si>
  <si>
    <t>ABL003</t>
  </si>
  <si>
    <t>CAB</t>
  </si>
  <si>
    <t>CAB001</t>
  </si>
  <si>
    <t>CABLALAXXX</t>
  </si>
  <si>
    <t>+856 21 260 999</t>
  </si>
  <si>
    <t>Canadia Bank Plc (Cambodia) 100%</t>
  </si>
  <si>
    <t>2015</t>
  </si>
  <si>
    <t>www.canadiabank.com.la</t>
  </si>
  <si>
    <t>PBL</t>
  </si>
  <si>
    <t>PBL001</t>
  </si>
  <si>
    <t>PBLLLALAXXX</t>
  </si>
  <si>
    <t>+856 21 255 333</t>
  </si>
  <si>
    <t>Public Bank Berhad (Malaysia) majority</t>
  </si>
  <si>
    <t>2011</t>
  </si>
  <si>
    <t>www.publicbanklaos.com</t>
  </si>
  <si>
    <t>SCL</t>
  </si>
  <si>
    <t>SCL001</t>
  </si>
  <si>
    <t>SGTBLALAXXX</t>
  </si>
  <si>
    <t>+856 21 412 333</t>
  </si>
  <si>
    <t>Sacombank (Vietnam) 100%</t>
  </si>
  <si>
    <t>www.sacombanklao.com</t>
  </si>
  <si>
    <t>SCL002</t>
  </si>
  <si>
    <t>SHB</t>
  </si>
  <si>
    <t>SHB001</t>
  </si>
  <si>
    <t>SHBLLALAXXX</t>
  </si>
  <si>
    <t>+856 21 900 999</t>
  </si>
  <si>
    <t>Saigon-Hanoi Commercial Joint Stock Bank (Vietnam) 100%</t>
  </si>
  <si>
    <t>2016</t>
  </si>
  <si>
    <t>www.shb.com.vn</t>
  </si>
  <si>
    <t>VCB</t>
  </si>
  <si>
    <t>VCB001</t>
  </si>
  <si>
    <t>BFTVLALAXXX</t>
  </si>
  <si>
    <t>+856 21 450 000</t>
  </si>
  <si>
    <t>Joint Stock Commercial Bank for Foreign Trade of Vietnam (Vietcombank) 100%</t>
  </si>
  <si>
    <t>2018</t>
  </si>
  <si>
    <t>www.vcblaos.com</t>
  </si>
  <si>
    <t xml:space="preserve">  🌐 Foreign Bank Branches  (8 banks)</t>
  </si>
  <si>
    <t>VTB</t>
  </si>
  <si>
    <t>Foreign Bank Branch</t>
  </si>
  <si>
    <t>VTB001</t>
  </si>
  <si>
    <t>ICBVLAL1XXX</t>
  </si>
  <si>
    <t>029 Khounbulom Road, Chanthabouli</t>
  </si>
  <si>
    <t>029 Khounbulom Road, Ban Vatchan, Chanthabouli, Vientiane Capital</t>
  </si>
  <si>
    <t>+856 21 263 997</t>
  </si>
  <si>
    <t>Vietnam Joint Stock Commercial Bank for Industry and Trade — Branch</t>
  </si>
  <si>
    <t>www.vietinbank.vn</t>
  </si>
  <si>
    <t>BBL</t>
  </si>
  <si>
    <t>BBL001</t>
  </si>
  <si>
    <t>BKKBLALAXXX</t>
  </si>
  <si>
    <t>+856 21 213 560</t>
  </si>
  <si>
    <t>Bangkok Bank Public Company Limited (Thailand) — Branch</t>
  </si>
  <si>
    <t>www.bangkokbank.com</t>
  </si>
  <si>
    <t>BAY</t>
  </si>
  <si>
    <t>BAY001</t>
  </si>
  <si>
    <t>AYUDLALAXXX</t>
  </si>
  <si>
    <t>084/1 Lane Xang Avenue, Vientiane</t>
  </si>
  <si>
    <t>084/1 Lane Xang Avenue, Vientiane Capital</t>
  </si>
  <si>
    <t>+856 21 222 700</t>
  </si>
  <si>
    <t>Bank of Ayudhya / Krungsri (Thailand, MUFG Group) — Branch</t>
  </si>
  <si>
    <t>www.krungsri.com</t>
  </si>
  <si>
    <t>KTB</t>
  </si>
  <si>
    <t>KTB001</t>
  </si>
  <si>
    <t>KRTHLAOLXXX</t>
  </si>
  <si>
    <t>+856 21 222 800</t>
  </si>
  <si>
    <t>Krung Thai Bank (Thailand, state-owned) — Branch</t>
  </si>
  <si>
    <t>www.ktb.co.th</t>
  </si>
  <si>
    <t>SCB</t>
  </si>
  <si>
    <t>SCBV</t>
  </si>
  <si>
    <t>SCBV001</t>
  </si>
  <si>
    <t>SICOTHBXXXX</t>
  </si>
  <si>
    <t>+856 21 222 900</t>
  </si>
  <si>
    <t>Siam Commercial Bank (Thailand) — Branch</t>
  </si>
  <si>
    <t>www.scb.co.th</t>
  </si>
  <si>
    <t>ANZ</t>
  </si>
  <si>
    <t>ANZ001</t>
  </si>
  <si>
    <t>ANZBLAOLXXX</t>
  </si>
  <si>
    <t>Australia and New Zealand Banking Group (Australia) — Branch since 2019</t>
  </si>
  <si>
    <t>www.anz.com</t>
  </si>
  <si>
    <t>ICBC</t>
  </si>
  <si>
    <t>ICBC001</t>
  </si>
  <si>
    <t>ICBKLAOLXXX</t>
  </si>
  <si>
    <t>+856 21 263 000</t>
  </si>
  <si>
    <t>Industrial and Commercial Bank of China (ICBC) — Branch</t>
  </si>
  <si>
    <t>2012</t>
  </si>
  <si>
    <t>www.icbc-ltd.com</t>
  </si>
  <si>
    <t>BOC</t>
  </si>
  <si>
    <t>BOC001</t>
  </si>
  <si>
    <t>BKCHLAOLXXX</t>
  </si>
  <si>
    <t>+856 21 250 000</t>
  </si>
  <si>
    <t>Bank of China (PRC) — Branch</t>
  </si>
  <si>
    <t>www.boc.cn</t>
  </si>
  <si>
    <t>TOTAL: 28 banks  |  73 branches  |  4 State + 4 Joint + 5 Private + 7 Foreign Subsidiaries + 8 Foreign Branches</t>
  </si>
  <si>
    <t xml:space="preserve">📋  INSTRUCTIONS — Lao PDR Government Payroll Toolkit </t>
  </si>
  <si>
    <t>Record created during payroll system  initial data load (Jan 2026).</t>
  </si>
  <si>
    <t>LAO PDR GOVERNMENT PAYROLL INFORMATION TOOLKIT</t>
  </si>
  <si>
    <t>🔓 OTHER ALLOWANCES</t>
  </si>
  <si>
    <t>🔓 OTHER DEDUCTIONS</t>
  </si>
  <si>
    <t>TOTAL 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</si>
</sst>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mmmm\ yyyy"/>
    <numFmt numFmtId="166" formatCode="0.0"/>
  </numFmts>
  <fonts count="77" x14ac:knownFonts="1">
    <font>
      <sz val="11"/>
      <color theme="1"/>
      <name val="Calibri"/>
      <family val="2"/>
      <charset val="1"/>
    </font>
    <font>
      <b/>
      <sz val="18"/>
      <color rgb="FFFFD700"/>
      <name val="Arial"/>
      <family val="2"/>
      <charset val="1"/>
    </font>
    <font>
      <i/>
      <sz val="10"/>
      <color rgb="FFBDD7EE"/>
      <name val="Arial"/>
      <family val="2"/>
      <charset val="1"/>
    </font>
    <font>
      <b/>
      <sz val="10"/>
      <color rgb="FFFFD700"/>
      <name val="Arial"/>
      <family val="2"/>
      <charset val="1"/>
    </font>
    <font>
      <b/>
      <sz val="9"/>
      <color rgb="FFFFFFFF"/>
      <name val="Arial"/>
      <family val="2"/>
      <charset val="1"/>
    </font>
    <font>
      <i/>
      <sz val="7"/>
      <color rgb="FFBDD7EE"/>
      <name val="Arial"/>
      <family val="2"/>
      <charset val="1"/>
    </font>
    <font>
      <sz val="7"/>
      <color rgb="FF2E75B6"/>
      <name val="Arial"/>
      <family val="2"/>
      <charset val="1"/>
    </font>
    <font>
      <i/>
      <sz val="8"/>
      <color rgb="FFFF9900"/>
      <name val="Arial"/>
      <family val="2"/>
      <charset val="1"/>
    </font>
    <font>
      <b/>
      <i/>
      <sz val="10"/>
      <color rgb="FFFFD700"/>
      <name val="Arial"/>
      <family val="2"/>
      <charset val="1"/>
    </font>
    <font>
      <b/>
      <sz val="9"/>
      <color rgb="FFBDD7EE"/>
      <name val="Arial"/>
      <family val="2"/>
      <charset val="1"/>
    </font>
    <font>
      <sz val="9"/>
      <color rgb="FFFFFFFF"/>
      <name val="Arial"/>
      <family val="2"/>
      <charset val="1"/>
    </font>
    <font>
      <b/>
      <sz val="13"/>
      <color rgb="FFFFFFFF"/>
      <name val="Arial"/>
      <family val="2"/>
      <charset val="1"/>
    </font>
    <font>
      <i/>
      <sz val="8"/>
      <color rgb="FF375623"/>
      <name val="Arial"/>
      <family val="2"/>
      <charset val="1"/>
    </font>
    <font>
      <b/>
      <sz val="10"/>
      <color rgb="FFFFFFFF"/>
      <name val="Arial"/>
      <family val="2"/>
      <charset val="1"/>
    </font>
    <font>
      <sz val="9"/>
      <color rgb="FF000000"/>
      <name val="Arial"/>
      <family val="2"/>
      <charset val="1"/>
    </font>
    <font>
      <i/>
      <sz val="8"/>
      <color rgb="FF7B2D00"/>
      <name val="Arial"/>
      <family val="2"/>
      <charset val="1"/>
    </font>
    <font>
      <b/>
      <sz val="10"/>
      <color rgb="FFFFFFFF"/>
      <name val="Arial"/>
      <family val="2"/>
    </font>
    <font>
      <sz val="9"/>
      <color rgb="FF000000"/>
      <name val="Arial"/>
      <family val="2"/>
    </font>
    <font>
      <i/>
      <sz val="9"/>
      <color rgb="FF7B3F00"/>
      <name val="Arial"/>
      <family val="2"/>
      <charset val="1"/>
    </font>
    <font>
      <b/>
      <sz val="11"/>
      <color rgb="FFFFFFFF"/>
      <name val="Arial"/>
      <family val="2"/>
      <charset val="1"/>
    </font>
    <font>
      <b/>
      <sz val="9"/>
      <color rgb="FF7B3F00"/>
      <name val="Arial"/>
      <family val="2"/>
      <charset val="1"/>
    </font>
    <font>
      <b/>
      <sz val="12"/>
      <color rgb="FFFFFFFF"/>
      <name val="Arial"/>
      <family val="2"/>
      <charset val="1"/>
    </font>
    <font>
      <i/>
      <sz val="8"/>
      <color rgb="FF1F3864"/>
      <name val="Arial"/>
      <family val="2"/>
      <charset val="1"/>
    </font>
    <font>
      <b/>
      <sz val="8"/>
      <color rgb="FFFFFFFF"/>
      <name val="Arial"/>
      <family val="2"/>
      <charset val="1"/>
    </font>
    <font>
      <b/>
      <sz val="8"/>
      <color rgb="FFFFFFFF"/>
      <name val="Arial"/>
      <family val="2"/>
    </font>
    <font>
      <sz val="8"/>
      <color rgb="FF0000FF"/>
      <name val="Arial"/>
      <family val="2"/>
      <charset val="1"/>
    </font>
    <font>
      <sz val="8"/>
      <color rgb="FF1F3864"/>
      <name val="Arial"/>
      <family val="2"/>
      <charset val="1"/>
    </font>
    <font>
      <sz val="7"/>
      <color rgb="FF666666"/>
      <name val="Arial"/>
      <family val="2"/>
      <charset val="1"/>
    </font>
    <font>
      <b/>
      <sz val="8"/>
      <color rgb="FF006600"/>
      <name val="Arial"/>
      <family val="2"/>
      <charset val="1"/>
    </font>
    <font>
      <sz val="8"/>
      <color rgb="FF000000"/>
      <name val="Arial"/>
      <family val="2"/>
      <charset val="1"/>
    </font>
    <font>
      <sz val="8"/>
      <color rgb="FF1A5276"/>
      <name val="Arial"/>
      <family val="2"/>
    </font>
    <font>
      <i/>
      <sz val="8"/>
      <color rgb="FF888888"/>
      <name val="Arial"/>
      <family val="2"/>
    </font>
    <font>
      <i/>
      <sz val="8"/>
      <color rgb="FF555555"/>
      <name val="Arial"/>
      <family val="2"/>
    </font>
    <font>
      <b/>
      <sz val="8"/>
      <color rgb="FFC00000"/>
      <name val="Arial"/>
      <family val="2"/>
      <charset val="1"/>
    </font>
    <font>
      <b/>
      <sz val="8"/>
      <color rgb="FFC55A11"/>
      <name val="Arial"/>
      <family val="2"/>
      <charset val="1"/>
    </font>
    <font>
      <b/>
      <sz val="11"/>
      <color rgb="FFFFFFFF"/>
      <name val="Arial"/>
      <family val="2"/>
    </font>
    <font>
      <b/>
      <sz val="7"/>
      <color rgb="FFFFFFFF"/>
      <name val="Arial"/>
      <family val="2"/>
      <charset val="1"/>
    </font>
    <font>
      <b/>
      <sz val="9"/>
      <color rgb="FFFFFFFF"/>
      <name val="Arial"/>
      <family val="2"/>
    </font>
    <font>
      <sz val="9"/>
      <color rgb="FF0000FF"/>
      <name val="Arial"/>
      <family val="2"/>
      <charset val="1"/>
    </font>
    <font>
      <sz val="9"/>
      <color rgb="FF008000"/>
      <name val="Arial"/>
      <family val="2"/>
      <charset val="1"/>
    </font>
    <font>
      <i/>
      <sz val="8"/>
      <color rgb="FF1A5276"/>
      <name val="Arial"/>
      <family val="2"/>
    </font>
    <font>
      <sz val="8"/>
      <color rgb="FF666666"/>
      <name val="Arial"/>
      <family val="2"/>
      <charset val="1"/>
    </font>
    <font>
      <b/>
      <sz val="8"/>
      <color rgb="FF17375E"/>
      <name val="Arial"/>
      <family val="2"/>
      <charset val="1"/>
    </font>
    <font>
      <b/>
      <sz val="8"/>
      <color rgb="FF7B2D00"/>
      <name val="Arial"/>
      <family val="2"/>
      <charset val="1"/>
    </font>
    <font>
      <sz val="9"/>
      <color rgb="FF005C00"/>
      <name val="Arial"/>
      <family val="2"/>
      <charset val="1"/>
    </font>
    <font>
      <sz val="9"/>
      <color rgb="FF0000FF"/>
      <name val="Arial"/>
      <family val="2"/>
    </font>
    <font>
      <b/>
      <sz val="9"/>
      <color rgb="FF005C00"/>
      <name val="Arial"/>
      <family val="2"/>
    </font>
    <font>
      <b/>
      <sz val="9"/>
      <color rgb="FF003300"/>
      <name val="Arial"/>
      <family val="2"/>
    </font>
    <font>
      <sz val="9"/>
      <color rgb="FF8B0000"/>
      <name val="Arial"/>
      <family val="2"/>
      <charset val="1"/>
    </font>
    <font>
      <sz val="9"/>
      <color rgb="FF8B0000"/>
      <name val="Arial"/>
      <family val="2"/>
    </font>
    <font>
      <b/>
      <sz val="9"/>
      <color rgb="FF8B0000"/>
      <name val="Arial"/>
      <family val="2"/>
    </font>
    <font>
      <sz val="8"/>
      <color rgb="FF0000FF"/>
      <name val="Arial"/>
      <family val="2"/>
    </font>
    <font>
      <sz val="8"/>
      <color rgb="FF666666"/>
      <name val="Arial"/>
      <family val="2"/>
    </font>
    <font>
      <sz val="9"/>
      <color rgb="FF008000"/>
      <name val="Arial"/>
      <family val="2"/>
    </font>
    <font>
      <b/>
      <sz val="9"/>
      <color rgb="FF0000FF"/>
      <name val="Arial"/>
      <family val="2"/>
    </font>
    <font>
      <b/>
      <sz val="9"/>
      <color rgb="FF000000"/>
      <name val="Arial"/>
      <family val="2"/>
    </font>
    <font>
      <sz val="8"/>
      <color rgb="FF000000"/>
      <name val="Arial"/>
      <family val="2"/>
    </font>
    <font>
      <i/>
      <sz val="8"/>
      <color rgb="FF000000"/>
      <name val="Arial"/>
      <family val="2"/>
    </font>
    <font>
      <b/>
      <sz val="8"/>
      <color rgb="FF666666"/>
      <name val="Arial"/>
      <family val="2"/>
      <charset val="1"/>
    </font>
    <font>
      <b/>
      <sz val="13"/>
      <color rgb="FFFFFFFF"/>
      <name val="Arial"/>
      <family val="2"/>
    </font>
    <font>
      <i/>
      <sz val="8"/>
      <color rgb="FF1A535A"/>
      <name val="Arial"/>
      <family val="2"/>
    </font>
    <font>
      <b/>
      <sz val="8"/>
      <color rgb="FF000000"/>
      <name val="Arial"/>
      <family val="2"/>
    </font>
    <font>
      <b/>
      <sz val="8"/>
      <color rgb="FF1E6B35"/>
      <name val="Arial"/>
      <family val="2"/>
    </font>
    <font>
      <b/>
      <sz val="8"/>
      <color rgb="FF003366"/>
      <name val="Arial"/>
      <family val="2"/>
    </font>
    <font>
      <sz val="8"/>
      <color rgb="FF003366"/>
      <name val="Arial"/>
      <family val="2"/>
    </font>
    <font>
      <b/>
      <sz val="8"/>
      <color rgb="FF006600"/>
      <name val="Arial"/>
      <family val="2"/>
    </font>
    <font>
      <b/>
      <sz val="8"/>
      <color rgb="FF7B2D00"/>
      <name val="Arial"/>
      <family val="2"/>
    </font>
    <font>
      <sz val="8"/>
      <color rgb="FF888888"/>
      <name val="Arial"/>
      <family val="2"/>
    </font>
    <font>
      <sz val="8"/>
      <color rgb="FF555555"/>
      <name val="Arial"/>
      <family val="2"/>
    </font>
    <font>
      <sz val="8"/>
      <color rgb="FF0563C1"/>
      <name val="Arial"/>
      <family val="2"/>
    </font>
    <font>
      <sz val="8"/>
      <color rgb="FF1E6B35"/>
      <name val="Arial"/>
      <family val="2"/>
    </font>
    <font>
      <b/>
      <sz val="8"/>
      <color rgb="FF154360"/>
      <name val="Arial"/>
      <family val="2"/>
    </font>
    <font>
      <sz val="8"/>
      <color rgb="FF154360"/>
      <name val="Arial"/>
      <family val="2"/>
    </font>
    <font>
      <sz val="8"/>
      <color rgb="FF7B2D00"/>
      <name val="Arial"/>
      <family val="2"/>
    </font>
    <font>
      <b/>
      <sz val="8"/>
      <color rgb="FF512E5F"/>
      <name val="Arial"/>
      <family val="2"/>
    </font>
    <font>
      <sz val="8"/>
      <color rgb="FF512E5F"/>
      <name val="Arial"/>
      <family val="2"/>
    </font>
    <font>
      <b/>
      <sz val="8"/>
      <color rgb="FF3D3D3D"/>
      <name val="Arial"/>
      <family val="2"/>
    </font>
  </fonts>
  <fills count="56">
    <fill>
      <patternFill patternType="none"/>
    </fill>
    <fill>
      <patternFill patternType="gray125"/>
    </fill>
    <fill>
      <patternFill patternType="solid">
        <fgColor rgb="FF061E15"/>
        <bgColor rgb="FF000000"/>
      </patternFill>
    </fill>
    <fill>
      <patternFill patternType="solid">
        <fgColor rgb="FF1F3864"/>
        <bgColor rgb="FF203760"/>
      </patternFill>
    </fill>
    <fill>
      <patternFill patternType="mediumGray">
        <fgColor rgb="FF265B1F"/>
        <bgColor rgb="FF415B2E"/>
      </patternFill>
    </fill>
    <fill>
      <patternFill patternType="darkGray">
        <fgColor rgb="FF183862"/>
        <bgColor rgb="FF1F3864"/>
      </patternFill>
    </fill>
    <fill>
      <patternFill patternType="darkGray">
        <fgColor rgb="FF9B3E01"/>
        <bgColor rgb="FF7A3000"/>
      </patternFill>
    </fill>
    <fill>
      <patternFill patternType="solid">
        <fgColor rgb="FF4E2450"/>
        <bgColor rgb="FF203760"/>
      </patternFill>
    </fill>
    <fill>
      <patternFill patternType="solid">
        <fgColor rgb="FF1170B5"/>
        <bgColor rgb="FF19547A"/>
      </patternFill>
    </fill>
    <fill>
      <patternFill patternType="solid">
        <fgColor rgb="FF1A5666"/>
        <bgColor rgb="FF1A535A"/>
      </patternFill>
    </fill>
    <fill>
      <patternFill patternType="solid">
        <fgColor rgb="FF7A3000"/>
        <bgColor rgb="FF9B3E01"/>
      </patternFill>
    </fill>
    <fill>
      <patternFill patternType="solid">
        <fgColor rgb="FF84868B"/>
        <bgColor rgb="FFBEBFBE"/>
      </patternFill>
    </fill>
    <fill>
      <patternFill patternType="solid">
        <fgColor rgb="FFE2EFDA"/>
        <bgColor rgb="FFE2F0D9"/>
      </patternFill>
    </fill>
    <fill>
      <patternFill patternType="solid">
        <fgColor rgb="FFFFFFFF"/>
        <bgColor rgb="FFFFFCF0"/>
      </patternFill>
    </fill>
    <fill>
      <patternFill patternType="solid">
        <fgColor rgb="FFF2F2F2"/>
        <bgColor rgb="FFF2F3F4"/>
      </patternFill>
    </fill>
    <fill>
      <patternFill patternType="solid">
        <fgColor rgb="FFFFF9E6"/>
        <bgColor rgb="FFFEF9E7"/>
      </patternFill>
    </fill>
    <fill>
      <patternFill patternType="solid">
        <fgColor rgb="FFC00000"/>
        <bgColor rgb="FF850000"/>
      </patternFill>
    </fill>
    <fill>
      <patternFill patternType="darkGray">
        <fgColor rgb="FF19547A"/>
        <bgColor rgb="FF1A5666"/>
      </patternFill>
    </fill>
    <fill>
      <patternFill patternType="solid">
        <fgColor rgb="FFEAF4FB"/>
        <bgColor rgb="FFE8F4FD"/>
      </patternFill>
    </fill>
    <fill>
      <patternFill patternType="darkGray">
        <fgColor rgb="FFFFF2CC"/>
        <bgColor rgb="FFFFF0E0"/>
      </patternFill>
    </fill>
    <fill>
      <patternFill patternType="solid">
        <fgColor rgb="FFDEEAF1"/>
        <bgColor rgb="FFD8EAF8"/>
      </patternFill>
    </fill>
    <fill>
      <patternFill patternType="solid">
        <fgColor rgb="FFFFF2CC"/>
        <bgColor rgb="FFFFF0E0"/>
      </patternFill>
    </fill>
    <fill>
      <patternFill patternType="solid">
        <fgColor rgb="FFF6F9FF"/>
        <bgColor rgb="FFF5F9FF"/>
      </patternFill>
    </fill>
    <fill>
      <patternFill patternType="solid">
        <fgColor rgb="FFD6EAF8"/>
        <bgColor rgb="FFD8EAF8"/>
      </patternFill>
    </fill>
    <fill>
      <patternFill patternType="solid">
        <fgColor rgb="FFFFE9E9"/>
        <bgColor rgb="FFFFF0E7"/>
      </patternFill>
    </fill>
    <fill>
      <patternFill patternType="solid">
        <fgColor rgb="FFFEDBD6"/>
        <bgColor rgb="FFFCE4D6"/>
      </patternFill>
    </fill>
    <fill>
      <patternFill patternType="solid">
        <fgColor rgb="FFFFF0E0"/>
        <bgColor rgb="FFFFF0E7"/>
      </patternFill>
    </fill>
    <fill>
      <patternFill patternType="solid">
        <fgColor rgb="FFF5F8FF"/>
        <bgColor rgb="FFF5F9FF"/>
      </patternFill>
    </fill>
    <fill>
      <patternFill patternType="solid">
        <fgColor rgb="FF1F3864"/>
        <bgColor rgb="FF203760"/>
      </patternFill>
    </fill>
    <fill>
      <patternFill patternType="solid">
        <fgColor rgb="FF19547A"/>
        <bgColor rgb="FF1A5666"/>
      </patternFill>
    </fill>
    <fill>
      <patternFill patternType="solid">
        <fgColor rgb="FFEBF5EB"/>
        <bgColor rgb="FFE9F7EF"/>
      </patternFill>
    </fill>
    <fill>
      <patternFill patternType="solid">
        <fgColor rgb="FFD6EAF8"/>
        <bgColor rgb="FFD8EAF8"/>
      </patternFill>
    </fill>
    <fill>
      <patternFill patternType="darkGray">
        <fgColor rgb="FF7A3000"/>
        <bgColor rgb="FF9B3E01"/>
      </patternFill>
    </fill>
    <fill>
      <patternFill patternType="mediumGray">
        <fgColor rgb="FF415B2E"/>
        <bgColor rgb="FF265B1F"/>
      </patternFill>
    </fill>
    <fill>
      <patternFill patternType="darkGray">
        <fgColor rgb="FF265B1F"/>
        <bgColor rgb="FF006B00"/>
      </patternFill>
    </fill>
    <fill>
      <patternFill patternType="solid">
        <fgColor rgb="FF006B00"/>
        <bgColor rgb="FF265B1F"/>
      </patternFill>
    </fill>
    <fill>
      <patternFill patternType="mediumGray">
        <fgColor rgb="FF4E2450"/>
        <bgColor rgb="FF7A3000"/>
      </patternFill>
    </fill>
    <fill>
      <patternFill patternType="solid">
        <fgColor rgb="FF850000"/>
        <bgColor rgb="FFC00000"/>
      </patternFill>
    </fill>
    <fill>
      <patternFill patternType="darkGray">
        <fgColor rgb="FF061E15"/>
        <bgColor rgb="FF063561"/>
      </patternFill>
    </fill>
    <fill>
      <patternFill patternType="darkGray">
        <fgColor rgb="FF850000"/>
        <bgColor rgb="FFC00000"/>
      </patternFill>
    </fill>
    <fill>
      <patternFill patternType="darkGray">
        <fgColor rgb="FFD8F5E2"/>
        <bgColor rgb="FFE2F0D9"/>
      </patternFill>
    </fill>
    <fill>
      <patternFill patternType="darkGray">
        <fgColor rgb="FFCEC7C7"/>
        <bgColor rgb="FFBEBFBE"/>
      </patternFill>
    </fill>
    <fill>
      <patternFill patternType="mediumGray">
        <fgColor rgb="FFBEBFBE"/>
        <bgColor rgb="FF84868B"/>
      </patternFill>
    </fill>
    <fill>
      <patternFill patternType="solid">
        <fgColor rgb="FFFEDBD6"/>
        <bgColor rgb="FFFCE4D6"/>
      </patternFill>
    </fill>
    <fill>
      <patternFill patternType="solid">
        <fgColor rgb="FFCEC7C7"/>
        <bgColor rgb="FFBEBFBE"/>
      </patternFill>
    </fill>
    <fill>
      <patternFill patternType="solid">
        <fgColor rgb="FFE2F0D9"/>
        <bgColor rgb="FFE2EFDA"/>
      </patternFill>
    </fill>
    <fill>
      <patternFill patternType="solid">
        <fgColor rgb="FFD8EAF8"/>
        <bgColor rgb="FFD6EAF8"/>
      </patternFill>
    </fill>
    <fill>
      <patternFill patternType="solid">
        <fgColor rgb="FFFCE4D6"/>
        <bgColor rgb="FFFEDBD6"/>
      </patternFill>
    </fill>
    <fill>
      <patternFill patternType="solid">
        <fgColor rgb="FFEDE1F3"/>
        <bgColor rgb="FFEDE0F3"/>
      </patternFill>
    </fill>
    <fill>
      <patternFill patternType="solid">
        <fgColor rgb="FFF5F9FF"/>
        <bgColor rgb="FFF6F9FF"/>
      </patternFill>
    </fill>
    <fill>
      <patternFill patternType="solid">
        <fgColor rgb="FFD8F5E2"/>
        <bgColor rgb="FFE2F0D9"/>
      </patternFill>
    </fill>
    <fill>
      <patternFill patternType="solid">
        <fgColor rgb="FF1A535A"/>
        <bgColor rgb="FF1A5666"/>
      </patternFill>
    </fill>
    <fill>
      <patternFill patternType="darkGray">
        <fgColor rgb="FF4E2450"/>
        <bgColor rgb="FF203760"/>
      </patternFill>
    </fill>
    <fill>
      <patternFill patternType="solid">
        <fgColor rgb="FFEDE0F3"/>
        <bgColor rgb="FFEDE1F3"/>
      </patternFill>
    </fill>
    <fill>
      <patternFill patternType="solid">
        <fgColor rgb="FF203760"/>
        <bgColor rgb="FF1F3864"/>
      </patternFill>
    </fill>
    <fill>
      <patternFill patternType="solid">
        <fgColor rgb="FFF2F3F4"/>
        <bgColor rgb="FFF2F2F2"/>
      </patternFill>
    </fill>
  </fills>
  <borders count="13">
    <border>
      <left/>
      <right/>
      <top/>
      <bottom/>
      <diagonal/>
    </border>
    <border>
      <left style="medium">
        <color rgb="FFFFFFFF"/>
      </left>
      <right/>
      <top style="medium">
        <color rgb="FFFFFFFF"/>
      </top>
      <bottom style="thin">
        <color rgb="FF84868B"/>
      </bottom>
      <diagonal/>
    </border>
    <border>
      <left style="thin">
        <color rgb="FFBEBFBE"/>
      </left>
      <right style="thin">
        <color rgb="FFBEBFBE"/>
      </right>
      <top style="thin">
        <color rgb="FFBEBFBE"/>
      </top>
      <bottom style="thin">
        <color rgb="FFBEBFBE"/>
      </bottom>
      <diagonal/>
    </border>
    <border>
      <left style="thin">
        <color rgb="FFBEBFBE"/>
      </left>
      <right/>
      <top style="thin">
        <color rgb="FFBEBFBE"/>
      </top>
      <bottom style="thin">
        <color rgb="FFBEBFBE"/>
      </bottom>
      <diagonal/>
    </border>
    <border>
      <left/>
      <right style="medium">
        <color rgb="FFFFFFFF"/>
      </right>
      <top/>
      <bottom/>
      <diagonal/>
    </border>
    <border>
      <left/>
      <right/>
      <top/>
      <bottom style="medium">
        <color rgb="FFFFFFFF"/>
      </bottom>
      <diagonal/>
    </border>
    <border>
      <left style="medium">
        <color rgb="FFFFFFFF"/>
      </left>
      <right/>
      <top style="medium">
        <color rgb="FFFFFFFF"/>
      </top>
      <bottom style="thin">
        <color rgb="FFBEBFBE"/>
      </bottom>
      <diagonal/>
    </border>
    <border>
      <left style="thin">
        <color rgb="FFCEC7C7"/>
      </left>
      <right style="thin">
        <color rgb="FFCEC7C7"/>
      </right>
      <top style="thin">
        <color rgb="FFCEC7C7"/>
      </top>
      <bottom style="thin">
        <color rgb="FFCEC7C7"/>
      </bottom>
      <diagonal/>
    </border>
    <border>
      <left/>
      <right/>
      <top/>
      <bottom style="thin">
        <color rgb="FF84868B"/>
      </bottom>
      <diagonal/>
    </border>
    <border>
      <left style="medium">
        <color rgb="FFFFFFFF"/>
      </left>
      <right style="medium">
        <color rgb="FFFFFFFF"/>
      </right>
      <top style="medium">
        <color rgb="FFFFFFFF"/>
      </top>
      <bottom style="thin">
        <color rgb="FF84868B"/>
      </bottom>
      <diagonal/>
    </border>
    <border>
      <left/>
      <right/>
      <top style="medium">
        <color rgb="FFFFFFFF"/>
      </top>
      <bottom style="thin">
        <color rgb="FF84868B"/>
      </bottom>
      <diagonal/>
    </border>
    <border>
      <left style="medium">
        <color rgb="FFFFFFFF"/>
      </left>
      <right/>
      <top style="medium">
        <color rgb="FFFFFFFF"/>
      </top>
      <bottom style="thin">
        <color rgb="FFBEBFBE"/>
      </bottom>
      <diagonal/>
    </border>
    <border>
      <left/>
      <right style="medium">
        <color rgb="FFFFFFFF"/>
      </right>
      <top style="medium">
        <color rgb="FFFFFFFF"/>
      </top>
      <bottom style="thin">
        <color rgb="FF84868B"/>
      </bottom>
      <diagonal/>
    </border>
  </borders>
  <cellStyleXfs count="1">
    <xf numFmtId="0" fontId="0" fillId="0" borderId="0"/>
  </cellStyleXfs>
  <cellXfs count="293">
    <xf numFmtId="0" fontId="0" fillId="0" borderId="0" xfId="0"/>
    <xf numFmtId="0" fontId="4" fillId="11"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7" borderId="1" xfId="0" applyFont="1" applyFill="1" applyBorder="1" applyAlignment="1">
      <alignment horizontal="center" vertical="center"/>
    </xf>
    <xf numFmtId="0" fontId="5" fillId="2" borderId="0" xfId="0" applyFont="1" applyFill="1" applyBorder="1" applyAlignment="1">
      <alignment horizontal="center" vertical="center" wrapText="1"/>
    </xf>
    <xf numFmtId="0" fontId="4" fillId="6"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2" borderId="0" xfId="0" applyFont="1" applyFill="1" applyBorder="1" applyAlignment="1">
      <alignment horizontal="left" vertical="center"/>
    </xf>
    <xf numFmtId="0" fontId="2" fillId="2" borderId="0" xfId="0" applyFont="1" applyFill="1" applyBorder="1" applyAlignment="1">
      <alignment horizontal="center" vertical="center"/>
    </xf>
    <xf numFmtId="0" fontId="1" fillId="2" borderId="0" xfId="0" applyFont="1" applyFill="1" applyBorder="1" applyAlignment="1">
      <alignment horizontal="center" vertical="center"/>
    </xf>
    <xf numFmtId="0" fontId="0" fillId="0" borderId="0" xfId="0" applyAlignment="1"/>
    <xf numFmtId="0" fontId="0" fillId="2" borderId="0" xfId="0" applyFill="1" applyAlignment="1"/>
    <xf numFmtId="0" fontId="4" fillId="5" borderId="2" xfId="0" applyFont="1" applyFill="1" applyBorder="1" applyAlignment="1">
      <alignment horizontal="center" vertical="center"/>
    </xf>
    <xf numFmtId="0" fontId="14" fillId="13" borderId="2" xfId="0" applyFont="1" applyFill="1" applyBorder="1" applyAlignment="1">
      <alignment horizontal="left" vertical="center" wrapText="1"/>
    </xf>
    <xf numFmtId="0" fontId="14" fillId="14" borderId="2" xfId="0" applyFont="1" applyFill="1" applyBorder="1" applyAlignment="1">
      <alignment horizontal="left" vertical="center" wrapText="1"/>
    </xf>
    <xf numFmtId="0" fontId="17" fillId="18" borderId="2" xfId="0" applyFont="1" applyFill="1" applyBorder="1" applyAlignment="1">
      <alignment horizontal="left" vertical="center" wrapText="1"/>
    </xf>
    <xf numFmtId="0" fontId="17" fillId="13" borderId="2" xfId="0" applyFont="1" applyFill="1" applyBorder="1" applyAlignment="1">
      <alignment horizontal="left" vertical="center" wrapText="1"/>
    </xf>
    <xf numFmtId="0" fontId="20" fillId="19" borderId="2" xfId="0" applyFont="1" applyFill="1" applyBorder="1" applyAlignment="1">
      <alignment horizontal="left" vertical="top" wrapText="1"/>
    </xf>
    <xf numFmtId="0" fontId="14" fillId="13" borderId="2" xfId="0" applyFont="1" applyFill="1" applyBorder="1" applyAlignment="1">
      <alignment horizontal="left" vertical="top" wrapText="1"/>
    </xf>
    <xf numFmtId="0" fontId="23" fillId="5" borderId="2" xfId="0" applyFont="1" applyFill="1" applyBorder="1" applyAlignment="1">
      <alignment horizontal="center" vertical="center" wrapText="1"/>
    </xf>
    <xf numFmtId="0" fontId="24" fillId="17" borderId="2" xfId="0" applyFont="1" applyFill="1" applyBorder="1" applyAlignment="1">
      <alignment horizontal="center" vertical="center" wrapText="1"/>
    </xf>
    <xf numFmtId="0" fontId="25" fillId="21" borderId="2" xfId="0" applyFont="1" applyFill="1" applyBorder="1" applyAlignment="1">
      <alignment horizontal="left" vertical="center"/>
    </xf>
    <xf numFmtId="0" fontId="26" fillId="22" borderId="2" xfId="0" applyFont="1" applyFill="1" applyBorder="1" applyAlignment="1">
      <alignment horizontal="center" vertical="center"/>
    </xf>
    <xf numFmtId="0" fontId="27" fillId="22" borderId="2" xfId="0" applyFont="1" applyFill="1" applyBorder="1" applyAlignment="1">
      <alignment horizontal="center" vertical="center"/>
    </xf>
    <xf numFmtId="0" fontId="28" fillId="21" borderId="2" xfId="0" applyFont="1" applyFill="1" applyBorder="1" applyAlignment="1">
      <alignment horizontal="center" vertical="center"/>
    </xf>
    <xf numFmtId="0" fontId="29" fillId="22" borderId="2" xfId="0" applyFont="1" applyFill="1" applyBorder="1" applyAlignment="1">
      <alignment horizontal="left" vertical="center"/>
    </xf>
    <xf numFmtId="164" fontId="30" fillId="23" borderId="2" xfId="0" applyNumberFormat="1" applyFont="1" applyFill="1" applyBorder="1" applyAlignment="1">
      <alignment horizontal="center" vertical="center"/>
    </xf>
    <xf numFmtId="164" fontId="31" fillId="23" borderId="2" xfId="0" applyNumberFormat="1" applyFont="1" applyFill="1" applyBorder="1" applyAlignment="1">
      <alignment horizontal="center" vertical="center"/>
    </xf>
    <xf numFmtId="0" fontId="30" fillId="23" borderId="2" xfId="0" applyFont="1" applyFill="1" applyBorder="1" applyAlignment="1">
      <alignment horizontal="center" vertical="center"/>
    </xf>
    <xf numFmtId="0" fontId="30" fillId="23" borderId="2" xfId="0" applyFont="1" applyFill="1" applyBorder="1" applyAlignment="1">
      <alignment horizontal="left" vertical="center"/>
    </xf>
    <xf numFmtId="0" fontId="32" fillId="23" borderId="2" xfId="0" applyFont="1" applyFill="1" applyBorder="1" applyAlignment="1">
      <alignment horizontal="left" vertical="center"/>
    </xf>
    <xf numFmtId="0" fontId="26" fillId="13" borderId="2" xfId="0" applyFont="1" applyFill="1" applyBorder="1" applyAlignment="1">
      <alignment horizontal="center" vertical="center"/>
    </xf>
    <xf numFmtId="0" fontId="27" fillId="13" borderId="2" xfId="0" applyFont="1" applyFill="1" applyBorder="1" applyAlignment="1">
      <alignment horizontal="center" vertical="center"/>
    </xf>
    <xf numFmtId="0" fontId="29" fillId="13" borderId="2" xfId="0" applyFont="1" applyFill="1" applyBorder="1" applyAlignment="1">
      <alignment horizontal="left" vertical="center"/>
    </xf>
    <xf numFmtId="164" fontId="30" fillId="18" borderId="2" xfId="0" applyNumberFormat="1" applyFont="1" applyFill="1" applyBorder="1" applyAlignment="1">
      <alignment horizontal="center" vertical="center"/>
    </xf>
    <xf numFmtId="164" fontId="31" fillId="18" borderId="2" xfId="0" applyNumberFormat="1" applyFont="1" applyFill="1" applyBorder="1" applyAlignment="1">
      <alignment horizontal="center" vertical="center"/>
    </xf>
    <xf numFmtId="0" fontId="30" fillId="18" borderId="2" xfId="0" applyFont="1" applyFill="1" applyBorder="1" applyAlignment="1">
      <alignment horizontal="center" vertical="center"/>
    </xf>
    <xf numFmtId="0" fontId="30" fillId="18" borderId="2" xfId="0" applyFont="1" applyFill="1" applyBorder="1" applyAlignment="1">
      <alignment horizontal="left" vertical="center"/>
    </xf>
    <xf numFmtId="0" fontId="32" fillId="18" borderId="2" xfId="0" applyFont="1" applyFill="1" applyBorder="1" applyAlignment="1">
      <alignment horizontal="left" vertical="center"/>
    </xf>
    <xf numFmtId="0" fontId="26" fillId="24" borderId="2" xfId="0" applyFont="1" applyFill="1" applyBorder="1" applyAlignment="1">
      <alignment horizontal="center" vertical="center"/>
    </xf>
    <xf numFmtId="0" fontId="27" fillId="24" borderId="2" xfId="0" applyFont="1" applyFill="1" applyBorder="1" applyAlignment="1">
      <alignment horizontal="center" vertical="center"/>
    </xf>
    <xf numFmtId="0" fontId="33" fillId="21" borderId="2" xfId="0" applyFont="1" applyFill="1" applyBorder="1" applyAlignment="1">
      <alignment horizontal="center" vertical="center"/>
    </xf>
    <xf numFmtId="0" fontId="29" fillId="24" borderId="2" xfId="0" applyFont="1" applyFill="1" applyBorder="1" applyAlignment="1">
      <alignment horizontal="left" vertical="center"/>
    </xf>
    <xf numFmtId="0" fontId="26" fillId="25" borderId="2" xfId="0" applyFont="1" applyFill="1" applyBorder="1" applyAlignment="1">
      <alignment horizontal="center" vertical="center"/>
    </xf>
    <xf numFmtId="0" fontId="27" fillId="25" borderId="2" xfId="0" applyFont="1" applyFill="1" applyBorder="1" applyAlignment="1">
      <alignment horizontal="center" vertical="center"/>
    </xf>
    <xf numFmtId="0" fontId="34" fillId="21" borderId="2" xfId="0" applyFont="1" applyFill="1" applyBorder="1" applyAlignment="1">
      <alignment horizontal="center" vertical="center"/>
    </xf>
    <xf numFmtId="0" fontId="29" fillId="25" borderId="2" xfId="0" applyFont="1" applyFill="1" applyBorder="1" applyAlignment="1">
      <alignment horizontal="left" vertical="center"/>
    </xf>
    <xf numFmtId="0" fontId="26" fillId="26" borderId="2" xfId="0" applyFont="1" applyFill="1" applyBorder="1" applyAlignment="1">
      <alignment horizontal="center" vertical="center"/>
    </xf>
    <xf numFmtId="0" fontId="27" fillId="26" borderId="2" xfId="0" applyFont="1" applyFill="1" applyBorder="1" applyAlignment="1">
      <alignment horizontal="center" vertical="center"/>
    </xf>
    <xf numFmtId="0" fontId="29" fillId="26" borderId="2" xfId="0" applyFont="1" applyFill="1" applyBorder="1" applyAlignment="1">
      <alignment horizontal="left" vertical="center"/>
    </xf>
    <xf numFmtId="0" fontId="26" fillId="27" borderId="2" xfId="0" applyFont="1" applyFill="1" applyBorder="1" applyAlignment="1">
      <alignment horizontal="center" vertical="center"/>
    </xf>
    <xf numFmtId="0" fontId="27" fillId="27" borderId="2" xfId="0" applyFont="1" applyFill="1" applyBorder="1" applyAlignment="1">
      <alignment horizontal="center" vertical="center"/>
    </xf>
    <xf numFmtId="0" fontId="29" fillId="27" borderId="2" xfId="0" applyFont="1" applyFill="1" applyBorder="1" applyAlignment="1">
      <alignment horizontal="left" vertical="center"/>
    </xf>
    <xf numFmtId="0" fontId="23" fillId="4" borderId="2" xfId="0" applyFont="1" applyFill="1" applyBorder="1" applyAlignment="1">
      <alignment horizontal="center" vertical="center" wrapText="1"/>
    </xf>
    <xf numFmtId="0" fontId="24" fillId="17" borderId="7" xfId="0" applyFont="1" applyFill="1" applyBorder="1" applyAlignment="1">
      <alignment horizontal="center" vertical="center" wrapText="1"/>
    </xf>
    <xf numFmtId="0" fontId="38" fillId="21" borderId="2" xfId="0" applyFont="1" applyFill="1" applyBorder="1" applyAlignment="1">
      <alignment horizontal="left" vertical="center"/>
    </xf>
    <xf numFmtId="164" fontId="38" fillId="21" borderId="2" xfId="0" applyNumberFormat="1" applyFont="1" applyFill="1" applyBorder="1" applyAlignment="1">
      <alignment horizontal="left" vertical="center"/>
    </xf>
    <xf numFmtId="1" fontId="39" fillId="30" borderId="2" xfId="0" applyNumberFormat="1" applyFont="1" applyFill="1" applyBorder="1" applyAlignment="1">
      <alignment horizontal="center" vertical="center"/>
    </xf>
    <xf numFmtId="164" fontId="39" fillId="30" borderId="2" xfId="0" applyNumberFormat="1" applyFont="1" applyFill="1" applyBorder="1" applyAlignment="1">
      <alignment horizontal="center" vertical="center"/>
    </xf>
    <xf numFmtId="1" fontId="38" fillId="21" borderId="2" xfId="0" applyNumberFormat="1" applyFont="1" applyFill="1" applyBorder="1" applyAlignment="1">
      <alignment horizontal="center" vertical="center"/>
    </xf>
    <xf numFmtId="49" fontId="39" fillId="30" borderId="2" xfId="0" applyNumberFormat="1" applyFont="1" applyFill="1" applyBorder="1" applyAlignment="1">
      <alignment horizontal="left" vertical="center"/>
    </xf>
    <xf numFmtId="49" fontId="39" fillId="30" borderId="2" xfId="0" applyNumberFormat="1" applyFont="1" applyFill="1" applyBorder="1" applyAlignment="1">
      <alignment horizontal="center" vertical="center"/>
    </xf>
    <xf numFmtId="1" fontId="38" fillId="21" borderId="2" xfId="0" applyNumberFormat="1" applyFont="1" applyFill="1" applyBorder="1" applyAlignment="1">
      <alignment horizontal="left" vertical="center"/>
    </xf>
    <xf numFmtId="164" fontId="30" fillId="31" borderId="7" xfId="0" applyNumberFormat="1" applyFont="1" applyFill="1" applyBorder="1" applyAlignment="1">
      <alignment horizontal="center" vertical="center"/>
    </xf>
    <xf numFmtId="0" fontId="30" fillId="31" borderId="7" xfId="0" applyFont="1" applyFill="1" applyBorder="1" applyAlignment="1">
      <alignment horizontal="left" vertical="center"/>
    </xf>
    <xf numFmtId="0" fontId="40" fillId="31" borderId="7" xfId="0" applyFont="1" applyFill="1" applyBorder="1" applyAlignment="1">
      <alignment horizontal="left" vertical="center"/>
    </xf>
    <xf numFmtId="164" fontId="30" fillId="18" borderId="7" xfId="0" applyNumberFormat="1" applyFont="1" applyFill="1" applyBorder="1" applyAlignment="1">
      <alignment horizontal="center" vertical="center"/>
    </xf>
    <xf numFmtId="0" fontId="30" fillId="18" borderId="7" xfId="0" applyFont="1" applyFill="1" applyBorder="1" applyAlignment="1">
      <alignment horizontal="left" vertical="center"/>
    </xf>
    <xf numFmtId="0" fontId="40" fillId="18" borderId="7" xfId="0" applyFont="1" applyFill="1" applyBorder="1" applyAlignment="1">
      <alignment horizontal="left" vertical="center"/>
    </xf>
    <xf numFmtId="0" fontId="41" fillId="20" borderId="2" xfId="0" applyFont="1" applyFill="1" applyBorder="1" applyAlignment="1">
      <alignment horizontal="center" vertical="center"/>
    </xf>
    <xf numFmtId="0" fontId="26" fillId="20" borderId="2" xfId="0" applyFont="1" applyFill="1" applyBorder="1" applyAlignment="1">
      <alignment horizontal="center" vertical="center"/>
    </xf>
    <xf numFmtId="0" fontId="42" fillId="21" borderId="2" xfId="0" applyFont="1" applyFill="1" applyBorder="1" applyAlignment="1">
      <alignment horizontal="center" vertical="center"/>
    </xf>
    <xf numFmtId="0" fontId="41" fillId="21" borderId="2" xfId="0" applyFont="1" applyFill="1" applyBorder="1" applyAlignment="1">
      <alignment horizontal="center" vertical="center"/>
    </xf>
    <xf numFmtId="0" fontId="43" fillId="21" borderId="2" xfId="0" applyFont="1" applyFill="1" applyBorder="1" applyAlignment="1">
      <alignment horizontal="center" vertical="center"/>
    </xf>
    <xf numFmtId="0" fontId="26" fillId="21" borderId="2" xfId="0" applyFont="1" applyFill="1" applyBorder="1" applyAlignment="1">
      <alignment horizontal="center" vertical="center"/>
    </xf>
    <xf numFmtId="0" fontId="41" fillId="12" borderId="2" xfId="0" applyFont="1" applyFill="1" applyBorder="1" applyAlignment="1">
      <alignment horizontal="center" vertical="center"/>
    </xf>
    <xf numFmtId="0" fontId="26" fillId="12" borderId="2" xfId="0" applyFont="1" applyFill="1" applyBorder="1" applyAlignment="1">
      <alignment horizontal="center" vertical="center"/>
    </xf>
    <xf numFmtId="0" fontId="41" fillId="14" borderId="2" xfId="0" applyFont="1" applyFill="1" applyBorder="1" applyAlignment="1">
      <alignment horizontal="center" vertical="center"/>
    </xf>
    <xf numFmtId="0" fontId="26" fillId="14" borderId="2" xfId="0" applyFont="1" applyFill="1" applyBorder="1" applyAlignment="1">
      <alignment horizontal="center" vertical="center"/>
    </xf>
    <xf numFmtId="0" fontId="37" fillId="28" borderId="9" xfId="0" applyFont="1" applyFill="1" applyBorder="1" applyAlignment="1">
      <alignment horizontal="center" vertical="center"/>
    </xf>
    <xf numFmtId="165" fontId="37" fillId="28" borderId="9" xfId="0" applyNumberFormat="1" applyFont="1" applyFill="1" applyBorder="1" applyAlignment="1">
      <alignment horizontal="center" vertical="center"/>
    </xf>
    <xf numFmtId="0" fontId="37" fillId="17" borderId="9" xfId="0" applyFont="1" applyFill="1" applyBorder="1" applyAlignment="1">
      <alignment horizontal="center" vertical="center"/>
    </xf>
    <xf numFmtId="0" fontId="37" fillId="34" borderId="9" xfId="0" applyFont="1" applyFill="1" applyBorder="1" applyAlignment="1">
      <alignment horizontal="center" vertical="center" wrapText="1"/>
    </xf>
    <xf numFmtId="0" fontId="37" fillId="35" borderId="9" xfId="0" applyFont="1" applyFill="1" applyBorder="1" applyAlignment="1">
      <alignment horizontal="center" vertical="center"/>
    </xf>
    <xf numFmtId="0" fontId="0" fillId="0" borderId="10" xfId="0" applyBorder="1" applyAlignment="1"/>
    <xf numFmtId="0" fontId="37" fillId="37" borderId="9" xfId="0" applyFont="1" applyFill="1" applyBorder="1" applyAlignment="1">
      <alignment horizontal="center" vertical="center" wrapText="1"/>
    </xf>
    <xf numFmtId="0" fontId="37" fillId="38" borderId="9" xfId="0" applyFont="1" applyFill="1" applyBorder="1" applyAlignment="1">
      <alignment horizontal="center" vertical="center"/>
    </xf>
    <xf numFmtId="0" fontId="23" fillId="3" borderId="2" xfId="0" applyFont="1" applyFill="1" applyBorder="1" applyAlignment="1">
      <alignment horizontal="center" vertical="center" wrapText="1"/>
    </xf>
    <xf numFmtId="0" fontId="24" fillId="34" borderId="2" xfId="0" applyFont="1" applyFill="1" applyBorder="1" applyAlignment="1">
      <alignment horizontal="center" vertical="center" wrapText="1"/>
    </xf>
    <xf numFmtId="0" fontId="24" fillId="35" borderId="2" xfId="0" applyFont="1" applyFill="1" applyBorder="1" applyAlignment="1">
      <alignment horizontal="center" vertical="center" wrapText="1"/>
    </xf>
    <xf numFmtId="0" fontId="23" fillId="39" borderId="2" xfId="0" applyFont="1" applyFill="1" applyBorder="1" applyAlignment="1">
      <alignment horizontal="center" vertical="center" wrapText="1"/>
    </xf>
    <xf numFmtId="0" fontId="24" fillId="36" borderId="2" xfId="0" applyFont="1" applyFill="1" applyBorder="1" applyAlignment="1">
      <alignment horizontal="center" vertical="center" wrapText="1"/>
    </xf>
    <xf numFmtId="0" fontId="24" fillId="37" borderId="2" xfId="0" applyFont="1" applyFill="1" applyBorder="1" applyAlignment="1">
      <alignment horizontal="center" vertical="center" wrapText="1"/>
    </xf>
    <xf numFmtId="0" fontId="24" fillId="38" borderId="2" xfId="0" applyFont="1" applyFill="1" applyBorder="1" applyAlignment="1">
      <alignment horizontal="center" vertical="center" wrapText="1"/>
    </xf>
    <xf numFmtId="49" fontId="14" fillId="13" borderId="2" xfId="0" applyNumberFormat="1" applyFont="1" applyFill="1" applyBorder="1" applyAlignment="1">
      <alignment horizontal="left" vertical="center"/>
    </xf>
    <xf numFmtId="1" fontId="14" fillId="13" borderId="2" xfId="0" applyNumberFormat="1" applyFont="1" applyFill="1" applyBorder="1" applyAlignment="1">
      <alignment horizontal="left" vertical="center"/>
    </xf>
    <xf numFmtId="3" fontId="39" fillId="30" borderId="2" xfId="0" applyNumberFormat="1" applyFont="1" applyFill="1" applyBorder="1" applyAlignment="1">
      <alignment horizontal="right" vertical="center"/>
    </xf>
    <xf numFmtId="3" fontId="44" fillId="40" borderId="2" xfId="0" applyNumberFormat="1" applyFont="1" applyFill="1" applyBorder="1" applyAlignment="1">
      <alignment horizontal="right" vertical="center"/>
    </xf>
    <xf numFmtId="3" fontId="45" fillId="18" borderId="2" xfId="0" applyNumberFormat="1" applyFont="1" applyFill="1" applyBorder="1" applyAlignment="1">
      <alignment horizontal="right" vertical="center"/>
    </xf>
    <xf numFmtId="3" fontId="46" fillId="41" borderId="2" xfId="0" applyNumberFormat="1" applyFont="1" applyFill="1" applyBorder="1" applyAlignment="1">
      <alignment horizontal="right" vertical="center"/>
    </xf>
    <xf numFmtId="3" fontId="47" fillId="42" borderId="2" xfId="0" applyNumberFormat="1" applyFont="1" applyFill="1" applyBorder="1" applyAlignment="1">
      <alignment horizontal="right" vertical="center"/>
    </xf>
    <xf numFmtId="3" fontId="48" fillId="43" borderId="2" xfId="0" applyNumberFormat="1" applyFont="1" applyFill="1" applyBorder="1" applyAlignment="1">
      <alignment horizontal="right" vertical="center"/>
    </xf>
    <xf numFmtId="3" fontId="49" fillId="43" borderId="2" xfId="0" applyNumberFormat="1" applyFont="1" applyFill="1" applyBorder="1" applyAlignment="1">
      <alignment horizontal="right" vertical="center"/>
    </xf>
    <xf numFmtId="3" fontId="45" fillId="24" borderId="2" xfId="0" applyNumberFormat="1" applyFont="1" applyFill="1" applyBorder="1" applyAlignment="1">
      <alignment horizontal="right" vertical="center"/>
    </xf>
    <xf numFmtId="3" fontId="50" fillId="44" borderId="2" xfId="0" applyNumberFormat="1" applyFont="1" applyFill="1" applyBorder="1" applyAlignment="1">
      <alignment horizontal="right" vertical="center"/>
    </xf>
    <xf numFmtId="3" fontId="47" fillId="45" borderId="2" xfId="0" applyNumberFormat="1" applyFont="1" applyFill="1" applyBorder="1" applyAlignment="1">
      <alignment horizontal="right" vertical="center"/>
    </xf>
    <xf numFmtId="3" fontId="4" fillId="3" borderId="2" xfId="0" applyNumberFormat="1" applyFont="1" applyFill="1" applyBorder="1" applyAlignment="1">
      <alignment horizontal="right" vertical="center"/>
    </xf>
    <xf numFmtId="3" fontId="37" fillId="28" borderId="2" xfId="0" applyNumberFormat="1" applyFont="1" applyFill="1" applyBorder="1" applyAlignment="1">
      <alignment horizontal="right" vertical="center"/>
    </xf>
    <xf numFmtId="0" fontId="4" fillId="5" borderId="2" xfId="0" applyFont="1" applyFill="1" applyBorder="1" applyAlignment="1">
      <alignment horizontal="center" vertical="center" wrapText="1"/>
    </xf>
    <xf numFmtId="0" fontId="51" fillId="21" borderId="2" xfId="0" applyFont="1" applyFill="1" applyBorder="1" applyAlignment="1">
      <alignment horizontal="left" vertical="center"/>
    </xf>
    <xf numFmtId="0" fontId="51" fillId="21" borderId="2" xfId="0" applyFont="1" applyFill="1" applyBorder="1" applyAlignment="1">
      <alignment horizontal="center" vertical="center"/>
    </xf>
    <xf numFmtId="0" fontId="52" fillId="21" borderId="2" xfId="0" applyFont="1" applyFill="1" applyBorder="1" applyAlignment="1">
      <alignment horizontal="left" vertical="center" wrapText="1"/>
    </xf>
    <xf numFmtId="0" fontId="52" fillId="46" borderId="2" xfId="0" applyFont="1" applyFill="1" applyBorder="1" applyAlignment="1">
      <alignment horizontal="left" vertical="center" wrapText="1"/>
    </xf>
    <xf numFmtId="0" fontId="52" fillId="45" borderId="2" xfId="0" applyFont="1" applyFill="1" applyBorder="1" applyAlignment="1">
      <alignment horizontal="left" vertical="center" wrapText="1"/>
    </xf>
    <xf numFmtId="0" fontId="52" fillId="47" borderId="2" xfId="0" applyFont="1" applyFill="1" applyBorder="1" applyAlignment="1">
      <alignment horizontal="left" vertical="center" wrapText="1"/>
    </xf>
    <xf numFmtId="0" fontId="52" fillId="25" borderId="2" xfId="0" applyFont="1" applyFill="1" applyBorder="1" applyAlignment="1">
      <alignment horizontal="left" vertical="center" wrapText="1"/>
    </xf>
    <xf numFmtId="0" fontId="52" fillId="48" borderId="2" xfId="0" applyFont="1" applyFill="1" applyBorder="1" applyAlignment="1">
      <alignment horizontal="left" vertical="center" wrapText="1"/>
    </xf>
    <xf numFmtId="0" fontId="24" fillId="5" borderId="2" xfId="0" applyFont="1" applyFill="1" applyBorder="1" applyAlignment="1">
      <alignment horizontal="center" vertical="center" wrapText="1"/>
    </xf>
    <xf numFmtId="0" fontId="17" fillId="49" borderId="2" xfId="0" applyFont="1" applyFill="1" applyBorder="1" applyAlignment="1">
      <alignment horizontal="center" vertical="center"/>
    </xf>
    <xf numFmtId="0" fontId="53" fillId="30" borderId="2" xfId="0" applyFont="1" applyFill="1" applyBorder="1" applyAlignment="1">
      <alignment horizontal="center" vertical="center"/>
    </xf>
    <xf numFmtId="1" fontId="54" fillId="21" borderId="2" xfId="0" applyNumberFormat="1" applyFont="1" applyFill="1" applyBorder="1" applyAlignment="1">
      <alignment horizontal="right" vertical="center"/>
    </xf>
    <xf numFmtId="3" fontId="45" fillId="21" borderId="2" xfId="0" applyNumberFormat="1" applyFont="1" applyFill="1" applyBorder="1" applyAlignment="1">
      <alignment horizontal="right" vertical="center"/>
    </xf>
    <xf numFmtId="0" fontId="17" fillId="49" borderId="2" xfId="0" applyFont="1" applyFill="1" applyBorder="1" applyAlignment="1">
      <alignment horizontal="left" vertical="center"/>
    </xf>
    <xf numFmtId="0" fontId="52" fillId="49" borderId="2" xfId="0" applyFont="1" applyFill="1" applyBorder="1" applyAlignment="1">
      <alignment horizontal="left" vertical="center"/>
    </xf>
    <xf numFmtId="0" fontId="17" fillId="13" borderId="2" xfId="0" applyFont="1" applyFill="1" applyBorder="1" applyAlignment="1">
      <alignment horizontal="center" vertical="center"/>
    </xf>
    <xf numFmtId="0" fontId="17" fillId="13" borderId="2" xfId="0" applyFont="1" applyFill="1" applyBorder="1" applyAlignment="1">
      <alignment horizontal="left" vertical="center"/>
    </xf>
    <xf numFmtId="0" fontId="52" fillId="13" borderId="2" xfId="0" applyFont="1" applyFill="1" applyBorder="1" applyAlignment="1">
      <alignment horizontal="left" vertical="center"/>
    </xf>
    <xf numFmtId="0" fontId="17" fillId="47" borderId="2" xfId="0" applyFont="1" applyFill="1" applyBorder="1" applyAlignment="1">
      <alignment horizontal="center" vertical="center"/>
    </xf>
    <xf numFmtId="0" fontId="17" fillId="47" borderId="2" xfId="0" applyFont="1" applyFill="1" applyBorder="1" applyAlignment="1">
      <alignment horizontal="left" vertical="center"/>
    </xf>
    <xf numFmtId="0" fontId="52" fillId="47" borderId="2" xfId="0" applyFont="1" applyFill="1" applyBorder="1" applyAlignment="1">
      <alignment horizontal="left" vertical="center"/>
    </xf>
    <xf numFmtId="0" fontId="14" fillId="22" borderId="2" xfId="0" applyFont="1" applyFill="1" applyBorder="1" applyAlignment="1">
      <alignment horizontal="center" vertical="center"/>
    </xf>
    <xf numFmtId="0" fontId="39" fillId="22" borderId="2" xfId="0" applyFont="1" applyFill="1" applyBorder="1" applyAlignment="1">
      <alignment horizontal="center" vertical="center"/>
    </xf>
    <xf numFmtId="2" fontId="38" fillId="21" borderId="2" xfId="0" applyNumberFormat="1" applyFont="1" applyFill="1" applyBorder="1" applyAlignment="1">
      <alignment horizontal="right" vertical="center"/>
    </xf>
    <xf numFmtId="3" fontId="38" fillId="21" borderId="2" xfId="0" applyNumberFormat="1" applyFont="1" applyFill="1" applyBorder="1" applyAlignment="1">
      <alignment horizontal="right" vertical="center"/>
    </xf>
    <xf numFmtId="0" fontId="14" fillId="22" borderId="2" xfId="0" applyFont="1" applyFill="1" applyBorder="1" applyAlignment="1">
      <alignment horizontal="left" vertical="center"/>
    </xf>
    <xf numFmtId="0" fontId="14" fillId="13" borderId="2" xfId="0" applyFont="1" applyFill="1" applyBorder="1" applyAlignment="1">
      <alignment horizontal="center" vertical="center"/>
    </xf>
    <xf numFmtId="0" fontId="39" fillId="13" borderId="2" xfId="0" applyFont="1" applyFill="1" applyBorder="1" applyAlignment="1">
      <alignment horizontal="center" vertical="center"/>
    </xf>
    <xf numFmtId="0" fontId="14" fillId="13" borderId="2" xfId="0" applyFont="1" applyFill="1" applyBorder="1" applyAlignment="1">
      <alignment horizontal="left" vertical="center"/>
    </xf>
    <xf numFmtId="0" fontId="55" fillId="15" borderId="2" xfId="0" applyFont="1" applyFill="1" applyBorder="1" applyAlignment="1">
      <alignment horizontal="left" vertical="center"/>
    </xf>
    <xf numFmtId="3" fontId="54" fillId="21" borderId="2" xfId="0" applyNumberFormat="1" applyFont="1" applyFill="1" applyBorder="1" applyAlignment="1">
      <alignment horizontal="right" vertical="center"/>
    </xf>
    <xf numFmtId="0" fontId="56" fillId="15" borderId="2" xfId="0" applyFont="1" applyFill="1" applyBorder="1" applyAlignment="1">
      <alignment horizontal="left" vertical="center" wrapText="1"/>
    </xf>
    <xf numFmtId="0" fontId="57" fillId="15" borderId="2" xfId="0" applyFont="1" applyFill="1" applyBorder="1" applyAlignment="1">
      <alignment horizontal="left" vertical="center" wrapText="1"/>
    </xf>
    <xf numFmtId="0" fontId="56" fillId="13" borderId="2" xfId="0" applyFont="1" applyFill="1" applyBorder="1" applyAlignment="1">
      <alignment horizontal="left" vertical="center" wrapText="1"/>
    </xf>
    <xf numFmtId="0" fontId="57" fillId="13" borderId="2" xfId="0" applyFont="1" applyFill="1" applyBorder="1" applyAlignment="1">
      <alignment horizontal="left" vertical="center" wrapText="1"/>
    </xf>
    <xf numFmtId="0" fontId="56" fillId="49" borderId="2" xfId="0" applyFont="1" applyFill="1" applyBorder="1" applyAlignment="1">
      <alignment horizontal="left" vertical="center" wrapText="1"/>
    </xf>
    <xf numFmtId="0" fontId="57" fillId="49" borderId="2" xfId="0" applyFont="1" applyFill="1" applyBorder="1" applyAlignment="1">
      <alignment horizontal="left" vertical="center" wrapText="1"/>
    </xf>
    <xf numFmtId="0" fontId="17" fillId="45" borderId="2" xfId="0" applyFont="1" applyFill="1" applyBorder="1" applyAlignment="1">
      <alignment horizontal="left" vertical="center"/>
    </xf>
    <xf numFmtId="9" fontId="45" fillId="21" borderId="2" xfId="0" applyNumberFormat="1" applyFont="1" applyFill="1" applyBorder="1" applyAlignment="1">
      <alignment horizontal="right" vertical="center"/>
    </xf>
    <xf numFmtId="0" fontId="56" fillId="45" borderId="2" xfId="0" applyFont="1" applyFill="1" applyBorder="1" applyAlignment="1">
      <alignment horizontal="left" vertical="center" wrapText="1"/>
    </xf>
    <xf numFmtId="0" fontId="57" fillId="45" borderId="2" xfId="0" applyFont="1" applyFill="1" applyBorder="1" applyAlignment="1">
      <alignment horizontal="left" vertical="center" wrapText="1"/>
    </xf>
    <xf numFmtId="166" fontId="45" fillId="21" borderId="2" xfId="0" applyNumberFormat="1" applyFont="1" applyFill="1" applyBorder="1" applyAlignment="1">
      <alignment horizontal="right" vertical="center"/>
    </xf>
    <xf numFmtId="0" fontId="56" fillId="47" borderId="2" xfId="0" applyFont="1" applyFill="1" applyBorder="1" applyAlignment="1">
      <alignment horizontal="left" vertical="center" wrapText="1"/>
    </xf>
    <xf numFmtId="0" fontId="57" fillId="47" borderId="2" xfId="0" applyFont="1" applyFill="1" applyBorder="1" applyAlignment="1">
      <alignment horizontal="left" vertical="center" wrapText="1"/>
    </xf>
    <xf numFmtId="0" fontId="14" fillId="47" borderId="2" xfId="0" applyFont="1" applyFill="1" applyBorder="1" applyAlignment="1">
      <alignment horizontal="left" vertical="center"/>
    </xf>
    <xf numFmtId="166" fontId="38" fillId="21" borderId="2" xfId="0" applyNumberFormat="1" applyFont="1" applyFill="1" applyBorder="1" applyAlignment="1">
      <alignment horizontal="right" vertical="center"/>
    </xf>
    <xf numFmtId="0" fontId="29" fillId="47" borderId="2" xfId="0" applyFont="1" applyFill="1" applyBorder="1" applyAlignment="1">
      <alignment horizontal="left" vertical="center" wrapText="1"/>
    </xf>
    <xf numFmtId="3" fontId="14" fillId="22" borderId="2" xfId="0" applyNumberFormat="1" applyFont="1" applyFill="1" applyBorder="1" applyAlignment="1">
      <alignment horizontal="right" vertical="center"/>
    </xf>
    <xf numFmtId="0" fontId="38" fillId="21" borderId="2" xfId="0" applyFont="1" applyFill="1" applyBorder="1" applyAlignment="1">
      <alignment horizontal="center" vertical="center"/>
    </xf>
    <xf numFmtId="3" fontId="14" fillId="13" borderId="2" xfId="0" applyNumberFormat="1" applyFont="1" applyFill="1" applyBorder="1" applyAlignment="1">
      <alignment horizontal="right" vertical="center"/>
    </xf>
    <xf numFmtId="0" fontId="58" fillId="0" borderId="0" xfId="0" applyFont="1" applyAlignment="1"/>
    <xf numFmtId="0" fontId="61" fillId="12" borderId="2" xfId="0" applyFont="1" applyFill="1" applyBorder="1" applyAlignment="1">
      <alignment horizontal="center" vertical="center"/>
    </xf>
    <xf numFmtId="0" fontId="62" fillId="12" borderId="2" xfId="0" applyFont="1" applyFill="1" applyBorder="1" applyAlignment="1">
      <alignment horizontal="left" vertical="center"/>
    </xf>
    <xf numFmtId="0" fontId="56" fillId="12" borderId="2" xfId="0" applyFont="1" applyFill="1" applyBorder="1" applyAlignment="1">
      <alignment horizontal="center" vertical="center"/>
    </xf>
    <xf numFmtId="0" fontId="63" fillId="12" borderId="2" xfId="0" applyFont="1" applyFill="1" applyBorder="1" applyAlignment="1">
      <alignment horizontal="center" vertical="center"/>
    </xf>
    <xf numFmtId="0" fontId="56" fillId="12" borderId="2" xfId="0" applyFont="1" applyFill="1" applyBorder="1" applyAlignment="1">
      <alignment horizontal="left" vertical="center"/>
    </xf>
    <xf numFmtId="0" fontId="64" fillId="12" borderId="2" xfId="0" applyFont="1" applyFill="1" applyBorder="1" applyAlignment="1">
      <alignment horizontal="left" vertical="center"/>
    </xf>
    <xf numFmtId="0" fontId="65" fillId="12" borderId="2" xfId="0" applyFont="1" applyFill="1" applyBorder="1" applyAlignment="1">
      <alignment horizontal="center" vertical="center"/>
    </xf>
    <xf numFmtId="0" fontId="66" fillId="12" borderId="2" xfId="0" applyFont="1" applyFill="1" applyBorder="1" applyAlignment="1">
      <alignment horizontal="center" vertical="center"/>
    </xf>
    <xf numFmtId="0" fontId="67" fillId="12" borderId="2" xfId="0" applyFont="1" applyFill="1" applyBorder="1" applyAlignment="1">
      <alignment horizontal="left" vertical="center"/>
    </xf>
    <xf numFmtId="0" fontId="68" fillId="12" borderId="2" xfId="0" applyFont="1" applyFill="1" applyBorder="1" applyAlignment="1">
      <alignment horizontal="left" vertical="center" wrapText="1"/>
    </xf>
    <xf numFmtId="0" fontId="69" fillId="12" borderId="2" xfId="0" applyFont="1" applyFill="1" applyBorder="1" applyAlignment="1">
      <alignment horizontal="left" vertical="center"/>
    </xf>
    <xf numFmtId="0" fontId="61" fillId="13" borderId="2" xfId="0" applyFont="1" applyFill="1" applyBorder="1" applyAlignment="1">
      <alignment horizontal="center" vertical="center"/>
    </xf>
    <xf numFmtId="0" fontId="70" fillId="13" borderId="2" xfId="0" applyFont="1" applyFill="1" applyBorder="1" applyAlignment="1">
      <alignment horizontal="left" vertical="center"/>
    </xf>
    <xf numFmtId="0" fontId="56" fillId="13" borderId="2" xfId="0" applyFont="1" applyFill="1" applyBorder="1" applyAlignment="1">
      <alignment horizontal="center" vertical="center"/>
    </xf>
    <xf numFmtId="0" fontId="63" fillId="13" borderId="2" xfId="0" applyFont="1" applyFill="1" applyBorder="1" applyAlignment="1">
      <alignment horizontal="center" vertical="center"/>
    </xf>
    <xf numFmtId="0" fontId="56" fillId="13" borderId="2" xfId="0" applyFont="1" applyFill="1" applyBorder="1" applyAlignment="1">
      <alignment horizontal="left" vertical="center"/>
    </xf>
    <xf numFmtId="0" fontId="64" fillId="13" borderId="2" xfId="0" applyFont="1" applyFill="1" applyBorder="1" applyAlignment="1">
      <alignment horizontal="left" vertical="center"/>
    </xf>
    <xf numFmtId="0" fontId="65" fillId="13" borderId="2" xfId="0" applyFont="1" applyFill="1" applyBorder="1" applyAlignment="1">
      <alignment horizontal="center" vertical="center"/>
    </xf>
    <xf numFmtId="0" fontId="66" fillId="13" borderId="2" xfId="0" applyFont="1" applyFill="1" applyBorder="1" applyAlignment="1">
      <alignment horizontal="center" vertical="center"/>
    </xf>
    <xf numFmtId="0" fontId="67" fillId="13" borderId="2" xfId="0" applyFont="1" applyFill="1" applyBorder="1" applyAlignment="1">
      <alignment horizontal="left" vertical="center"/>
    </xf>
    <xf numFmtId="0" fontId="68" fillId="13" borderId="2" xfId="0" applyFont="1" applyFill="1" applyBorder="1" applyAlignment="1">
      <alignment horizontal="left" vertical="center" wrapText="1"/>
    </xf>
    <xf numFmtId="0" fontId="69" fillId="13" borderId="2" xfId="0" applyFont="1" applyFill="1" applyBorder="1" applyAlignment="1">
      <alignment horizontal="left" vertical="center"/>
    </xf>
    <xf numFmtId="0" fontId="70" fillId="12" borderId="2" xfId="0" applyFont="1" applyFill="1" applyBorder="1" applyAlignment="1">
      <alignment horizontal="left" vertical="center"/>
    </xf>
    <xf numFmtId="0" fontId="62" fillId="13" borderId="2" xfId="0" applyFont="1" applyFill="1" applyBorder="1" applyAlignment="1">
      <alignment horizontal="left" vertical="center"/>
    </xf>
    <xf numFmtId="0" fontId="61" fillId="46" borderId="2" xfId="0" applyFont="1" applyFill="1" applyBorder="1" applyAlignment="1">
      <alignment horizontal="center" vertical="center"/>
    </xf>
    <xf numFmtId="0" fontId="71" fillId="46" borderId="2" xfId="0" applyFont="1" applyFill="1" applyBorder="1" applyAlignment="1">
      <alignment horizontal="left" vertical="center"/>
    </xf>
    <xf numFmtId="0" fontId="56" fillId="46" borderId="2" xfId="0" applyFont="1" applyFill="1" applyBorder="1" applyAlignment="1">
      <alignment horizontal="center" vertical="center"/>
    </xf>
    <xf numFmtId="0" fontId="63" fillId="46" borderId="2" xfId="0" applyFont="1" applyFill="1" applyBorder="1" applyAlignment="1">
      <alignment horizontal="center" vertical="center"/>
    </xf>
    <xf numFmtId="0" fontId="56" fillId="46" borderId="2" xfId="0" applyFont="1" applyFill="1" applyBorder="1" applyAlignment="1">
      <alignment horizontal="left" vertical="center"/>
    </xf>
    <xf numFmtId="0" fontId="64" fillId="46" borderId="2" xfId="0" applyFont="1" applyFill="1" applyBorder="1" applyAlignment="1">
      <alignment horizontal="left" vertical="center"/>
    </xf>
    <xf numFmtId="0" fontId="65" fillId="46" borderId="2" xfId="0" applyFont="1" applyFill="1" applyBorder="1" applyAlignment="1">
      <alignment horizontal="center" vertical="center"/>
    </xf>
    <xf numFmtId="0" fontId="66" fillId="46" borderId="2" xfId="0" applyFont="1" applyFill="1" applyBorder="1" applyAlignment="1">
      <alignment horizontal="center" vertical="center"/>
    </xf>
    <xf numFmtId="0" fontId="67" fillId="46" borderId="2" xfId="0" applyFont="1" applyFill="1" applyBorder="1" applyAlignment="1">
      <alignment horizontal="left" vertical="center"/>
    </xf>
    <xf numFmtId="0" fontId="68" fillId="46" borderId="2" xfId="0" applyFont="1" applyFill="1" applyBorder="1" applyAlignment="1">
      <alignment horizontal="left" vertical="center" wrapText="1"/>
    </xf>
    <xf numFmtId="0" fontId="69" fillId="46" borderId="2" xfId="0" applyFont="1" applyFill="1" applyBorder="1" applyAlignment="1">
      <alignment horizontal="left" vertical="center"/>
    </xf>
    <xf numFmtId="0" fontId="72" fillId="13" borderId="2" xfId="0" applyFont="1" applyFill="1" applyBorder="1" applyAlignment="1">
      <alignment horizontal="left" vertical="center"/>
    </xf>
    <xf numFmtId="0" fontId="72" fillId="46" borderId="2" xfId="0" applyFont="1" applyFill="1" applyBorder="1" applyAlignment="1">
      <alignment horizontal="left" vertical="center"/>
    </xf>
    <xf numFmtId="0" fontId="71" fillId="13" borderId="2" xfId="0" applyFont="1" applyFill="1" applyBorder="1" applyAlignment="1">
      <alignment horizontal="left" vertical="center"/>
    </xf>
    <xf numFmtId="0" fontId="61" fillId="47" borderId="2" xfId="0" applyFont="1" applyFill="1" applyBorder="1" applyAlignment="1">
      <alignment horizontal="center" vertical="center"/>
    </xf>
    <xf numFmtId="0" fontId="66" fillId="47" borderId="2" xfId="0" applyFont="1" applyFill="1" applyBorder="1" applyAlignment="1">
      <alignment horizontal="left" vertical="center"/>
    </xf>
    <xf numFmtId="0" fontId="56" fillId="47" borderId="2" xfId="0" applyFont="1" applyFill="1" applyBorder="1" applyAlignment="1">
      <alignment horizontal="center" vertical="center"/>
    </xf>
    <xf numFmtId="0" fontId="63" fillId="47" borderId="2" xfId="0" applyFont="1" applyFill="1" applyBorder="1" applyAlignment="1">
      <alignment horizontal="center" vertical="center"/>
    </xf>
    <xf numFmtId="0" fontId="56" fillId="47" borderId="2" xfId="0" applyFont="1" applyFill="1" applyBorder="1" applyAlignment="1">
      <alignment horizontal="left" vertical="center"/>
    </xf>
    <xf numFmtId="0" fontId="64" fillId="47" borderId="2" xfId="0" applyFont="1" applyFill="1" applyBorder="1" applyAlignment="1">
      <alignment horizontal="left" vertical="center"/>
    </xf>
    <xf numFmtId="0" fontId="65" fillId="47" borderId="2" xfId="0" applyFont="1" applyFill="1" applyBorder="1" applyAlignment="1">
      <alignment horizontal="center" vertical="center"/>
    </xf>
    <xf numFmtId="0" fontId="66" fillId="47" borderId="2" xfId="0" applyFont="1" applyFill="1" applyBorder="1" applyAlignment="1">
      <alignment horizontal="center" vertical="center"/>
    </xf>
    <xf numFmtId="0" fontId="67" fillId="47" borderId="2" xfId="0" applyFont="1" applyFill="1" applyBorder="1" applyAlignment="1">
      <alignment horizontal="left" vertical="center"/>
    </xf>
    <xf numFmtId="0" fontId="68" fillId="47" borderId="2" xfId="0" applyFont="1" applyFill="1" applyBorder="1" applyAlignment="1">
      <alignment horizontal="left" vertical="center" wrapText="1"/>
    </xf>
    <xf numFmtId="0" fontId="69" fillId="47" borderId="2" xfId="0" applyFont="1" applyFill="1" applyBorder="1" applyAlignment="1">
      <alignment horizontal="left" vertical="center"/>
    </xf>
    <xf numFmtId="0" fontId="73" fillId="13" borderId="2" xfId="0" applyFont="1" applyFill="1" applyBorder="1" applyAlignment="1">
      <alignment horizontal="left" vertical="center"/>
    </xf>
    <xf numFmtId="0" fontId="73" fillId="47" borderId="2" xfId="0" applyFont="1" applyFill="1" applyBorder="1" applyAlignment="1">
      <alignment horizontal="left" vertical="center"/>
    </xf>
    <xf numFmtId="0" fontId="66" fillId="13" borderId="2" xfId="0" applyFont="1" applyFill="1" applyBorder="1" applyAlignment="1">
      <alignment horizontal="left" vertical="center"/>
    </xf>
    <xf numFmtId="0" fontId="74" fillId="13" borderId="2" xfId="0" applyFont="1" applyFill="1" applyBorder="1" applyAlignment="1">
      <alignment horizontal="left" vertical="center"/>
    </xf>
    <xf numFmtId="0" fontId="61" fillId="53" borderId="2" xfId="0" applyFont="1" applyFill="1" applyBorder="1" applyAlignment="1">
      <alignment horizontal="center" vertical="center"/>
    </xf>
    <xf numFmtId="0" fontId="75" fillId="53" borderId="2" xfId="0" applyFont="1" applyFill="1" applyBorder="1" applyAlignment="1">
      <alignment horizontal="left" vertical="center"/>
    </xf>
    <xf numFmtId="0" fontId="56" fillId="53" borderId="2" xfId="0" applyFont="1" applyFill="1" applyBorder="1" applyAlignment="1">
      <alignment horizontal="center" vertical="center"/>
    </xf>
    <xf numFmtId="0" fontId="63" fillId="53" borderId="2" xfId="0" applyFont="1" applyFill="1" applyBorder="1" applyAlignment="1">
      <alignment horizontal="center" vertical="center"/>
    </xf>
    <xf numFmtId="0" fontId="56" fillId="53" borderId="2" xfId="0" applyFont="1" applyFill="1" applyBorder="1" applyAlignment="1">
      <alignment horizontal="left" vertical="center"/>
    </xf>
    <xf numFmtId="0" fontId="64" fillId="53" borderId="2" xfId="0" applyFont="1" applyFill="1" applyBorder="1" applyAlignment="1">
      <alignment horizontal="left" vertical="center"/>
    </xf>
    <xf numFmtId="0" fontId="65" fillId="53" borderId="2" xfId="0" applyFont="1" applyFill="1" applyBorder="1" applyAlignment="1">
      <alignment horizontal="center" vertical="center"/>
    </xf>
    <xf numFmtId="0" fontId="66" fillId="53" borderId="2" xfId="0" applyFont="1" applyFill="1" applyBorder="1" applyAlignment="1">
      <alignment horizontal="center" vertical="center"/>
    </xf>
    <xf numFmtId="0" fontId="67" fillId="53" borderId="2" xfId="0" applyFont="1" applyFill="1" applyBorder="1" applyAlignment="1">
      <alignment horizontal="left" vertical="center"/>
    </xf>
    <xf numFmtId="0" fontId="68" fillId="53" borderId="2" xfId="0" applyFont="1" applyFill="1" applyBorder="1" applyAlignment="1">
      <alignment horizontal="left" vertical="center" wrapText="1"/>
    </xf>
    <xf numFmtId="0" fontId="69" fillId="53" borderId="2" xfId="0" applyFont="1" applyFill="1" applyBorder="1" applyAlignment="1">
      <alignment horizontal="left" vertical="center"/>
    </xf>
    <xf numFmtId="0" fontId="75" fillId="13" borderId="2" xfId="0" applyFont="1" applyFill="1" applyBorder="1" applyAlignment="1">
      <alignment horizontal="left" vertical="center"/>
    </xf>
    <xf numFmtId="0" fontId="74" fillId="53" borderId="2" xfId="0" applyFont="1" applyFill="1" applyBorder="1" applyAlignment="1">
      <alignment horizontal="left" vertical="center"/>
    </xf>
    <xf numFmtId="0" fontId="76" fillId="13" borderId="2" xfId="0" applyFont="1" applyFill="1" applyBorder="1" applyAlignment="1">
      <alignment horizontal="left" vertical="center"/>
    </xf>
    <xf numFmtId="0" fontId="61" fillId="55" borderId="2" xfId="0" applyFont="1" applyFill="1" applyBorder="1" applyAlignment="1">
      <alignment horizontal="center" vertical="center"/>
    </xf>
    <xf numFmtId="0" fontId="76" fillId="55" borderId="2" xfId="0" applyFont="1" applyFill="1" applyBorder="1" applyAlignment="1">
      <alignment horizontal="left" vertical="center"/>
    </xf>
    <xf numFmtId="0" fontId="56" fillId="55" borderId="2" xfId="0" applyFont="1" applyFill="1" applyBorder="1" applyAlignment="1">
      <alignment horizontal="center" vertical="center"/>
    </xf>
    <xf numFmtId="0" fontId="63" fillId="55" borderId="2" xfId="0" applyFont="1" applyFill="1" applyBorder="1" applyAlignment="1">
      <alignment horizontal="center" vertical="center"/>
    </xf>
    <xf numFmtId="0" fontId="56" fillId="55" borderId="2" xfId="0" applyFont="1" applyFill="1" applyBorder="1" applyAlignment="1">
      <alignment horizontal="left" vertical="center"/>
    </xf>
    <xf numFmtId="0" fontId="64" fillId="55" borderId="2" xfId="0" applyFont="1" applyFill="1" applyBorder="1" applyAlignment="1">
      <alignment horizontal="left" vertical="center"/>
    </xf>
    <xf numFmtId="0" fontId="65" fillId="55" borderId="2" xfId="0" applyFont="1" applyFill="1" applyBorder="1" applyAlignment="1">
      <alignment horizontal="center" vertical="center"/>
    </xf>
    <xf numFmtId="0" fontId="66" fillId="55" borderId="2" xfId="0" applyFont="1" applyFill="1" applyBorder="1" applyAlignment="1">
      <alignment horizontal="center" vertical="center"/>
    </xf>
    <xf numFmtId="0" fontId="67" fillId="55" borderId="2" xfId="0" applyFont="1" applyFill="1" applyBorder="1" applyAlignment="1">
      <alignment horizontal="left" vertical="center"/>
    </xf>
    <xf numFmtId="0" fontId="68" fillId="55" borderId="2" xfId="0" applyFont="1" applyFill="1" applyBorder="1" applyAlignment="1">
      <alignment horizontal="left" vertical="center" wrapText="1"/>
    </xf>
    <xf numFmtId="0" fontId="69" fillId="55" borderId="2" xfId="0" applyFont="1" applyFill="1" applyBorder="1" applyAlignment="1">
      <alignment horizontal="left" vertical="center"/>
    </xf>
    <xf numFmtId="0" fontId="6" fillId="2" borderId="0" xfId="0" applyFont="1" applyFill="1" applyBorder="1" applyAlignment="1">
      <alignment horizontal="center" vertical="center"/>
    </xf>
    <xf numFmtId="0" fontId="7" fillId="2" borderId="0" xfId="0" applyFont="1" applyFill="1" applyBorder="1" applyAlignment="1">
      <alignment horizontal="left" vertical="top" wrapText="1"/>
    </xf>
    <xf numFmtId="0" fontId="8" fillId="2" borderId="0" xfId="0" applyFont="1" applyFill="1" applyBorder="1" applyAlignment="1">
      <alignment horizontal="center" vertical="center"/>
    </xf>
    <xf numFmtId="0" fontId="9" fillId="2" borderId="0" xfId="0" applyFont="1" applyFill="1" applyBorder="1" applyAlignment="1">
      <alignment horizontal="left" vertical="center"/>
    </xf>
    <xf numFmtId="0" fontId="10" fillId="2" borderId="0" xfId="0" applyFont="1" applyFill="1" applyBorder="1" applyAlignment="1">
      <alignment horizontal="left" vertical="center"/>
    </xf>
    <xf numFmtId="0" fontId="11" fillId="4" borderId="0" xfId="0" applyFont="1" applyFill="1" applyBorder="1" applyAlignment="1">
      <alignment horizontal="center" vertical="center"/>
    </xf>
    <xf numFmtId="0" fontId="12" fillId="12" borderId="0" xfId="0" applyFont="1" applyFill="1" applyBorder="1" applyAlignment="1">
      <alignment horizontal="left" vertical="center" wrapText="1"/>
    </xf>
    <xf numFmtId="0" fontId="13" fillId="3" borderId="0" xfId="0" applyFont="1" applyFill="1" applyBorder="1" applyAlignment="1">
      <alignment horizontal="left" vertical="center"/>
    </xf>
    <xf numFmtId="0" fontId="15" fillId="15" borderId="3" xfId="0" applyFont="1" applyFill="1" applyBorder="1" applyAlignment="1">
      <alignment horizontal="left" vertical="center" wrapText="1"/>
    </xf>
    <xf numFmtId="0" fontId="4" fillId="8" borderId="0" xfId="0" applyFont="1" applyFill="1" applyBorder="1" applyAlignment="1">
      <alignment horizontal="left" vertical="center"/>
    </xf>
    <xf numFmtId="0" fontId="13" fillId="16" borderId="0" xfId="0" applyFont="1" applyFill="1" applyBorder="1" applyAlignment="1">
      <alignment horizontal="left" vertical="center"/>
    </xf>
    <xf numFmtId="0" fontId="13" fillId="3" borderId="3" xfId="0" applyFont="1" applyFill="1" applyBorder="1" applyAlignment="1">
      <alignment horizontal="center" vertical="center"/>
    </xf>
    <xf numFmtId="0" fontId="16" fillId="17" borderId="0" xfId="0" applyFont="1" applyFill="1" applyBorder="1" applyAlignment="1">
      <alignment horizontal="left" vertical="center"/>
    </xf>
    <xf numFmtId="0" fontId="18" fillId="15" borderId="0" xfId="0" applyFont="1" applyFill="1" applyBorder="1" applyAlignment="1">
      <alignment horizontal="left" vertical="center" wrapText="1"/>
    </xf>
    <xf numFmtId="0" fontId="19" fillId="3" borderId="0" xfId="0" applyFont="1" applyFill="1" applyBorder="1" applyAlignment="1">
      <alignment horizontal="left" vertical="center"/>
    </xf>
    <xf numFmtId="0" fontId="19" fillId="4" borderId="0" xfId="0" applyFont="1" applyFill="1" applyBorder="1" applyAlignment="1">
      <alignment horizontal="left" vertical="center"/>
    </xf>
    <xf numFmtId="0" fontId="19" fillId="5" borderId="0" xfId="0" applyFont="1" applyFill="1" applyBorder="1" applyAlignment="1">
      <alignment horizontal="left" vertical="center"/>
    </xf>
    <xf numFmtId="0" fontId="19" fillId="10" borderId="0" xfId="0" applyFont="1" applyFill="1" applyBorder="1" applyAlignment="1">
      <alignment horizontal="left" vertical="center"/>
    </xf>
    <xf numFmtId="0" fontId="19" fillId="9" borderId="0" xfId="0" applyFont="1" applyFill="1" applyBorder="1" applyAlignment="1">
      <alignment horizontal="left" vertical="center"/>
    </xf>
    <xf numFmtId="0" fontId="19" fillId="7" borderId="0" xfId="0" applyFont="1" applyFill="1" applyBorder="1" applyAlignment="1">
      <alignment horizontal="left" vertical="center"/>
    </xf>
    <xf numFmtId="0" fontId="21" fillId="3" borderId="4" xfId="0" applyFont="1" applyFill="1" applyBorder="1" applyAlignment="1">
      <alignment horizontal="center" vertical="center"/>
    </xf>
    <xf numFmtId="0" fontId="22" fillId="20" borderId="0" xfId="0" applyFont="1" applyFill="1" applyBorder="1" applyAlignment="1">
      <alignment horizontal="left" vertical="center" wrapText="1"/>
    </xf>
    <xf numFmtId="0" fontId="35" fillId="28" borderId="5" xfId="0" applyFont="1" applyFill="1" applyBorder="1" applyAlignment="1">
      <alignment horizontal="center" vertical="center"/>
    </xf>
    <xf numFmtId="0" fontId="36" fillId="29" borderId="1" xfId="0" applyFont="1" applyFill="1" applyBorder="1" applyAlignment="1">
      <alignment horizontal="center" vertical="center"/>
    </xf>
    <xf numFmtId="0" fontId="36" fillId="8" borderId="1" xfId="0" applyFont="1" applyFill="1" applyBorder="1" applyAlignment="1">
      <alignment horizontal="center" vertical="center"/>
    </xf>
    <xf numFmtId="0" fontId="36" fillId="5" borderId="1" xfId="0" applyFont="1" applyFill="1" applyBorder="1" applyAlignment="1">
      <alignment horizontal="center" vertical="center"/>
    </xf>
    <xf numFmtId="0" fontId="36" fillId="4" borderId="1" xfId="0" applyFont="1" applyFill="1" applyBorder="1" applyAlignment="1">
      <alignment horizontal="center" vertical="center"/>
    </xf>
    <xf numFmtId="0" fontId="36" fillId="10" borderId="1" xfId="0" applyFont="1" applyFill="1" applyBorder="1" applyAlignment="1">
      <alignment horizontal="center" vertical="center"/>
    </xf>
    <xf numFmtId="0" fontId="36" fillId="9" borderId="1" xfId="0" applyFont="1" applyFill="1" applyBorder="1" applyAlignment="1">
      <alignment horizontal="center" vertical="center"/>
    </xf>
    <xf numFmtId="0" fontId="36" fillId="7" borderId="1" xfId="0" applyFont="1" applyFill="1" applyBorder="1" applyAlignment="1">
      <alignment horizontal="center" vertical="center"/>
    </xf>
    <xf numFmtId="0" fontId="36" fillId="6" borderId="1" xfId="0" applyFont="1" applyFill="1" applyBorder="1" applyAlignment="1">
      <alignment horizontal="center" vertical="center"/>
    </xf>
    <xf numFmtId="0" fontId="37" fillId="17" borderId="6" xfId="0" applyFont="1" applyFill="1" applyBorder="1" applyAlignment="1">
      <alignment horizontal="center" vertical="center"/>
    </xf>
    <xf numFmtId="0" fontId="35" fillId="32" borderId="8" xfId="0" applyFont="1" applyFill="1" applyBorder="1" applyAlignment="1">
      <alignment horizontal="center" vertical="center"/>
    </xf>
    <xf numFmtId="0" fontId="59" fillId="51" borderId="0" xfId="0" applyFont="1" applyFill="1" applyBorder="1" applyAlignment="1">
      <alignment horizontal="center" vertical="center"/>
    </xf>
    <xf numFmtId="0" fontId="60" fillId="50" borderId="0" xfId="0" applyFont="1" applyFill="1" applyBorder="1" applyAlignment="1">
      <alignment horizontal="left" vertical="center" wrapText="1"/>
    </xf>
    <xf numFmtId="0" fontId="37" fillId="3" borderId="3" xfId="0" applyFont="1" applyFill="1" applyBorder="1" applyAlignment="1">
      <alignment horizontal="left" vertical="center"/>
    </xf>
    <xf numFmtId="0" fontId="37" fillId="17" borderId="3" xfId="0" applyFont="1" applyFill="1" applyBorder="1" applyAlignment="1">
      <alignment horizontal="center" vertical="center"/>
    </xf>
    <xf numFmtId="0" fontId="16" fillId="4" borderId="11" xfId="0" applyFont="1" applyFill="1" applyBorder="1" applyAlignment="1">
      <alignment horizontal="left" vertical="center"/>
    </xf>
    <xf numFmtId="0" fontId="16" fillId="5" borderId="11" xfId="0" applyFont="1" applyFill="1" applyBorder="1" applyAlignment="1">
      <alignment horizontal="left" vertical="center"/>
    </xf>
    <xf numFmtId="0" fontId="16" fillId="10" borderId="11" xfId="0" applyFont="1" applyFill="1" applyBorder="1" applyAlignment="1">
      <alignment horizontal="left" vertical="center"/>
    </xf>
    <xf numFmtId="0" fontId="16" fillId="52" borderId="11" xfId="0" applyFont="1" applyFill="1" applyBorder="1" applyAlignment="1">
      <alignment horizontal="left" vertical="center"/>
    </xf>
    <xf numFmtId="0" fontId="16" fillId="54" borderId="11" xfId="0" applyFont="1" applyFill="1" applyBorder="1" applyAlignment="1">
      <alignment horizontal="left" vertical="center"/>
    </xf>
    <xf numFmtId="0" fontId="37" fillId="51" borderId="3" xfId="0" applyFont="1" applyFill="1" applyBorder="1" applyAlignment="1">
      <alignment horizontal="left" vertical="center"/>
    </xf>
    <xf numFmtId="0" fontId="37" fillId="33" borderId="1" xfId="0" applyFont="1" applyFill="1" applyBorder="1" applyAlignment="1">
      <alignment horizontal="center" vertical="center"/>
    </xf>
    <xf numFmtId="0" fontId="37" fillId="33" borderId="10" xfId="0" applyFont="1" applyFill="1" applyBorder="1" applyAlignment="1">
      <alignment horizontal="center" vertical="center"/>
    </xf>
    <xf numFmtId="0" fontId="37" fillId="33" borderId="12" xfId="0" applyFont="1" applyFill="1" applyBorder="1" applyAlignment="1">
      <alignment horizontal="center" vertical="center"/>
    </xf>
    <xf numFmtId="0" fontId="37" fillId="5" borderId="1" xfId="0" applyFont="1" applyFill="1" applyBorder="1" applyAlignment="1">
      <alignment horizontal="center" vertical="center"/>
    </xf>
    <xf numFmtId="0" fontId="37" fillId="5" borderId="10" xfId="0" applyFont="1" applyFill="1" applyBorder="1" applyAlignment="1">
      <alignment horizontal="center" vertical="center"/>
    </xf>
    <xf numFmtId="0" fontId="37" fillId="5" borderId="12" xfId="0" applyFont="1" applyFill="1" applyBorder="1" applyAlignment="1">
      <alignment horizontal="center" vertical="center"/>
    </xf>
    <xf numFmtId="0" fontId="37" fillId="36" borderId="1" xfId="0" applyFont="1" applyFill="1" applyBorder="1" applyAlignment="1">
      <alignment horizontal="center" vertical="center"/>
    </xf>
    <xf numFmtId="0" fontId="37" fillId="36"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F0F7EA"/>
      <rgbColor rgb="FF0000FF"/>
      <rgbColor rgb="FFFCE4D6"/>
      <rgbColor rgb="FFF5F8FF"/>
      <rgbColor rgb="FFE9F7EF"/>
      <rgbColor rgb="FF850000"/>
      <rgbColor rgb="FF006B00"/>
      <rgbColor rgb="FF183862"/>
      <rgbColor rgb="FFEBF5EB"/>
      <rgbColor rgb="FFF5F9FF"/>
      <rgbColor rgb="FF1A5666"/>
      <rgbColor rgb="FFBEBFBE"/>
      <rgbColor rgb="FF84868B"/>
      <rgbColor rgb="FFD8EAF8"/>
      <rgbColor rgb="FFF2F2F2"/>
      <rgbColor rgb="FFFFF9E6"/>
      <rgbColor rgb="FFE8F8F0"/>
      <rgbColor rgb="FF4E2450"/>
      <rgbColor rgb="FFFFE9E9"/>
      <rgbColor rgb="FF1170B5"/>
      <rgbColor rgb="FFCEC7C7"/>
      <rgbColor rgb="FFFFFCF0"/>
      <rgbColor rgb="FFF6F9FF"/>
      <rgbColor rgb="FFE2F0D9"/>
      <rgbColor rgb="FFEAF4FB"/>
      <rgbColor rgb="FFFEF9E7"/>
      <rgbColor rgb="FF7A3000"/>
      <rgbColor rgb="FF19547A"/>
      <rgbColor rgb="FFF5FBFB"/>
      <rgbColor rgb="FFEAF2FF"/>
      <rgbColor rgb="FFD6EAF8"/>
      <rgbColor rgb="FFD8F5E2"/>
      <rgbColor rgb="FFFFF2CC"/>
      <rgbColor rgb="FFD3E7F6"/>
      <rgbColor rgb="FFEDE0F3"/>
      <rgbColor rgb="FFEDE1F3"/>
      <rgbColor rgb="FFFEDBD6"/>
      <rgbColor rgb="FFF5EEF8"/>
      <rgbColor rgb="FFE8F4FD"/>
      <rgbColor rgb="FFE2EFDA"/>
      <rgbColor rgb="FFFDC402"/>
      <rgbColor rgb="FFFFF0E0"/>
      <rgbColor rgb="FFFFF0E7"/>
      <rgbColor rgb="FF415B2E"/>
      <rgbColor rgb="FFDEEAF1"/>
      <rgbColor rgb="FF063561"/>
      <rgbColor rgb="FF1A535A"/>
      <rgbColor rgb="FF061E15"/>
      <rgbColor rgb="FF265B1F"/>
      <rgbColor rgb="FF9B3E01"/>
      <rgbColor rgb="FFF2F3F4"/>
      <rgbColor rgb="FF1F3864"/>
      <rgbColor rgb="FF20376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S49"/>
  <sheetViews>
    <sheetView showGridLines="0" zoomScaleNormal="100" workbookViewId="0">
      <selection activeCell="J16" sqref="J16"/>
    </sheetView>
  </sheetViews>
  <sheetFormatPr defaultColWidth="8.6640625" defaultRowHeight="14.4" x14ac:dyDescent="0.3"/>
  <cols>
    <col min="1" max="19" width="13" style="14" customWidth="1"/>
  </cols>
  <sheetData>
    <row r="1" spans="1:18" ht="18" customHeight="1" x14ac:dyDescent="0.3">
      <c r="A1" s="15"/>
      <c r="B1" s="15"/>
      <c r="C1" s="15"/>
      <c r="D1" s="15"/>
      <c r="E1" s="15"/>
      <c r="F1" s="15"/>
      <c r="G1" s="15"/>
      <c r="H1" s="15"/>
      <c r="I1" s="15"/>
      <c r="J1" s="15"/>
      <c r="K1" s="15"/>
      <c r="L1" s="15"/>
      <c r="M1" s="15"/>
      <c r="N1" s="15"/>
      <c r="O1" s="15"/>
      <c r="P1" s="15"/>
      <c r="Q1" s="15"/>
      <c r="R1" s="15"/>
    </row>
    <row r="2" spans="1:18" ht="30" customHeight="1" x14ac:dyDescent="0.3">
      <c r="A2" s="13" t="s">
        <v>6261</v>
      </c>
      <c r="B2" s="13"/>
      <c r="C2" s="13"/>
      <c r="D2" s="13"/>
      <c r="E2" s="13"/>
      <c r="F2" s="13"/>
      <c r="G2" s="13"/>
      <c r="H2" s="13"/>
      <c r="I2" s="13"/>
      <c r="J2" s="13"/>
      <c r="K2" s="13"/>
      <c r="L2" s="13"/>
      <c r="M2" s="13"/>
      <c r="N2" s="13"/>
      <c r="O2" s="13"/>
      <c r="P2" s="13"/>
      <c r="Q2" s="13"/>
      <c r="R2" s="13"/>
    </row>
    <row r="3" spans="1:18" ht="18" customHeight="1" x14ac:dyDescent="0.3">
      <c r="A3" s="13"/>
      <c r="B3" s="13"/>
      <c r="C3" s="13"/>
      <c r="D3" s="13"/>
      <c r="E3" s="13"/>
      <c r="F3" s="13"/>
      <c r="G3" s="13"/>
      <c r="H3" s="13"/>
      <c r="I3" s="13"/>
      <c r="J3" s="13"/>
      <c r="K3" s="13"/>
      <c r="L3" s="13"/>
      <c r="M3" s="13"/>
      <c r="N3" s="13"/>
      <c r="O3" s="13"/>
      <c r="P3" s="13"/>
      <c r="Q3" s="13"/>
      <c r="R3" s="13"/>
    </row>
    <row r="4" spans="1:18" ht="18" customHeight="1" x14ac:dyDescent="0.3">
      <c r="A4" s="12"/>
      <c r="B4" s="12"/>
      <c r="C4" s="12"/>
      <c r="D4" s="12"/>
      <c r="E4" s="12"/>
      <c r="F4" s="12"/>
      <c r="G4" s="12"/>
      <c r="H4" s="12"/>
      <c r="I4" s="12"/>
      <c r="J4" s="12"/>
      <c r="K4" s="12"/>
      <c r="L4" s="12"/>
      <c r="M4" s="12"/>
      <c r="N4" s="12"/>
      <c r="O4" s="12"/>
      <c r="P4" s="12"/>
      <c r="Q4" s="12"/>
      <c r="R4" s="12"/>
    </row>
    <row r="5" spans="1:18" ht="18" customHeight="1" x14ac:dyDescent="0.3">
      <c r="A5" s="15"/>
      <c r="B5" s="15"/>
      <c r="C5" s="15"/>
      <c r="D5" s="15"/>
      <c r="E5" s="15"/>
      <c r="F5" s="15"/>
      <c r="G5" s="15"/>
      <c r="H5" s="15"/>
      <c r="I5" s="15"/>
      <c r="J5" s="15"/>
      <c r="K5" s="15"/>
      <c r="L5" s="15"/>
      <c r="M5" s="15"/>
      <c r="N5" s="15"/>
      <c r="O5" s="15"/>
      <c r="P5" s="15"/>
      <c r="Q5" s="15"/>
      <c r="R5" s="15"/>
    </row>
    <row r="6" spans="1:18" ht="18" customHeight="1" x14ac:dyDescent="0.3">
      <c r="A6" s="11" t="s">
        <v>0</v>
      </c>
      <c r="B6" s="11"/>
      <c r="C6" s="11"/>
      <c r="D6" s="11"/>
      <c r="E6" s="11"/>
      <c r="F6" s="11"/>
      <c r="G6" s="11"/>
      <c r="H6" s="11"/>
      <c r="I6" s="11"/>
      <c r="J6" s="11"/>
      <c r="K6" s="11"/>
      <c r="L6" s="11"/>
      <c r="M6" s="11"/>
      <c r="N6" s="11"/>
      <c r="O6" s="11"/>
      <c r="P6" s="11"/>
      <c r="Q6" s="11"/>
      <c r="R6" s="11"/>
    </row>
    <row r="7" spans="1:18" ht="18" customHeight="1" x14ac:dyDescent="0.3">
      <c r="A7" s="15"/>
      <c r="B7" s="15"/>
      <c r="C7" s="15"/>
      <c r="D7" s="15"/>
      <c r="E7" s="15"/>
      <c r="F7" s="15"/>
      <c r="G7" s="15"/>
      <c r="H7" s="15"/>
      <c r="I7" s="15"/>
      <c r="J7" s="15"/>
      <c r="K7" s="15"/>
      <c r="L7" s="15"/>
      <c r="M7" s="15"/>
      <c r="N7" s="15"/>
      <c r="O7" s="15"/>
      <c r="P7" s="15"/>
      <c r="Q7" s="15"/>
      <c r="R7" s="15"/>
    </row>
    <row r="8" spans="1:18" ht="18" customHeight="1" x14ac:dyDescent="0.3">
      <c r="A8" s="10" t="str">
        <f>HYPERLINK("#'HOME'!A1","🏠  Home")</f>
        <v>🏠  Home</v>
      </c>
      <c r="B8" s="10"/>
      <c r="C8" s="10"/>
      <c r="D8" s="9" t="str">
        <f>HYPERLINK("#'INSTRUCTIONS'!A1","📋  Instructions")</f>
        <v>📋  Instructions</v>
      </c>
      <c r="E8" s="9"/>
      <c r="F8" s="9"/>
      <c r="G8" s="8" t="str">
        <f>HYPERLINK("#'EMPLOYEE_MASTER'!A1","👤  Employee Master")</f>
        <v>👤  Employee Master</v>
      </c>
      <c r="H8" s="8"/>
      <c r="I8" s="8"/>
      <c r="J8" s="7" t="str">
        <f>HYPERLINK("#'PAYROLL_CALC'!A1","💵  Payroll Calc")</f>
        <v>💵  Payroll Calc</v>
      </c>
      <c r="K8" s="7"/>
      <c r="L8" s="7"/>
      <c r="M8" s="15"/>
      <c r="N8" s="15"/>
      <c r="O8" s="15"/>
      <c r="P8" s="15"/>
      <c r="Q8" s="15"/>
      <c r="R8" s="15"/>
    </row>
    <row r="9" spans="1:18" ht="18" customHeight="1" x14ac:dyDescent="0.3">
      <c r="A9" s="6" t="s">
        <v>1</v>
      </c>
      <c r="B9" s="6"/>
      <c r="C9" s="6"/>
      <c r="D9" s="6" t="s">
        <v>2</v>
      </c>
      <c r="E9" s="6"/>
      <c r="F9" s="6"/>
      <c r="G9" s="6" t="s">
        <v>3</v>
      </c>
      <c r="H9" s="6"/>
      <c r="I9" s="6"/>
      <c r="J9" s="6" t="s">
        <v>4</v>
      </c>
      <c r="K9" s="6"/>
      <c r="L9" s="6"/>
      <c r="M9" s="15"/>
      <c r="N9" s="15"/>
      <c r="O9" s="15"/>
      <c r="P9" s="15"/>
      <c r="Q9" s="15"/>
      <c r="R9" s="15"/>
    </row>
    <row r="10" spans="1:18" ht="18" customHeight="1" x14ac:dyDescent="0.3">
      <c r="A10" s="15"/>
      <c r="B10" s="15"/>
      <c r="C10" s="15"/>
      <c r="D10" s="15"/>
      <c r="E10" s="15"/>
      <c r="F10" s="15"/>
      <c r="G10" s="15"/>
      <c r="H10" s="15"/>
      <c r="I10" s="15"/>
      <c r="J10" s="15"/>
      <c r="K10" s="15"/>
      <c r="L10" s="15"/>
      <c r="M10" s="15"/>
      <c r="N10" s="15"/>
      <c r="O10" s="15"/>
      <c r="P10" s="15"/>
      <c r="Q10" s="15"/>
      <c r="R10" s="15"/>
    </row>
    <row r="11" spans="1:18" ht="18" customHeight="1" x14ac:dyDescent="0.3">
      <c r="A11" s="5" t="str">
        <f>HYPERLINK("#'LK_OrgMaster'!A1","🏛️  Org Master")</f>
        <v>🏛️  Org Master</v>
      </c>
      <c r="B11" s="5"/>
      <c r="C11" s="5"/>
      <c r="D11" s="4" t="str">
        <f>HYPERLINK("#'LK_LocationMaster'!A1","📍  Location Master")</f>
        <v>📍  Location Master</v>
      </c>
      <c r="E11" s="4"/>
      <c r="F11" s="4"/>
      <c r="G11" s="3" t="str">
        <f>HYPERLINK("#'LK_BankMaster'!A1","🏦  Bank Master")</f>
        <v>🏦  Bank Master</v>
      </c>
      <c r="H11" s="3"/>
      <c r="I11" s="3"/>
      <c r="J11" s="2" t="str">
        <f>HYPERLINK("#'LK_GradeDerivation'!A1","🎓  Grade Derivation")</f>
        <v>🎓  Grade Derivation</v>
      </c>
      <c r="K11" s="2"/>
      <c r="L11" s="2"/>
      <c r="M11" s="15"/>
      <c r="N11" s="15"/>
      <c r="O11" s="15"/>
      <c r="P11" s="15"/>
      <c r="Q11" s="15"/>
      <c r="R11" s="15"/>
    </row>
    <row r="12" spans="1:18" ht="18" customHeight="1" x14ac:dyDescent="0.3">
      <c r="A12" s="6" t="s">
        <v>5</v>
      </c>
      <c r="B12" s="6"/>
      <c r="C12" s="6"/>
      <c r="D12" s="6" t="s">
        <v>6</v>
      </c>
      <c r="E12" s="6"/>
      <c r="F12" s="6"/>
      <c r="G12" s="6" t="s">
        <v>7</v>
      </c>
      <c r="H12" s="6"/>
      <c r="I12" s="6"/>
      <c r="J12" s="6" t="s">
        <v>8</v>
      </c>
      <c r="K12" s="6"/>
      <c r="L12" s="6"/>
      <c r="M12" s="15"/>
      <c r="N12" s="15"/>
      <c r="O12" s="15"/>
      <c r="P12" s="15"/>
      <c r="Q12" s="15"/>
      <c r="R12" s="15"/>
    </row>
    <row r="13" spans="1:18" ht="18" customHeight="1" x14ac:dyDescent="0.3">
      <c r="A13" s="15"/>
      <c r="B13" s="15"/>
      <c r="C13" s="15"/>
      <c r="D13" s="15"/>
      <c r="E13" s="15"/>
      <c r="F13" s="15"/>
      <c r="G13" s="15"/>
      <c r="H13" s="15"/>
      <c r="I13" s="15"/>
      <c r="J13" s="15"/>
      <c r="K13" s="15"/>
      <c r="L13" s="15"/>
      <c r="M13" s="15"/>
      <c r="N13" s="15"/>
      <c r="O13" s="15"/>
      <c r="P13" s="15"/>
      <c r="Q13" s="15"/>
      <c r="R13" s="15"/>
    </row>
    <row r="14" spans="1:18" ht="18" customHeight="1" x14ac:dyDescent="0.3">
      <c r="A14" s="8" t="str">
        <f>HYPERLINK("#'LK_GradeStep'!A1","📊  Grade/Step Rates")</f>
        <v>📊  Grade/Step Rates</v>
      </c>
      <c r="B14" s="8"/>
      <c r="C14" s="8"/>
      <c r="D14" s="9" t="str">
        <f>HYPERLINK("#'LK_AllowanceRates'!A1","💰  Allowance Rates")</f>
        <v>💰  Allowance Rates</v>
      </c>
      <c r="E14" s="9"/>
      <c r="F14" s="9"/>
      <c r="G14" s="5" t="str">
        <f>HYPERLINK("#'LK_PIT'!A1","🧮  PIT Brackets")</f>
        <v>🧮  PIT Brackets</v>
      </c>
      <c r="H14" s="5"/>
      <c r="I14" s="5"/>
      <c r="J14" s="1"/>
      <c r="K14" s="1"/>
      <c r="L14" s="1"/>
      <c r="M14" s="15"/>
      <c r="N14" s="15"/>
      <c r="O14" s="15"/>
      <c r="P14" s="15"/>
      <c r="Q14" s="15"/>
      <c r="R14" s="15"/>
    </row>
    <row r="15" spans="1:18" ht="18" customHeight="1" x14ac:dyDescent="0.3">
      <c r="A15" s="6" t="s">
        <v>9</v>
      </c>
      <c r="B15" s="6"/>
      <c r="C15" s="6"/>
      <c r="D15" s="6" t="s">
        <v>10</v>
      </c>
      <c r="E15" s="6"/>
      <c r="F15" s="6"/>
      <c r="G15" s="6" t="s">
        <v>11</v>
      </c>
      <c r="H15" s="6"/>
      <c r="I15" s="6"/>
      <c r="J15" s="6"/>
      <c r="K15" s="6"/>
      <c r="L15" s="6"/>
      <c r="M15" s="15"/>
      <c r="N15" s="15"/>
      <c r="O15" s="15"/>
      <c r="P15" s="15"/>
      <c r="Q15" s="15"/>
      <c r="R15" s="15"/>
    </row>
    <row r="16" spans="1:18" ht="18" customHeight="1" x14ac:dyDescent="0.3">
      <c r="A16" s="15"/>
      <c r="B16" s="15"/>
      <c r="C16" s="15"/>
      <c r="D16" s="15"/>
      <c r="E16" s="15"/>
      <c r="F16" s="15"/>
      <c r="G16" s="15"/>
      <c r="H16" s="15"/>
      <c r="I16" s="15"/>
      <c r="J16" s="15"/>
      <c r="K16" s="15"/>
      <c r="L16" s="15"/>
      <c r="M16" s="15"/>
      <c r="N16" s="15"/>
      <c r="O16" s="15"/>
      <c r="P16" s="15"/>
      <c r="Q16" s="15"/>
      <c r="R16" s="15"/>
    </row>
    <row r="17" spans="1:18" ht="18" customHeight="1" x14ac:dyDescent="0.3">
      <c r="A17" s="242"/>
      <c r="B17" s="242"/>
      <c r="C17" s="242"/>
      <c r="D17" s="242"/>
      <c r="E17" s="242"/>
      <c r="F17" s="242"/>
      <c r="G17" s="242"/>
      <c r="H17" s="242"/>
      <c r="I17" s="242"/>
      <c r="J17" s="242"/>
      <c r="K17" s="242"/>
      <c r="L17" s="242"/>
      <c r="M17" s="242"/>
      <c r="N17" s="242"/>
      <c r="O17" s="242"/>
      <c r="P17" s="242"/>
      <c r="Q17" s="242"/>
      <c r="R17" s="242"/>
    </row>
    <row r="18" spans="1:18" ht="18" customHeight="1" x14ac:dyDescent="0.3">
      <c r="A18" s="15"/>
      <c r="B18" s="15"/>
      <c r="C18" s="15"/>
      <c r="D18" s="15"/>
      <c r="E18" s="15"/>
      <c r="F18" s="15"/>
      <c r="G18" s="15"/>
      <c r="H18" s="15"/>
      <c r="I18" s="15"/>
      <c r="J18" s="15"/>
      <c r="K18" s="15"/>
      <c r="L18" s="15"/>
      <c r="M18" s="15"/>
      <c r="N18" s="15"/>
      <c r="O18" s="15"/>
      <c r="P18" s="15"/>
      <c r="Q18" s="15"/>
      <c r="R18" s="15"/>
    </row>
    <row r="19" spans="1:18" ht="18" customHeight="1" x14ac:dyDescent="0.3">
      <c r="A19" s="15"/>
      <c r="B19" s="15"/>
      <c r="C19" s="15"/>
      <c r="D19" s="15"/>
      <c r="E19" s="15"/>
      <c r="F19" s="15"/>
      <c r="G19" s="15"/>
      <c r="H19" s="15"/>
      <c r="I19" s="15"/>
      <c r="J19" s="15"/>
      <c r="L19" s="15"/>
      <c r="M19" s="15"/>
      <c r="N19" s="15"/>
      <c r="O19" s="15"/>
      <c r="P19" s="15"/>
      <c r="Q19" s="15"/>
      <c r="R19" s="15"/>
    </row>
    <row r="20" spans="1:18" ht="18" customHeight="1" x14ac:dyDescent="0.3">
      <c r="A20" s="15"/>
      <c r="B20" s="15"/>
      <c r="C20" s="15"/>
      <c r="D20" s="15"/>
      <c r="E20" s="15"/>
      <c r="F20" s="15"/>
      <c r="G20" s="15"/>
      <c r="H20" s="15"/>
      <c r="I20" s="15"/>
      <c r="J20" s="15"/>
      <c r="K20" s="15"/>
      <c r="L20" s="15"/>
      <c r="M20" s="15"/>
      <c r="N20" s="15"/>
      <c r="O20" s="15"/>
      <c r="P20" s="15"/>
      <c r="Q20" s="15"/>
      <c r="R20" s="15"/>
    </row>
    <row r="21" spans="1:18" ht="18" customHeight="1" x14ac:dyDescent="0.3">
      <c r="A21" s="15"/>
      <c r="B21" s="15"/>
      <c r="C21" s="15"/>
      <c r="D21" s="15"/>
      <c r="E21" s="15"/>
      <c r="F21" s="15"/>
      <c r="G21" s="15"/>
      <c r="H21" s="15"/>
      <c r="I21" s="15"/>
      <c r="J21" s="15"/>
      <c r="K21" s="15"/>
      <c r="L21" s="15"/>
      <c r="M21" s="15"/>
      <c r="N21" s="15"/>
      <c r="O21" s="15"/>
      <c r="P21" s="15"/>
      <c r="Q21" s="15"/>
      <c r="R21" s="15"/>
    </row>
    <row r="22" spans="1:18" ht="18" customHeight="1" x14ac:dyDescent="0.3">
      <c r="A22" s="15"/>
      <c r="B22" s="15"/>
      <c r="C22" s="15"/>
      <c r="D22" s="15"/>
      <c r="E22" s="15"/>
      <c r="F22" s="15"/>
      <c r="G22" s="15"/>
      <c r="H22" s="15"/>
      <c r="I22" s="15"/>
      <c r="J22" s="15"/>
      <c r="K22" s="15"/>
      <c r="L22" s="15"/>
      <c r="M22" s="15"/>
      <c r="N22" s="15"/>
      <c r="O22" s="15"/>
      <c r="P22" s="15"/>
      <c r="Q22" s="15"/>
      <c r="R22" s="15"/>
    </row>
    <row r="23" spans="1:18" ht="18" customHeight="1" x14ac:dyDescent="0.3">
      <c r="A23" s="15"/>
      <c r="B23" s="15"/>
      <c r="C23" s="15"/>
      <c r="D23" s="15"/>
      <c r="E23" s="15"/>
      <c r="F23" s="15"/>
      <c r="G23" s="15"/>
      <c r="H23" s="15"/>
      <c r="I23" s="15"/>
      <c r="J23" s="15"/>
      <c r="K23" s="15"/>
      <c r="L23" s="15"/>
      <c r="M23" s="15"/>
      <c r="N23" s="15"/>
      <c r="O23" s="15"/>
      <c r="P23" s="15"/>
      <c r="Q23" s="15"/>
      <c r="R23" s="15"/>
    </row>
    <row r="24" spans="1:18" ht="18" customHeight="1" x14ac:dyDescent="0.3">
      <c r="A24" s="15"/>
      <c r="B24" s="15"/>
      <c r="C24" s="15"/>
      <c r="D24" s="15"/>
      <c r="E24" s="15"/>
      <c r="F24" s="15"/>
      <c r="G24" s="15"/>
      <c r="H24" s="15"/>
      <c r="I24" s="15"/>
      <c r="J24" s="15"/>
      <c r="K24" s="15"/>
      <c r="L24" s="15"/>
      <c r="M24" s="15"/>
      <c r="N24" s="15"/>
      <c r="O24" s="15"/>
      <c r="P24" s="15"/>
      <c r="Q24" s="15"/>
      <c r="R24" s="15"/>
    </row>
    <row r="25" spans="1:18" ht="39.75" customHeight="1" x14ac:dyDescent="0.3">
      <c r="A25" s="243" t="s">
        <v>12</v>
      </c>
      <c r="B25" s="243"/>
      <c r="C25" s="243"/>
      <c r="D25" s="243"/>
      <c r="E25" s="243"/>
      <c r="F25" s="243"/>
      <c r="G25" s="243"/>
      <c r="H25" s="243"/>
      <c r="I25" s="243"/>
      <c r="J25" s="243"/>
      <c r="K25" s="243"/>
      <c r="L25" s="243"/>
      <c r="M25" s="243"/>
      <c r="N25" s="243"/>
      <c r="O25" s="243"/>
      <c r="P25" s="243"/>
      <c r="Q25" s="243"/>
      <c r="R25" s="243"/>
    </row>
    <row r="26" spans="1:18" ht="18" customHeight="1" x14ac:dyDescent="0.3">
      <c r="A26" s="243"/>
      <c r="B26" s="243"/>
      <c r="C26" s="243"/>
      <c r="D26" s="243"/>
      <c r="E26" s="243"/>
      <c r="F26" s="243"/>
      <c r="G26" s="243"/>
      <c r="H26" s="243"/>
      <c r="I26" s="243"/>
      <c r="J26" s="243"/>
      <c r="K26" s="243"/>
      <c r="L26" s="243"/>
      <c r="M26" s="243"/>
      <c r="N26" s="243"/>
      <c r="O26" s="243"/>
      <c r="P26" s="243"/>
      <c r="Q26" s="243"/>
      <c r="R26" s="243"/>
    </row>
    <row r="27" spans="1:18" ht="18" customHeight="1" x14ac:dyDescent="0.3">
      <c r="A27" s="243"/>
      <c r="B27" s="243"/>
      <c r="C27" s="243"/>
      <c r="D27" s="243"/>
      <c r="E27" s="243"/>
      <c r="F27" s="243"/>
      <c r="G27" s="243"/>
      <c r="H27" s="243"/>
      <c r="I27" s="243"/>
      <c r="J27" s="243"/>
      <c r="K27" s="243"/>
      <c r="L27" s="243"/>
      <c r="M27" s="243"/>
      <c r="N27" s="243"/>
      <c r="O27" s="243"/>
      <c r="P27" s="243"/>
      <c r="Q27" s="243"/>
      <c r="R27" s="243"/>
    </row>
    <row r="28" spans="1:18" ht="18" customHeight="1" x14ac:dyDescent="0.3">
      <c r="A28" s="15"/>
      <c r="B28" s="15"/>
      <c r="C28" s="15"/>
      <c r="D28" s="15"/>
      <c r="E28" s="15"/>
      <c r="F28" s="15"/>
      <c r="G28" s="15"/>
      <c r="H28" s="15"/>
      <c r="I28" s="15"/>
      <c r="J28" s="15"/>
      <c r="K28" s="15"/>
      <c r="L28" s="15"/>
      <c r="M28" s="15"/>
      <c r="N28" s="15"/>
      <c r="O28" s="15"/>
      <c r="P28" s="15"/>
      <c r="Q28" s="15"/>
      <c r="R28" s="15"/>
    </row>
    <row r="29" spans="1:18" ht="18" customHeight="1" x14ac:dyDescent="0.3">
      <c r="A29" s="244" t="s">
        <v>13</v>
      </c>
      <c r="B29" s="244"/>
      <c r="C29" s="244"/>
      <c r="D29" s="244"/>
      <c r="E29" s="244"/>
      <c r="F29" s="244"/>
      <c r="G29" s="244"/>
      <c r="H29" s="244"/>
      <c r="I29" s="244"/>
      <c r="J29" s="244"/>
      <c r="K29" s="244"/>
      <c r="L29" s="244"/>
      <c r="M29" s="244"/>
      <c r="N29" s="244"/>
      <c r="O29" s="244"/>
      <c r="P29" s="244"/>
      <c r="Q29" s="244"/>
      <c r="R29" s="244"/>
    </row>
    <row r="30" spans="1:18" ht="18" customHeight="1" x14ac:dyDescent="0.3">
      <c r="A30" s="15"/>
      <c r="B30" s="15"/>
      <c r="C30" s="15"/>
      <c r="D30" s="15"/>
      <c r="E30" s="15"/>
      <c r="F30" s="15"/>
      <c r="G30" s="15"/>
      <c r="H30" s="15"/>
      <c r="I30" s="15"/>
      <c r="J30" s="15"/>
      <c r="K30" s="15"/>
      <c r="L30" s="15"/>
      <c r="M30" s="15"/>
      <c r="N30" s="15"/>
      <c r="O30" s="15"/>
      <c r="P30" s="15"/>
      <c r="Q30" s="15"/>
      <c r="R30" s="15"/>
    </row>
    <row r="31" spans="1:18" ht="18" customHeight="1" x14ac:dyDescent="0.3">
      <c r="A31" s="15"/>
      <c r="B31" s="15"/>
      <c r="C31" s="15"/>
      <c r="D31" s="15"/>
      <c r="E31" s="15"/>
      <c r="F31" s="15"/>
      <c r="G31" s="15"/>
      <c r="H31" s="15"/>
      <c r="I31" s="15"/>
      <c r="J31" s="15"/>
      <c r="K31" s="15"/>
      <c r="L31" s="15"/>
      <c r="M31" s="15"/>
      <c r="N31" s="15"/>
      <c r="O31" s="15"/>
      <c r="P31" s="15"/>
      <c r="Q31" s="15"/>
      <c r="R31" s="15"/>
    </row>
    <row r="32" spans="1:18" ht="18" customHeight="1" x14ac:dyDescent="0.3">
      <c r="A32" s="15"/>
      <c r="B32" s="15"/>
      <c r="C32" s="15"/>
      <c r="D32" s="15"/>
      <c r="E32" s="15"/>
      <c r="F32" s="15"/>
      <c r="G32" s="15"/>
      <c r="H32" s="15"/>
      <c r="I32" s="15"/>
      <c r="J32" s="15"/>
      <c r="K32" s="15"/>
      <c r="L32" s="15"/>
      <c r="M32" s="15"/>
      <c r="N32" s="15"/>
      <c r="O32" s="15"/>
      <c r="P32" s="15"/>
      <c r="Q32" s="15"/>
      <c r="R32" s="15"/>
    </row>
    <row r="33" spans="1:18" ht="18" customHeight="1" x14ac:dyDescent="0.3">
      <c r="A33" s="15"/>
      <c r="B33" s="15"/>
      <c r="C33" s="15"/>
      <c r="D33" s="15"/>
      <c r="E33" s="15"/>
      <c r="F33" s="15"/>
      <c r="G33" s="15"/>
      <c r="H33" s="15"/>
      <c r="I33" s="15"/>
      <c r="J33" s="15"/>
      <c r="K33" s="15"/>
      <c r="L33" s="15"/>
      <c r="M33" s="15"/>
      <c r="N33" s="15"/>
      <c r="O33" s="15"/>
      <c r="P33" s="15"/>
      <c r="Q33" s="15"/>
      <c r="R33" s="15"/>
    </row>
    <row r="34" spans="1:18" ht="18" customHeight="1" x14ac:dyDescent="0.3">
      <c r="A34" s="15"/>
      <c r="B34" s="15"/>
      <c r="C34" s="15"/>
      <c r="D34" s="15"/>
      <c r="E34" s="15"/>
      <c r="F34" s="15"/>
      <c r="G34" s="15"/>
      <c r="H34" s="15"/>
      <c r="I34" s="15"/>
      <c r="J34" s="15"/>
      <c r="K34" s="15"/>
      <c r="L34" s="15"/>
      <c r="M34" s="15"/>
      <c r="N34" s="15"/>
      <c r="O34" s="15"/>
      <c r="P34" s="15"/>
      <c r="Q34" s="15"/>
      <c r="R34" s="15"/>
    </row>
    <row r="35" spans="1:18" ht="18" customHeight="1" x14ac:dyDescent="0.3">
      <c r="A35" s="15"/>
      <c r="B35" s="15"/>
      <c r="C35" s="15"/>
      <c r="D35" s="15"/>
      <c r="E35" s="15"/>
      <c r="F35" s="15"/>
      <c r="G35" s="15"/>
      <c r="H35" s="15"/>
      <c r="I35" s="15"/>
      <c r="J35" s="15"/>
      <c r="K35" s="15"/>
      <c r="L35" s="15"/>
      <c r="M35" s="15"/>
      <c r="N35" s="15"/>
      <c r="O35" s="15"/>
      <c r="P35" s="15"/>
      <c r="Q35" s="15"/>
      <c r="R35" s="15"/>
    </row>
    <row r="36" spans="1:18" ht="18" customHeight="1" x14ac:dyDescent="0.3">
      <c r="A36" s="245"/>
      <c r="B36" s="245"/>
      <c r="C36" s="245"/>
      <c r="D36" s="245"/>
      <c r="E36" s="246"/>
      <c r="F36" s="246"/>
      <c r="G36" s="246"/>
      <c r="H36" s="246"/>
      <c r="I36" s="246"/>
      <c r="J36" s="246"/>
      <c r="K36" s="246"/>
      <c r="L36" s="246"/>
      <c r="M36" s="246"/>
      <c r="N36" s="246"/>
      <c r="O36" s="246"/>
      <c r="P36" s="246"/>
      <c r="Q36" s="246"/>
      <c r="R36" s="246"/>
    </row>
    <row r="37" spans="1:18" ht="18" customHeight="1" x14ac:dyDescent="0.3">
      <c r="A37" s="245"/>
      <c r="B37" s="245"/>
      <c r="C37" s="245"/>
      <c r="D37" s="245"/>
      <c r="E37" s="246"/>
      <c r="F37" s="246"/>
      <c r="G37" s="246"/>
      <c r="H37" s="246"/>
      <c r="I37" s="246"/>
      <c r="J37" s="246"/>
      <c r="K37" s="246"/>
      <c r="L37" s="246"/>
      <c r="M37" s="246"/>
      <c r="N37" s="246"/>
      <c r="O37" s="246"/>
      <c r="P37" s="246"/>
      <c r="Q37" s="246"/>
      <c r="R37" s="246"/>
    </row>
    <row r="38" spans="1:18" ht="18" customHeight="1" x14ac:dyDescent="0.3">
      <c r="A38" s="245"/>
      <c r="B38" s="245"/>
      <c r="C38" s="245"/>
      <c r="D38" s="245"/>
      <c r="E38" s="246"/>
      <c r="F38" s="246"/>
      <c r="G38" s="246"/>
      <c r="H38" s="246"/>
      <c r="I38" s="246"/>
      <c r="J38" s="246"/>
      <c r="K38" s="246"/>
      <c r="L38" s="246"/>
      <c r="M38" s="246"/>
      <c r="N38" s="246"/>
      <c r="O38" s="246"/>
      <c r="P38" s="246"/>
      <c r="Q38" s="246"/>
      <c r="R38" s="246"/>
    </row>
    <row r="39" spans="1:18" ht="18" customHeight="1" x14ac:dyDescent="0.3">
      <c r="A39" s="245"/>
      <c r="B39" s="245"/>
      <c r="C39" s="245"/>
      <c r="D39" s="245"/>
      <c r="E39" s="246"/>
      <c r="F39" s="246"/>
      <c r="G39" s="246"/>
      <c r="H39" s="246"/>
      <c r="I39" s="246"/>
      <c r="J39" s="246"/>
      <c r="K39" s="246"/>
      <c r="L39" s="246"/>
      <c r="M39" s="246"/>
      <c r="N39" s="246"/>
      <c r="O39" s="246"/>
      <c r="P39" s="246"/>
      <c r="Q39" s="246"/>
      <c r="R39" s="246"/>
    </row>
    <row r="40" spans="1:18" ht="18" customHeight="1" x14ac:dyDescent="0.3">
      <c r="A40" s="245"/>
      <c r="B40" s="245"/>
      <c r="C40" s="245"/>
      <c r="D40" s="245"/>
      <c r="E40" s="246"/>
      <c r="F40" s="246"/>
      <c r="G40" s="246"/>
      <c r="H40" s="246"/>
      <c r="I40" s="246"/>
      <c r="J40" s="246"/>
      <c r="K40" s="246"/>
      <c r="L40" s="246"/>
      <c r="M40" s="246"/>
      <c r="N40" s="246"/>
      <c r="O40" s="246"/>
      <c r="P40" s="246"/>
      <c r="Q40" s="246"/>
      <c r="R40" s="246"/>
    </row>
    <row r="41" spans="1:18" ht="18" customHeight="1" x14ac:dyDescent="0.3">
      <c r="A41" s="15"/>
      <c r="B41" s="15"/>
      <c r="C41" s="15"/>
      <c r="D41" s="15"/>
      <c r="E41" s="15"/>
      <c r="F41" s="15"/>
      <c r="G41" s="15"/>
      <c r="H41" s="15"/>
      <c r="I41" s="15"/>
      <c r="J41" s="15"/>
      <c r="K41" s="15"/>
      <c r="L41" s="15"/>
      <c r="M41" s="15"/>
      <c r="N41" s="15"/>
      <c r="O41" s="15"/>
      <c r="P41" s="15"/>
      <c r="Q41" s="15"/>
      <c r="R41" s="15"/>
    </row>
    <row r="42" spans="1:18" ht="18" customHeight="1" x14ac:dyDescent="0.3">
      <c r="A42" s="15"/>
      <c r="B42" s="15"/>
      <c r="C42" s="15"/>
      <c r="D42" s="15"/>
      <c r="E42" s="15"/>
      <c r="F42" s="15"/>
      <c r="G42" s="15"/>
      <c r="H42" s="15"/>
      <c r="I42" s="15"/>
      <c r="J42" s="15"/>
      <c r="K42" s="15"/>
      <c r="L42" s="15"/>
      <c r="M42" s="15"/>
      <c r="N42" s="15"/>
      <c r="O42" s="15"/>
      <c r="P42" s="15"/>
      <c r="Q42" s="15"/>
      <c r="R42" s="15"/>
    </row>
    <row r="43" spans="1:18" ht="18" customHeight="1" x14ac:dyDescent="0.3">
      <c r="A43" s="15"/>
      <c r="B43" s="15"/>
      <c r="C43" s="15"/>
      <c r="D43" s="15"/>
      <c r="E43" s="15"/>
      <c r="F43" s="15"/>
      <c r="G43" s="15"/>
      <c r="H43" s="15"/>
      <c r="I43" s="15"/>
      <c r="J43" s="15"/>
      <c r="K43" s="15"/>
      <c r="L43" s="15"/>
      <c r="M43" s="15"/>
      <c r="N43" s="15"/>
      <c r="O43" s="15"/>
      <c r="P43" s="15"/>
      <c r="Q43" s="15"/>
      <c r="R43" s="15"/>
    </row>
    <row r="44" spans="1:18" ht="18" customHeight="1" x14ac:dyDescent="0.3">
      <c r="A44" s="15"/>
      <c r="B44" s="15"/>
      <c r="C44" s="15"/>
      <c r="D44" s="15"/>
      <c r="E44" s="15"/>
      <c r="F44" s="15"/>
      <c r="G44" s="15"/>
      <c r="H44" s="15"/>
      <c r="I44" s="15"/>
      <c r="J44" s="15"/>
      <c r="K44" s="15"/>
      <c r="L44" s="15"/>
      <c r="M44" s="15"/>
      <c r="N44" s="15"/>
      <c r="O44" s="15"/>
      <c r="P44" s="15"/>
      <c r="Q44" s="15"/>
      <c r="R44" s="15"/>
    </row>
    <row r="45" spans="1:18" ht="18" customHeight="1" x14ac:dyDescent="0.3">
      <c r="A45" s="15"/>
      <c r="B45" s="15"/>
      <c r="C45" s="15"/>
      <c r="D45" s="15"/>
      <c r="E45" s="15"/>
      <c r="F45" s="15"/>
      <c r="G45" s="15"/>
      <c r="H45" s="15"/>
      <c r="I45" s="15"/>
      <c r="J45" s="15"/>
      <c r="K45" s="15"/>
      <c r="L45" s="15"/>
      <c r="M45" s="15"/>
      <c r="N45" s="15"/>
      <c r="O45" s="15"/>
      <c r="P45" s="15"/>
      <c r="Q45" s="15"/>
      <c r="R45" s="15"/>
    </row>
    <row r="46" spans="1:18" ht="18" customHeight="1" x14ac:dyDescent="0.3">
      <c r="A46" s="15"/>
      <c r="B46" s="15"/>
      <c r="C46" s="15"/>
      <c r="D46" s="15"/>
      <c r="E46" s="15"/>
      <c r="F46" s="15"/>
      <c r="G46" s="15"/>
      <c r="H46" s="15"/>
      <c r="I46" s="15"/>
      <c r="J46" s="15"/>
      <c r="K46" s="15"/>
      <c r="L46" s="15"/>
      <c r="M46" s="15"/>
      <c r="N46" s="15"/>
      <c r="O46" s="15"/>
      <c r="P46" s="15"/>
      <c r="Q46" s="15"/>
      <c r="R46" s="15"/>
    </row>
    <row r="47" spans="1:18" ht="18" customHeight="1" x14ac:dyDescent="0.3">
      <c r="A47" s="15"/>
      <c r="B47" s="15"/>
      <c r="C47" s="15"/>
      <c r="D47" s="15"/>
      <c r="E47" s="15"/>
      <c r="F47" s="15"/>
      <c r="G47" s="15"/>
      <c r="H47" s="15"/>
      <c r="I47" s="15"/>
      <c r="J47" s="15"/>
      <c r="K47" s="15"/>
      <c r="L47" s="15"/>
      <c r="M47" s="15"/>
      <c r="N47" s="15"/>
      <c r="O47" s="15"/>
      <c r="P47" s="15"/>
      <c r="Q47" s="15"/>
      <c r="R47" s="15"/>
    </row>
    <row r="48" spans="1:18" ht="18" customHeight="1" x14ac:dyDescent="0.3">
      <c r="A48" s="15"/>
      <c r="B48" s="15"/>
      <c r="C48" s="15"/>
      <c r="D48" s="15"/>
      <c r="E48" s="15"/>
      <c r="F48" s="15"/>
      <c r="G48" s="15"/>
      <c r="H48" s="15"/>
      <c r="I48" s="15"/>
      <c r="J48" s="15"/>
      <c r="K48" s="15"/>
      <c r="L48" s="15"/>
      <c r="M48" s="15"/>
      <c r="N48" s="15"/>
      <c r="O48" s="15"/>
      <c r="P48" s="15"/>
      <c r="Q48" s="15"/>
      <c r="R48" s="15"/>
    </row>
    <row r="49" spans="1:18" ht="14.25" customHeight="1" x14ac:dyDescent="0.3">
      <c r="A49" s="15"/>
      <c r="B49" s="15"/>
      <c r="C49" s="15"/>
      <c r="D49" s="15"/>
      <c r="E49" s="15"/>
      <c r="F49" s="15"/>
      <c r="G49" s="15"/>
      <c r="H49" s="15"/>
      <c r="I49" s="15"/>
      <c r="J49" s="15"/>
      <c r="K49" s="15"/>
      <c r="L49" s="15"/>
      <c r="M49" s="15"/>
      <c r="N49" s="15"/>
      <c r="O49" s="15"/>
      <c r="P49" s="15"/>
      <c r="Q49" s="15"/>
      <c r="R49" s="15"/>
    </row>
  </sheetData>
  <mergeCells count="40">
    <mergeCell ref="A38:D38"/>
    <mergeCell ref="E38:R38"/>
    <mergeCell ref="A39:D39"/>
    <mergeCell ref="E39:R39"/>
    <mergeCell ref="A40:D40"/>
    <mergeCell ref="E40:R40"/>
    <mergeCell ref="A25:R27"/>
    <mergeCell ref="A29:R29"/>
    <mergeCell ref="A36:D36"/>
    <mergeCell ref="E36:R36"/>
    <mergeCell ref="A37:D37"/>
    <mergeCell ref="E37:R37"/>
    <mergeCell ref="A15:C15"/>
    <mergeCell ref="D15:F15"/>
    <mergeCell ref="G15:I15"/>
    <mergeCell ref="J15:L15"/>
    <mergeCell ref="A17:R17"/>
    <mergeCell ref="A12:C12"/>
    <mergeCell ref="D12:F12"/>
    <mergeCell ref="G12:I12"/>
    <mergeCell ref="J12:L12"/>
    <mergeCell ref="A14:C14"/>
    <mergeCell ref="D14:F14"/>
    <mergeCell ref="G14:I14"/>
    <mergeCell ref="J14:L14"/>
    <mergeCell ref="A9:C9"/>
    <mergeCell ref="D9:F9"/>
    <mergeCell ref="G9:I9"/>
    <mergeCell ref="J9:L9"/>
    <mergeCell ref="A11:C11"/>
    <mergeCell ref="D11:F11"/>
    <mergeCell ref="G11:I11"/>
    <mergeCell ref="J11:L11"/>
    <mergeCell ref="A2:R3"/>
    <mergeCell ref="A4:R4"/>
    <mergeCell ref="A6:R6"/>
    <mergeCell ref="A8:C8"/>
    <mergeCell ref="D8:F8"/>
    <mergeCell ref="G8:I8"/>
    <mergeCell ref="J8:L8"/>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75623"/>
    <pageSetUpPr fitToPage="1"/>
  </sheetPr>
  <dimension ref="A1:C101"/>
  <sheetViews>
    <sheetView showGridLines="0" topLeftCell="A10" zoomScaleNormal="100" workbookViewId="0">
      <selection activeCell="A7" sqref="A1:XFD1048576"/>
    </sheetView>
  </sheetViews>
  <sheetFormatPr defaultColWidth="8.6640625" defaultRowHeight="14.4" x14ac:dyDescent="0.3"/>
  <cols>
    <col min="1" max="1" width="30" style="14" customWidth="1"/>
    <col min="2" max="2" width="68" style="14" customWidth="1"/>
    <col min="3" max="3" width="22" style="14" customWidth="1"/>
  </cols>
  <sheetData>
    <row r="1" spans="1:3" ht="16.8" x14ac:dyDescent="0.3">
      <c r="A1" s="247" t="s">
        <v>6259</v>
      </c>
      <c r="B1" s="247"/>
      <c r="C1" s="247"/>
    </row>
    <row r="2" spans="1:3" x14ac:dyDescent="0.3">
      <c r="A2" s="248" t="s">
        <v>14</v>
      </c>
      <c r="B2" s="248"/>
      <c r="C2" s="248"/>
    </row>
    <row r="3" spans="1:3" x14ac:dyDescent="0.3">
      <c r="A3" s="249" t="s">
        <v>15</v>
      </c>
      <c r="B3" s="249"/>
      <c r="C3" s="249"/>
    </row>
    <row r="4" spans="1:3" x14ac:dyDescent="0.3">
      <c r="A4" s="16" t="s">
        <v>16</v>
      </c>
      <c r="B4" s="16" t="s">
        <v>17</v>
      </c>
      <c r="C4" s="16" t="s">
        <v>18</v>
      </c>
    </row>
    <row r="5" spans="1:3" ht="22.8" x14ac:dyDescent="0.3">
      <c r="A5" s="17" t="s">
        <v>19</v>
      </c>
      <c r="B5" s="17" t="s">
        <v>20</v>
      </c>
      <c r="C5" s="17" t="s">
        <v>21</v>
      </c>
    </row>
    <row r="6" spans="1:3" ht="22.8" x14ac:dyDescent="0.3">
      <c r="A6" s="18" t="s">
        <v>22</v>
      </c>
      <c r="B6" s="18" t="s">
        <v>23</v>
      </c>
      <c r="C6" s="18" t="s">
        <v>24</v>
      </c>
    </row>
    <row r="7" spans="1:3" x14ac:dyDescent="0.3">
      <c r="A7" s="17" t="s">
        <v>25</v>
      </c>
      <c r="B7" s="17" t="s">
        <v>26</v>
      </c>
      <c r="C7" s="17" t="s">
        <v>27</v>
      </c>
    </row>
    <row r="8" spans="1:3" ht="22.8" x14ac:dyDescent="0.3">
      <c r="A8" s="18" t="s">
        <v>28</v>
      </c>
      <c r="B8" s="18" t="s">
        <v>29</v>
      </c>
      <c r="C8" s="18" t="s">
        <v>30</v>
      </c>
    </row>
    <row r="9" spans="1:3" x14ac:dyDescent="0.3">
      <c r="A9" s="249" t="s">
        <v>31</v>
      </c>
      <c r="B9" s="249"/>
      <c r="C9" s="249"/>
    </row>
    <row r="10" spans="1:3" x14ac:dyDescent="0.3">
      <c r="A10" s="250" t="s">
        <v>32</v>
      </c>
      <c r="B10" s="250"/>
      <c r="C10" s="250"/>
    </row>
    <row r="11" spans="1:3" x14ac:dyDescent="0.3">
      <c r="A11" s="16" t="s">
        <v>16</v>
      </c>
      <c r="B11" s="16" t="s">
        <v>17</v>
      </c>
      <c r="C11" s="16" t="s">
        <v>18</v>
      </c>
    </row>
    <row r="12" spans="1:3" ht="45.6" x14ac:dyDescent="0.3">
      <c r="A12" s="18" t="s">
        <v>33</v>
      </c>
      <c r="B12" s="18" t="s">
        <v>34</v>
      </c>
      <c r="C12" s="18" t="s">
        <v>35</v>
      </c>
    </row>
    <row r="13" spans="1:3" ht="45.6" x14ac:dyDescent="0.3">
      <c r="A13" s="17" t="s">
        <v>36</v>
      </c>
      <c r="B13" s="17" t="s">
        <v>37</v>
      </c>
      <c r="C13" s="17" t="s">
        <v>38</v>
      </c>
    </row>
    <row r="14" spans="1:3" ht="57" x14ac:dyDescent="0.3">
      <c r="A14" s="18" t="s">
        <v>39</v>
      </c>
      <c r="B14" s="18" t="s">
        <v>40</v>
      </c>
      <c r="C14" s="18" t="s">
        <v>41</v>
      </c>
    </row>
    <row r="15" spans="1:3" ht="45.6" x14ac:dyDescent="0.3">
      <c r="A15" s="17" t="s">
        <v>42</v>
      </c>
      <c r="B15" s="17" t="s">
        <v>43</v>
      </c>
      <c r="C15" s="17" t="s">
        <v>44</v>
      </c>
    </row>
    <row r="16" spans="1:3" ht="57" x14ac:dyDescent="0.3">
      <c r="A16" s="18" t="s">
        <v>45</v>
      </c>
      <c r="B16" s="18" t="s">
        <v>46</v>
      </c>
      <c r="C16" s="18" t="s">
        <v>47</v>
      </c>
    </row>
    <row r="17" spans="1:3" x14ac:dyDescent="0.3">
      <c r="A17" s="249" t="s">
        <v>48</v>
      </c>
      <c r="B17" s="249"/>
      <c r="C17" s="249"/>
    </row>
    <row r="18" spans="1:3" x14ac:dyDescent="0.3">
      <c r="A18" s="250" t="s">
        <v>49</v>
      </c>
      <c r="B18" s="250"/>
      <c r="C18" s="250"/>
    </row>
    <row r="19" spans="1:3" x14ac:dyDescent="0.3">
      <c r="A19" s="16" t="s">
        <v>16</v>
      </c>
      <c r="B19" s="16" t="s">
        <v>17</v>
      </c>
      <c r="C19" s="16" t="s">
        <v>18</v>
      </c>
    </row>
    <row r="20" spans="1:3" ht="68.400000000000006" x14ac:dyDescent="0.3">
      <c r="A20" s="18" t="s">
        <v>50</v>
      </c>
      <c r="B20" s="18" t="s">
        <v>51</v>
      </c>
      <c r="C20" s="18" t="s">
        <v>52</v>
      </c>
    </row>
    <row r="21" spans="1:3" ht="68.400000000000006" x14ac:dyDescent="0.3">
      <c r="A21" s="17" t="s">
        <v>53</v>
      </c>
      <c r="B21" s="17" t="s">
        <v>54</v>
      </c>
      <c r="C21" s="17" t="s">
        <v>55</v>
      </c>
    </row>
    <row r="22" spans="1:3" ht="125.4" x14ac:dyDescent="0.3">
      <c r="A22" s="18" t="s">
        <v>56</v>
      </c>
      <c r="B22" s="18" t="s">
        <v>57</v>
      </c>
      <c r="C22" s="18" t="s">
        <v>58</v>
      </c>
    </row>
    <row r="23" spans="1:3" ht="91.2" x14ac:dyDescent="0.3">
      <c r="A23" s="17" t="s">
        <v>59</v>
      </c>
      <c r="B23" s="17" t="s">
        <v>60</v>
      </c>
      <c r="C23" s="17" t="s">
        <v>61</v>
      </c>
    </row>
    <row r="24" spans="1:3" ht="79.8" x14ac:dyDescent="0.3">
      <c r="A24" s="18" t="s">
        <v>62</v>
      </c>
      <c r="B24" s="18" t="s">
        <v>63</v>
      </c>
      <c r="C24" s="18" t="s">
        <v>64</v>
      </c>
    </row>
    <row r="25" spans="1:3" ht="79.8" x14ac:dyDescent="0.3">
      <c r="A25" s="17" t="s">
        <v>65</v>
      </c>
      <c r="B25" s="17" t="s">
        <v>66</v>
      </c>
      <c r="C25" s="17" t="s">
        <v>67</v>
      </c>
    </row>
    <row r="26" spans="1:3" ht="45.6" x14ac:dyDescent="0.3">
      <c r="A26" s="18" t="s">
        <v>68</v>
      </c>
      <c r="B26" s="18" t="s">
        <v>69</v>
      </c>
      <c r="C26" s="18" t="s">
        <v>70</v>
      </c>
    </row>
    <row r="27" spans="1:3" x14ac:dyDescent="0.3">
      <c r="A27" s="249" t="s">
        <v>71</v>
      </c>
      <c r="B27" s="249"/>
      <c r="C27" s="249"/>
    </row>
    <row r="28" spans="1:3" x14ac:dyDescent="0.3">
      <c r="A28" s="16" t="s">
        <v>16</v>
      </c>
      <c r="B28" s="16" t="s">
        <v>17</v>
      </c>
      <c r="C28" s="16" t="s">
        <v>18</v>
      </c>
    </row>
    <row r="29" spans="1:3" x14ac:dyDescent="0.3">
      <c r="A29" s="251" t="s">
        <v>72</v>
      </c>
      <c r="B29" s="251"/>
      <c r="C29" s="251"/>
    </row>
    <row r="30" spans="1:3" x14ac:dyDescent="0.3">
      <c r="A30" s="18" t="s">
        <v>73</v>
      </c>
      <c r="B30" s="18" t="s">
        <v>74</v>
      </c>
      <c r="C30" s="18" t="s">
        <v>75</v>
      </c>
    </row>
    <row r="31" spans="1:3" x14ac:dyDescent="0.3">
      <c r="A31" s="17" t="s">
        <v>76</v>
      </c>
      <c r="B31" s="17" t="s">
        <v>77</v>
      </c>
      <c r="C31" s="17" t="s">
        <v>78</v>
      </c>
    </row>
    <row r="32" spans="1:3" x14ac:dyDescent="0.3">
      <c r="A32" s="18" t="s">
        <v>79</v>
      </c>
      <c r="B32" s="18" t="s">
        <v>80</v>
      </c>
      <c r="C32" s="18" t="s">
        <v>78</v>
      </c>
    </row>
    <row r="33" spans="1:3" x14ac:dyDescent="0.3">
      <c r="A33" s="17" t="s">
        <v>81</v>
      </c>
      <c r="B33" s="17" t="s">
        <v>82</v>
      </c>
      <c r="C33" s="17" t="s">
        <v>78</v>
      </c>
    </row>
    <row r="34" spans="1:3" x14ac:dyDescent="0.3">
      <c r="A34" s="18" t="s">
        <v>83</v>
      </c>
      <c r="B34" s="18" t="s">
        <v>84</v>
      </c>
      <c r="C34" s="18" t="s">
        <v>78</v>
      </c>
    </row>
    <row r="35" spans="1:3" ht="22.8" x14ac:dyDescent="0.3">
      <c r="A35" s="17" t="s">
        <v>85</v>
      </c>
      <c r="B35" s="17" t="s">
        <v>86</v>
      </c>
      <c r="C35" s="17" t="s">
        <v>78</v>
      </c>
    </row>
    <row r="36" spans="1:3" x14ac:dyDescent="0.3">
      <c r="A36" s="18" t="s">
        <v>87</v>
      </c>
      <c r="B36" s="18" t="s">
        <v>88</v>
      </c>
      <c r="C36" s="18" t="s">
        <v>89</v>
      </c>
    </row>
    <row r="37" spans="1:3" x14ac:dyDescent="0.3">
      <c r="A37" s="17" t="s">
        <v>90</v>
      </c>
      <c r="B37" s="17" t="s">
        <v>91</v>
      </c>
      <c r="C37" s="17" t="s">
        <v>89</v>
      </c>
    </row>
    <row r="38" spans="1:3" x14ac:dyDescent="0.3">
      <c r="A38" s="18" t="s">
        <v>92</v>
      </c>
      <c r="B38" s="18" t="s">
        <v>93</v>
      </c>
      <c r="C38" s="18" t="s">
        <v>94</v>
      </c>
    </row>
    <row r="39" spans="1:3" x14ac:dyDescent="0.3">
      <c r="A39" s="251" t="s">
        <v>95</v>
      </c>
      <c r="B39" s="251"/>
      <c r="C39" s="251"/>
    </row>
    <row r="40" spans="1:3" ht="45.6" x14ac:dyDescent="0.3">
      <c r="A40" s="18" t="s">
        <v>96</v>
      </c>
      <c r="B40" s="18" t="s">
        <v>97</v>
      </c>
      <c r="C40" s="18" t="s">
        <v>98</v>
      </c>
    </row>
    <row r="41" spans="1:3" ht="22.8" x14ac:dyDescent="0.3">
      <c r="A41" s="17" t="s">
        <v>99</v>
      </c>
      <c r="B41" s="17" t="s">
        <v>100</v>
      </c>
      <c r="C41" s="17" t="s">
        <v>101</v>
      </c>
    </row>
    <row r="42" spans="1:3" ht="57" x14ac:dyDescent="0.3">
      <c r="A42" s="18" t="s">
        <v>102</v>
      </c>
      <c r="B42" s="18" t="s">
        <v>103</v>
      </c>
      <c r="C42" s="18" t="s">
        <v>104</v>
      </c>
    </row>
    <row r="43" spans="1:3" ht="34.200000000000003" x14ac:dyDescent="0.3">
      <c r="A43" s="17" t="s">
        <v>105</v>
      </c>
      <c r="B43" s="17" t="s">
        <v>106</v>
      </c>
      <c r="C43" s="17" t="s">
        <v>89</v>
      </c>
    </row>
    <row r="44" spans="1:3" x14ac:dyDescent="0.3">
      <c r="A44" s="18" t="s">
        <v>107</v>
      </c>
      <c r="B44" s="18" t="s">
        <v>108</v>
      </c>
      <c r="C44" s="18" t="s">
        <v>89</v>
      </c>
    </row>
    <row r="45" spans="1:3" x14ac:dyDescent="0.3">
      <c r="A45" s="251" t="s">
        <v>109</v>
      </c>
      <c r="B45" s="251"/>
      <c r="C45" s="251"/>
    </row>
    <row r="46" spans="1:3" ht="34.200000000000003" x14ac:dyDescent="0.3">
      <c r="A46" s="18" t="s">
        <v>110</v>
      </c>
      <c r="B46" s="18" t="s">
        <v>111</v>
      </c>
      <c r="C46" s="18" t="s">
        <v>112</v>
      </c>
    </row>
    <row r="47" spans="1:3" ht="22.8" x14ac:dyDescent="0.3">
      <c r="A47" s="17" t="s">
        <v>113</v>
      </c>
      <c r="B47" s="17" t="s">
        <v>114</v>
      </c>
      <c r="C47" s="17" t="s">
        <v>112</v>
      </c>
    </row>
    <row r="48" spans="1:3" ht="22.8" x14ac:dyDescent="0.3">
      <c r="A48" s="18" t="s">
        <v>115</v>
      </c>
      <c r="B48" s="18" t="s">
        <v>116</v>
      </c>
      <c r="C48" s="18" t="s">
        <v>112</v>
      </c>
    </row>
    <row r="49" spans="1:3" x14ac:dyDescent="0.3">
      <c r="A49" s="251" t="s">
        <v>117</v>
      </c>
      <c r="B49" s="251"/>
      <c r="C49" s="251"/>
    </row>
    <row r="50" spans="1:3" x14ac:dyDescent="0.3">
      <c r="A50" s="18" t="s">
        <v>118</v>
      </c>
      <c r="B50" s="18" t="s">
        <v>119</v>
      </c>
      <c r="C50" s="18" t="s">
        <v>120</v>
      </c>
    </row>
    <row r="51" spans="1:3" ht="34.200000000000003" x14ac:dyDescent="0.3">
      <c r="A51" s="17" t="s">
        <v>121</v>
      </c>
      <c r="B51" s="17" t="s">
        <v>122</v>
      </c>
      <c r="C51" s="17" t="s">
        <v>120</v>
      </c>
    </row>
    <row r="52" spans="1:3" x14ac:dyDescent="0.3">
      <c r="A52" s="18" t="s">
        <v>123</v>
      </c>
      <c r="B52" s="18" t="s">
        <v>124</v>
      </c>
      <c r="C52" s="18" t="s">
        <v>120</v>
      </c>
    </row>
    <row r="53" spans="1:3" ht="22.8" x14ac:dyDescent="0.3">
      <c r="A53" s="17" t="s">
        <v>125</v>
      </c>
      <c r="B53" s="17" t="s">
        <v>126</v>
      </c>
      <c r="C53" s="17" t="s">
        <v>89</v>
      </c>
    </row>
    <row r="54" spans="1:3" ht="22.8" x14ac:dyDescent="0.3">
      <c r="A54" s="18" t="s">
        <v>127</v>
      </c>
      <c r="B54" s="18" t="s">
        <v>128</v>
      </c>
      <c r="C54" s="18" t="s">
        <v>89</v>
      </c>
    </row>
    <row r="55" spans="1:3" ht="22.8" x14ac:dyDescent="0.3">
      <c r="A55" s="17" t="s">
        <v>129</v>
      </c>
      <c r="B55" s="17" t="s">
        <v>130</v>
      </c>
      <c r="C55" s="17" t="s">
        <v>89</v>
      </c>
    </row>
    <row r="56" spans="1:3" ht="22.8" x14ac:dyDescent="0.3">
      <c r="A56" s="18" t="s">
        <v>131</v>
      </c>
      <c r="B56" s="18" t="s">
        <v>132</v>
      </c>
      <c r="C56" s="18" t="s">
        <v>89</v>
      </c>
    </row>
    <row r="57" spans="1:3" x14ac:dyDescent="0.3">
      <c r="A57" s="251" t="s">
        <v>133</v>
      </c>
      <c r="B57" s="251"/>
      <c r="C57" s="251"/>
    </row>
    <row r="58" spans="1:3" x14ac:dyDescent="0.3">
      <c r="A58" s="18" t="s">
        <v>134</v>
      </c>
      <c r="B58" s="18" t="s">
        <v>135</v>
      </c>
      <c r="C58" s="18" t="s">
        <v>94</v>
      </c>
    </row>
    <row r="59" spans="1:3" ht="22.8" x14ac:dyDescent="0.3">
      <c r="A59" s="17" t="s">
        <v>136</v>
      </c>
      <c r="B59" s="17" t="s">
        <v>137</v>
      </c>
      <c r="C59" s="17" t="s">
        <v>94</v>
      </c>
    </row>
    <row r="60" spans="1:3" ht="22.8" x14ac:dyDescent="0.3">
      <c r="A60" s="18" t="s">
        <v>138</v>
      </c>
      <c r="B60" s="18" t="s">
        <v>139</v>
      </c>
      <c r="C60" s="18" t="s">
        <v>89</v>
      </c>
    </row>
    <row r="61" spans="1:3" x14ac:dyDescent="0.3">
      <c r="A61" s="17" t="s">
        <v>140</v>
      </c>
      <c r="B61" s="17" t="s">
        <v>141</v>
      </c>
      <c r="C61" s="17" t="s">
        <v>94</v>
      </c>
    </row>
    <row r="62" spans="1:3" x14ac:dyDescent="0.3">
      <c r="A62" s="18" t="s">
        <v>142</v>
      </c>
      <c r="B62" s="18" t="s">
        <v>143</v>
      </c>
      <c r="C62" s="18" t="s">
        <v>89</v>
      </c>
    </row>
    <row r="63" spans="1:3" x14ac:dyDescent="0.3">
      <c r="A63" s="251" t="s">
        <v>144</v>
      </c>
      <c r="B63" s="251"/>
      <c r="C63" s="251"/>
    </row>
    <row r="64" spans="1:3" x14ac:dyDescent="0.3">
      <c r="A64" s="18" t="s">
        <v>145</v>
      </c>
      <c r="B64" s="18" t="s">
        <v>146</v>
      </c>
      <c r="C64" s="18" t="s">
        <v>147</v>
      </c>
    </row>
    <row r="65" spans="1:3" ht="22.8" x14ac:dyDescent="0.3">
      <c r="A65" s="17" t="s">
        <v>148</v>
      </c>
      <c r="B65" s="17" t="s">
        <v>149</v>
      </c>
      <c r="C65" s="17" t="s">
        <v>147</v>
      </c>
    </row>
    <row r="66" spans="1:3" ht="45.6" x14ac:dyDescent="0.3">
      <c r="A66" s="18" t="s">
        <v>150</v>
      </c>
      <c r="B66" s="18" t="s">
        <v>151</v>
      </c>
      <c r="C66" s="18" t="s">
        <v>89</v>
      </c>
    </row>
    <row r="67" spans="1:3" ht="22.8" x14ac:dyDescent="0.3">
      <c r="A67" s="17" t="s">
        <v>152</v>
      </c>
      <c r="B67" s="17" t="s">
        <v>153</v>
      </c>
      <c r="C67" s="17" t="s">
        <v>89</v>
      </c>
    </row>
    <row r="68" spans="1:3" ht="34.200000000000003" x14ac:dyDescent="0.3">
      <c r="A68" s="18" t="s">
        <v>154</v>
      </c>
      <c r="B68" s="18" t="s">
        <v>155</v>
      </c>
      <c r="C68" s="18" t="s">
        <v>89</v>
      </c>
    </row>
    <row r="69" spans="1:3" x14ac:dyDescent="0.3">
      <c r="A69" s="249" t="s">
        <v>156</v>
      </c>
      <c r="B69" s="249"/>
      <c r="C69" s="249"/>
    </row>
    <row r="70" spans="1:3" x14ac:dyDescent="0.3">
      <c r="A70" s="16" t="s">
        <v>16</v>
      </c>
      <c r="B70" s="16" t="s">
        <v>17</v>
      </c>
      <c r="C70" s="16" t="s">
        <v>18</v>
      </c>
    </row>
    <row r="71" spans="1:3" ht="34.200000000000003" x14ac:dyDescent="0.3">
      <c r="A71" s="17" t="s">
        <v>157</v>
      </c>
      <c r="B71" s="17" t="s">
        <v>158</v>
      </c>
      <c r="C71" s="17" t="s">
        <v>89</v>
      </c>
    </row>
    <row r="72" spans="1:3" ht="79.8" x14ac:dyDescent="0.3">
      <c r="A72" s="18" t="s">
        <v>159</v>
      </c>
      <c r="B72" s="18" t="s">
        <v>160</v>
      </c>
      <c r="C72" s="18" t="s">
        <v>89</v>
      </c>
    </row>
    <row r="73" spans="1:3" x14ac:dyDescent="0.3">
      <c r="A73" s="17" t="s">
        <v>161</v>
      </c>
      <c r="B73" s="17" t="s">
        <v>162</v>
      </c>
      <c r="C73" s="17" t="s">
        <v>89</v>
      </c>
    </row>
    <row r="74" spans="1:3" x14ac:dyDescent="0.3">
      <c r="A74" s="18" t="s">
        <v>163</v>
      </c>
      <c r="B74" s="18" t="s">
        <v>164</v>
      </c>
      <c r="C74" s="18" t="s">
        <v>89</v>
      </c>
    </row>
    <row r="75" spans="1:3" x14ac:dyDescent="0.3">
      <c r="A75" s="17" t="s">
        <v>165</v>
      </c>
      <c r="B75" s="17" t="s">
        <v>166</v>
      </c>
      <c r="C75" s="17" t="s">
        <v>89</v>
      </c>
    </row>
    <row r="76" spans="1:3" ht="22.8" x14ac:dyDescent="0.3">
      <c r="A76" s="18" t="s">
        <v>167</v>
      </c>
      <c r="B76" s="18" t="s">
        <v>168</v>
      </c>
      <c r="C76" s="18" t="s">
        <v>89</v>
      </c>
    </row>
    <row r="77" spans="1:3" x14ac:dyDescent="0.3">
      <c r="A77" s="17" t="s">
        <v>169</v>
      </c>
      <c r="B77" s="17" t="s">
        <v>170</v>
      </c>
      <c r="C77" s="17" t="s">
        <v>89</v>
      </c>
    </row>
    <row r="78" spans="1:3" ht="22.8" x14ac:dyDescent="0.3">
      <c r="A78" s="18" t="s">
        <v>171</v>
      </c>
      <c r="B78" s="18" t="s">
        <v>172</v>
      </c>
      <c r="C78" s="18" t="s">
        <v>89</v>
      </c>
    </row>
    <row r="79" spans="1:3" x14ac:dyDescent="0.3">
      <c r="A79" s="249" t="s">
        <v>173</v>
      </c>
      <c r="B79" s="249"/>
      <c r="C79" s="249"/>
    </row>
    <row r="80" spans="1:3" x14ac:dyDescent="0.3">
      <c r="A80" s="16" t="s">
        <v>16</v>
      </c>
      <c r="B80" s="16" t="s">
        <v>17</v>
      </c>
      <c r="C80" s="16" t="s">
        <v>18</v>
      </c>
    </row>
    <row r="81" spans="1:3" ht="34.200000000000003" x14ac:dyDescent="0.3">
      <c r="A81" s="17" t="s">
        <v>174</v>
      </c>
      <c r="B81" s="17" t="s">
        <v>175</v>
      </c>
      <c r="C81" s="17" t="s">
        <v>176</v>
      </c>
    </row>
    <row r="82" spans="1:3" ht="34.200000000000003" x14ac:dyDescent="0.3">
      <c r="A82" s="18" t="s">
        <v>177</v>
      </c>
      <c r="B82" s="18" t="s">
        <v>178</v>
      </c>
      <c r="C82" s="18" t="s">
        <v>176</v>
      </c>
    </row>
    <row r="83" spans="1:3" ht="34.200000000000003" x14ac:dyDescent="0.3">
      <c r="A83" s="17" t="s">
        <v>179</v>
      </c>
      <c r="B83" s="17" t="s">
        <v>180</v>
      </c>
      <c r="C83" s="17" t="s">
        <v>176</v>
      </c>
    </row>
    <row r="84" spans="1:3" x14ac:dyDescent="0.3">
      <c r="A84" s="18" t="s">
        <v>181</v>
      </c>
      <c r="B84" s="18" t="s">
        <v>182</v>
      </c>
      <c r="C84" s="18" t="s">
        <v>176</v>
      </c>
    </row>
    <row r="85" spans="1:3" x14ac:dyDescent="0.3">
      <c r="A85" s="252" t="s">
        <v>183</v>
      </c>
      <c r="B85" s="252"/>
      <c r="C85" s="252"/>
    </row>
    <row r="86" spans="1:3" x14ac:dyDescent="0.3">
      <c r="A86" s="16" t="s">
        <v>16</v>
      </c>
      <c r="B86" s="16" t="s">
        <v>17</v>
      </c>
      <c r="C86" s="16" t="s">
        <v>18</v>
      </c>
    </row>
    <row r="87" spans="1:3" ht="22.8" x14ac:dyDescent="0.3">
      <c r="A87" s="17" t="s">
        <v>184</v>
      </c>
      <c r="B87" s="17" t="s">
        <v>185</v>
      </c>
      <c r="C87" s="17" t="s">
        <v>186</v>
      </c>
    </row>
    <row r="88" spans="1:3" ht="22.8" x14ac:dyDescent="0.3">
      <c r="A88" s="18" t="s">
        <v>187</v>
      </c>
      <c r="B88" s="18" t="s">
        <v>188</v>
      </c>
      <c r="C88" s="18" t="s">
        <v>186</v>
      </c>
    </row>
    <row r="89" spans="1:3" ht="22.8" x14ac:dyDescent="0.3">
      <c r="A89" s="17" t="s">
        <v>189</v>
      </c>
      <c r="B89" s="17" t="s">
        <v>190</v>
      </c>
      <c r="C89" s="17" t="s">
        <v>186</v>
      </c>
    </row>
    <row r="90" spans="1:3" ht="34.200000000000003" x14ac:dyDescent="0.3">
      <c r="A90" s="18" t="s">
        <v>191</v>
      </c>
      <c r="B90" s="18" t="s">
        <v>192</v>
      </c>
      <c r="C90" s="18" t="s">
        <v>186</v>
      </c>
    </row>
    <row r="91" spans="1:3" ht="22.8" x14ac:dyDescent="0.3">
      <c r="A91" s="17" t="s">
        <v>193</v>
      </c>
      <c r="B91" s="17" t="s">
        <v>194</v>
      </c>
      <c r="C91" s="17" t="s">
        <v>195</v>
      </c>
    </row>
    <row r="92" spans="1:3" ht="22.8" x14ac:dyDescent="0.3">
      <c r="A92" s="18" t="s">
        <v>196</v>
      </c>
      <c r="B92" s="18" t="s">
        <v>197</v>
      </c>
      <c r="C92" s="18" t="s">
        <v>198</v>
      </c>
    </row>
    <row r="93" spans="1:3" ht="22.8" x14ac:dyDescent="0.3">
      <c r="A93" s="17" t="s">
        <v>199</v>
      </c>
      <c r="B93" s="17" t="s">
        <v>200</v>
      </c>
      <c r="C93" s="17" t="s">
        <v>186</v>
      </c>
    </row>
    <row r="94" spans="1:3" ht="22.8" x14ac:dyDescent="0.3">
      <c r="A94" s="18" t="s">
        <v>201</v>
      </c>
      <c r="B94" s="18" t="s">
        <v>202</v>
      </c>
      <c r="C94" s="18" t="s">
        <v>203</v>
      </c>
    </row>
    <row r="95" spans="1:3" x14ac:dyDescent="0.3">
      <c r="A95" s="253" t="str">
        <f>HYPERLINK("#HOME!A1","⬅  Back to HOME Dashboard")</f>
        <v>⬅  Back to HOME Dashboard</v>
      </c>
      <c r="B95" s="253"/>
      <c r="C95" s="253"/>
    </row>
    <row r="97" spans="1:3" x14ac:dyDescent="0.3">
      <c r="A97" s="254" t="s">
        <v>204</v>
      </c>
      <c r="B97" s="254"/>
      <c r="C97" s="254"/>
    </row>
    <row r="98" spans="1:3" ht="45.6" x14ac:dyDescent="0.3">
      <c r="A98" s="19" t="s">
        <v>205</v>
      </c>
      <c r="B98" s="19" t="s">
        <v>206</v>
      </c>
      <c r="C98" s="19" t="s">
        <v>207</v>
      </c>
    </row>
    <row r="99" spans="1:3" ht="45.6" x14ac:dyDescent="0.3">
      <c r="A99" s="20" t="s">
        <v>208</v>
      </c>
      <c r="B99" s="20" t="s">
        <v>209</v>
      </c>
      <c r="C99" s="20" t="s">
        <v>207</v>
      </c>
    </row>
    <row r="100" spans="1:3" ht="114" x14ac:dyDescent="0.3">
      <c r="A100" s="19" t="s">
        <v>210</v>
      </c>
      <c r="B100" s="19" t="s">
        <v>211</v>
      </c>
      <c r="C100" s="19" t="s">
        <v>212</v>
      </c>
    </row>
    <row r="101" spans="1:3" ht="45.6" x14ac:dyDescent="0.3">
      <c r="A101" s="20" t="s">
        <v>213</v>
      </c>
      <c r="B101" s="20" t="s">
        <v>214</v>
      </c>
      <c r="C101" s="20" t="s">
        <v>215</v>
      </c>
    </row>
  </sheetData>
  <mergeCells count="19">
    <mergeCell ref="A79:C79"/>
    <mergeCell ref="A85:C85"/>
    <mergeCell ref="A95:C95"/>
    <mergeCell ref="A97:C97"/>
    <mergeCell ref="A45:C45"/>
    <mergeCell ref="A49:C49"/>
    <mergeCell ref="A57:C57"/>
    <mergeCell ref="A63:C63"/>
    <mergeCell ref="A69:C69"/>
    <mergeCell ref="A17:C17"/>
    <mergeCell ref="A18:C18"/>
    <mergeCell ref="A27:C27"/>
    <mergeCell ref="A29:C29"/>
    <mergeCell ref="A39:C39"/>
    <mergeCell ref="A1:C1"/>
    <mergeCell ref="A2:C2"/>
    <mergeCell ref="A3:C3"/>
    <mergeCell ref="A9:C9"/>
    <mergeCell ref="A10:C10"/>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A020"/>
    <pageSetUpPr fitToPage="1"/>
  </sheetPr>
  <dimension ref="A1:D36"/>
  <sheetViews>
    <sheetView showGridLines="0" topLeftCell="A15" zoomScaleNormal="100" workbookViewId="0">
      <selection activeCell="A5" sqref="A5:XFD6"/>
    </sheetView>
  </sheetViews>
  <sheetFormatPr defaultColWidth="8.6640625" defaultRowHeight="14.4" x14ac:dyDescent="0.3"/>
  <cols>
    <col min="1" max="1" width="3" style="14" customWidth="1"/>
    <col min="2" max="2" width="30" style="14" customWidth="1"/>
    <col min="3" max="3" width="75" style="14" customWidth="1"/>
    <col min="4" max="4" width="22" style="14" customWidth="1"/>
  </cols>
  <sheetData>
    <row r="1" spans="1:4" ht="27.75" customHeight="1" x14ac:dyDescent="0.3">
      <c r="A1" s="10" t="str">
        <f>HYPERLINK("#HOME!A1","🏠  HOME")</f>
        <v>🏠  HOME</v>
      </c>
      <c r="B1" s="10"/>
      <c r="C1" s="9" t="str">
        <f>HYPERLINK("#INSTRUCTIONS!A1","📋  GUIDE")</f>
        <v>📋  GUIDE</v>
      </c>
      <c r="D1" s="9"/>
    </row>
    <row r="2" spans="1:4" ht="24" customHeight="1" x14ac:dyDescent="0.3">
      <c r="A2" s="255" t="s">
        <v>216</v>
      </c>
      <c r="B2" s="255"/>
      <c r="C2" s="255"/>
      <c r="D2" s="255"/>
    </row>
    <row r="3" spans="1:4" ht="24" customHeight="1" x14ac:dyDescent="0.3">
      <c r="B3" s="256" t="s">
        <v>217</v>
      </c>
      <c r="C3" s="256"/>
      <c r="D3" s="256"/>
    </row>
    <row r="4" spans="1:4" ht="79.5" customHeight="1" x14ac:dyDescent="0.3">
      <c r="B4" s="21" t="s">
        <v>218</v>
      </c>
      <c r="C4" s="22" t="s">
        <v>219</v>
      </c>
    </row>
    <row r="5" spans="1:4" ht="7.5" customHeight="1" x14ac:dyDescent="0.3"/>
    <row r="6" spans="1:4" ht="24" customHeight="1" x14ac:dyDescent="0.3">
      <c r="B6" s="257" t="s">
        <v>220</v>
      </c>
      <c r="C6" s="257"/>
      <c r="D6" s="257"/>
    </row>
    <row r="7" spans="1:4" ht="79.5" customHeight="1" x14ac:dyDescent="0.3">
      <c r="B7" s="21" t="s">
        <v>221</v>
      </c>
      <c r="C7" s="22" t="s">
        <v>222</v>
      </c>
    </row>
    <row r="8" spans="1:4" ht="79.5" customHeight="1" x14ac:dyDescent="0.3">
      <c r="B8" s="21" t="s">
        <v>223</v>
      </c>
      <c r="C8" s="22" t="s">
        <v>224</v>
      </c>
    </row>
    <row r="9" spans="1:4" ht="7.5" customHeight="1" x14ac:dyDescent="0.3"/>
    <row r="10" spans="1:4" ht="24" customHeight="1" x14ac:dyDescent="0.3">
      <c r="B10" s="258" t="s">
        <v>225</v>
      </c>
      <c r="C10" s="258"/>
      <c r="D10" s="258"/>
    </row>
    <row r="11" spans="1:4" ht="79.5" customHeight="1" x14ac:dyDescent="0.3">
      <c r="B11" s="21" t="s">
        <v>226</v>
      </c>
      <c r="C11" s="22" t="s">
        <v>227</v>
      </c>
    </row>
    <row r="12" spans="1:4" ht="79.5" customHeight="1" x14ac:dyDescent="0.3">
      <c r="B12" s="21" t="s">
        <v>228</v>
      </c>
      <c r="C12" s="22" t="s">
        <v>229</v>
      </c>
    </row>
    <row r="13" spans="1:4" ht="79.5" customHeight="1" x14ac:dyDescent="0.3">
      <c r="B13" s="21" t="s">
        <v>230</v>
      </c>
      <c r="C13" s="22" t="s">
        <v>231</v>
      </c>
    </row>
    <row r="14" spans="1:4" ht="79.5" customHeight="1" x14ac:dyDescent="0.3">
      <c r="B14" s="21" t="s">
        <v>232</v>
      </c>
      <c r="C14" s="22" t="s">
        <v>233</v>
      </c>
    </row>
    <row r="15" spans="1:4" ht="79.5" customHeight="1" x14ac:dyDescent="0.3">
      <c r="B15" s="21" t="s">
        <v>234</v>
      </c>
      <c r="C15" s="22" t="s">
        <v>235</v>
      </c>
    </row>
    <row r="16" spans="1:4" ht="7.5" customHeight="1" x14ac:dyDescent="0.3"/>
    <row r="17" spans="2:4" ht="24" customHeight="1" x14ac:dyDescent="0.3">
      <c r="B17" s="259" t="s">
        <v>236</v>
      </c>
      <c r="C17" s="259"/>
      <c r="D17" s="259"/>
    </row>
    <row r="18" spans="2:4" ht="79.5" customHeight="1" x14ac:dyDescent="0.3">
      <c r="B18" s="21" t="s">
        <v>237</v>
      </c>
      <c r="C18" s="22" t="s">
        <v>238</v>
      </c>
    </row>
    <row r="19" spans="2:4" ht="79.5" customHeight="1" x14ac:dyDescent="0.3">
      <c r="B19" s="21" t="s">
        <v>239</v>
      </c>
      <c r="C19" s="22" t="s">
        <v>240</v>
      </c>
    </row>
    <row r="20" spans="2:4" ht="7.5" customHeight="1" x14ac:dyDescent="0.3"/>
    <row r="21" spans="2:4" ht="24" customHeight="1" x14ac:dyDescent="0.3">
      <c r="B21" s="260" t="s">
        <v>241</v>
      </c>
      <c r="C21" s="260"/>
      <c r="D21" s="260"/>
    </row>
    <row r="22" spans="2:4" ht="79.5" customHeight="1" x14ac:dyDescent="0.3">
      <c r="B22" s="21" t="s">
        <v>242</v>
      </c>
      <c r="C22" s="22" t="s">
        <v>243</v>
      </c>
    </row>
    <row r="23" spans="2:4" ht="79.5" customHeight="1" x14ac:dyDescent="0.3">
      <c r="B23" s="21" t="s">
        <v>244</v>
      </c>
      <c r="C23" s="22" t="s">
        <v>245</v>
      </c>
    </row>
    <row r="24" spans="2:4" ht="79.5" customHeight="1" x14ac:dyDescent="0.3">
      <c r="B24" s="21" t="s">
        <v>246</v>
      </c>
      <c r="C24" s="22" t="s">
        <v>247</v>
      </c>
    </row>
    <row r="25" spans="2:4" ht="79.5" customHeight="1" x14ac:dyDescent="0.3">
      <c r="B25" s="21" t="s">
        <v>248</v>
      </c>
      <c r="C25" s="22" t="s">
        <v>249</v>
      </c>
    </row>
    <row r="26" spans="2:4" ht="79.5" customHeight="1" x14ac:dyDescent="0.3">
      <c r="B26" s="21" t="s">
        <v>250</v>
      </c>
      <c r="C26" s="22" t="s">
        <v>251</v>
      </c>
    </row>
    <row r="27" spans="2:4" ht="7.5" customHeight="1" x14ac:dyDescent="0.3"/>
    <row r="28" spans="2:4" ht="24" customHeight="1" x14ac:dyDescent="0.3">
      <c r="B28" s="261" t="s">
        <v>252</v>
      </c>
      <c r="C28" s="261"/>
      <c r="D28" s="261"/>
    </row>
    <row r="29" spans="2:4" ht="79.5" customHeight="1" x14ac:dyDescent="0.3">
      <c r="B29" s="21" t="s">
        <v>253</v>
      </c>
      <c r="C29" s="22" t="s">
        <v>254</v>
      </c>
    </row>
    <row r="30" spans="2:4" ht="79.5" customHeight="1" x14ac:dyDescent="0.3">
      <c r="B30" s="21" t="s">
        <v>255</v>
      </c>
      <c r="C30" s="22" t="s">
        <v>256</v>
      </c>
    </row>
    <row r="31" spans="2:4" ht="79.5" customHeight="1" x14ac:dyDescent="0.3">
      <c r="B31" s="21" t="s">
        <v>257</v>
      </c>
      <c r="C31" s="22" t="s">
        <v>258</v>
      </c>
    </row>
    <row r="32" spans="2:4" ht="79.5" customHeight="1" x14ac:dyDescent="0.3">
      <c r="B32" s="21" t="s">
        <v>259</v>
      </c>
      <c r="C32" s="22" t="s">
        <v>260</v>
      </c>
    </row>
    <row r="33" spans="2:3" ht="79.5" customHeight="1" x14ac:dyDescent="0.3">
      <c r="B33" s="21" t="s">
        <v>261</v>
      </c>
      <c r="C33" s="22" t="s">
        <v>262</v>
      </c>
    </row>
    <row r="34" spans="2:3" ht="79.5" customHeight="1" x14ac:dyDescent="0.3">
      <c r="B34" s="21" t="s">
        <v>62</v>
      </c>
      <c r="C34" s="22" t="s">
        <v>263</v>
      </c>
    </row>
    <row r="35" spans="2:3" ht="79.5" customHeight="1" x14ac:dyDescent="0.3">
      <c r="B35" s="21" t="s">
        <v>264</v>
      </c>
      <c r="C35" s="22" t="s">
        <v>265</v>
      </c>
    </row>
    <row r="36" spans="2:3" ht="79.5" customHeight="1" x14ac:dyDescent="0.3">
      <c r="B36" s="21" t="s">
        <v>266</v>
      </c>
      <c r="C36" s="22" t="s">
        <v>267</v>
      </c>
    </row>
  </sheetData>
  <mergeCells count="9">
    <mergeCell ref="B10:D10"/>
    <mergeCell ref="B17:D17"/>
    <mergeCell ref="B21:D21"/>
    <mergeCell ref="B28:D28"/>
    <mergeCell ref="A1:B1"/>
    <mergeCell ref="C1:D1"/>
    <mergeCell ref="A2:D2"/>
    <mergeCell ref="B3:D3"/>
    <mergeCell ref="B6:D6"/>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Y503"/>
  <sheetViews>
    <sheetView showGridLines="0" zoomScaleNormal="100" workbookViewId="0">
      <pane xSplit="2" ySplit="3" topLeftCell="C4" activePane="bottomRight" state="frozen"/>
      <selection pane="topRight" activeCell="AJ1" sqref="AJ1"/>
      <selection pane="bottomLeft" activeCell="A4" sqref="A4"/>
      <selection pane="bottomRight" activeCell="H17" sqref="H17"/>
    </sheetView>
  </sheetViews>
  <sheetFormatPr defaultColWidth="8.6640625" defaultRowHeight="14.4" x14ac:dyDescent="0.3"/>
  <cols>
    <col min="1" max="1" width="10" style="14" customWidth="1"/>
    <col min="2" max="2" width="7" style="14" customWidth="1"/>
    <col min="3" max="3" width="14" style="14" customWidth="1"/>
    <col min="4" max="4" width="16" style="14" customWidth="1"/>
    <col min="5" max="5" width="8" style="14" customWidth="1"/>
    <col min="6" max="6" width="13" style="14" customWidth="1"/>
    <col min="7" max="7" width="24" style="14" customWidth="1"/>
    <col min="8" max="8" width="16" style="14" customWidth="1"/>
    <col min="9" max="9" width="13" style="14" customWidth="1"/>
    <col min="10" max="10" width="11" style="14" customWidth="1"/>
    <col min="11" max="12" width="14" style="14" customWidth="1"/>
    <col min="13" max="13" width="24" style="14" customWidth="1"/>
    <col min="14" max="14" width="22" style="14" customWidth="1"/>
    <col min="15" max="15" width="16" style="14" customWidth="1"/>
    <col min="16" max="17" width="7" style="14" customWidth="1"/>
    <col min="18" max="18" width="18" style="14" customWidth="1"/>
    <col min="19" max="19" width="16" style="14" customWidth="1"/>
    <col min="20" max="20" width="34" style="14" customWidth="1"/>
    <col min="21" max="21" width="32" style="14" customWidth="1"/>
    <col min="22" max="22" width="22" style="14" customWidth="1"/>
    <col min="23" max="23" width="18" style="14" customWidth="1"/>
    <col min="24" max="24" width="26" style="14" customWidth="1"/>
    <col min="25" max="25" width="18" style="14" customWidth="1"/>
    <col min="26" max="26" width="16" style="14" customWidth="1"/>
    <col min="27" max="27" width="12" style="14" customWidth="1"/>
    <col min="28" max="29" width="13" style="14" customWidth="1"/>
    <col min="30" max="30" width="10" style="14" customWidth="1"/>
    <col min="31" max="31" width="20" style="14" customWidth="1"/>
    <col min="32" max="32" width="18" style="14" customWidth="1"/>
    <col min="33" max="33" width="22" style="14" customWidth="1"/>
    <col min="34" max="34" width="10" style="14" customWidth="1"/>
    <col min="35" max="35" width="12" style="14" customWidth="1"/>
    <col min="36" max="36" width="34" style="14" customWidth="1"/>
    <col min="37" max="37" width="28" style="14" customWidth="1"/>
    <col min="38" max="38" width="14" style="14" customWidth="1"/>
    <col min="39" max="39" width="20" style="14" customWidth="1"/>
    <col min="40" max="40" width="16" style="14" customWidth="1"/>
    <col min="41" max="41" width="10" style="14" customWidth="1"/>
    <col min="42" max="42" width="14" style="14" customWidth="1"/>
    <col min="43" max="43" width="32" style="14" customWidth="1"/>
    <col min="44" max="44" width="11" style="14" customWidth="1"/>
    <col min="45" max="45" width="16" style="14" customWidth="1"/>
    <col min="46" max="47" width="18" customWidth="1"/>
    <col min="48" max="49" width="16" customWidth="1"/>
    <col min="50" max="50" width="20" customWidth="1"/>
    <col min="51" max="51" width="38" customWidth="1"/>
  </cols>
  <sheetData>
    <row r="1" spans="1:51" ht="24" customHeight="1" x14ac:dyDescent="0.3">
      <c r="A1" s="264" t="s">
        <v>669</v>
      </c>
      <c r="B1" s="264"/>
      <c r="C1" s="264"/>
      <c r="D1" s="264"/>
      <c r="E1" s="264"/>
      <c r="F1" s="264"/>
      <c r="G1" s="264"/>
      <c r="H1" s="264"/>
      <c r="I1" s="264"/>
      <c r="J1" s="264"/>
      <c r="K1" s="264"/>
      <c r="L1" s="264"/>
      <c r="M1" s="264"/>
      <c r="N1" s="264"/>
      <c r="O1" s="264"/>
      <c r="P1" s="264"/>
      <c r="Q1" s="264"/>
      <c r="R1" s="264"/>
      <c r="S1" s="264"/>
      <c r="T1" s="264"/>
      <c r="U1" s="264"/>
      <c r="V1" s="264"/>
      <c r="W1" s="264"/>
      <c r="X1" s="264"/>
      <c r="Y1" s="264"/>
      <c r="Z1" s="264"/>
      <c r="AA1" s="264"/>
      <c r="AB1" s="264"/>
      <c r="AC1" s="264"/>
      <c r="AD1" s="264"/>
      <c r="AE1" s="264"/>
      <c r="AF1" s="264"/>
      <c r="AG1" s="264"/>
      <c r="AH1" s="264"/>
      <c r="AI1" s="264"/>
      <c r="AJ1" s="264"/>
      <c r="AK1" s="264"/>
      <c r="AL1" s="264"/>
      <c r="AM1" s="264"/>
      <c r="AN1" s="264"/>
      <c r="AO1" s="264"/>
      <c r="AP1" s="264"/>
      <c r="AQ1" s="264"/>
      <c r="AR1" s="264"/>
      <c r="AS1" s="264"/>
      <c r="AT1" s="264"/>
      <c r="AU1" s="264"/>
      <c r="AV1" s="264"/>
      <c r="AW1" s="264"/>
      <c r="AX1" s="264"/>
      <c r="AY1" s="264"/>
    </row>
    <row r="2" spans="1:51" ht="18" customHeight="1" x14ac:dyDescent="0.3">
      <c r="A2" s="265" t="s">
        <v>670</v>
      </c>
      <c r="B2" s="265"/>
      <c r="C2" s="265"/>
      <c r="D2" s="265"/>
      <c r="E2" s="265"/>
      <c r="F2" s="265"/>
      <c r="G2" s="265"/>
      <c r="H2" s="265"/>
      <c r="I2" s="266" t="s">
        <v>671</v>
      </c>
      <c r="J2" s="266"/>
      <c r="K2" s="266"/>
      <c r="L2" s="267" t="s">
        <v>672</v>
      </c>
      <c r="M2" s="267"/>
      <c r="N2" s="267"/>
      <c r="O2" s="267"/>
      <c r="P2" s="267"/>
      <c r="Q2" s="267"/>
      <c r="R2" s="268" t="s">
        <v>673</v>
      </c>
      <c r="S2" s="268"/>
      <c r="T2" s="269" t="s">
        <v>674</v>
      </c>
      <c r="U2" s="269"/>
      <c r="V2" s="269"/>
      <c r="W2" s="270" t="s">
        <v>675</v>
      </c>
      <c r="X2" s="270"/>
      <c r="Y2" s="270"/>
      <c r="Z2" s="270"/>
      <c r="AA2" s="270"/>
      <c r="AB2" s="270"/>
      <c r="AC2" s="270"/>
      <c r="AD2" s="271" t="s">
        <v>676</v>
      </c>
      <c r="AE2" s="271"/>
      <c r="AF2" s="271"/>
      <c r="AG2" s="271"/>
      <c r="AH2" s="271"/>
      <c r="AI2" s="271"/>
      <c r="AJ2" s="272" t="s">
        <v>677</v>
      </c>
      <c r="AK2" s="272"/>
      <c r="AL2" s="272"/>
      <c r="AM2" s="272"/>
      <c r="AN2" s="272"/>
      <c r="AO2" s="272" t="s">
        <v>678</v>
      </c>
      <c r="AP2" s="272"/>
      <c r="AQ2" s="272"/>
      <c r="AR2" s="272"/>
      <c r="AS2" s="272"/>
      <c r="AT2" s="273" t="s">
        <v>679</v>
      </c>
      <c r="AU2" s="273"/>
      <c r="AV2" s="273"/>
      <c r="AW2" s="273"/>
      <c r="AX2" s="273"/>
      <c r="AY2" s="273"/>
    </row>
    <row r="3" spans="1:51" ht="36" customHeight="1" x14ac:dyDescent="0.3">
      <c r="A3" s="23" t="s">
        <v>680</v>
      </c>
      <c r="B3" s="23" t="s">
        <v>681</v>
      </c>
      <c r="C3" s="23" t="s">
        <v>682</v>
      </c>
      <c r="D3" s="23" t="s">
        <v>683</v>
      </c>
      <c r="E3" s="23" t="s">
        <v>684</v>
      </c>
      <c r="F3" s="23" t="s">
        <v>685</v>
      </c>
      <c r="G3" s="23" t="s">
        <v>686</v>
      </c>
      <c r="H3" s="23" t="s">
        <v>687</v>
      </c>
      <c r="I3" s="23" t="s">
        <v>688</v>
      </c>
      <c r="J3" s="57" t="s">
        <v>689</v>
      </c>
      <c r="K3" s="57" t="s">
        <v>690</v>
      </c>
      <c r="L3" s="23" t="s">
        <v>691</v>
      </c>
      <c r="M3" s="23" t="s">
        <v>692</v>
      </c>
      <c r="N3" s="23" t="s">
        <v>693</v>
      </c>
      <c r="O3" s="23" t="s">
        <v>694</v>
      </c>
      <c r="P3" s="57" t="s">
        <v>695</v>
      </c>
      <c r="Q3" s="57" t="s">
        <v>696</v>
      </c>
      <c r="R3" s="23" t="s">
        <v>697</v>
      </c>
      <c r="S3" s="23" t="s">
        <v>698</v>
      </c>
      <c r="T3" s="23" t="s">
        <v>699</v>
      </c>
      <c r="U3" s="23" t="s">
        <v>700</v>
      </c>
      <c r="V3" s="23" t="s">
        <v>701</v>
      </c>
      <c r="W3" s="23" t="s">
        <v>702</v>
      </c>
      <c r="X3" s="23" t="s">
        <v>703</v>
      </c>
      <c r="Y3" s="23" t="s">
        <v>704</v>
      </c>
      <c r="Z3" s="57" t="s">
        <v>705</v>
      </c>
      <c r="AA3" s="57" t="s">
        <v>706</v>
      </c>
      <c r="AB3" s="57" t="s">
        <v>707</v>
      </c>
      <c r="AC3" s="57" t="s">
        <v>708</v>
      </c>
      <c r="AD3" s="23" t="s">
        <v>709</v>
      </c>
      <c r="AE3" s="23" t="s">
        <v>710</v>
      </c>
      <c r="AF3" s="23" t="s">
        <v>711</v>
      </c>
      <c r="AG3" s="23" t="s">
        <v>712</v>
      </c>
      <c r="AH3" s="23" t="s">
        <v>713</v>
      </c>
      <c r="AI3" s="23" t="s">
        <v>270</v>
      </c>
      <c r="AJ3" s="23" t="s">
        <v>714</v>
      </c>
      <c r="AK3" s="23" t="s">
        <v>715</v>
      </c>
      <c r="AL3" s="57" t="s">
        <v>716</v>
      </c>
      <c r="AM3" s="23" t="s">
        <v>717</v>
      </c>
      <c r="AN3" s="57" t="s">
        <v>718</v>
      </c>
      <c r="AO3" s="23" t="s">
        <v>719</v>
      </c>
      <c r="AP3" s="23" t="s">
        <v>720</v>
      </c>
      <c r="AQ3" s="57" t="s">
        <v>721</v>
      </c>
      <c r="AR3" s="57" t="s">
        <v>722</v>
      </c>
      <c r="AS3" s="57" t="s">
        <v>723</v>
      </c>
      <c r="AT3" s="58" t="s">
        <v>724</v>
      </c>
      <c r="AU3" s="58" t="s">
        <v>725</v>
      </c>
      <c r="AV3" s="58" t="s">
        <v>726</v>
      </c>
      <c r="AW3" s="58" t="s">
        <v>281</v>
      </c>
      <c r="AX3" s="58" t="s">
        <v>727</v>
      </c>
      <c r="AY3" s="58" t="s">
        <v>284</v>
      </c>
    </row>
    <row r="4" spans="1:51" ht="15" customHeight="1" x14ac:dyDescent="0.3">
      <c r="A4" s="59" t="s">
        <v>728</v>
      </c>
      <c r="B4" s="59" t="s">
        <v>729</v>
      </c>
      <c r="C4" s="59" t="s">
        <v>730</v>
      </c>
      <c r="D4" s="59" t="s">
        <v>731</v>
      </c>
      <c r="E4" s="59" t="s">
        <v>732</v>
      </c>
      <c r="F4" s="60">
        <v>25302</v>
      </c>
      <c r="G4" s="59" t="s">
        <v>733</v>
      </c>
      <c r="H4" s="59" t="s">
        <v>734</v>
      </c>
      <c r="I4" s="60">
        <v>43300</v>
      </c>
      <c r="J4" s="61">
        <f t="shared" ref="J4:J67" ca="1" si="0">IFERROR(DATEDIF(I4,TODAY(),"Y"),0)</f>
        <v>7</v>
      </c>
      <c r="K4" s="62">
        <f t="shared" ref="K4:K67" si="1">IFERROR(DATE(YEAR(F4)+60,MONTH(F4),DAY(F4)),"")</f>
        <v>47217</v>
      </c>
      <c r="L4" s="59" t="s">
        <v>735</v>
      </c>
      <c r="M4" s="59" t="s">
        <v>736</v>
      </c>
      <c r="N4" s="59" t="s">
        <v>737</v>
      </c>
      <c r="O4" s="63">
        <v>25</v>
      </c>
      <c r="P4" s="61">
        <f>IFERROR(SUMPRODUCT((LK_GradeDerivation!$A$4:$A$135=N4)*(IF(O4="",0,O4)&gt;=LK_GradeDerivation!$B$4:$B$135)*(IF(O4="",0,O4)&lt;=LK_GradeDerivation!$C$4:$C$135)*LK_GradeDerivation!$D$4:$D$135),1)</f>
        <v>4</v>
      </c>
      <c r="Q4" s="61">
        <f>IFERROR(SUMPRODUCT((LK_GradeDerivation!$A$4:$A$135=N4)*(IF(O4="",0,O4)&gt;=LK_GradeDerivation!$B$4:$B$135)*(IF(O4="",0,O4)&lt;=LK_GradeDerivation!$C$4:$C$135)*LK_GradeDerivation!$E$4:$E$135),1)</f>
        <v>13</v>
      </c>
      <c r="R4" s="59" t="s">
        <v>738</v>
      </c>
      <c r="S4" s="59" t="s">
        <v>739</v>
      </c>
      <c r="T4" s="59" t="s">
        <v>740</v>
      </c>
      <c r="U4" s="59" t="s">
        <v>741</v>
      </c>
      <c r="V4" s="59" t="s">
        <v>742</v>
      </c>
      <c r="W4" s="59" t="s">
        <v>285</v>
      </c>
      <c r="X4" s="59" t="s">
        <v>544</v>
      </c>
      <c r="Y4" s="59" t="s">
        <v>546</v>
      </c>
      <c r="Z4" s="64" t="str">
        <f>IFERROR(VLOOKUP(T4,LK_OrgMaster!$B$4:$H$89,5,FALSE()),"Administration")</f>
        <v>Teacher</v>
      </c>
      <c r="AA4" s="65" t="str">
        <f>IFERROR(VLOOKUP(X4,LK_LocationMaster!$D$4:$G$157,4,FALSE()),"No")</f>
        <v>Yes</v>
      </c>
      <c r="AB4" s="65" t="str">
        <f t="shared" ref="AB4:AB67" si="2">IF(W4="Foreign / International","Yes","No")</f>
        <v>No</v>
      </c>
      <c r="AC4" s="65" t="str">
        <f>IFERROR(VLOOKUP(X4,LK_LocationMaster!$D$4:$H$157,5,FALSE()),"No")</f>
        <v>Yes</v>
      </c>
      <c r="AD4" s="59" t="s">
        <v>743</v>
      </c>
      <c r="AE4" s="59" t="s">
        <v>744</v>
      </c>
      <c r="AF4" s="59" t="s">
        <v>745</v>
      </c>
      <c r="AG4" s="59" t="s">
        <v>312</v>
      </c>
      <c r="AH4" s="59" t="s">
        <v>746</v>
      </c>
      <c r="AI4" s="59" t="s">
        <v>285</v>
      </c>
      <c r="AJ4" s="59" t="s">
        <v>747</v>
      </c>
      <c r="AK4" s="59" t="s">
        <v>748</v>
      </c>
      <c r="AL4" s="64" t="str">
        <f>IFERROR(INDEX(LK_BankMaster!$D$4:$D$23,MATCH(AJ4&amp;"|"&amp;AK4,LK_BankMaster!$H$4:$H$23,0)),"")</f>
        <v/>
      </c>
      <c r="AM4" s="59" t="s">
        <v>749</v>
      </c>
      <c r="AN4" s="64" t="str">
        <f>IFERROR(VLOOKUP(AJ4,LK_BankMaster!$A$4:$E$23,5,FALSE()),"")</f>
        <v/>
      </c>
      <c r="AO4" s="59" t="s">
        <v>314</v>
      </c>
      <c r="AP4" s="66">
        <v>2</v>
      </c>
      <c r="AQ4" s="64" t="str">
        <f t="shared" ref="AQ4:AQ67" si="3">IF(ISNUMBER(SEARCH("Deputy Minister",M4)),"Position Allowance - Deputy Minister",IF(AND(ISNUMBER(SEARCH("Minister",M4)),NOT(ISNUMBER(SEARCH("Deputy",M4)))),"Position Allowance - Minister",IF(ISNUMBER(SEARCH("Deputy Director",M4)),"Position Allowance - Deputy Director",IF(AND(ISNUMBER(SEARCH("Director",M4)),NOT(ISNUMBER(SEARCH("Deputy",M4)))),"Position Allowance - Director",IF(ISNUMBER(SEARCH("Division Chief",M4)),"Position Allowance - Division Chief",IF(ISNUMBER(SEARCH("Section Chief",M4)),"Position Allowance - Section Chief","Position Allowance - General Staff"))))))</f>
        <v>Position Allowance - General Staff</v>
      </c>
      <c r="AR4" s="65" t="str">
        <f>IFERROR(VLOOKUP(T4,LK_OrgMaster!$B$4:$G$89,6,FALSE()),"No")</f>
        <v>No</v>
      </c>
      <c r="AS4" s="64" t="str">
        <f>IFERROR(VLOOKUP(T4,LK_OrgMaster!$B$4:$H$89,7,FALSE()),"None")</f>
        <v>Teaching</v>
      </c>
      <c r="AT4" s="67">
        <v>43300</v>
      </c>
      <c r="AU4" s="67"/>
      <c r="AV4" s="67">
        <v>43300</v>
      </c>
      <c r="AW4" s="67">
        <v>46023</v>
      </c>
      <c r="AX4" s="68" t="s">
        <v>750</v>
      </c>
      <c r="AY4" s="69" t="s">
        <v>6260</v>
      </c>
    </row>
    <row r="5" spans="1:51" ht="15" customHeight="1" x14ac:dyDescent="0.3">
      <c r="A5" s="59" t="s">
        <v>751</v>
      </c>
      <c r="B5" s="59" t="s">
        <v>752</v>
      </c>
      <c r="C5" s="59" t="s">
        <v>753</v>
      </c>
      <c r="D5" s="59" t="s">
        <v>754</v>
      </c>
      <c r="E5" s="59" t="s">
        <v>732</v>
      </c>
      <c r="F5" s="60">
        <v>33143</v>
      </c>
      <c r="G5" s="59" t="s">
        <v>755</v>
      </c>
      <c r="H5" s="59" t="s">
        <v>756</v>
      </c>
      <c r="I5" s="60">
        <v>32641</v>
      </c>
      <c r="J5" s="61">
        <f t="shared" ca="1" si="0"/>
        <v>36</v>
      </c>
      <c r="K5" s="62">
        <f t="shared" si="1"/>
        <v>55058</v>
      </c>
      <c r="L5" s="59" t="s">
        <v>735</v>
      </c>
      <c r="M5" s="59" t="s">
        <v>757</v>
      </c>
      <c r="N5" s="59" t="s">
        <v>758</v>
      </c>
      <c r="O5" s="63">
        <v>0</v>
      </c>
      <c r="P5" s="61">
        <f>IFERROR(SUMPRODUCT((LK_GradeDerivation!$A$4:$A$135=N5)*(IF(O5="",0,O5)&gt;=LK_GradeDerivation!$B$4:$B$135)*(IF(O5="",0,O5)&lt;=LK_GradeDerivation!$C$4:$C$135)*LK_GradeDerivation!$D$4:$D$135),1)</f>
        <v>5</v>
      </c>
      <c r="Q5" s="61">
        <f>IFERROR(SUMPRODUCT((LK_GradeDerivation!$A$4:$A$135=N5)*(IF(O5="",0,O5)&gt;=LK_GradeDerivation!$B$4:$B$135)*(IF(O5="",0,O5)&lt;=LK_GradeDerivation!$C$4:$C$135)*LK_GradeDerivation!$E$4:$E$135),1)</f>
        <v>1</v>
      </c>
      <c r="R5" s="59" t="s">
        <v>759</v>
      </c>
      <c r="S5" s="59" t="s">
        <v>760</v>
      </c>
      <c r="T5" s="59" t="s">
        <v>761</v>
      </c>
      <c r="U5" s="59" t="s">
        <v>762</v>
      </c>
      <c r="V5" s="59" t="s">
        <v>763</v>
      </c>
      <c r="W5" s="59" t="s">
        <v>285</v>
      </c>
      <c r="X5" s="59" t="s">
        <v>288</v>
      </c>
      <c r="Y5" s="59" t="s">
        <v>290</v>
      </c>
      <c r="Z5" s="64" t="str">
        <f>IFERROR(VLOOKUP(T5,LK_OrgMaster!$B$4:$H$89,5,FALSE()),"Administration")</f>
        <v>Administration</v>
      </c>
      <c r="AA5" s="65" t="str">
        <f>IFERROR(VLOOKUP(X5,LK_LocationMaster!$D$4:$G$157,4,FALSE()),"No")</f>
        <v>No</v>
      </c>
      <c r="AB5" s="65" t="str">
        <f t="shared" si="2"/>
        <v>No</v>
      </c>
      <c r="AC5" s="65" t="str">
        <f>IFERROR(VLOOKUP(X5,LK_LocationMaster!$D$4:$H$157,5,FALSE()),"No")</f>
        <v>No</v>
      </c>
      <c r="AD5" s="59" t="s">
        <v>764</v>
      </c>
      <c r="AE5" s="59" t="s">
        <v>765</v>
      </c>
      <c r="AF5" s="59" t="s">
        <v>766</v>
      </c>
      <c r="AG5" s="59" t="s">
        <v>408</v>
      </c>
      <c r="AH5" s="59" t="s">
        <v>767</v>
      </c>
      <c r="AI5" s="59" t="s">
        <v>285</v>
      </c>
      <c r="AJ5" s="59" t="s">
        <v>768</v>
      </c>
      <c r="AK5" s="59" t="s">
        <v>769</v>
      </c>
      <c r="AL5" s="64" t="str">
        <f>IFERROR(INDEX(LK_BankMaster!$D$4:$D$23,MATCH(AJ5&amp;"|"&amp;AK5,LK_BankMaster!$H$4:$H$23,0)),"")</f>
        <v/>
      </c>
      <c r="AM5" s="59" t="s">
        <v>770</v>
      </c>
      <c r="AN5" s="64" t="str">
        <f>IFERROR(VLOOKUP(AJ5,LK_BankMaster!$A$4:$E$23,5,FALSE()),"")</f>
        <v/>
      </c>
      <c r="AO5" s="59" t="s">
        <v>314</v>
      </c>
      <c r="AP5" s="66">
        <v>3</v>
      </c>
      <c r="AQ5" s="64" t="str">
        <f t="shared" si="3"/>
        <v>Position Allowance - General Staff</v>
      </c>
      <c r="AR5" s="65" t="str">
        <f>IFERROR(VLOOKUP(T5,LK_OrgMaster!$B$4:$G$89,6,FALSE()),"No")</f>
        <v>Yes</v>
      </c>
      <c r="AS5" s="64" t="str">
        <f>IFERROR(VLOOKUP(T5,LK_OrgMaster!$B$4:$H$89,7,FALSE()),"None")</f>
        <v>None</v>
      </c>
      <c r="AT5" s="70">
        <v>32641</v>
      </c>
      <c r="AU5" s="70"/>
      <c r="AV5" s="70">
        <v>32641</v>
      </c>
      <c r="AW5" s="70">
        <v>46023</v>
      </c>
      <c r="AX5" s="71" t="s">
        <v>750</v>
      </c>
      <c r="AY5" s="72" t="s">
        <v>6260</v>
      </c>
    </row>
    <row r="6" spans="1:51" ht="15" customHeight="1" x14ac:dyDescent="0.3">
      <c r="A6" s="59" t="s">
        <v>771</v>
      </c>
      <c r="B6" s="59" t="s">
        <v>772</v>
      </c>
      <c r="C6" s="59" t="s">
        <v>773</v>
      </c>
      <c r="D6" s="59" t="s">
        <v>774</v>
      </c>
      <c r="E6" s="59" t="s">
        <v>775</v>
      </c>
      <c r="F6" s="60">
        <v>29953</v>
      </c>
      <c r="G6" s="59" t="s">
        <v>776</v>
      </c>
      <c r="H6" s="59" t="s">
        <v>777</v>
      </c>
      <c r="I6" s="60">
        <v>40638</v>
      </c>
      <c r="J6" s="61">
        <f t="shared" ca="1" si="0"/>
        <v>14</v>
      </c>
      <c r="K6" s="62">
        <f t="shared" si="1"/>
        <v>51868</v>
      </c>
      <c r="L6" s="59" t="s">
        <v>735</v>
      </c>
      <c r="M6" s="59" t="s">
        <v>778</v>
      </c>
      <c r="N6" s="59" t="s">
        <v>779</v>
      </c>
      <c r="O6" s="63">
        <v>11</v>
      </c>
      <c r="P6" s="61">
        <f>IFERROR(SUMPRODUCT((LK_GradeDerivation!$A$4:$A$135=N6)*(IF(O6="",0,O6)&gt;=LK_GradeDerivation!$B$4:$B$135)*(IF(O6="",0,O6)&lt;=LK_GradeDerivation!$C$4:$C$135)*LK_GradeDerivation!$D$4:$D$135),1)</f>
        <v>2</v>
      </c>
      <c r="Q6" s="61">
        <f>IFERROR(SUMPRODUCT((LK_GradeDerivation!$A$4:$A$135=N6)*(IF(O6="",0,O6)&gt;=LK_GradeDerivation!$B$4:$B$135)*(IF(O6="",0,O6)&lt;=LK_GradeDerivation!$C$4:$C$135)*LK_GradeDerivation!$E$4:$E$135),1)</f>
        <v>6</v>
      </c>
      <c r="R6" s="59" t="s">
        <v>780</v>
      </c>
      <c r="S6" s="59" t="s">
        <v>781</v>
      </c>
      <c r="T6" s="59" t="s">
        <v>782</v>
      </c>
      <c r="U6" s="59" t="s">
        <v>783</v>
      </c>
      <c r="V6" s="59" t="s">
        <v>784</v>
      </c>
      <c r="W6" s="59" t="s">
        <v>285</v>
      </c>
      <c r="X6" s="59" t="s">
        <v>554</v>
      </c>
      <c r="Y6" s="59" t="s">
        <v>573</v>
      </c>
      <c r="Z6" s="64" t="str">
        <f>IFERROR(VLOOKUP(T6,LK_OrgMaster!$B$4:$H$89,5,FALSE()),"Administration")</f>
        <v>Medical</v>
      </c>
      <c r="AA6" s="65" t="str">
        <f>IFERROR(VLOOKUP(X6,LK_LocationMaster!$D$4:$G$157,4,FALSE()),"No")</f>
        <v>No</v>
      </c>
      <c r="AB6" s="65" t="str">
        <f t="shared" si="2"/>
        <v>No</v>
      </c>
      <c r="AC6" s="65" t="str">
        <f>IFERROR(VLOOKUP(X6,LK_LocationMaster!$D$4:$H$157,5,FALSE()),"No")</f>
        <v>No</v>
      </c>
      <c r="AD6" s="59" t="s">
        <v>785</v>
      </c>
      <c r="AE6" s="59" t="s">
        <v>765</v>
      </c>
      <c r="AF6" s="59" t="s">
        <v>786</v>
      </c>
      <c r="AG6" s="59" t="s">
        <v>391</v>
      </c>
      <c r="AH6" s="59" t="s">
        <v>787</v>
      </c>
      <c r="AI6" s="59" t="s">
        <v>285</v>
      </c>
      <c r="AJ6" s="59" t="s">
        <v>788</v>
      </c>
      <c r="AK6" s="59" t="s">
        <v>789</v>
      </c>
      <c r="AL6" s="64" t="str">
        <f>IFERROR(INDEX(LK_BankMaster!$D$4:$D$23,MATCH(AJ6&amp;"|"&amp;AK6,LK_BankMaster!$H$4:$H$23,0)),"")</f>
        <v/>
      </c>
      <c r="AM6" s="59" t="s">
        <v>790</v>
      </c>
      <c r="AN6" s="64" t="str">
        <f>IFERROR(VLOOKUP(AJ6,LK_BankMaster!$A$4:$E$23,5,FALSE()),"")</f>
        <v/>
      </c>
      <c r="AO6" s="59" t="s">
        <v>291</v>
      </c>
      <c r="AP6" s="66">
        <v>0</v>
      </c>
      <c r="AQ6" s="64" t="str">
        <f t="shared" si="3"/>
        <v>Position Allowance - General Staff</v>
      </c>
      <c r="AR6" s="65" t="str">
        <f>IFERROR(VLOOKUP(T6,LK_OrgMaster!$B$4:$G$89,6,FALSE()),"No")</f>
        <v>No</v>
      </c>
      <c r="AS6" s="64" t="str">
        <f>IFERROR(VLOOKUP(T6,LK_OrgMaster!$B$4:$H$89,7,FALSE()),"None")</f>
        <v>Medical</v>
      </c>
      <c r="AT6" s="67">
        <v>40638</v>
      </c>
      <c r="AU6" s="67"/>
      <c r="AV6" s="67">
        <v>40638</v>
      </c>
      <c r="AW6" s="67">
        <v>46023</v>
      </c>
      <c r="AX6" s="68" t="s">
        <v>750</v>
      </c>
      <c r="AY6" s="69" t="s">
        <v>6260</v>
      </c>
    </row>
    <row r="7" spans="1:51" ht="15" customHeight="1" x14ac:dyDescent="0.3">
      <c r="A7" s="59" t="s">
        <v>791</v>
      </c>
      <c r="B7" s="59" t="s">
        <v>772</v>
      </c>
      <c r="C7" s="59" t="s">
        <v>792</v>
      </c>
      <c r="D7" s="59" t="s">
        <v>793</v>
      </c>
      <c r="E7" s="59" t="s">
        <v>775</v>
      </c>
      <c r="F7" s="60">
        <v>31646</v>
      </c>
      <c r="G7" s="59" t="s">
        <v>794</v>
      </c>
      <c r="H7" s="59" t="s">
        <v>795</v>
      </c>
      <c r="I7" s="60">
        <v>43317</v>
      </c>
      <c r="J7" s="61">
        <f t="shared" ca="1" si="0"/>
        <v>7</v>
      </c>
      <c r="K7" s="62">
        <f t="shared" si="1"/>
        <v>53561</v>
      </c>
      <c r="L7" s="59" t="s">
        <v>735</v>
      </c>
      <c r="M7" s="59" t="s">
        <v>796</v>
      </c>
      <c r="N7" s="59" t="s">
        <v>737</v>
      </c>
      <c r="O7" s="63">
        <v>9</v>
      </c>
      <c r="P7" s="61">
        <f>IFERROR(SUMPRODUCT((LK_GradeDerivation!$A$4:$A$135=N7)*(IF(O7="",0,O7)&gt;=LK_GradeDerivation!$B$4:$B$135)*(IF(O7="",0,O7)&lt;=LK_GradeDerivation!$C$4:$C$135)*LK_GradeDerivation!$D$4:$D$135),1)</f>
        <v>4</v>
      </c>
      <c r="Q7" s="61">
        <f>IFERROR(SUMPRODUCT((LK_GradeDerivation!$A$4:$A$135=N7)*(IF(O7="",0,O7)&gt;=LK_GradeDerivation!$B$4:$B$135)*(IF(O7="",0,O7)&lt;=LK_GradeDerivation!$C$4:$C$135)*LK_GradeDerivation!$E$4:$E$135),1)</f>
        <v>5</v>
      </c>
      <c r="R7" s="59" t="s">
        <v>797</v>
      </c>
      <c r="S7" s="59" t="s">
        <v>798</v>
      </c>
      <c r="T7" s="59" t="s">
        <v>740</v>
      </c>
      <c r="U7" s="59" t="s">
        <v>741</v>
      </c>
      <c r="V7" s="59" t="s">
        <v>763</v>
      </c>
      <c r="W7" s="59" t="s">
        <v>285</v>
      </c>
      <c r="X7" s="59" t="s">
        <v>587</v>
      </c>
      <c r="Y7" s="59" t="s">
        <v>597</v>
      </c>
      <c r="Z7" s="64" t="str">
        <f>IFERROR(VLOOKUP(T7,LK_OrgMaster!$B$4:$H$89,5,FALSE()),"Administration")</f>
        <v>Teacher</v>
      </c>
      <c r="AA7" s="65" t="str">
        <f>IFERROR(VLOOKUP(X7,LK_LocationMaster!$D$4:$G$157,4,FALSE()),"No")</f>
        <v>Yes</v>
      </c>
      <c r="AB7" s="65" t="str">
        <f t="shared" si="2"/>
        <v>No</v>
      </c>
      <c r="AC7" s="65" t="str">
        <f>IFERROR(VLOOKUP(X7,LK_LocationMaster!$D$4:$H$157,5,FALSE()),"No")</f>
        <v>Yes</v>
      </c>
      <c r="AD7" s="59" t="s">
        <v>799</v>
      </c>
      <c r="AE7" s="59" t="s">
        <v>800</v>
      </c>
      <c r="AF7" s="59" t="s">
        <v>801</v>
      </c>
      <c r="AG7" s="59" t="s">
        <v>408</v>
      </c>
      <c r="AH7" s="59" t="s">
        <v>802</v>
      </c>
      <c r="AI7" s="59" t="s">
        <v>285</v>
      </c>
      <c r="AJ7" s="59" t="s">
        <v>768</v>
      </c>
      <c r="AK7" s="59" t="s">
        <v>803</v>
      </c>
      <c r="AL7" s="64" t="str">
        <f>IFERROR(INDEX(LK_BankMaster!$D$4:$D$23,MATCH(AJ7&amp;"|"&amp;AK7,LK_BankMaster!$H$4:$H$23,0)),"")</f>
        <v/>
      </c>
      <c r="AM7" s="59" t="s">
        <v>804</v>
      </c>
      <c r="AN7" s="64" t="str">
        <f>IFERROR(VLOOKUP(AJ7,LK_BankMaster!$A$4:$E$23,5,FALSE()),"")</f>
        <v/>
      </c>
      <c r="AO7" s="59" t="s">
        <v>291</v>
      </c>
      <c r="AP7" s="66">
        <v>0</v>
      </c>
      <c r="AQ7" s="64" t="str">
        <f t="shared" si="3"/>
        <v>Position Allowance - General Staff</v>
      </c>
      <c r="AR7" s="65" t="str">
        <f>IFERROR(VLOOKUP(T7,LK_OrgMaster!$B$4:$G$89,6,FALSE()),"No")</f>
        <v>No</v>
      </c>
      <c r="AS7" s="64" t="str">
        <f>IFERROR(VLOOKUP(T7,LK_OrgMaster!$B$4:$H$89,7,FALSE()),"None")</f>
        <v>Teaching</v>
      </c>
      <c r="AT7" s="70">
        <v>43317</v>
      </c>
      <c r="AU7" s="70"/>
      <c r="AV7" s="70">
        <v>43317</v>
      </c>
      <c r="AW7" s="70">
        <v>46023</v>
      </c>
      <c r="AX7" s="71" t="s">
        <v>750</v>
      </c>
      <c r="AY7" s="72" t="s">
        <v>6260</v>
      </c>
    </row>
    <row r="8" spans="1:51" ht="15" customHeight="1" x14ac:dyDescent="0.3">
      <c r="A8" s="59" t="s">
        <v>805</v>
      </c>
      <c r="B8" s="59" t="s">
        <v>729</v>
      </c>
      <c r="C8" s="59" t="s">
        <v>806</v>
      </c>
      <c r="D8" s="59" t="s">
        <v>807</v>
      </c>
      <c r="E8" s="59" t="s">
        <v>732</v>
      </c>
      <c r="F8" s="60">
        <v>30485</v>
      </c>
      <c r="G8" s="59" t="s">
        <v>808</v>
      </c>
      <c r="H8" s="59" t="s">
        <v>809</v>
      </c>
      <c r="I8" s="60">
        <v>40309</v>
      </c>
      <c r="J8" s="61">
        <f t="shared" ca="1" si="0"/>
        <v>15</v>
      </c>
      <c r="K8" s="62">
        <f t="shared" si="1"/>
        <v>52400</v>
      </c>
      <c r="L8" s="59" t="s">
        <v>735</v>
      </c>
      <c r="M8" s="59" t="s">
        <v>810</v>
      </c>
      <c r="N8" s="59" t="s">
        <v>779</v>
      </c>
      <c r="O8" s="63">
        <v>8</v>
      </c>
      <c r="P8" s="61">
        <f>IFERROR(SUMPRODUCT((LK_GradeDerivation!$A$4:$A$135=N8)*(IF(O8="",0,O8)&gt;=LK_GradeDerivation!$B$4:$B$135)*(IF(O8="",0,O8)&lt;=LK_GradeDerivation!$C$4:$C$135)*LK_GradeDerivation!$D$4:$D$135),1)</f>
        <v>2</v>
      </c>
      <c r="Q8" s="61">
        <f>IFERROR(SUMPRODUCT((LK_GradeDerivation!$A$4:$A$135=N8)*(IF(O8="",0,O8)&gt;=LK_GradeDerivation!$B$4:$B$135)*(IF(O8="",0,O8)&lt;=LK_GradeDerivation!$C$4:$C$135)*LK_GradeDerivation!$E$4:$E$135),1)</f>
        <v>5</v>
      </c>
      <c r="R8" s="59" t="s">
        <v>811</v>
      </c>
      <c r="S8" s="59" t="s">
        <v>812</v>
      </c>
      <c r="T8" s="59" t="s">
        <v>782</v>
      </c>
      <c r="U8" s="59" t="s">
        <v>813</v>
      </c>
      <c r="V8" s="59" t="s">
        <v>814</v>
      </c>
      <c r="W8" s="59" t="s">
        <v>285</v>
      </c>
      <c r="X8" s="59" t="s">
        <v>356</v>
      </c>
      <c r="Y8" s="59" t="s">
        <v>360</v>
      </c>
      <c r="Z8" s="64" t="str">
        <f>IFERROR(VLOOKUP(T8,LK_OrgMaster!$B$4:$H$89,5,FALSE()),"Administration")</f>
        <v>Medical</v>
      </c>
      <c r="AA8" s="65" t="str">
        <f>IFERROR(VLOOKUP(X8,LK_LocationMaster!$D$4:$G$157,4,FALSE()),"No")</f>
        <v>Yes</v>
      </c>
      <c r="AB8" s="65" t="str">
        <f t="shared" si="2"/>
        <v>No</v>
      </c>
      <c r="AC8" s="65" t="str">
        <f>IFERROR(VLOOKUP(X8,LK_LocationMaster!$D$4:$H$157,5,FALSE()),"No")</f>
        <v>No</v>
      </c>
      <c r="AD8" s="59" t="s">
        <v>815</v>
      </c>
      <c r="AE8" s="59" t="s">
        <v>765</v>
      </c>
      <c r="AF8" s="59" t="s">
        <v>816</v>
      </c>
      <c r="AG8" s="59" t="s">
        <v>408</v>
      </c>
      <c r="AH8" s="59" t="s">
        <v>817</v>
      </c>
      <c r="AI8" s="59" t="s">
        <v>285</v>
      </c>
      <c r="AJ8" s="59" t="s">
        <v>818</v>
      </c>
      <c r="AK8" s="59" t="s">
        <v>819</v>
      </c>
      <c r="AL8" s="64" t="str">
        <f>IFERROR(INDEX(LK_BankMaster!$D$4:$D$23,MATCH(AJ8&amp;"|"&amp;AK8,LK_BankMaster!$H$4:$H$23,0)),"")</f>
        <v/>
      </c>
      <c r="AM8" s="59" t="s">
        <v>820</v>
      </c>
      <c r="AN8" s="64" t="str">
        <f>IFERROR(VLOOKUP(AJ8,LK_BankMaster!$A$4:$E$23,5,FALSE()),"")</f>
        <v/>
      </c>
      <c r="AO8" s="59" t="s">
        <v>314</v>
      </c>
      <c r="AP8" s="66">
        <v>3</v>
      </c>
      <c r="AQ8" s="64" t="str">
        <f t="shared" si="3"/>
        <v>Position Allowance - General Staff</v>
      </c>
      <c r="AR8" s="65" t="str">
        <f>IFERROR(VLOOKUP(T8,LK_OrgMaster!$B$4:$G$89,6,FALSE()),"No")</f>
        <v>No</v>
      </c>
      <c r="AS8" s="64" t="str">
        <f>IFERROR(VLOOKUP(T8,LK_OrgMaster!$B$4:$H$89,7,FALSE()),"None")</f>
        <v>Medical</v>
      </c>
      <c r="AT8" s="67">
        <v>40309</v>
      </c>
      <c r="AU8" s="67"/>
      <c r="AV8" s="67">
        <v>40309</v>
      </c>
      <c r="AW8" s="67">
        <v>46023</v>
      </c>
      <c r="AX8" s="68" t="s">
        <v>750</v>
      </c>
      <c r="AY8" s="69" t="s">
        <v>6260</v>
      </c>
    </row>
    <row r="9" spans="1:51" ht="15" customHeight="1" x14ac:dyDescent="0.3">
      <c r="A9" s="59" t="s">
        <v>821</v>
      </c>
      <c r="B9" s="59" t="s">
        <v>729</v>
      </c>
      <c r="C9" s="59" t="s">
        <v>822</v>
      </c>
      <c r="D9" s="59" t="s">
        <v>823</v>
      </c>
      <c r="E9" s="59" t="s">
        <v>732</v>
      </c>
      <c r="F9" s="60">
        <v>27663</v>
      </c>
      <c r="G9" s="59" t="s">
        <v>824</v>
      </c>
      <c r="H9" s="59" t="s">
        <v>825</v>
      </c>
      <c r="I9" s="60">
        <v>33596</v>
      </c>
      <c r="J9" s="61">
        <f t="shared" ca="1" si="0"/>
        <v>34</v>
      </c>
      <c r="K9" s="62">
        <f t="shared" si="1"/>
        <v>49578</v>
      </c>
      <c r="L9" s="59" t="s">
        <v>735</v>
      </c>
      <c r="M9" s="59" t="s">
        <v>826</v>
      </c>
      <c r="N9" s="59" t="s">
        <v>758</v>
      </c>
      <c r="O9" s="63">
        <v>0</v>
      </c>
      <c r="P9" s="61">
        <f>IFERROR(SUMPRODUCT((LK_GradeDerivation!$A$4:$A$135=N9)*(IF(O9="",0,O9)&gt;=LK_GradeDerivation!$B$4:$B$135)*(IF(O9="",0,O9)&lt;=LK_GradeDerivation!$C$4:$C$135)*LK_GradeDerivation!$D$4:$D$135),1)</f>
        <v>5</v>
      </c>
      <c r="Q9" s="61">
        <f>IFERROR(SUMPRODUCT((LK_GradeDerivation!$A$4:$A$135=N9)*(IF(O9="",0,O9)&gt;=LK_GradeDerivation!$B$4:$B$135)*(IF(O9="",0,O9)&lt;=LK_GradeDerivation!$C$4:$C$135)*LK_GradeDerivation!$E$4:$E$135),1)</f>
        <v>1</v>
      </c>
      <c r="R9" s="59" t="s">
        <v>827</v>
      </c>
      <c r="S9" s="59" t="s">
        <v>828</v>
      </c>
      <c r="T9" s="59" t="s">
        <v>782</v>
      </c>
      <c r="U9" s="59" t="s">
        <v>829</v>
      </c>
      <c r="V9" s="59" t="s">
        <v>830</v>
      </c>
      <c r="W9" s="59" t="s">
        <v>285</v>
      </c>
      <c r="X9" s="59" t="s">
        <v>408</v>
      </c>
      <c r="Y9" s="59" t="s">
        <v>423</v>
      </c>
      <c r="Z9" s="64" t="str">
        <f>IFERROR(VLOOKUP(T9,LK_OrgMaster!$B$4:$H$89,5,FALSE()),"Administration")</f>
        <v>Medical</v>
      </c>
      <c r="AA9" s="65" t="str">
        <f>IFERROR(VLOOKUP(X9,LK_LocationMaster!$D$4:$G$157,4,FALSE()),"No")</f>
        <v>Yes</v>
      </c>
      <c r="AB9" s="65" t="str">
        <f t="shared" si="2"/>
        <v>No</v>
      </c>
      <c r="AC9" s="65" t="str">
        <f>IFERROR(VLOOKUP(X9,LK_LocationMaster!$D$4:$H$157,5,FALSE()),"No")</f>
        <v>No</v>
      </c>
      <c r="AD9" s="59" t="s">
        <v>831</v>
      </c>
      <c r="AE9" s="59" t="s">
        <v>800</v>
      </c>
      <c r="AF9" s="59" t="s">
        <v>786</v>
      </c>
      <c r="AG9" s="59" t="s">
        <v>391</v>
      </c>
      <c r="AH9" s="59" t="s">
        <v>832</v>
      </c>
      <c r="AI9" s="59" t="s">
        <v>285</v>
      </c>
      <c r="AJ9" s="59" t="s">
        <v>833</v>
      </c>
      <c r="AK9" s="59" t="s">
        <v>834</v>
      </c>
      <c r="AL9" s="64" t="str">
        <f>IFERROR(INDEX(LK_BankMaster!$D$4:$D$23,MATCH(AJ9&amp;"|"&amp;AK9,LK_BankMaster!$H$4:$H$23,0)),"")</f>
        <v/>
      </c>
      <c r="AM9" s="59" t="s">
        <v>835</v>
      </c>
      <c r="AN9" s="64" t="str">
        <f>IFERROR(VLOOKUP(AJ9,LK_BankMaster!$A$4:$E$23,5,FALSE()),"")</f>
        <v/>
      </c>
      <c r="AO9" s="59" t="s">
        <v>314</v>
      </c>
      <c r="AP9" s="66">
        <v>3</v>
      </c>
      <c r="AQ9" s="64" t="str">
        <f t="shared" si="3"/>
        <v>Position Allowance - General Staff</v>
      </c>
      <c r="AR9" s="65" t="str">
        <f>IFERROR(VLOOKUP(T9,LK_OrgMaster!$B$4:$G$89,6,FALSE()),"No")</f>
        <v>No</v>
      </c>
      <c r="AS9" s="64" t="str">
        <f>IFERROR(VLOOKUP(T9,LK_OrgMaster!$B$4:$H$89,7,FALSE()),"None")</f>
        <v>Medical</v>
      </c>
      <c r="AT9" s="70">
        <v>33596</v>
      </c>
      <c r="AU9" s="70"/>
      <c r="AV9" s="70">
        <v>33596</v>
      </c>
      <c r="AW9" s="70">
        <v>46023</v>
      </c>
      <c r="AX9" s="71" t="s">
        <v>750</v>
      </c>
      <c r="AY9" s="72" t="s">
        <v>6260</v>
      </c>
    </row>
    <row r="10" spans="1:51" ht="15" customHeight="1" x14ac:dyDescent="0.3">
      <c r="A10" s="59" t="s">
        <v>836</v>
      </c>
      <c r="B10" s="59" t="s">
        <v>772</v>
      </c>
      <c r="C10" s="59" t="s">
        <v>837</v>
      </c>
      <c r="D10" s="59" t="s">
        <v>838</v>
      </c>
      <c r="E10" s="59" t="s">
        <v>775</v>
      </c>
      <c r="F10" s="60">
        <v>33031</v>
      </c>
      <c r="G10" s="59" t="s">
        <v>839</v>
      </c>
      <c r="H10" s="59" t="s">
        <v>840</v>
      </c>
      <c r="I10" s="60">
        <v>44694</v>
      </c>
      <c r="J10" s="61">
        <f t="shared" ca="1" si="0"/>
        <v>3</v>
      </c>
      <c r="K10" s="62">
        <f t="shared" si="1"/>
        <v>54946</v>
      </c>
      <c r="L10" s="59" t="s">
        <v>735</v>
      </c>
      <c r="M10" s="59" t="s">
        <v>841</v>
      </c>
      <c r="N10" s="59" t="s">
        <v>758</v>
      </c>
      <c r="O10" s="63">
        <v>6</v>
      </c>
      <c r="P10" s="61">
        <f>IFERROR(SUMPRODUCT((LK_GradeDerivation!$A$4:$A$135=N10)*(IF(O10="",0,O10)&gt;=LK_GradeDerivation!$B$4:$B$135)*(IF(O10="",0,O10)&lt;=LK_GradeDerivation!$C$4:$C$135)*LK_GradeDerivation!$D$4:$D$135),1)</f>
        <v>5</v>
      </c>
      <c r="Q10" s="61">
        <f>IFERROR(SUMPRODUCT((LK_GradeDerivation!$A$4:$A$135=N10)*(IF(O10="",0,O10)&gt;=LK_GradeDerivation!$B$4:$B$135)*(IF(O10="",0,O10)&lt;=LK_GradeDerivation!$C$4:$C$135)*LK_GradeDerivation!$E$4:$E$135),1)</f>
        <v>4</v>
      </c>
      <c r="R10" s="59" t="s">
        <v>842</v>
      </c>
      <c r="S10" s="59" t="s">
        <v>843</v>
      </c>
      <c r="T10" s="59" t="s">
        <v>844</v>
      </c>
      <c r="U10" s="59" t="s">
        <v>845</v>
      </c>
      <c r="V10" s="59" t="s">
        <v>763</v>
      </c>
      <c r="W10" s="59" t="s">
        <v>285</v>
      </c>
      <c r="X10" s="59" t="s">
        <v>463</v>
      </c>
      <c r="Y10" s="59" t="s">
        <v>471</v>
      </c>
      <c r="Z10" s="64" t="str">
        <f>IFERROR(VLOOKUP(T10,LK_OrgMaster!$B$4:$H$89,5,FALSE()),"Administration")</f>
        <v>Administration</v>
      </c>
      <c r="AA10" s="65" t="str">
        <f>IFERROR(VLOOKUP(X10,LK_LocationMaster!$D$4:$G$157,4,FALSE()),"No")</f>
        <v>No</v>
      </c>
      <c r="AB10" s="65" t="str">
        <f t="shared" si="2"/>
        <v>No</v>
      </c>
      <c r="AC10" s="65" t="str">
        <f>IFERROR(VLOOKUP(X10,LK_LocationMaster!$D$4:$H$157,5,FALSE()),"No")</f>
        <v>No</v>
      </c>
      <c r="AD10" s="59" t="s">
        <v>846</v>
      </c>
      <c r="AE10" s="59" t="s">
        <v>765</v>
      </c>
      <c r="AF10" s="59" t="s">
        <v>847</v>
      </c>
      <c r="AG10" s="59" t="s">
        <v>288</v>
      </c>
      <c r="AH10" s="59" t="s">
        <v>848</v>
      </c>
      <c r="AI10" s="59" t="s">
        <v>285</v>
      </c>
      <c r="AJ10" s="59" t="s">
        <v>768</v>
      </c>
      <c r="AK10" s="59" t="s">
        <v>803</v>
      </c>
      <c r="AL10" s="64" t="str">
        <f>IFERROR(INDEX(LK_BankMaster!$D$4:$D$23,MATCH(AJ10&amp;"|"&amp;AK10,LK_BankMaster!$H$4:$H$23,0)),"")</f>
        <v/>
      </c>
      <c r="AM10" s="59" t="s">
        <v>849</v>
      </c>
      <c r="AN10" s="64" t="str">
        <f>IFERROR(VLOOKUP(AJ10,LK_BankMaster!$A$4:$E$23,5,FALSE()),"")</f>
        <v/>
      </c>
      <c r="AO10" s="59" t="s">
        <v>291</v>
      </c>
      <c r="AP10" s="66">
        <v>0</v>
      </c>
      <c r="AQ10" s="64" t="str">
        <f t="shared" si="3"/>
        <v>Position Allowance - Director</v>
      </c>
      <c r="AR10" s="65" t="str">
        <f>IFERROR(VLOOKUP(T10,LK_OrgMaster!$B$4:$G$89,6,FALSE()),"No")</f>
        <v>No</v>
      </c>
      <c r="AS10" s="64" t="str">
        <f>IFERROR(VLOOKUP(T10,LK_OrgMaster!$B$4:$H$89,7,FALSE()),"None")</f>
        <v>None</v>
      </c>
      <c r="AT10" s="67">
        <v>44694</v>
      </c>
      <c r="AU10" s="67"/>
      <c r="AV10" s="67">
        <v>44694</v>
      </c>
      <c r="AW10" s="67">
        <v>46023</v>
      </c>
      <c r="AX10" s="68" t="s">
        <v>750</v>
      </c>
      <c r="AY10" s="69" t="s">
        <v>6260</v>
      </c>
    </row>
    <row r="11" spans="1:51" ht="15" customHeight="1" x14ac:dyDescent="0.3">
      <c r="A11" s="59" t="s">
        <v>850</v>
      </c>
      <c r="B11" s="59" t="s">
        <v>851</v>
      </c>
      <c r="C11" s="59" t="s">
        <v>852</v>
      </c>
      <c r="D11" s="59" t="s">
        <v>853</v>
      </c>
      <c r="E11" s="59" t="s">
        <v>775</v>
      </c>
      <c r="F11" s="60">
        <v>26168</v>
      </c>
      <c r="G11" s="59" t="s">
        <v>854</v>
      </c>
      <c r="H11" s="59" t="s">
        <v>855</v>
      </c>
      <c r="I11" s="60">
        <v>43380</v>
      </c>
      <c r="J11" s="61">
        <f t="shared" ca="1" si="0"/>
        <v>7</v>
      </c>
      <c r="K11" s="62">
        <f t="shared" si="1"/>
        <v>48083</v>
      </c>
      <c r="L11" s="59" t="s">
        <v>735</v>
      </c>
      <c r="M11" s="59" t="s">
        <v>856</v>
      </c>
      <c r="N11" s="59" t="s">
        <v>779</v>
      </c>
      <c r="O11" s="63">
        <v>25</v>
      </c>
      <c r="P11" s="61">
        <f>IFERROR(SUMPRODUCT((LK_GradeDerivation!$A$4:$A$135=N11)*(IF(O11="",0,O11)&gt;=LK_GradeDerivation!$B$4:$B$135)*(IF(O11="",0,O11)&lt;=LK_GradeDerivation!$C$4:$C$135)*LK_GradeDerivation!$D$4:$D$135),1)</f>
        <v>2</v>
      </c>
      <c r="Q11" s="61">
        <f>IFERROR(SUMPRODUCT((LK_GradeDerivation!$A$4:$A$135=N11)*(IF(O11="",0,O11)&gt;=LK_GradeDerivation!$B$4:$B$135)*(IF(O11="",0,O11)&lt;=LK_GradeDerivation!$C$4:$C$135)*LK_GradeDerivation!$E$4:$E$135),1)</f>
        <v>13</v>
      </c>
      <c r="R11" s="59" t="s">
        <v>857</v>
      </c>
      <c r="S11" s="59" t="s">
        <v>858</v>
      </c>
      <c r="T11" s="59" t="s">
        <v>859</v>
      </c>
      <c r="U11" s="59" t="s">
        <v>860</v>
      </c>
      <c r="V11" s="59" t="s">
        <v>861</v>
      </c>
      <c r="W11" s="59" t="s">
        <v>285</v>
      </c>
      <c r="X11" s="59" t="s">
        <v>477</v>
      </c>
      <c r="Y11" s="59" t="s">
        <v>484</v>
      </c>
      <c r="Z11" s="64" t="str">
        <f>IFERROR(VLOOKUP(T11,LK_OrgMaster!$B$4:$H$89,5,FALSE()),"Administration")</f>
        <v>Technical</v>
      </c>
      <c r="AA11" s="65" t="str">
        <f>IFERROR(VLOOKUP(X11,LK_LocationMaster!$D$4:$G$157,4,FALSE()),"No")</f>
        <v>No</v>
      </c>
      <c r="AB11" s="65" t="str">
        <f t="shared" si="2"/>
        <v>No</v>
      </c>
      <c r="AC11" s="65" t="str">
        <f>IFERROR(VLOOKUP(X11,LK_LocationMaster!$D$4:$H$157,5,FALSE()),"No")</f>
        <v>Yes</v>
      </c>
      <c r="AD11" s="59" t="s">
        <v>862</v>
      </c>
      <c r="AE11" s="59" t="s">
        <v>744</v>
      </c>
      <c r="AF11" s="59" t="s">
        <v>816</v>
      </c>
      <c r="AG11" s="59" t="s">
        <v>288</v>
      </c>
      <c r="AH11" s="59" t="s">
        <v>863</v>
      </c>
      <c r="AI11" s="59" t="s">
        <v>285</v>
      </c>
      <c r="AJ11" s="59" t="s">
        <v>747</v>
      </c>
      <c r="AK11" s="59" t="s">
        <v>748</v>
      </c>
      <c r="AL11" s="64" t="str">
        <f>IFERROR(INDEX(LK_BankMaster!$D$4:$D$23,MATCH(AJ11&amp;"|"&amp;AK11,LK_BankMaster!$H$4:$H$23,0)),"")</f>
        <v/>
      </c>
      <c r="AM11" s="59" t="s">
        <v>864</v>
      </c>
      <c r="AN11" s="64" t="str">
        <f>IFERROR(VLOOKUP(AJ11,LK_BankMaster!$A$4:$E$23,5,FALSE()),"")</f>
        <v/>
      </c>
      <c r="AO11" s="59" t="s">
        <v>291</v>
      </c>
      <c r="AP11" s="66">
        <v>0</v>
      </c>
      <c r="AQ11" s="64" t="str">
        <f t="shared" si="3"/>
        <v>Position Allowance - General Staff</v>
      </c>
      <c r="AR11" s="65" t="str">
        <f>IFERROR(VLOOKUP(T11,LK_OrgMaster!$B$4:$G$89,6,FALSE()),"No")</f>
        <v>No</v>
      </c>
      <c r="AS11" s="64" t="str">
        <f>IFERROR(VLOOKUP(T11,LK_OrgMaster!$B$4:$H$89,7,FALSE()),"None")</f>
        <v>None</v>
      </c>
      <c r="AT11" s="70">
        <v>43380</v>
      </c>
      <c r="AU11" s="70"/>
      <c r="AV11" s="70">
        <v>43380</v>
      </c>
      <c r="AW11" s="70">
        <v>46023</v>
      </c>
      <c r="AX11" s="71" t="s">
        <v>750</v>
      </c>
      <c r="AY11" s="72" t="s">
        <v>6260</v>
      </c>
    </row>
    <row r="12" spans="1:51" ht="15" customHeight="1" x14ac:dyDescent="0.3">
      <c r="A12" s="59" t="s">
        <v>865</v>
      </c>
      <c r="B12" s="59" t="s">
        <v>851</v>
      </c>
      <c r="C12" s="59" t="s">
        <v>866</v>
      </c>
      <c r="D12" s="59" t="s">
        <v>793</v>
      </c>
      <c r="E12" s="59" t="s">
        <v>775</v>
      </c>
      <c r="F12" s="60">
        <v>29963</v>
      </c>
      <c r="G12" s="59" t="s">
        <v>867</v>
      </c>
      <c r="H12" s="59" t="s">
        <v>868</v>
      </c>
      <c r="I12" s="60">
        <v>43399</v>
      </c>
      <c r="J12" s="61">
        <f t="shared" ca="1" si="0"/>
        <v>7</v>
      </c>
      <c r="K12" s="62">
        <f t="shared" si="1"/>
        <v>51878</v>
      </c>
      <c r="L12" s="59" t="s">
        <v>735</v>
      </c>
      <c r="M12" s="59" t="s">
        <v>778</v>
      </c>
      <c r="N12" s="59" t="s">
        <v>737</v>
      </c>
      <c r="O12" s="63">
        <v>14</v>
      </c>
      <c r="P12" s="61">
        <f>IFERROR(SUMPRODUCT((LK_GradeDerivation!$A$4:$A$135=N12)*(IF(O12="",0,O12)&gt;=LK_GradeDerivation!$B$4:$B$135)*(IF(O12="",0,O12)&lt;=LK_GradeDerivation!$C$4:$C$135)*LK_GradeDerivation!$D$4:$D$135),1)</f>
        <v>4</v>
      </c>
      <c r="Q12" s="61">
        <f>IFERROR(SUMPRODUCT((LK_GradeDerivation!$A$4:$A$135=N12)*(IF(O12="",0,O12)&gt;=LK_GradeDerivation!$B$4:$B$135)*(IF(O12="",0,O12)&lt;=LK_GradeDerivation!$C$4:$C$135)*LK_GradeDerivation!$E$4:$E$135),1)</f>
        <v>8</v>
      </c>
      <c r="R12" s="59" t="s">
        <v>869</v>
      </c>
      <c r="S12" s="59" t="s">
        <v>870</v>
      </c>
      <c r="T12" s="59" t="s">
        <v>782</v>
      </c>
      <c r="U12" s="59" t="s">
        <v>783</v>
      </c>
      <c r="V12" s="59" t="s">
        <v>784</v>
      </c>
      <c r="W12" s="59" t="s">
        <v>285</v>
      </c>
      <c r="X12" s="59" t="s">
        <v>477</v>
      </c>
      <c r="Y12" s="59" t="s">
        <v>482</v>
      </c>
      <c r="Z12" s="64" t="str">
        <f>IFERROR(VLOOKUP(T12,LK_OrgMaster!$B$4:$H$89,5,FALSE()),"Administration")</f>
        <v>Medical</v>
      </c>
      <c r="AA12" s="65" t="str">
        <f>IFERROR(VLOOKUP(X12,LK_LocationMaster!$D$4:$G$157,4,FALSE()),"No")</f>
        <v>No</v>
      </c>
      <c r="AB12" s="65" t="str">
        <f t="shared" si="2"/>
        <v>No</v>
      </c>
      <c r="AC12" s="65" t="str">
        <f>IFERROR(VLOOKUP(X12,LK_LocationMaster!$D$4:$H$157,5,FALSE()),"No")</f>
        <v>Yes</v>
      </c>
      <c r="AD12" s="59" t="s">
        <v>871</v>
      </c>
      <c r="AE12" s="59" t="s">
        <v>800</v>
      </c>
      <c r="AF12" s="59" t="s">
        <v>786</v>
      </c>
      <c r="AG12" s="59" t="s">
        <v>391</v>
      </c>
      <c r="AH12" s="59" t="s">
        <v>872</v>
      </c>
      <c r="AI12" s="59" t="s">
        <v>285</v>
      </c>
      <c r="AJ12" s="59" t="s">
        <v>747</v>
      </c>
      <c r="AK12" s="59" t="s">
        <v>748</v>
      </c>
      <c r="AL12" s="64" t="str">
        <f>IFERROR(INDEX(LK_BankMaster!$D$4:$D$23,MATCH(AJ12&amp;"|"&amp;AK12,LK_BankMaster!$H$4:$H$23,0)),"")</f>
        <v/>
      </c>
      <c r="AM12" s="59" t="s">
        <v>873</v>
      </c>
      <c r="AN12" s="64" t="str">
        <f>IFERROR(VLOOKUP(AJ12,LK_BankMaster!$A$4:$E$23,5,FALSE()),"")</f>
        <v/>
      </c>
      <c r="AO12" s="59" t="s">
        <v>291</v>
      </c>
      <c r="AP12" s="66">
        <v>0</v>
      </c>
      <c r="AQ12" s="64" t="str">
        <f t="shared" si="3"/>
        <v>Position Allowance - General Staff</v>
      </c>
      <c r="AR12" s="65" t="str">
        <f>IFERROR(VLOOKUP(T12,LK_OrgMaster!$B$4:$G$89,6,FALSE()),"No")</f>
        <v>No</v>
      </c>
      <c r="AS12" s="64" t="str">
        <f>IFERROR(VLOOKUP(T12,LK_OrgMaster!$B$4:$H$89,7,FALSE()),"None")</f>
        <v>Medical</v>
      </c>
      <c r="AT12" s="67">
        <v>43399</v>
      </c>
      <c r="AU12" s="67"/>
      <c r="AV12" s="67">
        <v>43399</v>
      </c>
      <c r="AW12" s="67">
        <v>46023</v>
      </c>
      <c r="AX12" s="68" t="s">
        <v>750</v>
      </c>
      <c r="AY12" s="69" t="s">
        <v>6260</v>
      </c>
    </row>
    <row r="13" spans="1:51" ht="15" customHeight="1" x14ac:dyDescent="0.3">
      <c r="A13" s="59" t="s">
        <v>874</v>
      </c>
      <c r="B13" s="59" t="s">
        <v>772</v>
      </c>
      <c r="C13" s="59" t="s">
        <v>875</v>
      </c>
      <c r="D13" s="59" t="s">
        <v>876</v>
      </c>
      <c r="E13" s="59" t="s">
        <v>732</v>
      </c>
      <c r="F13" s="60">
        <v>29806</v>
      </c>
      <c r="G13" s="59" t="s">
        <v>877</v>
      </c>
      <c r="H13" s="59" t="s">
        <v>878</v>
      </c>
      <c r="I13" s="60">
        <v>40218</v>
      </c>
      <c r="J13" s="61">
        <f t="shared" ca="1" si="0"/>
        <v>16</v>
      </c>
      <c r="K13" s="62">
        <f t="shared" si="1"/>
        <v>51721</v>
      </c>
      <c r="L13" s="59" t="s">
        <v>735</v>
      </c>
      <c r="M13" s="59" t="s">
        <v>879</v>
      </c>
      <c r="N13" s="59" t="s">
        <v>758</v>
      </c>
      <c r="O13" s="63">
        <v>3</v>
      </c>
      <c r="P13" s="61">
        <f>IFERROR(SUMPRODUCT((LK_GradeDerivation!$A$4:$A$135=N13)*(IF(O13="",0,O13)&gt;=LK_GradeDerivation!$B$4:$B$135)*(IF(O13="",0,O13)&lt;=LK_GradeDerivation!$C$4:$C$135)*LK_GradeDerivation!$D$4:$D$135),1)</f>
        <v>5</v>
      </c>
      <c r="Q13" s="61">
        <f>IFERROR(SUMPRODUCT((LK_GradeDerivation!$A$4:$A$135=N13)*(IF(O13="",0,O13)&gt;=LK_GradeDerivation!$B$4:$B$135)*(IF(O13="",0,O13)&lt;=LK_GradeDerivation!$C$4:$C$135)*LK_GradeDerivation!$E$4:$E$135),1)</f>
        <v>2</v>
      </c>
      <c r="R13" s="59" t="s">
        <v>880</v>
      </c>
      <c r="S13" s="59" t="s">
        <v>881</v>
      </c>
      <c r="T13" s="59" t="s">
        <v>882</v>
      </c>
      <c r="U13" s="59" t="s">
        <v>883</v>
      </c>
      <c r="V13" s="59" t="s">
        <v>884</v>
      </c>
      <c r="W13" s="59" t="s">
        <v>285</v>
      </c>
      <c r="X13" s="59" t="s">
        <v>500</v>
      </c>
      <c r="Y13" s="59" t="s">
        <v>511</v>
      </c>
      <c r="Z13" s="64" t="str">
        <f>IFERROR(VLOOKUP(T13,LK_OrgMaster!$B$4:$H$89,5,FALSE()),"Administration")</f>
        <v>Legal</v>
      </c>
      <c r="AA13" s="65" t="str">
        <f>IFERROR(VLOOKUP(X13,LK_LocationMaster!$D$4:$G$157,4,FALSE()),"No")</f>
        <v>No</v>
      </c>
      <c r="AB13" s="65" t="str">
        <f t="shared" si="2"/>
        <v>No</v>
      </c>
      <c r="AC13" s="65" t="str">
        <f>IFERROR(VLOOKUP(X13,LK_LocationMaster!$D$4:$H$157,5,FALSE()),"No")</f>
        <v>Yes</v>
      </c>
      <c r="AD13" s="59" t="s">
        <v>885</v>
      </c>
      <c r="AE13" s="59" t="s">
        <v>886</v>
      </c>
      <c r="AF13" s="59" t="s">
        <v>766</v>
      </c>
      <c r="AG13" s="59" t="s">
        <v>368</v>
      </c>
      <c r="AH13" s="59" t="s">
        <v>887</v>
      </c>
      <c r="AI13" s="59" t="s">
        <v>285</v>
      </c>
      <c r="AJ13" s="59" t="s">
        <v>788</v>
      </c>
      <c r="AK13" s="59" t="s">
        <v>789</v>
      </c>
      <c r="AL13" s="64" t="str">
        <f>IFERROR(INDEX(LK_BankMaster!$D$4:$D$23,MATCH(AJ13&amp;"|"&amp;AK13,LK_BankMaster!$H$4:$H$23,0)),"")</f>
        <v/>
      </c>
      <c r="AM13" s="59" t="s">
        <v>888</v>
      </c>
      <c r="AN13" s="64" t="str">
        <f>IFERROR(VLOOKUP(AJ13,LK_BankMaster!$A$4:$E$23,5,FALSE()),"")</f>
        <v/>
      </c>
      <c r="AO13" s="59" t="s">
        <v>314</v>
      </c>
      <c r="AP13" s="66">
        <v>1</v>
      </c>
      <c r="AQ13" s="64" t="str">
        <f t="shared" si="3"/>
        <v>Position Allowance - General Staff</v>
      </c>
      <c r="AR13" s="65" t="str">
        <f>IFERROR(VLOOKUP(T13,LK_OrgMaster!$B$4:$G$89,6,FALSE()),"No")</f>
        <v>No</v>
      </c>
      <c r="AS13" s="64" t="str">
        <f>IFERROR(VLOOKUP(T13,LK_OrgMaster!$B$4:$H$89,7,FALSE()),"None")</f>
        <v>None</v>
      </c>
      <c r="AT13" s="70">
        <v>40218</v>
      </c>
      <c r="AU13" s="70"/>
      <c r="AV13" s="70">
        <v>40218</v>
      </c>
      <c r="AW13" s="70">
        <v>46023</v>
      </c>
      <c r="AX13" s="71" t="s">
        <v>750</v>
      </c>
      <c r="AY13" s="72" t="s">
        <v>6260</v>
      </c>
    </row>
    <row r="14" spans="1:51" ht="15" customHeight="1" x14ac:dyDescent="0.3">
      <c r="A14" s="59" t="s">
        <v>889</v>
      </c>
      <c r="B14" s="59" t="s">
        <v>772</v>
      </c>
      <c r="C14" s="59" t="s">
        <v>890</v>
      </c>
      <c r="D14" s="59" t="s">
        <v>731</v>
      </c>
      <c r="E14" s="59" t="s">
        <v>775</v>
      </c>
      <c r="F14" s="60">
        <v>31639</v>
      </c>
      <c r="G14" s="59" t="s">
        <v>891</v>
      </c>
      <c r="H14" s="59" t="s">
        <v>892</v>
      </c>
      <c r="I14" s="60">
        <v>35026</v>
      </c>
      <c r="J14" s="61">
        <f t="shared" ca="1" si="0"/>
        <v>30</v>
      </c>
      <c r="K14" s="62">
        <f t="shared" si="1"/>
        <v>53554</v>
      </c>
      <c r="L14" s="59" t="s">
        <v>735</v>
      </c>
      <c r="M14" s="59" t="s">
        <v>893</v>
      </c>
      <c r="N14" s="59" t="s">
        <v>737</v>
      </c>
      <c r="O14" s="63">
        <v>0</v>
      </c>
      <c r="P14" s="61">
        <f>IFERROR(SUMPRODUCT((LK_GradeDerivation!$A$4:$A$135=N14)*(IF(O14="",0,O14)&gt;=LK_GradeDerivation!$B$4:$B$135)*(IF(O14="",0,O14)&lt;=LK_GradeDerivation!$C$4:$C$135)*LK_GradeDerivation!$D$4:$D$135),1)</f>
        <v>4</v>
      </c>
      <c r="Q14" s="61">
        <f>IFERROR(SUMPRODUCT((LK_GradeDerivation!$A$4:$A$135=N14)*(IF(O14="",0,O14)&gt;=LK_GradeDerivation!$B$4:$B$135)*(IF(O14="",0,O14)&lt;=LK_GradeDerivation!$C$4:$C$135)*LK_GradeDerivation!$E$4:$E$135),1)</f>
        <v>1</v>
      </c>
      <c r="R14" s="59" t="s">
        <v>894</v>
      </c>
      <c r="S14" s="59" t="s">
        <v>895</v>
      </c>
      <c r="T14" s="59" t="s">
        <v>896</v>
      </c>
      <c r="U14" s="59" t="s">
        <v>897</v>
      </c>
      <c r="V14" s="59" t="s">
        <v>898</v>
      </c>
      <c r="W14" s="59" t="s">
        <v>285</v>
      </c>
      <c r="X14" s="59" t="s">
        <v>288</v>
      </c>
      <c r="Y14" s="59" t="s">
        <v>290</v>
      </c>
      <c r="Z14" s="64" t="str">
        <f>IFERROR(VLOOKUP(T14,LK_OrgMaster!$B$4:$H$89,5,FALSE()),"Administration")</f>
        <v>Administration</v>
      </c>
      <c r="AA14" s="65" t="str">
        <f>IFERROR(VLOOKUP(X14,LK_LocationMaster!$D$4:$G$157,4,FALSE()),"No")</f>
        <v>No</v>
      </c>
      <c r="AB14" s="65" t="str">
        <f t="shared" si="2"/>
        <v>No</v>
      </c>
      <c r="AC14" s="65" t="str">
        <f>IFERROR(VLOOKUP(X14,LK_LocationMaster!$D$4:$H$157,5,FALSE()),"No")</f>
        <v>No</v>
      </c>
      <c r="AD14" s="59" t="s">
        <v>899</v>
      </c>
      <c r="AE14" s="59" t="s">
        <v>900</v>
      </c>
      <c r="AF14" s="59" t="s">
        <v>901</v>
      </c>
      <c r="AG14" s="59" t="s">
        <v>368</v>
      </c>
      <c r="AH14" s="59" t="s">
        <v>902</v>
      </c>
      <c r="AI14" s="59" t="s">
        <v>285</v>
      </c>
      <c r="AJ14" s="59" t="s">
        <v>788</v>
      </c>
      <c r="AK14" s="59" t="s">
        <v>903</v>
      </c>
      <c r="AL14" s="64" t="str">
        <f>IFERROR(INDEX(LK_BankMaster!$D$4:$D$23,MATCH(AJ14&amp;"|"&amp;AK14,LK_BankMaster!$H$4:$H$23,0)),"")</f>
        <v/>
      </c>
      <c r="AM14" s="59" t="s">
        <v>904</v>
      </c>
      <c r="AN14" s="64" t="str">
        <f>IFERROR(VLOOKUP(AJ14,LK_BankMaster!$A$4:$E$23,5,FALSE()),"")</f>
        <v/>
      </c>
      <c r="AO14" s="59" t="s">
        <v>314</v>
      </c>
      <c r="AP14" s="66">
        <v>1</v>
      </c>
      <c r="AQ14" s="64" t="str">
        <f t="shared" si="3"/>
        <v>Position Allowance - General Staff</v>
      </c>
      <c r="AR14" s="65" t="str">
        <f>IFERROR(VLOOKUP(T14,LK_OrgMaster!$B$4:$G$89,6,FALSE()),"No")</f>
        <v>No</v>
      </c>
      <c r="AS14" s="64" t="str">
        <f>IFERROR(VLOOKUP(T14,LK_OrgMaster!$B$4:$H$89,7,FALSE()),"None")</f>
        <v>None</v>
      </c>
      <c r="AT14" s="67">
        <v>35026</v>
      </c>
      <c r="AU14" s="67"/>
      <c r="AV14" s="67">
        <v>35026</v>
      </c>
      <c r="AW14" s="67">
        <v>46023</v>
      </c>
      <c r="AX14" s="68" t="s">
        <v>750</v>
      </c>
      <c r="AY14" s="69" t="s">
        <v>6260</v>
      </c>
    </row>
    <row r="15" spans="1:51" ht="15" customHeight="1" x14ac:dyDescent="0.3">
      <c r="A15" s="59" t="s">
        <v>905</v>
      </c>
      <c r="B15" s="59" t="s">
        <v>729</v>
      </c>
      <c r="C15" s="59" t="s">
        <v>906</v>
      </c>
      <c r="D15" s="59" t="s">
        <v>907</v>
      </c>
      <c r="E15" s="59" t="s">
        <v>732</v>
      </c>
      <c r="F15" s="60">
        <v>31932</v>
      </c>
      <c r="G15" s="59" t="s">
        <v>908</v>
      </c>
      <c r="H15" s="59" t="s">
        <v>909</v>
      </c>
      <c r="I15" s="60">
        <v>43441</v>
      </c>
      <c r="J15" s="61">
        <f t="shared" ca="1" si="0"/>
        <v>7</v>
      </c>
      <c r="K15" s="62">
        <f t="shared" si="1"/>
        <v>53847</v>
      </c>
      <c r="L15" s="59" t="s">
        <v>735</v>
      </c>
      <c r="M15" s="59" t="s">
        <v>910</v>
      </c>
      <c r="N15" s="59" t="s">
        <v>758</v>
      </c>
      <c r="O15" s="63">
        <v>6</v>
      </c>
      <c r="P15" s="61">
        <f>IFERROR(SUMPRODUCT((LK_GradeDerivation!$A$4:$A$135=N15)*(IF(O15="",0,O15)&gt;=LK_GradeDerivation!$B$4:$B$135)*(IF(O15="",0,O15)&lt;=LK_GradeDerivation!$C$4:$C$135)*LK_GradeDerivation!$D$4:$D$135),1)</f>
        <v>5</v>
      </c>
      <c r="Q15" s="61">
        <f>IFERROR(SUMPRODUCT((LK_GradeDerivation!$A$4:$A$135=N15)*(IF(O15="",0,O15)&gt;=LK_GradeDerivation!$B$4:$B$135)*(IF(O15="",0,O15)&lt;=LK_GradeDerivation!$C$4:$C$135)*LK_GradeDerivation!$E$4:$E$135),1)</f>
        <v>4</v>
      </c>
      <c r="R15" s="59" t="s">
        <v>911</v>
      </c>
      <c r="S15" s="59" t="s">
        <v>912</v>
      </c>
      <c r="T15" s="59" t="s">
        <v>896</v>
      </c>
      <c r="U15" s="59" t="s">
        <v>897</v>
      </c>
      <c r="V15" s="59" t="s">
        <v>913</v>
      </c>
      <c r="W15" s="59" t="s">
        <v>285</v>
      </c>
      <c r="X15" s="59" t="s">
        <v>288</v>
      </c>
      <c r="Y15" s="59" t="s">
        <v>310</v>
      </c>
      <c r="Z15" s="64" t="str">
        <f>IFERROR(VLOOKUP(T15,LK_OrgMaster!$B$4:$H$89,5,FALSE()),"Administration")</f>
        <v>Administration</v>
      </c>
      <c r="AA15" s="65" t="str">
        <f>IFERROR(VLOOKUP(X15,LK_LocationMaster!$D$4:$G$157,4,FALSE()),"No")</f>
        <v>No</v>
      </c>
      <c r="AB15" s="65" t="str">
        <f t="shared" si="2"/>
        <v>No</v>
      </c>
      <c r="AC15" s="65" t="str">
        <f>IFERROR(VLOOKUP(X15,LK_LocationMaster!$D$4:$H$157,5,FALSE()),"No")</f>
        <v>No</v>
      </c>
      <c r="AD15" s="59" t="s">
        <v>914</v>
      </c>
      <c r="AE15" s="59" t="s">
        <v>886</v>
      </c>
      <c r="AF15" s="59" t="s">
        <v>915</v>
      </c>
      <c r="AG15" s="59" t="s">
        <v>356</v>
      </c>
      <c r="AH15" s="59" t="s">
        <v>916</v>
      </c>
      <c r="AI15" s="59" t="s">
        <v>285</v>
      </c>
      <c r="AJ15" s="59" t="s">
        <v>833</v>
      </c>
      <c r="AK15" s="59" t="s">
        <v>917</v>
      </c>
      <c r="AL15" s="64" t="str">
        <f>IFERROR(INDEX(LK_BankMaster!$D$4:$D$23,MATCH(AJ15&amp;"|"&amp;AK15,LK_BankMaster!$H$4:$H$23,0)),"")</f>
        <v/>
      </c>
      <c r="AM15" s="59" t="s">
        <v>918</v>
      </c>
      <c r="AN15" s="64" t="str">
        <f>IFERROR(VLOOKUP(AJ15,LK_BankMaster!$A$4:$E$23,5,FALSE()),"")</f>
        <v/>
      </c>
      <c r="AO15" s="59" t="s">
        <v>291</v>
      </c>
      <c r="AP15" s="66">
        <v>0</v>
      </c>
      <c r="AQ15" s="64" t="str">
        <f t="shared" si="3"/>
        <v>Position Allowance - Division Chief</v>
      </c>
      <c r="AR15" s="65" t="str">
        <f>IFERROR(VLOOKUP(T15,LK_OrgMaster!$B$4:$G$89,6,FALSE()),"No")</f>
        <v>No</v>
      </c>
      <c r="AS15" s="64" t="str">
        <f>IFERROR(VLOOKUP(T15,LK_OrgMaster!$B$4:$H$89,7,FALSE()),"None")</f>
        <v>None</v>
      </c>
      <c r="AT15" s="70">
        <v>43441</v>
      </c>
      <c r="AU15" s="70"/>
      <c r="AV15" s="70">
        <v>43441</v>
      </c>
      <c r="AW15" s="70">
        <v>46023</v>
      </c>
      <c r="AX15" s="71" t="s">
        <v>750</v>
      </c>
      <c r="AY15" s="72" t="s">
        <v>6260</v>
      </c>
    </row>
    <row r="16" spans="1:51" ht="15" customHeight="1" x14ac:dyDescent="0.3">
      <c r="A16" s="59" t="s">
        <v>919</v>
      </c>
      <c r="B16" s="59" t="s">
        <v>851</v>
      </c>
      <c r="C16" s="59" t="s">
        <v>920</v>
      </c>
      <c r="D16" s="59" t="s">
        <v>921</v>
      </c>
      <c r="E16" s="59" t="s">
        <v>775</v>
      </c>
      <c r="F16" s="60">
        <v>35875</v>
      </c>
      <c r="G16" s="59" t="s">
        <v>922</v>
      </c>
      <c r="H16" s="59" t="s">
        <v>923</v>
      </c>
      <c r="I16" s="60">
        <v>33016</v>
      </c>
      <c r="J16" s="61">
        <f t="shared" ca="1" si="0"/>
        <v>35</v>
      </c>
      <c r="K16" s="62">
        <f t="shared" si="1"/>
        <v>57790</v>
      </c>
      <c r="L16" s="59" t="s">
        <v>735</v>
      </c>
      <c r="M16" s="59" t="s">
        <v>924</v>
      </c>
      <c r="N16" s="59" t="s">
        <v>758</v>
      </c>
      <c r="O16" s="63">
        <v>0</v>
      </c>
      <c r="P16" s="61">
        <f>IFERROR(SUMPRODUCT((LK_GradeDerivation!$A$4:$A$135=N16)*(IF(O16="",0,O16)&gt;=LK_GradeDerivation!$B$4:$B$135)*(IF(O16="",0,O16)&lt;=LK_GradeDerivation!$C$4:$C$135)*LK_GradeDerivation!$D$4:$D$135),1)</f>
        <v>5</v>
      </c>
      <c r="Q16" s="61">
        <f>IFERROR(SUMPRODUCT((LK_GradeDerivation!$A$4:$A$135=N16)*(IF(O16="",0,O16)&gt;=LK_GradeDerivation!$B$4:$B$135)*(IF(O16="",0,O16)&lt;=LK_GradeDerivation!$C$4:$C$135)*LK_GradeDerivation!$E$4:$E$135),1)</f>
        <v>1</v>
      </c>
      <c r="R16" s="59" t="s">
        <v>925</v>
      </c>
      <c r="S16" s="59" t="s">
        <v>926</v>
      </c>
      <c r="T16" s="59" t="s">
        <v>740</v>
      </c>
      <c r="U16" s="59" t="s">
        <v>927</v>
      </c>
      <c r="V16" s="59" t="s">
        <v>928</v>
      </c>
      <c r="W16" s="59" t="s">
        <v>285</v>
      </c>
      <c r="X16" s="59" t="s">
        <v>554</v>
      </c>
      <c r="Y16" s="59" t="s">
        <v>558</v>
      </c>
      <c r="Z16" s="64" t="str">
        <f>IFERROR(VLOOKUP(T16,LK_OrgMaster!$B$4:$H$89,5,FALSE()),"Administration")</f>
        <v>Teacher</v>
      </c>
      <c r="AA16" s="65" t="str">
        <f>IFERROR(VLOOKUP(X16,LK_LocationMaster!$D$4:$G$157,4,FALSE()),"No")</f>
        <v>No</v>
      </c>
      <c r="AB16" s="65" t="str">
        <f t="shared" si="2"/>
        <v>No</v>
      </c>
      <c r="AC16" s="65" t="str">
        <f>IFERROR(VLOOKUP(X16,LK_LocationMaster!$D$4:$H$157,5,FALSE()),"No")</f>
        <v>No</v>
      </c>
      <c r="AD16" s="59" t="s">
        <v>929</v>
      </c>
      <c r="AE16" s="59" t="s">
        <v>930</v>
      </c>
      <c r="AF16" s="59" t="s">
        <v>847</v>
      </c>
      <c r="AG16" s="59" t="s">
        <v>356</v>
      </c>
      <c r="AH16" s="59" t="s">
        <v>931</v>
      </c>
      <c r="AI16" s="59" t="s">
        <v>285</v>
      </c>
      <c r="AJ16" s="59" t="s">
        <v>788</v>
      </c>
      <c r="AK16" s="59" t="s">
        <v>903</v>
      </c>
      <c r="AL16" s="64" t="str">
        <f>IFERROR(INDEX(LK_BankMaster!$D$4:$D$23,MATCH(AJ16&amp;"|"&amp;AK16,LK_BankMaster!$H$4:$H$23,0)),"")</f>
        <v/>
      </c>
      <c r="AM16" s="59" t="s">
        <v>932</v>
      </c>
      <c r="AN16" s="64" t="str">
        <f>IFERROR(VLOOKUP(AJ16,LK_BankMaster!$A$4:$E$23,5,FALSE()),"")</f>
        <v/>
      </c>
      <c r="AO16" s="59" t="s">
        <v>314</v>
      </c>
      <c r="AP16" s="66">
        <v>2</v>
      </c>
      <c r="AQ16" s="64" t="str">
        <f t="shared" si="3"/>
        <v>Position Allowance - General Staff</v>
      </c>
      <c r="AR16" s="65" t="str">
        <f>IFERROR(VLOOKUP(T16,LK_OrgMaster!$B$4:$G$89,6,FALSE()),"No")</f>
        <v>No</v>
      </c>
      <c r="AS16" s="64" t="str">
        <f>IFERROR(VLOOKUP(T16,LK_OrgMaster!$B$4:$H$89,7,FALSE()),"None")</f>
        <v>Teaching</v>
      </c>
      <c r="AT16" s="67">
        <v>33016</v>
      </c>
      <c r="AU16" s="67"/>
      <c r="AV16" s="67">
        <v>33016</v>
      </c>
      <c r="AW16" s="67">
        <v>46023</v>
      </c>
      <c r="AX16" s="68" t="s">
        <v>750</v>
      </c>
      <c r="AY16" s="69" t="s">
        <v>6260</v>
      </c>
    </row>
    <row r="17" spans="1:51" ht="15" customHeight="1" x14ac:dyDescent="0.3">
      <c r="A17" s="59" t="s">
        <v>933</v>
      </c>
      <c r="B17" s="59" t="s">
        <v>772</v>
      </c>
      <c r="C17" s="59" t="s">
        <v>934</v>
      </c>
      <c r="D17" s="59" t="s">
        <v>587</v>
      </c>
      <c r="E17" s="59" t="s">
        <v>775</v>
      </c>
      <c r="F17" s="60">
        <v>34633</v>
      </c>
      <c r="G17" s="59" t="s">
        <v>935</v>
      </c>
      <c r="H17" s="59" t="s">
        <v>936</v>
      </c>
      <c r="I17" s="60">
        <v>33074</v>
      </c>
      <c r="J17" s="61">
        <f t="shared" ca="1" si="0"/>
        <v>35</v>
      </c>
      <c r="K17" s="62">
        <f t="shared" si="1"/>
        <v>56548</v>
      </c>
      <c r="L17" s="59" t="s">
        <v>735</v>
      </c>
      <c r="M17" s="59" t="s">
        <v>937</v>
      </c>
      <c r="N17" s="59" t="s">
        <v>737</v>
      </c>
      <c r="O17" s="63">
        <v>0</v>
      </c>
      <c r="P17" s="61">
        <f>IFERROR(SUMPRODUCT((LK_GradeDerivation!$A$4:$A$135=N17)*(IF(O17="",0,O17)&gt;=LK_GradeDerivation!$B$4:$B$135)*(IF(O17="",0,O17)&lt;=LK_GradeDerivation!$C$4:$C$135)*LK_GradeDerivation!$D$4:$D$135),1)</f>
        <v>4</v>
      </c>
      <c r="Q17" s="61">
        <f>IFERROR(SUMPRODUCT((LK_GradeDerivation!$A$4:$A$135=N17)*(IF(O17="",0,O17)&gt;=LK_GradeDerivation!$B$4:$B$135)*(IF(O17="",0,O17)&lt;=LK_GradeDerivation!$C$4:$C$135)*LK_GradeDerivation!$E$4:$E$135),1)</f>
        <v>1</v>
      </c>
      <c r="R17" s="59" t="s">
        <v>938</v>
      </c>
      <c r="S17" s="59" t="s">
        <v>939</v>
      </c>
      <c r="T17" s="59" t="s">
        <v>859</v>
      </c>
      <c r="U17" s="59" t="s">
        <v>940</v>
      </c>
      <c r="V17" s="59" t="s">
        <v>941</v>
      </c>
      <c r="W17" s="59" t="s">
        <v>285</v>
      </c>
      <c r="X17" s="59" t="s">
        <v>575</v>
      </c>
      <c r="Y17" s="59" t="s">
        <v>583</v>
      </c>
      <c r="Z17" s="64" t="str">
        <f>IFERROR(VLOOKUP(T17,LK_OrgMaster!$B$4:$H$89,5,FALSE()),"Administration")</f>
        <v>Technical</v>
      </c>
      <c r="AA17" s="65" t="str">
        <f>IFERROR(VLOOKUP(X17,LK_LocationMaster!$D$4:$G$157,4,FALSE()),"No")</f>
        <v>Yes</v>
      </c>
      <c r="AB17" s="65" t="str">
        <f t="shared" si="2"/>
        <v>No</v>
      </c>
      <c r="AC17" s="65" t="str">
        <f>IFERROR(VLOOKUP(X17,LK_LocationMaster!$D$4:$H$157,5,FALSE()),"No")</f>
        <v>Yes</v>
      </c>
      <c r="AD17" s="59" t="s">
        <v>942</v>
      </c>
      <c r="AE17" s="59" t="s">
        <v>930</v>
      </c>
      <c r="AF17" s="59" t="s">
        <v>915</v>
      </c>
      <c r="AG17" s="59" t="s">
        <v>288</v>
      </c>
      <c r="AH17" s="59" t="s">
        <v>943</v>
      </c>
      <c r="AI17" s="59" t="s">
        <v>285</v>
      </c>
      <c r="AJ17" s="59" t="s">
        <v>818</v>
      </c>
      <c r="AK17" s="59" t="s">
        <v>944</v>
      </c>
      <c r="AL17" s="64" t="str">
        <f>IFERROR(INDEX(LK_BankMaster!$D$4:$D$23,MATCH(AJ17&amp;"|"&amp;AK17,LK_BankMaster!$H$4:$H$23,0)),"")</f>
        <v/>
      </c>
      <c r="AM17" s="59" t="s">
        <v>945</v>
      </c>
      <c r="AN17" s="64" t="str">
        <f>IFERROR(VLOOKUP(AJ17,LK_BankMaster!$A$4:$E$23,5,FALSE()),"")</f>
        <v/>
      </c>
      <c r="AO17" s="59" t="s">
        <v>291</v>
      </c>
      <c r="AP17" s="66">
        <v>0</v>
      </c>
      <c r="AQ17" s="64" t="str">
        <f t="shared" si="3"/>
        <v>Position Allowance - General Staff</v>
      </c>
      <c r="AR17" s="65" t="str">
        <f>IFERROR(VLOOKUP(T17,LK_OrgMaster!$B$4:$G$89,6,FALSE()),"No")</f>
        <v>No</v>
      </c>
      <c r="AS17" s="64" t="str">
        <f>IFERROR(VLOOKUP(T17,LK_OrgMaster!$B$4:$H$89,7,FALSE()),"None")</f>
        <v>None</v>
      </c>
      <c r="AT17" s="70">
        <v>33074</v>
      </c>
      <c r="AU17" s="70"/>
      <c r="AV17" s="70">
        <v>33074</v>
      </c>
      <c r="AW17" s="70">
        <v>46023</v>
      </c>
      <c r="AX17" s="71" t="s">
        <v>750</v>
      </c>
      <c r="AY17" s="72" t="s">
        <v>6260</v>
      </c>
    </row>
    <row r="18" spans="1:51" ht="15" customHeight="1" x14ac:dyDescent="0.3">
      <c r="A18" s="59" t="s">
        <v>946</v>
      </c>
      <c r="B18" s="59" t="s">
        <v>851</v>
      </c>
      <c r="C18" s="59" t="s">
        <v>890</v>
      </c>
      <c r="D18" s="59" t="s">
        <v>947</v>
      </c>
      <c r="E18" s="59" t="s">
        <v>775</v>
      </c>
      <c r="F18" s="60">
        <v>27616</v>
      </c>
      <c r="G18" s="59" t="s">
        <v>948</v>
      </c>
      <c r="H18" s="59" t="s">
        <v>949</v>
      </c>
      <c r="I18" s="60">
        <v>35784</v>
      </c>
      <c r="J18" s="61">
        <f t="shared" ca="1" si="0"/>
        <v>28</v>
      </c>
      <c r="K18" s="62">
        <f t="shared" si="1"/>
        <v>49531</v>
      </c>
      <c r="L18" s="59" t="s">
        <v>735</v>
      </c>
      <c r="M18" s="59" t="s">
        <v>841</v>
      </c>
      <c r="N18" s="59" t="s">
        <v>737</v>
      </c>
      <c r="O18" s="63">
        <v>0</v>
      </c>
      <c r="P18" s="61">
        <f>IFERROR(SUMPRODUCT((LK_GradeDerivation!$A$4:$A$135=N18)*(IF(O18="",0,O18)&gt;=LK_GradeDerivation!$B$4:$B$135)*(IF(O18="",0,O18)&lt;=LK_GradeDerivation!$C$4:$C$135)*LK_GradeDerivation!$D$4:$D$135),1)</f>
        <v>4</v>
      </c>
      <c r="Q18" s="61">
        <f>IFERROR(SUMPRODUCT((LK_GradeDerivation!$A$4:$A$135=N18)*(IF(O18="",0,O18)&gt;=LK_GradeDerivation!$B$4:$B$135)*(IF(O18="",0,O18)&lt;=LK_GradeDerivation!$C$4:$C$135)*LK_GradeDerivation!$E$4:$E$135),1)</f>
        <v>1</v>
      </c>
      <c r="R18" s="59" t="s">
        <v>950</v>
      </c>
      <c r="S18" s="59" t="s">
        <v>951</v>
      </c>
      <c r="T18" s="59" t="s">
        <v>952</v>
      </c>
      <c r="U18" s="59" t="s">
        <v>953</v>
      </c>
      <c r="V18" s="59" t="s">
        <v>954</v>
      </c>
      <c r="W18" s="59" t="s">
        <v>285</v>
      </c>
      <c r="X18" s="59" t="s">
        <v>408</v>
      </c>
      <c r="Y18" s="59" t="s">
        <v>417</v>
      </c>
      <c r="Z18" s="64" t="str">
        <f>IFERROR(VLOOKUP(T18,LK_OrgMaster!$B$4:$H$89,5,FALSE()),"Administration")</f>
        <v>Administration</v>
      </c>
      <c r="AA18" s="65" t="str">
        <f>IFERROR(VLOOKUP(X18,LK_LocationMaster!$D$4:$G$157,4,FALSE()),"No")</f>
        <v>Yes</v>
      </c>
      <c r="AB18" s="65" t="str">
        <f t="shared" si="2"/>
        <v>No</v>
      </c>
      <c r="AC18" s="65" t="str">
        <f>IFERROR(VLOOKUP(X18,LK_LocationMaster!$D$4:$H$157,5,FALSE()),"No")</f>
        <v>No</v>
      </c>
      <c r="AD18" s="59" t="s">
        <v>955</v>
      </c>
      <c r="AE18" s="59" t="s">
        <v>765</v>
      </c>
      <c r="AF18" s="59" t="s">
        <v>745</v>
      </c>
      <c r="AG18" s="59" t="s">
        <v>312</v>
      </c>
      <c r="AH18" s="59" t="s">
        <v>956</v>
      </c>
      <c r="AI18" s="59" t="s">
        <v>285</v>
      </c>
      <c r="AJ18" s="59" t="s">
        <v>818</v>
      </c>
      <c r="AK18" s="59" t="s">
        <v>819</v>
      </c>
      <c r="AL18" s="64" t="str">
        <f>IFERROR(INDEX(LK_BankMaster!$D$4:$D$23,MATCH(AJ18&amp;"|"&amp;AK18,LK_BankMaster!$H$4:$H$23,0)),"")</f>
        <v/>
      </c>
      <c r="AM18" s="59" t="s">
        <v>957</v>
      </c>
      <c r="AN18" s="64" t="str">
        <f>IFERROR(VLOOKUP(AJ18,LK_BankMaster!$A$4:$E$23,5,FALSE()),"")</f>
        <v/>
      </c>
      <c r="AO18" s="59" t="s">
        <v>314</v>
      </c>
      <c r="AP18" s="66">
        <v>2</v>
      </c>
      <c r="AQ18" s="64" t="str">
        <f t="shared" si="3"/>
        <v>Position Allowance - Director</v>
      </c>
      <c r="AR18" s="65" t="str">
        <f>IFERROR(VLOOKUP(T18,LK_OrgMaster!$B$4:$G$89,6,FALSE()),"No")</f>
        <v>No</v>
      </c>
      <c r="AS18" s="64" t="str">
        <f>IFERROR(VLOOKUP(T18,LK_OrgMaster!$B$4:$H$89,7,FALSE()),"None")</f>
        <v>None</v>
      </c>
      <c r="AT18" s="67">
        <v>35784</v>
      </c>
      <c r="AU18" s="67"/>
      <c r="AV18" s="67">
        <v>35784</v>
      </c>
      <c r="AW18" s="67">
        <v>46023</v>
      </c>
      <c r="AX18" s="68" t="s">
        <v>750</v>
      </c>
      <c r="AY18" s="69" t="s">
        <v>6260</v>
      </c>
    </row>
    <row r="19" spans="1:51" ht="15" customHeight="1" x14ac:dyDescent="0.3">
      <c r="A19" s="59" t="s">
        <v>958</v>
      </c>
      <c r="B19" s="59" t="s">
        <v>772</v>
      </c>
      <c r="C19" s="59" t="s">
        <v>959</v>
      </c>
      <c r="D19" s="59" t="s">
        <v>960</v>
      </c>
      <c r="E19" s="59" t="s">
        <v>775</v>
      </c>
      <c r="F19" s="60">
        <v>26436</v>
      </c>
      <c r="G19" s="59" t="s">
        <v>961</v>
      </c>
      <c r="H19" s="59" t="s">
        <v>962</v>
      </c>
      <c r="I19" s="60">
        <v>39064</v>
      </c>
      <c r="J19" s="61">
        <f t="shared" ca="1" si="0"/>
        <v>19</v>
      </c>
      <c r="K19" s="62">
        <f t="shared" si="1"/>
        <v>48351</v>
      </c>
      <c r="L19" s="59" t="s">
        <v>735</v>
      </c>
      <c r="M19" s="59" t="s">
        <v>810</v>
      </c>
      <c r="N19" s="59" t="s">
        <v>779</v>
      </c>
      <c r="O19" s="63">
        <v>16</v>
      </c>
      <c r="P19" s="61">
        <f>IFERROR(SUMPRODUCT((LK_GradeDerivation!$A$4:$A$135=N19)*(IF(O19="",0,O19)&gt;=LK_GradeDerivation!$B$4:$B$135)*(IF(O19="",0,O19)&lt;=LK_GradeDerivation!$C$4:$C$135)*LK_GradeDerivation!$D$4:$D$135),1)</f>
        <v>2</v>
      </c>
      <c r="Q19" s="61">
        <f>IFERROR(SUMPRODUCT((LK_GradeDerivation!$A$4:$A$135=N19)*(IF(O19="",0,O19)&gt;=LK_GradeDerivation!$B$4:$B$135)*(IF(O19="",0,O19)&lt;=LK_GradeDerivation!$C$4:$C$135)*LK_GradeDerivation!$E$4:$E$135),1)</f>
        <v>9</v>
      </c>
      <c r="R19" s="59" t="s">
        <v>963</v>
      </c>
      <c r="S19" s="59" t="s">
        <v>964</v>
      </c>
      <c r="T19" s="59" t="s">
        <v>782</v>
      </c>
      <c r="U19" s="59" t="s">
        <v>965</v>
      </c>
      <c r="V19" s="59" t="s">
        <v>966</v>
      </c>
      <c r="W19" s="59" t="s">
        <v>285</v>
      </c>
      <c r="X19" s="59" t="s">
        <v>544</v>
      </c>
      <c r="Y19" s="59" t="s">
        <v>546</v>
      </c>
      <c r="Z19" s="64" t="str">
        <f>IFERROR(VLOOKUP(T19,LK_OrgMaster!$B$4:$H$89,5,FALSE()),"Administration")</f>
        <v>Medical</v>
      </c>
      <c r="AA19" s="65" t="str">
        <f>IFERROR(VLOOKUP(X19,LK_LocationMaster!$D$4:$G$157,4,FALSE()),"No")</f>
        <v>Yes</v>
      </c>
      <c r="AB19" s="65" t="str">
        <f t="shared" si="2"/>
        <v>No</v>
      </c>
      <c r="AC19" s="65" t="str">
        <f>IFERROR(VLOOKUP(X19,LK_LocationMaster!$D$4:$H$157,5,FALSE()),"No")</f>
        <v>Yes</v>
      </c>
      <c r="AD19" s="59" t="s">
        <v>967</v>
      </c>
      <c r="AE19" s="59" t="s">
        <v>968</v>
      </c>
      <c r="AF19" s="59" t="s">
        <v>969</v>
      </c>
      <c r="AG19" s="59" t="s">
        <v>312</v>
      </c>
      <c r="AH19" s="59" t="s">
        <v>970</v>
      </c>
      <c r="AI19" s="59" t="s">
        <v>285</v>
      </c>
      <c r="AJ19" s="59" t="s">
        <v>747</v>
      </c>
      <c r="AK19" s="59" t="s">
        <v>748</v>
      </c>
      <c r="AL19" s="64" t="str">
        <f>IFERROR(INDEX(LK_BankMaster!$D$4:$D$23,MATCH(AJ19&amp;"|"&amp;AK19,LK_BankMaster!$H$4:$H$23,0)),"")</f>
        <v/>
      </c>
      <c r="AM19" s="59" t="s">
        <v>971</v>
      </c>
      <c r="AN19" s="64" t="str">
        <f>IFERROR(VLOOKUP(AJ19,LK_BankMaster!$A$4:$E$23,5,FALSE()),"")</f>
        <v/>
      </c>
      <c r="AO19" s="59" t="s">
        <v>291</v>
      </c>
      <c r="AP19" s="66">
        <v>0</v>
      </c>
      <c r="AQ19" s="64" t="str">
        <f t="shared" si="3"/>
        <v>Position Allowance - General Staff</v>
      </c>
      <c r="AR19" s="65" t="str">
        <f>IFERROR(VLOOKUP(T19,LK_OrgMaster!$B$4:$G$89,6,FALSE()),"No")</f>
        <v>No</v>
      </c>
      <c r="AS19" s="64" t="str">
        <f>IFERROR(VLOOKUP(T19,LK_OrgMaster!$B$4:$H$89,7,FALSE()),"None")</f>
        <v>Medical</v>
      </c>
      <c r="AT19" s="70">
        <v>39064</v>
      </c>
      <c r="AU19" s="70"/>
      <c r="AV19" s="70">
        <v>39064</v>
      </c>
      <c r="AW19" s="70">
        <v>46023</v>
      </c>
      <c r="AX19" s="71" t="s">
        <v>750</v>
      </c>
      <c r="AY19" s="72" t="s">
        <v>6260</v>
      </c>
    </row>
    <row r="20" spans="1:51" ht="15" customHeight="1" x14ac:dyDescent="0.3">
      <c r="A20" s="59" t="s">
        <v>972</v>
      </c>
      <c r="B20" s="59" t="s">
        <v>772</v>
      </c>
      <c r="C20" s="59" t="s">
        <v>973</v>
      </c>
      <c r="D20" s="59" t="s">
        <v>974</v>
      </c>
      <c r="E20" s="59" t="s">
        <v>775</v>
      </c>
      <c r="F20" s="60">
        <v>27194</v>
      </c>
      <c r="G20" s="59" t="s">
        <v>975</v>
      </c>
      <c r="H20" s="59" t="s">
        <v>976</v>
      </c>
      <c r="I20" s="60">
        <v>34381</v>
      </c>
      <c r="J20" s="61">
        <f t="shared" ca="1" si="0"/>
        <v>32</v>
      </c>
      <c r="K20" s="62">
        <f t="shared" si="1"/>
        <v>49109</v>
      </c>
      <c r="L20" s="59" t="s">
        <v>735</v>
      </c>
      <c r="M20" s="59" t="s">
        <v>910</v>
      </c>
      <c r="N20" s="59" t="s">
        <v>737</v>
      </c>
      <c r="O20" s="63">
        <v>0</v>
      </c>
      <c r="P20" s="61">
        <f>IFERROR(SUMPRODUCT((LK_GradeDerivation!$A$4:$A$135=N20)*(IF(O20="",0,O20)&gt;=LK_GradeDerivation!$B$4:$B$135)*(IF(O20="",0,O20)&lt;=LK_GradeDerivation!$C$4:$C$135)*LK_GradeDerivation!$D$4:$D$135),1)</f>
        <v>4</v>
      </c>
      <c r="Q20" s="61">
        <f>IFERROR(SUMPRODUCT((LK_GradeDerivation!$A$4:$A$135=N20)*(IF(O20="",0,O20)&gt;=LK_GradeDerivation!$B$4:$B$135)*(IF(O20="",0,O20)&lt;=LK_GradeDerivation!$C$4:$C$135)*LK_GradeDerivation!$E$4:$E$135),1)</f>
        <v>1</v>
      </c>
      <c r="R20" s="59" t="s">
        <v>977</v>
      </c>
      <c r="S20" s="59" t="s">
        <v>978</v>
      </c>
      <c r="T20" s="59" t="s">
        <v>979</v>
      </c>
      <c r="U20" s="59" t="s">
        <v>980</v>
      </c>
      <c r="V20" s="59" t="s">
        <v>981</v>
      </c>
      <c r="W20" s="59" t="s">
        <v>285</v>
      </c>
      <c r="X20" s="59" t="s">
        <v>340</v>
      </c>
      <c r="Y20" s="59" t="s">
        <v>354</v>
      </c>
      <c r="Z20" s="64" t="str">
        <f>IFERROR(VLOOKUP(T20,LK_OrgMaster!$B$4:$H$89,5,FALSE()),"Administration")</f>
        <v>Administration</v>
      </c>
      <c r="AA20" s="65" t="str">
        <f>IFERROR(VLOOKUP(X20,LK_LocationMaster!$D$4:$G$157,4,FALSE()),"No")</f>
        <v>No</v>
      </c>
      <c r="AB20" s="65" t="str">
        <f t="shared" si="2"/>
        <v>No</v>
      </c>
      <c r="AC20" s="65" t="str">
        <f>IFERROR(VLOOKUP(X20,LK_LocationMaster!$D$4:$H$157,5,FALSE()),"No")</f>
        <v>No</v>
      </c>
      <c r="AD20" s="59" t="s">
        <v>982</v>
      </c>
      <c r="AE20" s="59" t="s">
        <v>983</v>
      </c>
      <c r="AF20" s="59" t="s">
        <v>984</v>
      </c>
      <c r="AG20" s="59" t="s">
        <v>391</v>
      </c>
      <c r="AH20" s="59" t="s">
        <v>985</v>
      </c>
      <c r="AI20" s="59" t="s">
        <v>285</v>
      </c>
      <c r="AJ20" s="59" t="s">
        <v>833</v>
      </c>
      <c r="AK20" s="59" t="s">
        <v>834</v>
      </c>
      <c r="AL20" s="64" t="str">
        <f>IFERROR(INDEX(LK_BankMaster!$D$4:$D$23,MATCH(AJ20&amp;"|"&amp;AK20,LK_BankMaster!$H$4:$H$23,0)),"")</f>
        <v/>
      </c>
      <c r="AM20" s="59" t="s">
        <v>986</v>
      </c>
      <c r="AN20" s="64" t="str">
        <f>IFERROR(VLOOKUP(AJ20,LK_BankMaster!$A$4:$E$23,5,FALSE()),"")</f>
        <v/>
      </c>
      <c r="AO20" s="59" t="s">
        <v>291</v>
      </c>
      <c r="AP20" s="66">
        <v>0</v>
      </c>
      <c r="AQ20" s="64" t="str">
        <f t="shared" si="3"/>
        <v>Position Allowance - Division Chief</v>
      </c>
      <c r="AR20" s="65" t="str">
        <f>IFERROR(VLOOKUP(T20,LK_OrgMaster!$B$4:$G$89,6,FALSE()),"No")</f>
        <v>No</v>
      </c>
      <c r="AS20" s="64" t="str">
        <f>IFERROR(VLOOKUP(T20,LK_OrgMaster!$B$4:$H$89,7,FALSE()),"None")</f>
        <v>None</v>
      </c>
      <c r="AT20" s="67">
        <v>34381</v>
      </c>
      <c r="AU20" s="67"/>
      <c r="AV20" s="67">
        <v>34381</v>
      </c>
      <c r="AW20" s="67">
        <v>46023</v>
      </c>
      <c r="AX20" s="68" t="s">
        <v>750</v>
      </c>
      <c r="AY20" s="69" t="s">
        <v>6260</v>
      </c>
    </row>
    <row r="21" spans="1:51" ht="15" customHeight="1" x14ac:dyDescent="0.3">
      <c r="A21" s="59" t="s">
        <v>987</v>
      </c>
      <c r="B21" s="59" t="s">
        <v>729</v>
      </c>
      <c r="C21" s="59" t="s">
        <v>988</v>
      </c>
      <c r="D21" s="59" t="s">
        <v>989</v>
      </c>
      <c r="E21" s="59" t="s">
        <v>732</v>
      </c>
      <c r="F21" s="60">
        <v>24579</v>
      </c>
      <c r="G21" s="59" t="s">
        <v>990</v>
      </c>
      <c r="H21" s="59" t="s">
        <v>991</v>
      </c>
      <c r="I21" s="60">
        <v>35248</v>
      </c>
      <c r="J21" s="61">
        <f t="shared" ca="1" si="0"/>
        <v>29</v>
      </c>
      <c r="K21" s="62">
        <f t="shared" si="1"/>
        <v>46494</v>
      </c>
      <c r="L21" s="59" t="s">
        <v>735</v>
      </c>
      <c r="M21" s="59" t="s">
        <v>992</v>
      </c>
      <c r="N21" s="59" t="s">
        <v>779</v>
      </c>
      <c r="O21" s="63">
        <v>11</v>
      </c>
      <c r="P21" s="61">
        <f>IFERROR(SUMPRODUCT((LK_GradeDerivation!$A$4:$A$135=N21)*(IF(O21="",0,O21)&gt;=LK_GradeDerivation!$B$4:$B$135)*(IF(O21="",0,O21)&lt;=LK_GradeDerivation!$C$4:$C$135)*LK_GradeDerivation!$D$4:$D$135),1)</f>
        <v>2</v>
      </c>
      <c r="Q21" s="61">
        <f>IFERROR(SUMPRODUCT((LK_GradeDerivation!$A$4:$A$135=N21)*(IF(O21="",0,O21)&gt;=LK_GradeDerivation!$B$4:$B$135)*(IF(O21="",0,O21)&lt;=LK_GradeDerivation!$C$4:$C$135)*LK_GradeDerivation!$E$4:$E$135),1)</f>
        <v>6</v>
      </c>
      <c r="R21" s="59" t="s">
        <v>993</v>
      </c>
      <c r="S21" s="59" t="s">
        <v>994</v>
      </c>
      <c r="T21" s="59" t="s">
        <v>740</v>
      </c>
      <c r="U21" s="59" t="s">
        <v>741</v>
      </c>
      <c r="V21" s="59" t="s">
        <v>995</v>
      </c>
      <c r="W21" s="59" t="s">
        <v>285</v>
      </c>
      <c r="X21" s="59" t="s">
        <v>554</v>
      </c>
      <c r="Y21" s="59" t="s">
        <v>569</v>
      </c>
      <c r="Z21" s="64" t="str">
        <f>IFERROR(VLOOKUP(T21,LK_OrgMaster!$B$4:$H$89,5,FALSE()),"Administration")</f>
        <v>Teacher</v>
      </c>
      <c r="AA21" s="65" t="str">
        <f>IFERROR(VLOOKUP(X21,LK_LocationMaster!$D$4:$G$157,4,FALSE()),"No")</f>
        <v>No</v>
      </c>
      <c r="AB21" s="65" t="str">
        <f t="shared" si="2"/>
        <v>No</v>
      </c>
      <c r="AC21" s="65" t="str">
        <f>IFERROR(VLOOKUP(X21,LK_LocationMaster!$D$4:$H$157,5,FALSE()),"No")</f>
        <v>No</v>
      </c>
      <c r="AD21" s="59" t="s">
        <v>996</v>
      </c>
      <c r="AE21" s="59" t="s">
        <v>997</v>
      </c>
      <c r="AF21" s="59" t="s">
        <v>915</v>
      </c>
      <c r="AG21" s="59" t="s">
        <v>408</v>
      </c>
      <c r="AH21" s="59" t="s">
        <v>998</v>
      </c>
      <c r="AI21" s="59" t="s">
        <v>285</v>
      </c>
      <c r="AJ21" s="59" t="s">
        <v>788</v>
      </c>
      <c r="AK21" s="59" t="s">
        <v>999</v>
      </c>
      <c r="AL21" s="64" t="str">
        <f>IFERROR(INDEX(LK_BankMaster!$D$4:$D$23,MATCH(AJ21&amp;"|"&amp;AK21,LK_BankMaster!$H$4:$H$23,0)),"")</f>
        <v/>
      </c>
      <c r="AM21" s="59" t="s">
        <v>1000</v>
      </c>
      <c r="AN21" s="64" t="str">
        <f>IFERROR(VLOOKUP(AJ21,LK_BankMaster!$A$4:$E$23,5,FALSE()),"")</f>
        <v/>
      </c>
      <c r="AO21" s="59" t="s">
        <v>314</v>
      </c>
      <c r="AP21" s="66">
        <v>2</v>
      </c>
      <c r="AQ21" s="64" t="str">
        <f t="shared" si="3"/>
        <v>Position Allowance - General Staff</v>
      </c>
      <c r="AR21" s="65" t="str">
        <f>IFERROR(VLOOKUP(T21,LK_OrgMaster!$B$4:$G$89,6,FALSE()),"No")</f>
        <v>No</v>
      </c>
      <c r="AS21" s="64" t="str">
        <f>IFERROR(VLOOKUP(T21,LK_OrgMaster!$B$4:$H$89,7,FALSE()),"None")</f>
        <v>Teaching</v>
      </c>
      <c r="AT21" s="70">
        <v>35248</v>
      </c>
      <c r="AU21" s="70"/>
      <c r="AV21" s="70">
        <v>35248</v>
      </c>
      <c r="AW21" s="70">
        <v>46023</v>
      </c>
      <c r="AX21" s="71" t="s">
        <v>750</v>
      </c>
      <c r="AY21" s="72" t="s">
        <v>6260</v>
      </c>
    </row>
    <row r="22" spans="1:51" ht="15" customHeight="1" x14ac:dyDescent="0.3">
      <c r="A22" s="59" t="s">
        <v>1001</v>
      </c>
      <c r="B22" s="59" t="s">
        <v>752</v>
      </c>
      <c r="C22" s="59" t="s">
        <v>1002</v>
      </c>
      <c r="D22" s="59" t="s">
        <v>1003</v>
      </c>
      <c r="E22" s="59" t="s">
        <v>732</v>
      </c>
      <c r="F22" s="60">
        <v>33870</v>
      </c>
      <c r="G22" s="59" t="s">
        <v>1004</v>
      </c>
      <c r="H22" s="59" t="s">
        <v>1005</v>
      </c>
      <c r="I22" s="60">
        <v>34678</v>
      </c>
      <c r="J22" s="61">
        <f t="shared" ca="1" si="0"/>
        <v>31</v>
      </c>
      <c r="K22" s="62">
        <f t="shared" si="1"/>
        <v>55785</v>
      </c>
      <c r="L22" s="59" t="s">
        <v>735</v>
      </c>
      <c r="M22" s="59" t="s">
        <v>1006</v>
      </c>
      <c r="N22" s="59" t="s">
        <v>779</v>
      </c>
      <c r="O22" s="63">
        <v>0</v>
      </c>
      <c r="P22" s="61">
        <f>IFERROR(SUMPRODUCT((LK_GradeDerivation!$A$4:$A$135=N22)*(IF(O22="",0,O22)&gt;=LK_GradeDerivation!$B$4:$B$135)*(IF(O22="",0,O22)&lt;=LK_GradeDerivation!$C$4:$C$135)*LK_GradeDerivation!$D$4:$D$135),1)</f>
        <v>2</v>
      </c>
      <c r="Q22" s="61">
        <f>IFERROR(SUMPRODUCT((LK_GradeDerivation!$A$4:$A$135=N22)*(IF(O22="",0,O22)&gt;=LK_GradeDerivation!$B$4:$B$135)*(IF(O22="",0,O22)&lt;=LK_GradeDerivation!$C$4:$C$135)*LK_GradeDerivation!$E$4:$E$135),1)</f>
        <v>1</v>
      </c>
      <c r="R22" s="59" t="s">
        <v>1007</v>
      </c>
      <c r="S22" s="59" t="s">
        <v>1008</v>
      </c>
      <c r="T22" s="59" t="s">
        <v>859</v>
      </c>
      <c r="U22" s="59" t="s">
        <v>1009</v>
      </c>
      <c r="V22" s="59" t="s">
        <v>1010</v>
      </c>
      <c r="W22" s="59" t="s">
        <v>285</v>
      </c>
      <c r="X22" s="59" t="s">
        <v>554</v>
      </c>
      <c r="Y22" s="59" t="s">
        <v>569</v>
      </c>
      <c r="Z22" s="64" t="str">
        <f>IFERROR(VLOOKUP(T22,LK_OrgMaster!$B$4:$H$89,5,FALSE()),"Administration")</f>
        <v>Technical</v>
      </c>
      <c r="AA22" s="65" t="str">
        <f>IFERROR(VLOOKUP(X22,LK_LocationMaster!$D$4:$G$157,4,FALSE()),"No")</f>
        <v>No</v>
      </c>
      <c r="AB22" s="65" t="str">
        <f t="shared" si="2"/>
        <v>No</v>
      </c>
      <c r="AC22" s="65" t="str">
        <f>IFERROR(VLOOKUP(X22,LK_LocationMaster!$D$4:$H$157,5,FALSE()),"No")</f>
        <v>No</v>
      </c>
      <c r="AD22" s="59" t="s">
        <v>1011</v>
      </c>
      <c r="AE22" s="59" t="s">
        <v>800</v>
      </c>
      <c r="AF22" s="59" t="s">
        <v>901</v>
      </c>
      <c r="AG22" s="59" t="s">
        <v>312</v>
      </c>
      <c r="AH22" s="59" t="s">
        <v>1012</v>
      </c>
      <c r="AI22" s="59" t="s">
        <v>285</v>
      </c>
      <c r="AJ22" s="59" t="s">
        <v>833</v>
      </c>
      <c r="AK22" s="59" t="s">
        <v>1013</v>
      </c>
      <c r="AL22" s="64" t="str">
        <f>IFERROR(INDEX(LK_BankMaster!$D$4:$D$23,MATCH(AJ22&amp;"|"&amp;AK22,LK_BankMaster!$H$4:$H$23,0)),"")</f>
        <v/>
      </c>
      <c r="AM22" s="59" t="s">
        <v>1014</v>
      </c>
      <c r="AN22" s="64" t="str">
        <f>IFERROR(VLOOKUP(AJ22,LK_BankMaster!$A$4:$E$23,5,FALSE()),"")</f>
        <v/>
      </c>
      <c r="AO22" s="59" t="s">
        <v>314</v>
      </c>
      <c r="AP22" s="66">
        <v>1</v>
      </c>
      <c r="AQ22" s="64" t="str">
        <f t="shared" si="3"/>
        <v>Position Allowance - General Staff</v>
      </c>
      <c r="AR22" s="65" t="str">
        <f>IFERROR(VLOOKUP(T22,LK_OrgMaster!$B$4:$G$89,6,FALSE()),"No")</f>
        <v>No</v>
      </c>
      <c r="AS22" s="64" t="str">
        <f>IFERROR(VLOOKUP(T22,LK_OrgMaster!$B$4:$H$89,7,FALSE()),"None")</f>
        <v>None</v>
      </c>
      <c r="AT22" s="67">
        <v>34678</v>
      </c>
      <c r="AU22" s="67"/>
      <c r="AV22" s="67">
        <v>34678</v>
      </c>
      <c r="AW22" s="67">
        <v>46023</v>
      </c>
      <c r="AX22" s="68" t="s">
        <v>750</v>
      </c>
      <c r="AY22" s="69" t="s">
        <v>6260</v>
      </c>
    </row>
    <row r="23" spans="1:51" ht="15" customHeight="1" x14ac:dyDescent="0.3">
      <c r="A23" s="59" t="s">
        <v>1015</v>
      </c>
      <c r="B23" s="59" t="s">
        <v>772</v>
      </c>
      <c r="C23" s="59" t="s">
        <v>1016</v>
      </c>
      <c r="D23" s="59" t="s">
        <v>1017</v>
      </c>
      <c r="E23" s="59" t="s">
        <v>732</v>
      </c>
      <c r="F23" s="60">
        <v>33766</v>
      </c>
      <c r="G23" s="59" t="s">
        <v>1018</v>
      </c>
      <c r="H23" s="59" t="s">
        <v>1019</v>
      </c>
      <c r="I23" s="60">
        <v>35689</v>
      </c>
      <c r="J23" s="61">
        <f t="shared" ca="1" si="0"/>
        <v>28</v>
      </c>
      <c r="K23" s="62">
        <f t="shared" si="1"/>
        <v>55681</v>
      </c>
      <c r="L23" s="59" t="s">
        <v>735</v>
      </c>
      <c r="M23" s="59" t="s">
        <v>1020</v>
      </c>
      <c r="N23" s="59" t="s">
        <v>758</v>
      </c>
      <c r="O23" s="63">
        <v>0</v>
      </c>
      <c r="P23" s="61">
        <f>IFERROR(SUMPRODUCT((LK_GradeDerivation!$A$4:$A$135=N23)*(IF(O23="",0,O23)&gt;=LK_GradeDerivation!$B$4:$B$135)*(IF(O23="",0,O23)&lt;=LK_GradeDerivation!$C$4:$C$135)*LK_GradeDerivation!$D$4:$D$135),1)</f>
        <v>5</v>
      </c>
      <c r="Q23" s="61">
        <f>IFERROR(SUMPRODUCT((LK_GradeDerivation!$A$4:$A$135=N23)*(IF(O23="",0,O23)&gt;=LK_GradeDerivation!$B$4:$B$135)*(IF(O23="",0,O23)&lt;=LK_GradeDerivation!$C$4:$C$135)*LK_GradeDerivation!$E$4:$E$135),1)</f>
        <v>1</v>
      </c>
      <c r="R23" s="59" t="s">
        <v>1021</v>
      </c>
      <c r="S23" s="59" t="s">
        <v>1022</v>
      </c>
      <c r="T23" s="59" t="s">
        <v>1023</v>
      </c>
      <c r="U23" s="59" t="s">
        <v>1024</v>
      </c>
      <c r="V23" s="59" t="s">
        <v>1025</v>
      </c>
      <c r="W23" s="59" t="s">
        <v>285</v>
      </c>
      <c r="X23" s="59" t="s">
        <v>587</v>
      </c>
      <c r="Y23" s="59" t="s">
        <v>595</v>
      </c>
      <c r="Z23" s="64" t="str">
        <f>IFERROR(VLOOKUP(T23,LK_OrgMaster!$B$4:$H$89,5,FALSE()),"Administration")</f>
        <v>Technical</v>
      </c>
      <c r="AA23" s="65" t="str">
        <f>IFERROR(VLOOKUP(X23,LK_LocationMaster!$D$4:$G$157,4,FALSE()),"No")</f>
        <v>Yes</v>
      </c>
      <c r="AB23" s="65" t="str">
        <f t="shared" si="2"/>
        <v>No</v>
      </c>
      <c r="AC23" s="65" t="str">
        <f>IFERROR(VLOOKUP(X23,LK_LocationMaster!$D$4:$H$157,5,FALSE()),"No")</f>
        <v>Yes</v>
      </c>
      <c r="AD23" s="59" t="s">
        <v>1026</v>
      </c>
      <c r="AE23" s="59" t="s">
        <v>800</v>
      </c>
      <c r="AF23" s="59" t="s">
        <v>984</v>
      </c>
      <c r="AG23" s="59" t="s">
        <v>391</v>
      </c>
      <c r="AH23" s="59" t="s">
        <v>1027</v>
      </c>
      <c r="AI23" s="59" t="s">
        <v>285</v>
      </c>
      <c r="AJ23" s="59" t="s">
        <v>818</v>
      </c>
      <c r="AK23" s="59" t="s">
        <v>944</v>
      </c>
      <c r="AL23" s="64" t="str">
        <f>IFERROR(INDEX(LK_BankMaster!$D$4:$D$23,MATCH(AJ23&amp;"|"&amp;AK23,LK_BankMaster!$H$4:$H$23,0)),"")</f>
        <v/>
      </c>
      <c r="AM23" s="59" t="s">
        <v>1028</v>
      </c>
      <c r="AN23" s="64" t="str">
        <f>IFERROR(VLOOKUP(AJ23,LK_BankMaster!$A$4:$E$23,5,FALSE()),"")</f>
        <v/>
      </c>
      <c r="AO23" s="59" t="s">
        <v>291</v>
      </c>
      <c r="AP23" s="66">
        <v>0</v>
      </c>
      <c r="AQ23" s="64" t="str">
        <f t="shared" si="3"/>
        <v>Position Allowance - Section Chief</v>
      </c>
      <c r="AR23" s="65" t="str">
        <f>IFERROR(VLOOKUP(T23,LK_OrgMaster!$B$4:$G$89,6,FALSE()),"No")</f>
        <v>No</v>
      </c>
      <c r="AS23" s="64" t="str">
        <f>IFERROR(VLOOKUP(T23,LK_OrgMaster!$B$4:$H$89,7,FALSE()),"None")</f>
        <v>None</v>
      </c>
      <c r="AT23" s="70">
        <v>35689</v>
      </c>
      <c r="AU23" s="70"/>
      <c r="AV23" s="70">
        <v>35689</v>
      </c>
      <c r="AW23" s="70">
        <v>46023</v>
      </c>
      <c r="AX23" s="71" t="s">
        <v>750</v>
      </c>
      <c r="AY23" s="72" t="s">
        <v>6260</v>
      </c>
    </row>
    <row r="24" spans="1:51" ht="15" customHeight="1" x14ac:dyDescent="0.3">
      <c r="A24" s="59" t="s">
        <v>1029</v>
      </c>
      <c r="B24" s="59" t="s">
        <v>752</v>
      </c>
      <c r="C24" s="59" t="s">
        <v>1030</v>
      </c>
      <c r="D24" s="59" t="s">
        <v>838</v>
      </c>
      <c r="E24" s="59" t="s">
        <v>732</v>
      </c>
      <c r="F24" s="60">
        <v>34028</v>
      </c>
      <c r="G24" s="59" t="s">
        <v>1031</v>
      </c>
      <c r="H24" s="59" t="s">
        <v>1032</v>
      </c>
      <c r="I24" s="60">
        <v>34253</v>
      </c>
      <c r="J24" s="61">
        <f t="shared" ca="1" si="0"/>
        <v>32</v>
      </c>
      <c r="K24" s="62">
        <f t="shared" si="1"/>
        <v>55943</v>
      </c>
      <c r="L24" s="59" t="s">
        <v>735</v>
      </c>
      <c r="M24" s="59" t="s">
        <v>893</v>
      </c>
      <c r="N24" s="59" t="s">
        <v>779</v>
      </c>
      <c r="O24" s="63">
        <v>0</v>
      </c>
      <c r="P24" s="61">
        <f>IFERROR(SUMPRODUCT((LK_GradeDerivation!$A$4:$A$135=N24)*(IF(O24="",0,O24)&gt;=LK_GradeDerivation!$B$4:$B$135)*(IF(O24="",0,O24)&lt;=LK_GradeDerivation!$C$4:$C$135)*LK_GradeDerivation!$D$4:$D$135),1)</f>
        <v>2</v>
      </c>
      <c r="Q24" s="61">
        <f>IFERROR(SUMPRODUCT((LK_GradeDerivation!$A$4:$A$135=N24)*(IF(O24="",0,O24)&gt;=LK_GradeDerivation!$B$4:$B$135)*(IF(O24="",0,O24)&lt;=LK_GradeDerivation!$C$4:$C$135)*LK_GradeDerivation!$E$4:$E$135),1)</f>
        <v>1</v>
      </c>
      <c r="R24" s="59" t="s">
        <v>1033</v>
      </c>
      <c r="S24" s="59" t="s">
        <v>1034</v>
      </c>
      <c r="T24" s="59" t="s">
        <v>1035</v>
      </c>
      <c r="U24" s="59" t="s">
        <v>1036</v>
      </c>
      <c r="V24" s="59" t="s">
        <v>763</v>
      </c>
      <c r="W24" s="59" t="s">
        <v>285</v>
      </c>
      <c r="X24" s="59" t="s">
        <v>340</v>
      </c>
      <c r="Y24" s="59" t="s">
        <v>350</v>
      </c>
      <c r="Z24" s="64" t="str">
        <f>IFERROR(VLOOKUP(T24,LK_OrgMaster!$B$4:$H$89,5,FALSE()),"Administration")</f>
        <v>Administration</v>
      </c>
      <c r="AA24" s="65" t="str">
        <f>IFERROR(VLOOKUP(X24,LK_LocationMaster!$D$4:$G$157,4,FALSE()),"No")</f>
        <v>No</v>
      </c>
      <c r="AB24" s="65" t="str">
        <f t="shared" si="2"/>
        <v>No</v>
      </c>
      <c r="AC24" s="65" t="str">
        <f>IFERROR(VLOOKUP(X24,LK_LocationMaster!$D$4:$H$157,5,FALSE()),"No")</f>
        <v>No</v>
      </c>
      <c r="AD24" s="59" t="s">
        <v>1037</v>
      </c>
      <c r="AE24" s="59" t="s">
        <v>800</v>
      </c>
      <c r="AF24" s="59" t="s">
        <v>847</v>
      </c>
      <c r="AG24" s="59" t="s">
        <v>356</v>
      </c>
      <c r="AH24" s="59" t="s">
        <v>1038</v>
      </c>
      <c r="AI24" s="59" t="s">
        <v>285</v>
      </c>
      <c r="AJ24" s="59" t="s">
        <v>818</v>
      </c>
      <c r="AK24" s="59" t="s">
        <v>819</v>
      </c>
      <c r="AL24" s="64" t="str">
        <f>IFERROR(INDEX(LK_BankMaster!$D$4:$D$23,MATCH(AJ24&amp;"|"&amp;AK24,LK_BankMaster!$H$4:$H$23,0)),"")</f>
        <v/>
      </c>
      <c r="AM24" s="59" t="s">
        <v>1039</v>
      </c>
      <c r="AN24" s="64" t="str">
        <f>IFERROR(VLOOKUP(AJ24,LK_BankMaster!$A$4:$E$23,5,FALSE()),"")</f>
        <v/>
      </c>
      <c r="AO24" s="59" t="s">
        <v>314</v>
      </c>
      <c r="AP24" s="66">
        <v>1</v>
      </c>
      <c r="AQ24" s="64" t="str">
        <f t="shared" si="3"/>
        <v>Position Allowance - General Staff</v>
      </c>
      <c r="AR24" s="65" t="str">
        <f>IFERROR(VLOOKUP(T24,LK_OrgMaster!$B$4:$G$89,6,FALSE()),"No")</f>
        <v>No</v>
      </c>
      <c r="AS24" s="64" t="str">
        <f>IFERROR(VLOOKUP(T24,LK_OrgMaster!$B$4:$H$89,7,FALSE()),"None")</f>
        <v>None</v>
      </c>
      <c r="AT24" s="67">
        <v>34253</v>
      </c>
      <c r="AU24" s="67"/>
      <c r="AV24" s="67">
        <v>34253</v>
      </c>
      <c r="AW24" s="67">
        <v>46023</v>
      </c>
      <c r="AX24" s="68" t="s">
        <v>750</v>
      </c>
      <c r="AY24" s="69" t="s">
        <v>6260</v>
      </c>
    </row>
    <row r="25" spans="1:51" ht="15" customHeight="1" x14ac:dyDescent="0.3">
      <c r="A25" s="59" t="s">
        <v>1040</v>
      </c>
      <c r="B25" s="59" t="s">
        <v>772</v>
      </c>
      <c r="C25" s="59" t="s">
        <v>1041</v>
      </c>
      <c r="D25" s="59" t="s">
        <v>1042</v>
      </c>
      <c r="E25" s="59" t="s">
        <v>732</v>
      </c>
      <c r="F25" s="60">
        <v>30501</v>
      </c>
      <c r="G25" s="59" t="s">
        <v>1043</v>
      </c>
      <c r="H25" s="59" t="s">
        <v>1044</v>
      </c>
      <c r="I25" s="60">
        <v>40880</v>
      </c>
      <c r="J25" s="61">
        <f t="shared" ca="1" si="0"/>
        <v>14</v>
      </c>
      <c r="K25" s="62">
        <f t="shared" si="1"/>
        <v>52416</v>
      </c>
      <c r="L25" s="59" t="s">
        <v>735</v>
      </c>
      <c r="M25" s="59" t="s">
        <v>1045</v>
      </c>
      <c r="N25" s="59" t="s">
        <v>737</v>
      </c>
      <c r="O25" s="63">
        <v>6</v>
      </c>
      <c r="P25" s="61">
        <f>IFERROR(SUMPRODUCT((LK_GradeDerivation!$A$4:$A$135=N25)*(IF(O25="",0,O25)&gt;=LK_GradeDerivation!$B$4:$B$135)*(IF(O25="",0,O25)&lt;=LK_GradeDerivation!$C$4:$C$135)*LK_GradeDerivation!$D$4:$D$135),1)</f>
        <v>4</v>
      </c>
      <c r="Q25" s="61">
        <f>IFERROR(SUMPRODUCT((LK_GradeDerivation!$A$4:$A$135=N25)*(IF(O25="",0,O25)&gt;=LK_GradeDerivation!$B$4:$B$135)*(IF(O25="",0,O25)&lt;=LK_GradeDerivation!$C$4:$C$135)*LK_GradeDerivation!$E$4:$E$135),1)</f>
        <v>4</v>
      </c>
      <c r="R25" s="59" t="s">
        <v>1046</v>
      </c>
      <c r="S25" s="59" t="s">
        <v>1047</v>
      </c>
      <c r="T25" s="59" t="s">
        <v>844</v>
      </c>
      <c r="U25" s="59" t="s">
        <v>1048</v>
      </c>
      <c r="V25" s="59" t="s">
        <v>1049</v>
      </c>
      <c r="W25" s="59" t="s">
        <v>285</v>
      </c>
      <c r="X25" s="59" t="s">
        <v>340</v>
      </c>
      <c r="Y25" s="59" t="s">
        <v>348</v>
      </c>
      <c r="Z25" s="64" t="str">
        <f>IFERROR(VLOOKUP(T25,LK_OrgMaster!$B$4:$H$89,5,FALSE()),"Administration")</f>
        <v>Administration</v>
      </c>
      <c r="AA25" s="65" t="str">
        <f>IFERROR(VLOOKUP(X25,LK_LocationMaster!$D$4:$G$157,4,FALSE()),"No")</f>
        <v>No</v>
      </c>
      <c r="AB25" s="65" t="str">
        <f t="shared" si="2"/>
        <v>No</v>
      </c>
      <c r="AC25" s="65" t="str">
        <f>IFERROR(VLOOKUP(X25,LK_LocationMaster!$D$4:$H$157,5,FALSE()),"No")</f>
        <v>No</v>
      </c>
      <c r="AD25" s="59" t="s">
        <v>1050</v>
      </c>
      <c r="AE25" s="59" t="s">
        <v>765</v>
      </c>
      <c r="AF25" s="59" t="s">
        <v>766</v>
      </c>
      <c r="AG25" s="59" t="s">
        <v>368</v>
      </c>
      <c r="AH25" s="59" t="s">
        <v>1051</v>
      </c>
      <c r="AI25" s="59" t="s">
        <v>285</v>
      </c>
      <c r="AJ25" s="59" t="s">
        <v>833</v>
      </c>
      <c r="AK25" s="59" t="s">
        <v>834</v>
      </c>
      <c r="AL25" s="64" t="str">
        <f>IFERROR(INDEX(LK_BankMaster!$D$4:$D$23,MATCH(AJ25&amp;"|"&amp;AK25,LK_BankMaster!$H$4:$H$23,0)),"")</f>
        <v/>
      </c>
      <c r="AM25" s="59" t="s">
        <v>1052</v>
      </c>
      <c r="AN25" s="64" t="str">
        <f>IFERROR(VLOOKUP(AJ25,LK_BankMaster!$A$4:$E$23,5,FALSE()),"")</f>
        <v/>
      </c>
      <c r="AO25" s="59" t="s">
        <v>314</v>
      </c>
      <c r="AP25" s="66">
        <v>0</v>
      </c>
      <c r="AQ25" s="64" t="str">
        <f t="shared" si="3"/>
        <v>Position Allowance - General Staff</v>
      </c>
      <c r="AR25" s="65" t="str">
        <f>IFERROR(VLOOKUP(T25,LK_OrgMaster!$B$4:$G$89,6,FALSE()),"No")</f>
        <v>No</v>
      </c>
      <c r="AS25" s="64" t="str">
        <f>IFERROR(VLOOKUP(T25,LK_OrgMaster!$B$4:$H$89,7,FALSE()),"None")</f>
        <v>None</v>
      </c>
      <c r="AT25" s="70">
        <v>40880</v>
      </c>
      <c r="AU25" s="70"/>
      <c r="AV25" s="70">
        <v>40880</v>
      </c>
      <c r="AW25" s="70">
        <v>46023</v>
      </c>
      <c r="AX25" s="71" t="s">
        <v>750</v>
      </c>
      <c r="AY25" s="72" t="s">
        <v>6260</v>
      </c>
    </row>
    <row r="26" spans="1:51" ht="15" customHeight="1" x14ac:dyDescent="0.3">
      <c r="A26" s="59" t="s">
        <v>1053</v>
      </c>
      <c r="B26" s="59" t="s">
        <v>772</v>
      </c>
      <c r="C26" s="59" t="s">
        <v>837</v>
      </c>
      <c r="D26" s="59" t="s">
        <v>853</v>
      </c>
      <c r="E26" s="59" t="s">
        <v>775</v>
      </c>
      <c r="F26" s="60">
        <v>25881</v>
      </c>
      <c r="G26" s="59" t="s">
        <v>1054</v>
      </c>
      <c r="H26" s="59" t="s">
        <v>1055</v>
      </c>
      <c r="I26" s="60">
        <v>42475</v>
      </c>
      <c r="J26" s="61">
        <f t="shared" ca="1" si="0"/>
        <v>9</v>
      </c>
      <c r="K26" s="62">
        <f t="shared" si="1"/>
        <v>47796</v>
      </c>
      <c r="L26" s="59" t="s">
        <v>735</v>
      </c>
      <c r="M26" s="59" t="s">
        <v>1020</v>
      </c>
      <c r="N26" s="59" t="s">
        <v>737</v>
      </c>
      <c r="O26" s="63">
        <v>23</v>
      </c>
      <c r="P26" s="61">
        <f>IFERROR(SUMPRODUCT((LK_GradeDerivation!$A$4:$A$135=N26)*(IF(O26="",0,O26)&gt;=LK_GradeDerivation!$B$4:$B$135)*(IF(O26="",0,O26)&lt;=LK_GradeDerivation!$C$4:$C$135)*LK_GradeDerivation!$D$4:$D$135),1)</f>
        <v>4</v>
      </c>
      <c r="Q26" s="61">
        <f>IFERROR(SUMPRODUCT((LK_GradeDerivation!$A$4:$A$135=N26)*(IF(O26="",0,O26)&gt;=LK_GradeDerivation!$B$4:$B$135)*(IF(O26="",0,O26)&lt;=LK_GradeDerivation!$C$4:$C$135)*LK_GradeDerivation!$E$4:$E$135),1)</f>
        <v>12</v>
      </c>
      <c r="R26" s="59" t="s">
        <v>1056</v>
      </c>
      <c r="S26" s="59" t="s">
        <v>1057</v>
      </c>
      <c r="T26" s="59" t="s">
        <v>1058</v>
      </c>
      <c r="U26" s="59" t="s">
        <v>1059</v>
      </c>
      <c r="V26" s="59" t="s">
        <v>1060</v>
      </c>
      <c r="W26" s="59" t="s">
        <v>285</v>
      </c>
      <c r="X26" s="59" t="s">
        <v>288</v>
      </c>
      <c r="Y26" s="59" t="s">
        <v>308</v>
      </c>
      <c r="Z26" s="64" t="str">
        <f>IFERROR(VLOOKUP(T26,LK_OrgMaster!$B$4:$H$89,5,FALSE()),"Administration")</f>
        <v>Technical</v>
      </c>
      <c r="AA26" s="65" t="str">
        <f>IFERROR(VLOOKUP(X26,LK_LocationMaster!$D$4:$G$157,4,FALSE()),"No")</f>
        <v>No</v>
      </c>
      <c r="AB26" s="65" t="str">
        <f t="shared" si="2"/>
        <v>No</v>
      </c>
      <c r="AC26" s="65" t="str">
        <f>IFERROR(VLOOKUP(X26,LK_LocationMaster!$D$4:$H$157,5,FALSE()),"No")</f>
        <v>No</v>
      </c>
      <c r="AD26" s="59" t="s">
        <v>1061</v>
      </c>
      <c r="AE26" s="59" t="s">
        <v>800</v>
      </c>
      <c r="AF26" s="59" t="s">
        <v>745</v>
      </c>
      <c r="AG26" s="59" t="s">
        <v>391</v>
      </c>
      <c r="AH26" s="59" t="s">
        <v>1062</v>
      </c>
      <c r="AI26" s="59" t="s">
        <v>285</v>
      </c>
      <c r="AJ26" s="59" t="s">
        <v>768</v>
      </c>
      <c r="AK26" s="59" t="s">
        <v>1063</v>
      </c>
      <c r="AL26" s="64" t="str">
        <f>IFERROR(INDEX(LK_BankMaster!$D$4:$D$23,MATCH(AJ26&amp;"|"&amp;AK26,LK_BankMaster!$H$4:$H$23,0)),"")</f>
        <v/>
      </c>
      <c r="AM26" s="59" t="s">
        <v>1064</v>
      </c>
      <c r="AN26" s="64" t="str">
        <f>IFERROR(VLOOKUP(AJ26,LK_BankMaster!$A$4:$E$23,5,FALSE()),"")</f>
        <v/>
      </c>
      <c r="AO26" s="59" t="s">
        <v>314</v>
      </c>
      <c r="AP26" s="66">
        <v>2</v>
      </c>
      <c r="AQ26" s="64" t="str">
        <f t="shared" si="3"/>
        <v>Position Allowance - Section Chief</v>
      </c>
      <c r="AR26" s="65" t="str">
        <f>IFERROR(VLOOKUP(T26,LK_OrgMaster!$B$4:$G$89,6,FALSE()),"No")</f>
        <v>No</v>
      </c>
      <c r="AS26" s="64" t="str">
        <f>IFERROR(VLOOKUP(T26,LK_OrgMaster!$B$4:$H$89,7,FALSE()),"None")</f>
        <v>None</v>
      </c>
      <c r="AT26" s="67">
        <v>42475</v>
      </c>
      <c r="AU26" s="67"/>
      <c r="AV26" s="67">
        <v>42475</v>
      </c>
      <c r="AW26" s="67">
        <v>46023</v>
      </c>
      <c r="AX26" s="68" t="s">
        <v>750</v>
      </c>
      <c r="AY26" s="69" t="s">
        <v>6260</v>
      </c>
    </row>
    <row r="27" spans="1:51" ht="15" customHeight="1" x14ac:dyDescent="0.3">
      <c r="A27" s="59" t="s">
        <v>1065</v>
      </c>
      <c r="B27" s="59" t="s">
        <v>772</v>
      </c>
      <c r="C27" s="59" t="s">
        <v>890</v>
      </c>
      <c r="D27" s="59" t="s">
        <v>1066</v>
      </c>
      <c r="E27" s="59" t="s">
        <v>775</v>
      </c>
      <c r="F27" s="60">
        <v>30437</v>
      </c>
      <c r="G27" s="59" t="s">
        <v>1067</v>
      </c>
      <c r="H27" s="59" t="s">
        <v>1068</v>
      </c>
      <c r="I27" s="60">
        <v>45609</v>
      </c>
      <c r="J27" s="61">
        <f t="shared" ca="1" si="0"/>
        <v>1</v>
      </c>
      <c r="K27" s="62">
        <f t="shared" si="1"/>
        <v>52352</v>
      </c>
      <c r="L27" s="59" t="s">
        <v>735</v>
      </c>
      <c r="M27" s="59" t="s">
        <v>1069</v>
      </c>
      <c r="N27" s="59" t="s">
        <v>758</v>
      </c>
      <c r="O27" s="63">
        <v>16</v>
      </c>
      <c r="P27" s="61">
        <f>IFERROR(SUMPRODUCT((LK_GradeDerivation!$A$4:$A$135=N27)*(IF(O27="",0,O27)&gt;=LK_GradeDerivation!$B$4:$B$135)*(IF(O27="",0,O27)&lt;=LK_GradeDerivation!$C$4:$C$135)*LK_GradeDerivation!$D$4:$D$135),1)</f>
        <v>5</v>
      </c>
      <c r="Q27" s="61">
        <f>IFERROR(SUMPRODUCT((LK_GradeDerivation!$A$4:$A$135=N27)*(IF(O27="",0,O27)&gt;=LK_GradeDerivation!$B$4:$B$135)*(IF(O27="",0,O27)&lt;=LK_GradeDerivation!$C$4:$C$135)*LK_GradeDerivation!$E$4:$E$135),1)</f>
        <v>9</v>
      </c>
      <c r="R27" s="59" t="s">
        <v>1070</v>
      </c>
      <c r="S27" s="59" t="s">
        <v>1071</v>
      </c>
      <c r="T27" s="59" t="s">
        <v>761</v>
      </c>
      <c r="U27" s="59" t="s">
        <v>1072</v>
      </c>
      <c r="V27" s="59" t="s">
        <v>763</v>
      </c>
      <c r="W27" s="59" t="s">
        <v>285</v>
      </c>
      <c r="X27" s="59" t="s">
        <v>288</v>
      </c>
      <c r="Y27" s="59" t="s">
        <v>290</v>
      </c>
      <c r="Z27" s="64" t="str">
        <f>IFERROR(VLOOKUP(T27,LK_OrgMaster!$B$4:$H$89,5,FALSE()),"Administration")</f>
        <v>Administration</v>
      </c>
      <c r="AA27" s="65" t="str">
        <f>IFERROR(VLOOKUP(X27,LK_LocationMaster!$D$4:$G$157,4,FALSE()),"No")</f>
        <v>No</v>
      </c>
      <c r="AB27" s="65" t="str">
        <f t="shared" si="2"/>
        <v>No</v>
      </c>
      <c r="AC27" s="65" t="str">
        <f>IFERROR(VLOOKUP(X27,LK_LocationMaster!$D$4:$H$157,5,FALSE()),"No")</f>
        <v>No</v>
      </c>
      <c r="AD27" s="59" t="s">
        <v>1073</v>
      </c>
      <c r="AE27" s="59" t="s">
        <v>765</v>
      </c>
      <c r="AF27" s="59" t="s">
        <v>969</v>
      </c>
      <c r="AG27" s="59" t="s">
        <v>368</v>
      </c>
      <c r="AH27" s="59" t="s">
        <v>1074</v>
      </c>
      <c r="AI27" s="59" t="s">
        <v>285</v>
      </c>
      <c r="AJ27" s="59" t="s">
        <v>747</v>
      </c>
      <c r="AK27" s="59" t="s">
        <v>748</v>
      </c>
      <c r="AL27" s="64" t="str">
        <f>IFERROR(INDEX(LK_BankMaster!$D$4:$D$23,MATCH(AJ27&amp;"|"&amp;AK27,LK_BankMaster!$H$4:$H$23,0)),"")</f>
        <v/>
      </c>
      <c r="AM27" s="59" t="s">
        <v>1075</v>
      </c>
      <c r="AN27" s="64" t="str">
        <f>IFERROR(VLOOKUP(AJ27,LK_BankMaster!$A$4:$E$23,5,FALSE()),"")</f>
        <v/>
      </c>
      <c r="AO27" s="59" t="s">
        <v>291</v>
      </c>
      <c r="AP27" s="66">
        <v>0</v>
      </c>
      <c r="AQ27" s="64" t="str">
        <f t="shared" si="3"/>
        <v>Position Allowance - General Staff</v>
      </c>
      <c r="AR27" s="65" t="str">
        <f>IFERROR(VLOOKUP(T27,LK_OrgMaster!$B$4:$G$89,6,FALSE()),"No")</f>
        <v>Yes</v>
      </c>
      <c r="AS27" s="64" t="str">
        <f>IFERROR(VLOOKUP(T27,LK_OrgMaster!$B$4:$H$89,7,FALSE()),"None")</f>
        <v>None</v>
      </c>
      <c r="AT27" s="70">
        <v>45609</v>
      </c>
      <c r="AU27" s="70"/>
      <c r="AV27" s="70">
        <v>45609</v>
      </c>
      <c r="AW27" s="70">
        <v>46023</v>
      </c>
      <c r="AX27" s="71" t="s">
        <v>750</v>
      </c>
      <c r="AY27" s="72" t="s">
        <v>6260</v>
      </c>
    </row>
    <row r="28" spans="1:51" ht="15" customHeight="1" x14ac:dyDescent="0.3">
      <c r="A28" s="59" t="s">
        <v>1076</v>
      </c>
      <c r="B28" s="59" t="s">
        <v>851</v>
      </c>
      <c r="C28" s="59" t="s">
        <v>1077</v>
      </c>
      <c r="D28" s="59" t="s">
        <v>838</v>
      </c>
      <c r="E28" s="59" t="s">
        <v>775</v>
      </c>
      <c r="F28" s="60">
        <v>36201</v>
      </c>
      <c r="G28" s="59" t="s">
        <v>1078</v>
      </c>
      <c r="H28" s="59" t="s">
        <v>1079</v>
      </c>
      <c r="I28" s="60">
        <v>37595</v>
      </c>
      <c r="J28" s="61">
        <f t="shared" ca="1" si="0"/>
        <v>23</v>
      </c>
      <c r="K28" s="62">
        <f t="shared" si="1"/>
        <v>58116</v>
      </c>
      <c r="L28" s="59" t="s">
        <v>735</v>
      </c>
      <c r="M28" s="59" t="s">
        <v>1080</v>
      </c>
      <c r="N28" s="59" t="s">
        <v>1081</v>
      </c>
      <c r="O28" s="63">
        <v>0</v>
      </c>
      <c r="P28" s="61">
        <f>IFERROR(SUMPRODUCT((LK_GradeDerivation!$A$4:$A$135=N28)*(IF(O28="",0,O28)&gt;=LK_GradeDerivation!$B$4:$B$135)*(IF(O28="",0,O28)&lt;=LK_GradeDerivation!$C$4:$C$135)*LK_GradeDerivation!$D$4:$D$135),1)</f>
        <v>3</v>
      </c>
      <c r="Q28" s="61">
        <f>IFERROR(SUMPRODUCT((LK_GradeDerivation!$A$4:$A$135=N28)*(IF(O28="",0,O28)&gt;=LK_GradeDerivation!$B$4:$B$135)*(IF(O28="",0,O28)&lt;=LK_GradeDerivation!$C$4:$C$135)*LK_GradeDerivation!$E$4:$E$135),1)</f>
        <v>1</v>
      </c>
      <c r="R28" s="59" t="s">
        <v>1082</v>
      </c>
      <c r="S28" s="59" t="s">
        <v>1083</v>
      </c>
      <c r="T28" s="59" t="s">
        <v>1084</v>
      </c>
      <c r="U28" s="59" t="s">
        <v>1085</v>
      </c>
      <c r="V28" s="59" t="s">
        <v>1086</v>
      </c>
      <c r="W28" s="59" t="s">
        <v>285</v>
      </c>
      <c r="X28" s="59" t="s">
        <v>527</v>
      </c>
      <c r="Y28" s="59" t="s">
        <v>532</v>
      </c>
      <c r="Z28" s="64" t="str">
        <f>IFERROR(VLOOKUP(T28,LK_OrgMaster!$B$4:$H$89,5,FALSE()),"Administration")</f>
        <v>Finance</v>
      </c>
      <c r="AA28" s="65" t="str">
        <f>IFERROR(VLOOKUP(X28,LK_LocationMaster!$D$4:$G$157,4,FALSE()),"No")</f>
        <v>No</v>
      </c>
      <c r="AB28" s="65" t="str">
        <f t="shared" si="2"/>
        <v>No</v>
      </c>
      <c r="AC28" s="65" t="str">
        <f>IFERROR(VLOOKUP(X28,LK_LocationMaster!$D$4:$H$157,5,FALSE()),"No")</f>
        <v>No</v>
      </c>
      <c r="AD28" s="59" t="s">
        <v>1087</v>
      </c>
      <c r="AE28" s="59" t="s">
        <v>886</v>
      </c>
      <c r="AF28" s="59" t="s">
        <v>801</v>
      </c>
      <c r="AG28" s="59" t="s">
        <v>356</v>
      </c>
      <c r="AH28" s="59" t="s">
        <v>1088</v>
      </c>
      <c r="AI28" s="59" t="s">
        <v>285</v>
      </c>
      <c r="AJ28" s="59" t="s">
        <v>833</v>
      </c>
      <c r="AK28" s="59" t="s">
        <v>917</v>
      </c>
      <c r="AL28" s="64" t="str">
        <f>IFERROR(INDEX(LK_BankMaster!$D$4:$D$23,MATCH(AJ28&amp;"|"&amp;AK28,LK_BankMaster!$H$4:$H$23,0)),"")</f>
        <v/>
      </c>
      <c r="AM28" s="59" t="s">
        <v>1089</v>
      </c>
      <c r="AN28" s="64" t="str">
        <f>IFERROR(VLOOKUP(AJ28,LK_BankMaster!$A$4:$E$23,5,FALSE()),"")</f>
        <v/>
      </c>
      <c r="AO28" s="59" t="s">
        <v>314</v>
      </c>
      <c r="AP28" s="66">
        <v>2</v>
      </c>
      <c r="AQ28" s="64" t="str">
        <f t="shared" si="3"/>
        <v>Position Allowance - General Staff</v>
      </c>
      <c r="AR28" s="65" t="str">
        <f>IFERROR(VLOOKUP(T28,LK_OrgMaster!$B$4:$G$89,6,FALSE()),"No")</f>
        <v>No</v>
      </c>
      <c r="AS28" s="64" t="str">
        <f>IFERROR(VLOOKUP(T28,LK_OrgMaster!$B$4:$H$89,7,FALSE()),"None")</f>
        <v>None</v>
      </c>
      <c r="AT28" s="67">
        <v>37595</v>
      </c>
      <c r="AU28" s="67"/>
      <c r="AV28" s="67">
        <v>37595</v>
      </c>
      <c r="AW28" s="67">
        <v>46023</v>
      </c>
      <c r="AX28" s="68" t="s">
        <v>750</v>
      </c>
      <c r="AY28" s="69" t="s">
        <v>6260</v>
      </c>
    </row>
    <row r="29" spans="1:51" ht="15" customHeight="1" x14ac:dyDescent="0.3">
      <c r="A29" s="59" t="s">
        <v>1090</v>
      </c>
      <c r="B29" s="59" t="s">
        <v>752</v>
      </c>
      <c r="C29" s="59" t="s">
        <v>1091</v>
      </c>
      <c r="D29" s="59" t="s">
        <v>587</v>
      </c>
      <c r="E29" s="59" t="s">
        <v>732</v>
      </c>
      <c r="F29" s="60">
        <v>35312</v>
      </c>
      <c r="G29" s="59" t="s">
        <v>1092</v>
      </c>
      <c r="H29" s="59" t="s">
        <v>1093</v>
      </c>
      <c r="I29" s="60">
        <v>36534</v>
      </c>
      <c r="J29" s="61">
        <f t="shared" ca="1" si="0"/>
        <v>26</v>
      </c>
      <c r="K29" s="62">
        <f t="shared" si="1"/>
        <v>57227</v>
      </c>
      <c r="L29" s="59" t="s">
        <v>735</v>
      </c>
      <c r="M29" s="59" t="s">
        <v>757</v>
      </c>
      <c r="N29" s="59" t="s">
        <v>758</v>
      </c>
      <c r="O29" s="63">
        <v>0</v>
      </c>
      <c r="P29" s="61">
        <f>IFERROR(SUMPRODUCT((LK_GradeDerivation!$A$4:$A$135=N29)*(IF(O29="",0,O29)&gt;=LK_GradeDerivation!$B$4:$B$135)*(IF(O29="",0,O29)&lt;=LK_GradeDerivation!$C$4:$C$135)*LK_GradeDerivation!$D$4:$D$135),1)</f>
        <v>5</v>
      </c>
      <c r="Q29" s="61">
        <f>IFERROR(SUMPRODUCT((LK_GradeDerivation!$A$4:$A$135=N29)*(IF(O29="",0,O29)&gt;=LK_GradeDerivation!$B$4:$B$135)*(IF(O29="",0,O29)&lt;=LK_GradeDerivation!$C$4:$C$135)*LK_GradeDerivation!$E$4:$E$135),1)</f>
        <v>1</v>
      </c>
      <c r="R29" s="59" t="s">
        <v>1094</v>
      </c>
      <c r="S29" s="59" t="s">
        <v>1095</v>
      </c>
      <c r="T29" s="59" t="s">
        <v>1096</v>
      </c>
      <c r="U29" s="59" t="s">
        <v>953</v>
      </c>
      <c r="V29" s="59" t="s">
        <v>954</v>
      </c>
      <c r="W29" s="59" t="s">
        <v>285</v>
      </c>
      <c r="X29" s="59" t="s">
        <v>429</v>
      </c>
      <c r="Y29" s="59" t="s">
        <v>439</v>
      </c>
      <c r="Z29" s="64" t="str">
        <f>IFERROR(VLOOKUP(T29,LK_OrgMaster!$B$4:$H$89,5,FALSE()),"Administration")</f>
        <v>Administration</v>
      </c>
      <c r="AA29" s="65" t="str">
        <f>IFERROR(VLOOKUP(X29,LK_LocationMaster!$D$4:$G$157,4,FALSE()),"No")</f>
        <v>Yes</v>
      </c>
      <c r="AB29" s="65" t="str">
        <f t="shared" si="2"/>
        <v>No</v>
      </c>
      <c r="AC29" s="65" t="str">
        <f>IFERROR(VLOOKUP(X29,LK_LocationMaster!$D$4:$H$157,5,FALSE()),"No")</f>
        <v>Yes</v>
      </c>
      <c r="AD29" s="59" t="s">
        <v>1097</v>
      </c>
      <c r="AE29" s="59" t="s">
        <v>765</v>
      </c>
      <c r="AF29" s="59" t="s">
        <v>847</v>
      </c>
      <c r="AG29" s="59" t="s">
        <v>368</v>
      </c>
      <c r="AH29" s="59" t="s">
        <v>1098</v>
      </c>
      <c r="AI29" s="59" t="s">
        <v>285</v>
      </c>
      <c r="AJ29" s="59" t="s">
        <v>818</v>
      </c>
      <c r="AK29" s="59" t="s">
        <v>944</v>
      </c>
      <c r="AL29" s="64" t="str">
        <f>IFERROR(INDEX(LK_BankMaster!$D$4:$D$23,MATCH(AJ29&amp;"|"&amp;AK29,LK_BankMaster!$H$4:$H$23,0)),"")</f>
        <v/>
      </c>
      <c r="AM29" s="59" t="s">
        <v>1099</v>
      </c>
      <c r="AN29" s="64" t="str">
        <f>IFERROR(VLOOKUP(AJ29,LK_BankMaster!$A$4:$E$23,5,FALSE()),"")</f>
        <v/>
      </c>
      <c r="AO29" s="59" t="s">
        <v>291</v>
      </c>
      <c r="AP29" s="66">
        <v>0</v>
      </c>
      <c r="AQ29" s="64" t="str">
        <f t="shared" si="3"/>
        <v>Position Allowance - General Staff</v>
      </c>
      <c r="AR29" s="65" t="str">
        <f>IFERROR(VLOOKUP(T29,LK_OrgMaster!$B$4:$G$89,6,FALSE()),"No")</f>
        <v>No</v>
      </c>
      <c r="AS29" s="64" t="str">
        <f>IFERROR(VLOOKUP(T29,LK_OrgMaster!$B$4:$H$89,7,FALSE()),"None")</f>
        <v>None</v>
      </c>
      <c r="AT29" s="70">
        <v>36534</v>
      </c>
      <c r="AU29" s="70"/>
      <c r="AV29" s="70">
        <v>36534</v>
      </c>
      <c r="AW29" s="70">
        <v>46023</v>
      </c>
      <c r="AX29" s="71" t="s">
        <v>750</v>
      </c>
      <c r="AY29" s="72" t="s">
        <v>6260</v>
      </c>
    </row>
    <row r="30" spans="1:51" ht="15" customHeight="1" x14ac:dyDescent="0.3">
      <c r="A30" s="59" t="s">
        <v>1100</v>
      </c>
      <c r="B30" s="59" t="s">
        <v>851</v>
      </c>
      <c r="C30" s="59" t="s">
        <v>1101</v>
      </c>
      <c r="D30" s="59" t="s">
        <v>1042</v>
      </c>
      <c r="E30" s="59" t="s">
        <v>775</v>
      </c>
      <c r="F30" s="60">
        <v>34406</v>
      </c>
      <c r="G30" s="59" t="s">
        <v>1102</v>
      </c>
      <c r="H30" s="59" t="s">
        <v>1103</v>
      </c>
      <c r="I30" s="60">
        <v>43573</v>
      </c>
      <c r="J30" s="61">
        <f t="shared" ca="1" si="0"/>
        <v>6</v>
      </c>
      <c r="K30" s="62">
        <f t="shared" si="1"/>
        <v>56321</v>
      </c>
      <c r="L30" s="59" t="s">
        <v>735</v>
      </c>
      <c r="M30" s="59" t="s">
        <v>1104</v>
      </c>
      <c r="N30" s="59" t="s">
        <v>1081</v>
      </c>
      <c r="O30" s="63">
        <v>5</v>
      </c>
      <c r="P30" s="61">
        <f>IFERROR(SUMPRODUCT((LK_GradeDerivation!$A$4:$A$135=N30)*(IF(O30="",0,O30)&gt;=LK_GradeDerivation!$B$4:$B$135)*(IF(O30="",0,O30)&lt;=LK_GradeDerivation!$C$4:$C$135)*LK_GradeDerivation!$D$4:$D$135),1)</f>
        <v>3</v>
      </c>
      <c r="Q30" s="61">
        <f>IFERROR(SUMPRODUCT((LK_GradeDerivation!$A$4:$A$135=N30)*(IF(O30="",0,O30)&gt;=LK_GradeDerivation!$B$4:$B$135)*(IF(O30="",0,O30)&lt;=LK_GradeDerivation!$C$4:$C$135)*LK_GradeDerivation!$E$4:$E$135),1)</f>
        <v>3</v>
      </c>
      <c r="R30" s="59" t="s">
        <v>1105</v>
      </c>
      <c r="S30" s="59" t="s">
        <v>1106</v>
      </c>
      <c r="T30" s="59" t="s">
        <v>1023</v>
      </c>
      <c r="U30" s="59" t="s">
        <v>1024</v>
      </c>
      <c r="V30" s="59" t="s">
        <v>763</v>
      </c>
      <c r="W30" s="59" t="s">
        <v>285</v>
      </c>
      <c r="X30" s="59" t="s">
        <v>587</v>
      </c>
      <c r="Y30" s="59" t="s">
        <v>595</v>
      </c>
      <c r="Z30" s="64" t="str">
        <f>IFERROR(VLOOKUP(T30,LK_OrgMaster!$B$4:$H$89,5,FALSE()),"Administration")</f>
        <v>Technical</v>
      </c>
      <c r="AA30" s="65" t="str">
        <f>IFERROR(VLOOKUP(X30,LK_LocationMaster!$D$4:$G$157,4,FALSE()),"No")</f>
        <v>Yes</v>
      </c>
      <c r="AB30" s="65" t="str">
        <f t="shared" si="2"/>
        <v>No</v>
      </c>
      <c r="AC30" s="65" t="str">
        <f>IFERROR(VLOOKUP(X30,LK_LocationMaster!$D$4:$H$157,5,FALSE()),"No")</f>
        <v>Yes</v>
      </c>
      <c r="AD30" s="59" t="s">
        <v>1107</v>
      </c>
      <c r="AE30" s="59" t="s">
        <v>930</v>
      </c>
      <c r="AF30" s="59" t="s">
        <v>901</v>
      </c>
      <c r="AG30" s="59" t="s">
        <v>391</v>
      </c>
      <c r="AH30" s="59" t="s">
        <v>1108</v>
      </c>
      <c r="AI30" s="59" t="s">
        <v>285</v>
      </c>
      <c r="AJ30" s="59" t="s">
        <v>747</v>
      </c>
      <c r="AK30" s="59" t="s">
        <v>748</v>
      </c>
      <c r="AL30" s="64" t="str">
        <f>IFERROR(INDEX(LK_BankMaster!$D$4:$D$23,MATCH(AJ30&amp;"|"&amp;AK30,LK_BankMaster!$H$4:$H$23,0)),"")</f>
        <v/>
      </c>
      <c r="AM30" s="59" t="s">
        <v>1109</v>
      </c>
      <c r="AN30" s="64" t="str">
        <f>IFERROR(VLOOKUP(AJ30,LK_BankMaster!$A$4:$E$23,5,FALSE()),"")</f>
        <v/>
      </c>
      <c r="AO30" s="59" t="s">
        <v>291</v>
      </c>
      <c r="AP30" s="66">
        <v>0</v>
      </c>
      <c r="AQ30" s="64" t="str">
        <f t="shared" si="3"/>
        <v>Position Allowance - General Staff</v>
      </c>
      <c r="AR30" s="65" t="str">
        <f>IFERROR(VLOOKUP(T30,LK_OrgMaster!$B$4:$G$89,6,FALSE()),"No")</f>
        <v>No</v>
      </c>
      <c r="AS30" s="64" t="str">
        <f>IFERROR(VLOOKUP(T30,LK_OrgMaster!$B$4:$H$89,7,FALSE()),"None")</f>
        <v>None</v>
      </c>
      <c r="AT30" s="67">
        <v>43573</v>
      </c>
      <c r="AU30" s="67"/>
      <c r="AV30" s="67">
        <v>43573</v>
      </c>
      <c r="AW30" s="67">
        <v>46023</v>
      </c>
      <c r="AX30" s="68" t="s">
        <v>750</v>
      </c>
      <c r="AY30" s="69" t="s">
        <v>6260</v>
      </c>
    </row>
    <row r="31" spans="1:51" ht="15" customHeight="1" x14ac:dyDescent="0.3">
      <c r="A31" s="59" t="s">
        <v>1110</v>
      </c>
      <c r="B31" s="59" t="s">
        <v>772</v>
      </c>
      <c r="C31" s="59" t="s">
        <v>1111</v>
      </c>
      <c r="D31" s="59" t="s">
        <v>1112</v>
      </c>
      <c r="E31" s="59" t="s">
        <v>775</v>
      </c>
      <c r="F31" s="60">
        <v>27975</v>
      </c>
      <c r="G31" s="59" t="s">
        <v>1113</v>
      </c>
      <c r="H31" s="59" t="s">
        <v>1114</v>
      </c>
      <c r="I31" s="60">
        <v>39542</v>
      </c>
      <c r="J31" s="61">
        <f t="shared" ca="1" si="0"/>
        <v>17</v>
      </c>
      <c r="K31" s="62">
        <f t="shared" si="1"/>
        <v>49890</v>
      </c>
      <c r="L31" s="59" t="s">
        <v>735</v>
      </c>
      <c r="M31" s="59" t="s">
        <v>1115</v>
      </c>
      <c r="N31" s="59" t="s">
        <v>737</v>
      </c>
      <c r="O31" s="63">
        <v>9</v>
      </c>
      <c r="P31" s="61">
        <f>IFERROR(SUMPRODUCT((LK_GradeDerivation!$A$4:$A$135=N31)*(IF(O31="",0,O31)&gt;=LK_GradeDerivation!$B$4:$B$135)*(IF(O31="",0,O31)&lt;=LK_GradeDerivation!$C$4:$C$135)*LK_GradeDerivation!$D$4:$D$135),1)</f>
        <v>4</v>
      </c>
      <c r="Q31" s="61">
        <f>IFERROR(SUMPRODUCT((LK_GradeDerivation!$A$4:$A$135=N31)*(IF(O31="",0,O31)&gt;=LK_GradeDerivation!$B$4:$B$135)*(IF(O31="",0,O31)&lt;=LK_GradeDerivation!$C$4:$C$135)*LK_GradeDerivation!$E$4:$E$135),1)</f>
        <v>5</v>
      </c>
      <c r="R31" s="59" t="s">
        <v>1116</v>
      </c>
      <c r="S31" s="59" t="s">
        <v>1117</v>
      </c>
      <c r="T31" s="59" t="s">
        <v>1118</v>
      </c>
      <c r="U31" s="59" t="s">
        <v>1119</v>
      </c>
      <c r="V31" s="59" t="s">
        <v>763</v>
      </c>
      <c r="W31" s="59" t="s">
        <v>285</v>
      </c>
      <c r="X31" s="59" t="s">
        <v>288</v>
      </c>
      <c r="Y31" s="59" t="s">
        <v>290</v>
      </c>
      <c r="Z31" s="64" t="str">
        <f>IFERROR(VLOOKUP(T31,LK_OrgMaster!$B$4:$H$89,5,FALSE()),"Administration")</f>
        <v>Diplomatic</v>
      </c>
      <c r="AA31" s="65" t="str">
        <f>IFERROR(VLOOKUP(X31,LK_LocationMaster!$D$4:$G$157,4,FALSE()),"No")</f>
        <v>No</v>
      </c>
      <c r="AB31" s="65" t="str">
        <f t="shared" si="2"/>
        <v>No</v>
      </c>
      <c r="AC31" s="65" t="str">
        <f>IFERROR(VLOOKUP(X31,LK_LocationMaster!$D$4:$H$157,5,FALSE()),"No")</f>
        <v>No</v>
      </c>
      <c r="AD31" s="59" t="s">
        <v>1120</v>
      </c>
      <c r="AE31" s="59" t="s">
        <v>765</v>
      </c>
      <c r="AF31" s="59" t="s">
        <v>901</v>
      </c>
      <c r="AG31" s="59" t="s">
        <v>340</v>
      </c>
      <c r="AH31" s="59" t="s">
        <v>1121</v>
      </c>
      <c r="AI31" s="59" t="s">
        <v>285</v>
      </c>
      <c r="AJ31" s="59" t="s">
        <v>768</v>
      </c>
      <c r="AK31" s="59" t="s">
        <v>1122</v>
      </c>
      <c r="AL31" s="64" t="str">
        <f>IFERROR(INDEX(LK_BankMaster!$D$4:$D$23,MATCH(AJ31&amp;"|"&amp;AK31,LK_BankMaster!$H$4:$H$23,0)),"")</f>
        <v/>
      </c>
      <c r="AM31" s="59" t="s">
        <v>1123</v>
      </c>
      <c r="AN31" s="64" t="str">
        <f>IFERROR(VLOOKUP(AJ31,LK_BankMaster!$A$4:$E$23,5,FALSE()),"")</f>
        <v/>
      </c>
      <c r="AO31" s="59" t="s">
        <v>291</v>
      </c>
      <c r="AP31" s="66">
        <v>0</v>
      </c>
      <c r="AQ31" s="64" t="str">
        <f t="shared" si="3"/>
        <v>Position Allowance - General Staff</v>
      </c>
      <c r="AR31" s="65" t="str">
        <f>IFERROR(VLOOKUP(T31,LK_OrgMaster!$B$4:$G$89,6,FALSE()),"No")</f>
        <v>No</v>
      </c>
      <c r="AS31" s="64" t="str">
        <f>IFERROR(VLOOKUP(T31,LK_OrgMaster!$B$4:$H$89,7,FALSE()),"None")</f>
        <v>None</v>
      </c>
      <c r="AT31" s="70">
        <v>39542</v>
      </c>
      <c r="AU31" s="70"/>
      <c r="AV31" s="70">
        <v>39542</v>
      </c>
      <c r="AW31" s="70">
        <v>46023</v>
      </c>
      <c r="AX31" s="71" t="s">
        <v>750</v>
      </c>
      <c r="AY31" s="72" t="s">
        <v>6260</v>
      </c>
    </row>
    <row r="32" spans="1:51" ht="15" customHeight="1" x14ac:dyDescent="0.3">
      <c r="A32" s="59" t="s">
        <v>1124</v>
      </c>
      <c r="B32" s="59" t="s">
        <v>772</v>
      </c>
      <c r="C32" s="59" t="s">
        <v>1125</v>
      </c>
      <c r="D32" s="59" t="s">
        <v>754</v>
      </c>
      <c r="E32" s="59" t="s">
        <v>732</v>
      </c>
      <c r="F32" s="60">
        <v>34511</v>
      </c>
      <c r="G32" s="59" t="s">
        <v>1126</v>
      </c>
      <c r="H32" s="59" t="s">
        <v>1127</v>
      </c>
      <c r="I32" s="60">
        <v>45352</v>
      </c>
      <c r="J32" s="61">
        <f t="shared" ca="1" si="0"/>
        <v>2</v>
      </c>
      <c r="K32" s="62">
        <f t="shared" si="1"/>
        <v>56426</v>
      </c>
      <c r="L32" s="59" t="s">
        <v>735</v>
      </c>
      <c r="M32" s="59" t="s">
        <v>1104</v>
      </c>
      <c r="N32" s="59" t="s">
        <v>779</v>
      </c>
      <c r="O32" s="63">
        <v>11</v>
      </c>
      <c r="P32" s="61">
        <f>IFERROR(SUMPRODUCT((LK_GradeDerivation!$A$4:$A$135=N32)*(IF(O32="",0,O32)&gt;=LK_GradeDerivation!$B$4:$B$135)*(IF(O32="",0,O32)&lt;=LK_GradeDerivation!$C$4:$C$135)*LK_GradeDerivation!$D$4:$D$135),1)</f>
        <v>2</v>
      </c>
      <c r="Q32" s="61">
        <f>IFERROR(SUMPRODUCT((LK_GradeDerivation!$A$4:$A$135=N32)*(IF(O32="",0,O32)&gt;=LK_GradeDerivation!$B$4:$B$135)*(IF(O32="",0,O32)&lt;=LK_GradeDerivation!$C$4:$C$135)*LK_GradeDerivation!$E$4:$E$135),1)</f>
        <v>6</v>
      </c>
      <c r="R32" s="59" t="s">
        <v>1128</v>
      </c>
      <c r="S32" s="59" t="s">
        <v>1129</v>
      </c>
      <c r="T32" s="59" t="s">
        <v>1023</v>
      </c>
      <c r="U32" s="59" t="s">
        <v>1130</v>
      </c>
      <c r="V32" s="59" t="s">
        <v>1131</v>
      </c>
      <c r="W32" s="59" t="s">
        <v>285</v>
      </c>
      <c r="X32" s="59" t="s">
        <v>463</v>
      </c>
      <c r="Y32" s="59" t="s">
        <v>465</v>
      </c>
      <c r="Z32" s="64" t="str">
        <f>IFERROR(VLOOKUP(T32,LK_OrgMaster!$B$4:$H$89,5,FALSE()),"Administration")</f>
        <v>Technical</v>
      </c>
      <c r="AA32" s="65" t="str">
        <f>IFERROR(VLOOKUP(X32,LK_LocationMaster!$D$4:$G$157,4,FALSE()),"No")</f>
        <v>No</v>
      </c>
      <c r="AB32" s="65" t="str">
        <f t="shared" si="2"/>
        <v>No</v>
      </c>
      <c r="AC32" s="65" t="str">
        <f>IFERROR(VLOOKUP(X32,LK_LocationMaster!$D$4:$H$157,5,FALSE()),"No")</f>
        <v>No</v>
      </c>
      <c r="AD32" s="59" t="s">
        <v>1132</v>
      </c>
      <c r="AE32" s="59" t="s">
        <v>886</v>
      </c>
      <c r="AF32" s="59" t="s">
        <v>766</v>
      </c>
      <c r="AG32" s="59" t="s">
        <v>312</v>
      </c>
      <c r="AH32" s="59" t="s">
        <v>1133</v>
      </c>
      <c r="AI32" s="59" t="s">
        <v>285</v>
      </c>
      <c r="AJ32" s="59" t="s">
        <v>833</v>
      </c>
      <c r="AK32" s="59" t="s">
        <v>834</v>
      </c>
      <c r="AL32" s="64" t="str">
        <f>IFERROR(INDEX(LK_BankMaster!$D$4:$D$23,MATCH(AJ32&amp;"|"&amp;AK32,LK_BankMaster!$H$4:$H$23,0)),"")</f>
        <v/>
      </c>
      <c r="AM32" s="59" t="s">
        <v>1134</v>
      </c>
      <c r="AN32" s="64" t="str">
        <f>IFERROR(VLOOKUP(AJ32,LK_BankMaster!$A$4:$E$23,5,FALSE()),"")</f>
        <v/>
      </c>
      <c r="AO32" s="59" t="s">
        <v>314</v>
      </c>
      <c r="AP32" s="66">
        <v>3</v>
      </c>
      <c r="AQ32" s="64" t="str">
        <f t="shared" si="3"/>
        <v>Position Allowance - General Staff</v>
      </c>
      <c r="AR32" s="65" t="str">
        <f>IFERROR(VLOOKUP(T32,LK_OrgMaster!$B$4:$G$89,6,FALSE()),"No")</f>
        <v>No</v>
      </c>
      <c r="AS32" s="64" t="str">
        <f>IFERROR(VLOOKUP(T32,LK_OrgMaster!$B$4:$H$89,7,FALSE()),"None")</f>
        <v>None</v>
      </c>
      <c r="AT32" s="67">
        <v>45352</v>
      </c>
      <c r="AU32" s="67"/>
      <c r="AV32" s="67">
        <v>45352</v>
      </c>
      <c r="AW32" s="67">
        <v>46023</v>
      </c>
      <c r="AX32" s="68" t="s">
        <v>750</v>
      </c>
      <c r="AY32" s="69" t="s">
        <v>6260</v>
      </c>
    </row>
    <row r="33" spans="1:51" ht="15" customHeight="1" x14ac:dyDescent="0.3">
      <c r="A33" s="59" t="s">
        <v>1135</v>
      </c>
      <c r="B33" s="59" t="s">
        <v>772</v>
      </c>
      <c r="C33" s="59" t="s">
        <v>1136</v>
      </c>
      <c r="D33" s="59" t="s">
        <v>1137</v>
      </c>
      <c r="E33" s="59" t="s">
        <v>775</v>
      </c>
      <c r="F33" s="60">
        <v>36721</v>
      </c>
      <c r="G33" s="59" t="s">
        <v>1138</v>
      </c>
      <c r="H33" s="59" t="s">
        <v>1139</v>
      </c>
      <c r="I33" s="60">
        <v>44801</v>
      </c>
      <c r="J33" s="61">
        <f t="shared" ca="1" si="0"/>
        <v>3</v>
      </c>
      <c r="K33" s="62">
        <f t="shared" si="1"/>
        <v>58636</v>
      </c>
      <c r="L33" s="59" t="s">
        <v>735</v>
      </c>
      <c r="M33" s="59" t="s">
        <v>1006</v>
      </c>
      <c r="N33" s="59" t="s">
        <v>737</v>
      </c>
      <c r="O33" s="63">
        <v>0</v>
      </c>
      <c r="P33" s="61">
        <f>IFERROR(SUMPRODUCT((LK_GradeDerivation!$A$4:$A$135=N33)*(IF(O33="",0,O33)&gt;=LK_GradeDerivation!$B$4:$B$135)*(IF(O33="",0,O33)&lt;=LK_GradeDerivation!$C$4:$C$135)*LK_GradeDerivation!$D$4:$D$135),1)</f>
        <v>4</v>
      </c>
      <c r="Q33" s="61">
        <f>IFERROR(SUMPRODUCT((LK_GradeDerivation!$A$4:$A$135=N33)*(IF(O33="",0,O33)&gt;=LK_GradeDerivation!$B$4:$B$135)*(IF(O33="",0,O33)&lt;=LK_GradeDerivation!$C$4:$C$135)*LK_GradeDerivation!$E$4:$E$135),1)</f>
        <v>1</v>
      </c>
      <c r="R33" s="59" t="s">
        <v>1140</v>
      </c>
      <c r="S33" s="59" t="s">
        <v>1141</v>
      </c>
      <c r="T33" s="59" t="s">
        <v>859</v>
      </c>
      <c r="U33" s="59" t="s">
        <v>940</v>
      </c>
      <c r="V33" s="59" t="s">
        <v>1142</v>
      </c>
      <c r="W33" s="59" t="s">
        <v>285</v>
      </c>
      <c r="X33" s="59" t="s">
        <v>554</v>
      </c>
      <c r="Y33" s="59" t="s">
        <v>569</v>
      </c>
      <c r="Z33" s="64" t="str">
        <f>IFERROR(VLOOKUP(T33,LK_OrgMaster!$B$4:$H$89,5,FALSE()),"Administration")</f>
        <v>Technical</v>
      </c>
      <c r="AA33" s="65" t="str">
        <f>IFERROR(VLOOKUP(X33,LK_LocationMaster!$D$4:$G$157,4,FALSE()),"No")</f>
        <v>No</v>
      </c>
      <c r="AB33" s="65" t="str">
        <f t="shared" si="2"/>
        <v>No</v>
      </c>
      <c r="AC33" s="65" t="str">
        <f>IFERROR(VLOOKUP(X33,LK_LocationMaster!$D$4:$H$157,5,FALSE()),"No")</f>
        <v>No</v>
      </c>
      <c r="AD33" s="59" t="s">
        <v>1143</v>
      </c>
      <c r="AE33" s="59" t="s">
        <v>1144</v>
      </c>
      <c r="AF33" s="59" t="s">
        <v>745</v>
      </c>
      <c r="AG33" s="59" t="s">
        <v>368</v>
      </c>
      <c r="AH33" s="59" t="s">
        <v>1145</v>
      </c>
      <c r="AI33" s="59" t="s">
        <v>285</v>
      </c>
      <c r="AJ33" s="59" t="s">
        <v>788</v>
      </c>
      <c r="AK33" s="59" t="s">
        <v>1146</v>
      </c>
      <c r="AL33" s="64" t="str">
        <f>IFERROR(INDEX(LK_BankMaster!$D$4:$D$23,MATCH(AJ33&amp;"|"&amp;AK33,LK_BankMaster!$H$4:$H$23,0)),"")</f>
        <v/>
      </c>
      <c r="AM33" s="59" t="s">
        <v>1147</v>
      </c>
      <c r="AN33" s="64" t="str">
        <f>IFERROR(VLOOKUP(AJ33,LK_BankMaster!$A$4:$E$23,5,FALSE()),"")</f>
        <v/>
      </c>
      <c r="AO33" s="59" t="s">
        <v>314</v>
      </c>
      <c r="AP33" s="66">
        <v>0</v>
      </c>
      <c r="AQ33" s="64" t="str">
        <f t="shared" si="3"/>
        <v>Position Allowance - General Staff</v>
      </c>
      <c r="AR33" s="65" t="str">
        <f>IFERROR(VLOOKUP(T33,LK_OrgMaster!$B$4:$G$89,6,FALSE()),"No")</f>
        <v>No</v>
      </c>
      <c r="AS33" s="64" t="str">
        <f>IFERROR(VLOOKUP(T33,LK_OrgMaster!$B$4:$H$89,7,FALSE()),"None")</f>
        <v>None</v>
      </c>
      <c r="AT33" s="70">
        <v>44801</v>
      </c>
      <c r="AU33" s="70"/>
      <c r="AV33" s="70">
        <v>44801</v>
      </c>
      <c r="AW33" s="70">
        <v>46023</v>
      </c>
      <c r="AX33" s="71" t="s">
        <v>750</v>
      </c>
      <c r="AY33" s="72" t="s">
        <v>6260</v>
      </c>
    </row>
    <row r="34" spans="1:51" ht="15" customHeight="1" x14ac:dyDescent="0.3">
      <c r="A34" s="59" t="s">
        <v>1148</v>
      </c>
      <c r="B34" s="59" t="s">
        <v>851</v>
      </c>
      <c r="C34" s="59" t="s">
        <v>1149</v>
      </c>
      <c r="D34" s="59" t="s">
        <v>989</v>
      </c>
      <c r="E34" s="59" t="s">
        <v>775</v>
      </c>
      <c r="F34" s="60">
        <v>32002</v>
      </c>
      <c r="G34" s="59" t="s">
        <v>1150</v>
      </c>
      <c r="H34" s="59" t="s">
        <v>1151</v>
      </c>
      <c r="I34" s="60">
        <v>36338</v>
      </c>
      <c r="J34" s="61">
        <f t="shared" ca="1" si="0"/>
        <v>26</v>
      </c>
      <c r="K34" s="62">
        <f t="shared" si="1"/>
        <v>53917</v>
      </c>
      <c r="L34" s="59" t="s">
        <v>735</v>
      </c>
      <c r="M34" s="59" t="s">
        <v>736</v>
      </c>
      <c r="N34" s="59" t="s">
        <v>1081</v>
      </c>
      <c r="O34" s="63">
        <v>0</v>
      </c>
      <c r="P34" s="61">
        <f>IFERROR(SUMPRODUCT((LK_GradeDerivation!$A$4:$A$135=N34)*(IF(O34="",0,O34)&gt;=LK_GradeDerivation!$B$4:$B$135)*(IF(O34="",0,O34)&lt;=LK_GradeDerivation!$C$4:$C$135)*LK_GradeDerivation!$D$4:$D$135),1)</f>
        <v>3</v>
      </c>
      <c r="Q34" s="61">
        <f>IFERROR(SUMPRODUCT((LK_GradeDerivation!$A$4:$A$135=N34)*(IF(O34="",0,O34)&gt;=LK_GradeDerivation!$B$4:$B$135)*(IF(O34="",0,O34)&lt;=LK_GradeDerivation!$C$4:$C$135)*LK_GradeDerivation!$E$4:$E$135),1)</f>
        <v>1</v>
      </c>
      <c r="R34" s="59" t="s">
        <v>1152</v>
      </c>
      <c r="S34" s="59" t="s">
        <v>1153</v>
      </c>
      <c r="T34" s="59" t="s">
        <v>740</v>
      </c>
      <c r="U34" s="59" t="s">
        <v>1154</v>
      </c>
      <c r="V34" s="59" t="s">
        <v>763</v>
      </c>
      <c r="W34" s="59" t="s">
        <v>285</v>
      </c>
      <c r="X34" s="59" t="s">
        <v>340</v>
      </c>
      <c r="Y34" s="59" t="s">
        <v>346</v>
      </c>
      <c r="Z34" s="64" t="str">
        <f>IFERROR(VLOOKUP(T34,LK_OrgMaster!$B$4:$H$89,5,FALSE()),"Administration")</f>
        <v>Teacher</v>
      </c>
      <c r="AA34" s="65" t="str">
        <f>IFERROR(VLOOKUP(X34,LK_LocationMaster!$D$4:$G$157,4,FALSE()),"No")</f>
        <v>No</v>
      </c>
      <c r="AB34" s="65" t="str">
        <f t="shared" si="2"/>
        <v>No</v>
      </c>
      <c r="AC34" s="65" t="str">
        <f>IFERROR(VLOOKUP(X34,LK_LocationMaster!$D$4:$H$157,5,FALSE()),"No")</f>
        <v>No</v>
      </c>
      <c r="AD34" s="59" t="s">
        <v>1155</v>
      </c>
      <c r="AE34" s="59" t="s">
        <v>930</v>
      </c>
      <c r="AF34" s="59" t="s">
        <v>816</v>
      </c>
      <c r="AG34" s="59" t="s">
        <v>312</v>
      </c>
      <c r="AH34" s="59" t="s">
        <v>1156</v>
      </c>
      <c r="AI34" s="59" t="s">
        <v>285</v>
      </c>
      <c r="AJ34" s="59" t="s">
        <v>818</v>
      </c>
      <c r="AK34" s="59" t="s">
        <v>944</v>
      </c>
      <c r="AL34" s="64" t="str">
        <f>IFERROR(INDEX(LK_BankMaster!$D$4:$D$23,MATCH(AJ34&amp;"|"&amp;AK34,LK_BankMaster!$H$4:$H$23,0)),"")</f>
        <v/>
      </c>
      <c r="AM34" s="59" t="s">
        <v>1157</v>
      </c>
      <c r="AN34" s="64" t="str">
        <f>IFERROR(VLOOKUP(AJ34,LK_BankMaster!$A$4:$E$23,5,FALSE()),"")</f>
        <v/>
      </c>
      <c r="AO34" s="59" t="s">
        <v>314</v>
      </c>
      <c r="AP34" s="66">
        <v>1</v>
      </c>
      <c r="AQ34" s="64" t="str">
        <f t="shared" si="3"/>
        <v>Position Allowance - General Staff</v>
      </c>
      <c r="AR34" s="65" t="str">
        <f>IFERROR(VLOOKUP(T34,LK_OrgMaster!$B$4:$G$89,6,FALSE()),"No")</f>
        <v>No</v>
      </c>
      <c r="AS34" s="64" t="str">
        <f>IFERROR(VLOOKUP(T34,LK_OrgMaster!$B$4:$H$89,7,FALSE()),"None")</f>
        <v>Teaching</v>
      </c>
      <c r="AT34" s="67">
        <v>36338</v>
      </c>
      <c r="AU34" s="67"/>
      <c r="AV34" s="67">
        <v>36338</v>
      </c>
      <c r="AW34" s="67">
        <v>46023</v>
      </c>
      <c r="AX34" s="68" t="s">
        <v>750</v>
      </c>
      <c r="AY34" s="69" t="s">
        <v>6260</v>
      </c>
    </row>
    <row r="35" spans="1:51" ht="15" customHeight="1" x14ac:dyDescent="0.3">
      <c r="A35" s="59" t="s">
        <v>1158</v>
      </c>
      <c r="B35" s="59" t="s">
        <v>772</v>
      </c>
      <c r="C35" s="59" t="s">
        <v>1159</v>
      </c>
      <c r="D35" s="59" t="s">
        <v>1160</v>
      </c>
      <c r="E35" s="59" t="s">
        <v>775</v>
      </c>
      <c r="F35" s="60">
        <v>28995</v>
      </c>
      <c r="G35" s="59" t="s">
        <v>1161</v>
      </c>
      <c r="H35" s="59" t="s">
        <v>1162</v>
      </c>
      <c r="I35" s="60">
        <v>36131</v>
      </c>
      <c r="J35" s="61">
        <f t="shared" ca="1" si="0"/>
        <v>27</v>
      </c>
      <c r="K35" s="62">
        <f t="shared" si="1"/>
        <v>50910</v>
      </c>
      <c r="L35" s="59" t="s">
        <v>735</v>
      </c>
      <c r="M35" s="59" t="s">
        <v>1163</v>
      </c>
      <c r="N35" s="59" t="s">
        <v>1081</v>
      </c>
      <c r="O35" s="63">
        <v>0</v>
      </c>
      <c r="P35" s="61">
        <f>IFERROR(SUMPRODUCT((LK_GradeDerivation!$A$4:$A$135=N35)*(IF(O35="",0,O35)&gt;=LK_GradeDerivation!$B$4:$B$135)*(IF(O35="",0,O35)&lt;=LK_GradeDerivation!$C$4:$C$135)*LK_GradeDerivation!$D$4:$D$135),1)</f>
        <v>3</v>
      </c>
      <c r="Q35" s="61">
        <f>IFERROR(SUMPRODUCT((LK_GradeDerivation!$A$4:$A$135=N35)*(IF(O35="",0,O35)&gt;=LK_GradeDerivation!$B$4:$B$135)*(IF(O35="",0,O35)&lt;=LK_GradeDerivation!$C$4:$C$135)*LK_GradeDerivation!$E$4:$E$135),1)</f>
        <v>1</v>
      </c>
      <c r="R35" s="59" t="s">
        <v>1164</v>
      </c>
      <c r="S35" s="59" t="s">
        <v>1165</v>
      </c>
      <c r="T35" s="59" t="s">
        <v>740</v>
      </c>
      <c r="U35" s="59" t="s">
        <v>1166</v>
      </c>
      <c r="V35" s="59" t="s">
        <v>1167</v>
      </c>
      <c r="W35" s="59" t="s">
        <v>285</v>
      </c>
      <c r="X35" s="59" t="s">
        <v>340</v>
      </c>
      <c r="Y35" s="59" t="s">
        <v>350</v>
      </c>
      <c r="Z35" s="64" t="str">
        <f>IFERROR(VLOOKUP(T35,LK_OrgMaster!$B$4:$H$89,5,FALSE()),"Administration")</f>
        <v>Teacher</v>
      </c>
      <c r="AA35" s="65" t="str">
        <f>IFERROR(VLOOKUP(X35,LK_LocationMaster!$D$4:$G$157,4,FALSE()),"No")</f>
        <v>No</v>
      </c>
      <c r="AB35" s="65" t="str">
        <f t="shared" si="2"/>
        <v>No</v>
      </c>
      <c r="AC35" s="65" t="str">
        <f>IFERROR(VLOOKUP(X35,LK_LocationMaster!$D$4:$H$157,5,FALSE()),"No")</f>
        <v>No</v>
      </c>
      <c r="AD35" s="59" t="s">
        <v>1168</v>
      </c>
      <c r="AE35" s="59" t="s">
        <v>886</v>
      </c>
      <c r="AF35" s="59" t="s">
        <v>847</v>
      </c>
      <c r="AG35" s="59" t="s">
        <v>368</v>
      </c>
      <c r="AH35" s="59" t="s">
        <v>1169</v>
      </c>
      <c r="AI35" s="59" t="s">
        <v>285</v>
      </c>
      <c r="AJ35" s="59" t="s">
        <v>747</v>
      </c>
      <c r="AK35" s="59" t="s">
        <v>748</v>
      </c>
      <c r="AL35" s="64" t="str">
        <f>IFERROR(INDEX(LK_BankMaster!$D$4:$D$23,MATCH(AJ35&amp;"|"&amp;AK35,LK_BankMaster!$H$4:$H$23,0)),"")</f>
        <v/>
      </c>
      <c r="AM35" s="59" t="s">
        <v>1170</v>
      </c>
      <c r="AN35" s="64" t="str">
        <f>IFERROR(VLOOKUP(AJ35,LK_BankMaster!$A$4:$E$23,5,FALSE()),"")</f>
        <v/>
      </c>
      <c r="AO35" s="59" t="s">
        <v>291</v>
      </c>
      <c r="AP35" s="66">
        <v>0</v>
      </c>
      <c r="AQ35" s="64" t="str">
        <f t="shared" si="3"/>
        <v>Position Allowance - General Staff</v>
      </c>
      <c r="AR35" s="65" t="str">
        <f>IFERROR(VLOOKUP(T35,LK_OrgMaster!$B$4:$G$89,6,FALSE()),"No")</f>
        <v>No</v>
      </c>
      <c r="AS35" s="64" t="str">
        <f>IFERROR(VLOOKUP(T35,LK_OrgMaster!$B$4:$H$89,7,FALSE()),"None")</f>
        <v>Teaching</v>
      </c>
      <c r="AT35" s="70">
        <v>36131</v>
      </c>
      <c r="AU35" s="70"/>
      <c r="AV35" s="70">
        <v>36131</v>
      </c>
      <c r="AW35" s="70">
        <v>46023</v>
      </c>
      <c r="AX35" s="71" t="s">
        <v>750</v>
      </c>
      <c r="AY35" s="72" t="s">
        <v>6260</v>
      </c>
    </row>
    <row r="36" spans="1:51" ht="15" customHeight="1" x14ac:dyDescent="0.3">
      <c r="A36" s="59" t="s">
        <v>1171</v>
      </c>
      <c r="B36" s="59" t="s">
        <v>772</v>
      </c>
      <c r="C36" s="59" t="s">
        <v>753</v>
      </c>
      <c r="D36" s="59" t="s">
        <v>1172</v>
      </c>
      <c r="E36" s="59" t="s">
        <v>732</v>
      </c>
      <c r="F36" s="60">
        <v>36657</v>
      </c>
      <c r="G36" s="59" t="s">
        <v>1173</v>
      </c>
      <c r="H36" s="59" t="s">
        <v>1174</v>
      </c>
      <c r="I36" s="60">
        <v>41782</v>
      </c>
      <c r="J36" s="61">
        <f t="shared" ca="1" si="0"/>
        <v>11</v>
      </c>
      <c r="K36" s="62">
        <f t="shared" si="1"/>
        <v>58572</v>
      </c>
      <c r="L36" s="59" t="s">
        <v>735</v>
      </c>
      <c r="M36" s="59" t="s">
        <v>1175</v>
      </c>
      <c r="N36" s="59" t="s">
        <v>758</v>
      </c>
      <c r="O36" s="63">
        <v>0</v>
      </c>
      <c r="P36" s="61">
        <f>IFERROR(SUMPRODUCT((LK_GradeDerivation!$A$4:$A$135=N36)*(IF(O36="",0,O36)&gt;=LK_GradeDerivation!$B$4:$B$135)*(IF(O36="",0,O36)&lt;=LK_GradeDerivation!$C$4:$C$135)*LK_GradeDerivation!$D$4:$D$135),1)</f>
        <v>5</v>
      </c>
      <c r="Q36" s="61">
        <f>IFERROR(SUMPRODUCT((LK_GradeDerivation!$A$4:$A$135=N36)*(IF(O36="",0,O36)&gt;=LK_GradeDerivation!$B$4:$B$135)*(IF(O36="",0,O36)&lt;=LK_GradeDerivation!$C$4:$C$135)*LK_GradeDerivation!$E$4:$E$135),1)</f>
        <v>1</v>
      </c>
      <c r="R36" s="59" t="s">
        <v>1176</v>
      </c>
      <c r="S36" s="59" t="s">
        <v>1177</v>
      </c>
      <c r="T36" s="59" t="s">
        <v>1118</v>
      </c>
      <c r="U36" s="59" t="s">
        <v>1178</v>
      </c>
      <c r="V36" s="59" t="s">
        <v>1179</v>
      </c>
      <c r="W36" s="59" t="s">
        <v>598</v>
      </c>
      <c r="X36" s="59" t="s">
        <v>622</v>
      </c>
      <c r="Y36" s="59" t="s">
        <v>1180</v>
      </c>
      <c r="Z36" s="64" t="str">
        <f>IFERROR(VLOOKUP(T36,LK_OrgMaster!$B$4:$H$89,5,FALSE()),"Administration")</f>
        <v>Diplomatic</v>
      </c>
      <c r="AA36" s="65" t="str">
        <f>IFERROR(VLOOKUP(X36,LK_LocationMaster!$D$4:$G$157,4,FALSE()),"No")</f>
        <v>No</v>
      </c>
      <c r="AB36" s="65" t="str">
        <f t="shared" si="2"/>
        <v>Yes</v>
      </c>
      <c r="AC36" s="65" t="str">
        <f>IFERROR(VLOOKUP(X36,LK_LocationMaster!$D$4:$H$157,5,FALSE()),"No")</f>
        <v>No</v>
      </c>
      <c r="AD36" s="59" t="s">
        <v>1181</v>
      </c>
      <c r="AE36" s="59" t="s">
        <v>800</v>
      </c>
      <c r="AF36" s="59" t="s">
        <v>901</v>
      </c>
      <c r="AG36" s="59" t="s">
        <v>340</v>
      </c>
      <c r="AH36" s="59" t="s">
        <v>1182</v>
      </c>
      <c r="AI36" s="59" t="s">
        <v>285</v>
      </c>
      <c r="AJ36" s="59" t="s">
        <v>833</v>
      </c>
      <c r="AK36" s="59" t="s">
        <v>1013</v>
      </c>
      <c r="AL36" s="64" t="str">
        <f>IFERROR(INDEX(LK_BankMaster!$D$4:$D$23,MATCH(AJ36&amp;"|"&amp;AK36,LK_BankMaster!$H$4:$H$23,0)),"")</f>
        <v/>
      </c>
      <c r="AM36" s="59" t="s">
        <v>1183</v>
      </c>
      <c r="AN36" s="64" t="str">
        <f>IFERROR(VLOOKUP(AJ36,LK_BankMaster!$A$4:$E$23,5,FALSE()),"")</f>
        <v/>
      </c>
      <c r="AO36" s="59" t="s">
        <v>314</v>
      </c>
      <c r="AP36" s="66">
        <v>0</v>
      </c>
      <c r="AQ36" s="64" t="str">
        <f t="shared" si="3"/>
        <v>Position Allowance - General Staff</v>
      </c>
      <c r="AR36" s="65" t="str">
        <f>IFERROR(VLOOKUP(T36,LK_OrgMaster!$B$4:$G$89,6,FALSE()),"No")</f>
        <v>No</v>
      </c>
      <c r="AS36" s="64" t="str">
        <f>IFERROR(VLOOKUP(T36,LK_OrgMaster!$B$4:$H$89,7,FALSE()),"None")</f>
        <v>None</v>
      </c>
      <c r="AT36" s="67">
        <v>41782</v>
      </c>
      <c r="AU36" s="67"/>
      <c r="AV36" s="67">
        <v>41782</v>
      </c>
      <c r="AW36" s="67">
        <v>46023</v>
      </c>
      <c r="AX36" s="68" t="s">
        <v>750</v>
      </c>
      <c r="AY36" s="69" t="s">
        <v>6260</v>
      </c>
    </row>
    <row r="37" spans="1:51" ht="15" customHeight="1" x14ac:dyDescent="0.3">
      <c r="A37" s="59" t="s">
        <v>1184</v>
      </c>
      <c r="B37" s="59" t="s">
        <v>772</v>
      </c>
      <c r="C37" s="59" t="s">
        <v>1185</v>
      </c>
      <c r="D37" s="59" t="s">
        <v>1186</v>
      </c>
      <c r="E37" s="59" t="s">
        <v>732</v>
      </c>
      <c r="F37" s="60">
        <v>33911</v>
      </c>
      <c r="G37" s="59" t="s">
        <v>1187</v>
      </c>
      <c r="H37" s="59" t="s">
        <v>1188</v>
      </c>
      <c r="I37" s="60">
        <v>42279</v>
      </c>
      <c r="J37" s="61">
        <f t="shared" ca="1" si="0"/>
        <v>10</v>
      </c>
      <c r="K37" s="62">
        <f t="shared" si="1"/>
        <v>55826</v>
      </c>
      <c r="L37" s="59" t="s">
        <v>735</v>
      </c>
      <c r="M37" s="59" t="s">
        <v>778</v>
      </c>
      <c r="N37" s="59" t="s">
        <v>779</v>
      </c>
      <c r="O37" s="63">
        <v>4</v>
      </c>
      <c r="P37" s="61">
        <f>IFERROR(SUMPRODUCT((LK_GradeDerivation!$A$4:$A$135=N37)*(IF(O37="",0,O37)&gt;=LK_GradeDerivation!$B$4:$B$135)*(IF(O37="",0,O37)&lt;=LK_GradeDerivation!$C$4:$C$135)*LK_GradeDerivation!$D$4:$D$135),1)</f>
        <v>2</v>
      </c>
      <c r="Q37" s="61">
        <f>IFERROR(SUMPRODUCT((LK_GradeDerivation!$A$4:$A$135=N37)*(IF(O37="",0,O37)&gt;=LK_GradeDerivation!$B$4:$B$135)*(IF(O37="",0,O37)&lt;=LK_GradeDerivation!$C$4:$C$135)*LK_GradeDerivation!$E$4:$E$135),1)</f>
        <v>3</v>
      </c>
      <c r="R37" s="59" t="s">
        <v>1189</v>
      </c>
      <c r="S37" s="59" t="s">
        <v>1190</v>
      </c>
      <c r="T37" s="59" t="s">
        <v>782</v>
      </c>
      <c r="U37" s="59" t="s">
        <v>1191</v>
      </c>
      <c r="V37" s="59" t="s">
        <v>1192</v>
      </c>
      <c r="W37" s="59" t="s">
        <v>285</v>
      </c>
      <c r="X37" s="59" t="s">
        <v>527</v>
      </c>
      <c r="Y37" s="59" t="s">
        <v>542</v>
      </c>
      <c r="Z37" s="64" t="str">
        <f>IFERROR(VLOOKUP(T37,LK_OrgMaster!$B$4:$H$89,5,FALSE()),"Administration")</f>
        <v>Medical</v>
      </c>
      <c r="AA37" s="65" t="str">
        <f>IFERROR(VLOOKUP(X37,LK_LocationMaster!$D$4:$G$157,4,FALSE()),"No")</f>
        <v>No</v>
      </c>
      <c r="AB37" s="65" t="str">
        <f t="shared" si="2"/>
        <v>No</v>
      </c>
      <c r="AC37" s="65" t="str">
        <f>IFERROR(VLOOKUP(X37,LK_LocationMaster!$D$4:$H$157,5,FALSE()),"No")</f>
        <v>No</v>
      </c>
      <c r="AD37" s="59" t="s">
        <v>1193</v>
      </c>
      <c r="AE37" s="59" t="s">
        <v>1194</v>
      </c>
      <c r="AF37" s="59" t="s">
        <v>801</v>
      </c>
      <c r="AG37" s="59" t="s">
        <v>391</v>
      </c>
      <c r="AH37" s="59" t="s">
        <v>1195</v>
      </c>
      <c r="AI37" s="59" t="s">
        <v>285</v>
      </c>
      <c r="AJ37" s="59" t="s">
        <v>747</v>
      </c>
      <c r="AK37" s="59" t="s">
        <v>748</v>
      </c>
      <c r="AL37" s="64" t="str">
        <f>IFERROR(INDEX(LK_BankMaster!$D$4:$D$23,MATCH(AJ37&amp;"|"&amp;AK37,LK_BankMaster!$H$4:$H$23,0)),"")</f>
        <v/>
      </c>
      <c r="AM37" s="59" t="s">
        <v>1196</v>
      </c>
      <c r="AN37" s="64" t="str">
        <f>IFERROR(VLOOKUP(AJ37,LK_BankMaster!$A$4:$E$23,5,FALSE()),"")</f>
        <v/>
      </c>
      <c r="AO37" s="59" t="s">
        <v>314</v>
      </c>
      <c r="AP37" s="66">
        <v>3</v>
      </c>
      <c r="AQ37" s="64" t="str">
        <f t="shared" si="3"/>
        <v>Position Allowance - General Staff</v>
      </c>
      <c r="AR37" s="65" t="str">
        <f>IFERROR(VLOOKUP(T37,LK_OrgMaster!$B$4:$G$89,6,FALSE()),"No")</f>
        <v>No</v>
      </c>
      <c r="AS37" s="64" t="str">
        <f>IFERROR(VLOOKUP(T37,LK_OrgMaster!$B$4:$H$89,7,FALSE()),"None")</f>
        <v>Medical</v>
      </c>
      <c r="AT37" s="70">
        <v>42279</v>
      </c>
      <c r="AU37" s="70"/>
      <c r="AV37" s="70">
        <v>42279</v>
      </c>
      <c r="AW37" s="70">
        <v>46023</v>
      </c>
      <c r="AX37" s="71" t="s">
        <v>750</v>
      </c>
      <c r="AY37" s="72" t="s">
        <v>6260</v>
      </c>
    </row>
    <row r="38" spans="1:51" ht="15" customHeight="1" x14ac:dyDescent="0.3">
      <c r="A38" s="59" t="s">
        <v>1197</v>
      </c>
      <c r="B38" s="59" t="s">
        <v>851</v>
      </c>
      <c r="C38" s="59" t="s">
        <v>1198</v>
      </c>
      <c r="D38" s="59" t="s">
        <v>960</v>
      </c>
      <c r="E38" s="59" t="s">
        <v>775</v>
      </c>
      <c r="F38" s="60">
        <v>30081</v>
      </c>
      <c r="G38" s="59" t="s">
        <v>1199</v>
      </c>
      <c r="H38" s="59" t="s">
        <v>1200</v>
      </c>
      <c r="I38" s="60">
        <v>40993</v>
      </c>
      <c r="J38" s="61">
        <f t="shared" ca="1" si="0"/>
        <v>13</v>
      </c>
      <c r="K38" s="62">
        <f t="shared" si="1"/>
        <v>51996</v>
      </c>
      <c r="L38" s="59" t="s">
        <v>735</v>
      </c>
      <c r="M38" s="59" t="s">
        <v>1201</v>
      </c>
      <c r="N38" s="59" t="s">
        <v>779</v>
      </c>
      <c r="O38" s="63">
        <v>11</v>
      </c>
      <c r="P38" s="61">
        <f>IFERROR(SUMPRODUCT((LK_GradeDerivation!$A$4:$A$135=N38)*(IF(O38="",0,O38)&gt;=LK_GradeDerivation!$B$4:$B$135)*(IF(O38="",0,O38)&lt;=LK_GradeDerivation!$C$4:$C$135)*LK_GradeDerivation!$D$4:$D$135),1)</f>
        <v>2</v>
      </c>
      <c r="Q38" s="61">
        <f>IFERROR(SUMPRODUCT((LK_GradeDerivation!$A$4:$A$135=N38)*(IF(O38="",0,O38)&gt;=LK_GradeDerivation!$B$4:$B$135)*(IF(O38="",0,O38)&lt;=LK_GradeDerivation!$C$4:$C$135)*LK_GradeDerivation!$E$4:$E$135),1)</f>
        <v>6</v>
      </c>
      <c r="R38" s="59" t="s">
        <v>1202</v>
      </c>
      <c r="S38" s="59" t="s">
        <v>1203</v>
      </c>
      <c r="T38" s="59" t="s">
        <v>1204</v>
      </c>
      <c r="U38" s="59" t="s">
        <v>1205</v>
      </c>
      <c r="V38" s="59" t="s">
        <v>1206</v>
      </c>
      <c r="W38" s="59" t="s">
        <v>285</v>
      </c>
      <c r="X38" s="59" t="s">
        <v>288</v>
      </c>
      <c r="Y38" s="59" t="s">
        <v>308</v>
      </c>
      <c r="Z38" s="64" t="str">
        <f>IFERROR(VLOOKUP(T38,LK_OrgMaster!$B$4:$H$89,5,FALSE()),"Administration")</f>
        <v>Administration</v>
      </c>
      <c r="AA38" s="65" t="str">
        <f>IFERROR(VLOOKUP(X38,LK_LocationMaster!$D$4:$G$157,4,FALSE()),"No")</f>
        <v>No</v>
      </c>
      <c r="AB38" s="65" t="str">
        <f t="shared" si="2"/>
        <v>No</v>
      </c>
      <c r="AC38" s="65" t="str">
        <f>IFERROR(VLOOKUP(X38,LK_LocationMaster!$D$4:$H$157,5,FALSE()),"No")</f>
        <v>No</v>
      </c>
      <c r="AD38" s="59" t="s">
        <v>1207</v>
      </c>
      <c r="AE38" s="59" t="s">
        <v>930</v>
      </c>
      <c r="AF38" s="59" t="s">
        <v>816</v>
      </c>
      <c r="AG38" s="59" t="s">
        <v>368</v>
      </c>
      <c r="AH38" s="59" t="s">
        <v>1208</v>
      </c>
      <c r="AI38" s="59" t="s">
        <v>285</v>
      </c>
      <c r="AJ38" s="59" t="s">
        <v>818</v>
      </c>
      <c r="AK38" s="59" t="s">
        <v>819</v>
      </c>
      <c r="AL38" s="64" t="str">
        <f>IFERROR(INDEX(LK_BankMaster!$D$4:$D$23,MATCH(AJ38&amp;"|"&amp;AK38,LK_BankMaster!$H$4:$H$23,0)),"")</f>
        <v/>
      </c>
      <c r="AM38" s="59" t="s">
        <v>1209</v>
      </c>
      <c r="AN38" s="64" t="str">
        <f>IFERROR(VLOOKUP(AJ38,LK_BankMaster!$A$4:$E$23,5,FALSE()),"")</f>
        <v/>
      </c>
      <c r="AO38" s="59" t="s">
        <v>314</v>
      </c>
      <c r="AP38" s="66">
        <v>1</v>
      </c>
      <c r="AQ38" s="64" t="str">
        <f t="shared" si="3"/>
        <v>Position Allowance - General Staff</v>
      </c>
      <c r="AR38" s="65" t="str">
        <f>IFERROR(VLOOKUP(T38,LK_OrgMaster!$B$4:$G$89,6,FALSE()),"No")</f>
        <v>No</v>
      </c>
      <c r="AS38" s="64" t="str">
        <f>IFERROR(VLOOKUP(T38,LK_OrgMaster!$B$4:$H$89,7,FALSE()),"None")</f>
        <v>None</v>
      </c>
      <c r="AT38" s="67">
        <v>40993</v>
      </c>
      <c r="AU38" s="67"/>
      <c r="AV38" s="67">
        <v>40993</v>
      </c>
      <c r="AW38" s="67">
        <v>46023</v>
      </c>
      <c r="AX38" s="68" t="s">
        <v>750</v>
      </c>
      <c r="AY38" s="69" t="s">
        <v>6260</v>
      </c>
    </row>
    <row r="39" spans="1:51" ht="15" customHeight="1" x14ac:dyDescent="0.3">
      <c r="A39" s="59" t="s">
        <v>1210</v>
      </c>
      <c r="B39" s="59" t="s">
        <v>772</v>
      </c>
      <c r="C39" s="59" t="s">
        <v>1211</v>
      </c>
      <c r="D39" s="59" t="s">
        <v>876</v>
      </c>
      <c r="E39" s="59" t="s">
        <v>732</v>
      </c>
      <c r="F39" s="60">
        <v>27405</v>
      </c>
      <c r="G39" s="59" t="s">
        <v>1212</v>
      </c>
      <c r="H39" s="59" t="s">
        <v>1213</v>
      </c>
      <c r="I39" s="60">
        <v>39126</v>
      </c>
      <c r="J39" s="61">
        <f t="shared" ca="1" si="0"/>
        <v>19</v>
      </c>
      <c r="K39" s="62">
        <f t="shared" si="1"/>
        <v>49320</v>
      </c>
      <c r="L39" s="59" t="s">
        <v>735</v>
      </c>
      <c r="M39" s="59" t="s">
        <v>1214</v>
      </c>
      <c r="N39" s="59" t="s">
        <v>737</v>
      </c>
      <c r="O39" s="63">
        <v>10</v>
      </c>
      <c r="P39" s="61">
        <f>IFERROR(SUMPRODUCT((LK_GradeDerivation!$A$4:$A$135=N39)*(IF(O39="",0,O39)&gt;=LK_GradeDerivation!$B$4:$B$135)*(IF(O39="",0,O39)&lt;=LK_GradeDerivation!$C$4:$C$135)*LK_GradeDerivation!$D$4:$D$135),1)</f>
        <v>4</v>
      </c>
      <c r="Q39" s="61">
        <f>IFERROR(SUMPRODUCT((LK_GradeDerivation!$A$4:$A$135=N39)*(IF(O39="",0,O39)&gt;=LK_GradeDerivation!$B$4:$B$135)*(IF(O39="",0,O39)&lt;=LK_GradeDerivation!$C$4:$C$135)*LK_GradeDerivation!$E$4:$E$135),1)</f>
        <v>6</v>
      </c>
      <c r="R39" s="59" t="s">
        <v>1215</v>
      </c>
      <c r="S39" s="59" t="s">
        <v>1216</v>
      </c>
      <c r="T39" s="59" t="s">
        <v>1084</v>
      </c>
      <c r="U39" s="59" t="s">
        <v>1217</v>
      </c>
      <c r="V39" s="59" t="s">
        <v>1218</v>
      </c>
      <c r="W39" s="59" t="s">
        <v>285</v>
      </c>
      <c r="X39" s="59" t="s">
        <v>544</v>
      </c>
      <c r="Y39" s="59" t="s">
        <v>550</v>
      </c>
      <c r="Z39" s="64" t="str">
        <f>IFERROR(VLOOKUP(T39,LK_OrgMaster!$B$4:$H$89,5,FALSE()),"Administration")</f>
        <v>Finance</v>
      </c>
      <c r="AA39" s="65" t="str">
        <f>IFERROR(VLOOKUP(X39,LK_LocationMaster!$D$4:$G$157,4,FALSE()),"No")</f>
        <v>Yes</v>
      </c>
      <c r="AB39" s="65" t="str">
        <f t="shared" si="2"/>
        <v>No</v>
      </c>
      <c r="AC39" s="65" t="str">
        <f>IFERROR(VLOOKUP(X39,LK_LocationMaster!$D$4:$H$157,5,FALSE()),"No")</f>
        <v>Yes</v>
      </c>
      <c r="AD39" s="59" t="s">
        <v>1219</v>
      </c>
      <c r="AE39" s="59" t="s">
        <v>886</v>
      </c>
      <c r="AF39" s="59" t="s">
        <v>915</v>
      </c>
      <c r="AG39" s="59" t="s">
        <v>312</v>
      </c>
      <c r="AH39" s="59" t="s">
        <v>1220</v>
      </c>
      <c r="AI39" s="59" t="s">
        <v>285</v>
      </c>
      <c r="AJ39" s="59" t="s">
        <v>788</v>
      </c>
      <c r="AK39" s="59" t="s">
        <v>1221</v>
      </c>
      <c r="AL39" s="64" t="str">
        <f>IFERROR(INDEX(LK_BankMaster!$D$4:$D$23,MATCH(AJ39&amp;"|"&amp;AK39,LK_BankMaster!$H$4:$H$23,0)),"")</f>
        <v/>
      </c>
      <c r="AM39" s="59" t="s">
        <v>1222</v>
      </c>
      <c r="AN39" s="64" t="str">
        <f>IFERROR(VLOOKUP(AJ39,LK_BankMaster!$A$4:$E$23,5,FALSE()),"")</f>
        <v/>
      </c>
      <c r="AO39" s="59" t="s">
        <v>314</v>
      </c>
      <c r="AP39" s="66">
        <v>3</v>
      </c>
      <c r="AQ39" s="64" t="str">
        <f t="shared" si="3"/>
        <v>Position Allowance - General Staff</v>
      </c>
      <c r="AR39" s="65" t="str">
        <f>IFERROR(VLOOKUP(T39,LK_OrgMaster!$B$4:$G$89,6,FALSE()),"No")</f>
        <v>No</v>
      </c>
      <c r="AS39" s="64" t="str">
        <f>IFERROR(VLOOKUP(T39,LK_OrgMaster!$B$4:$H$89,7,FALSE()),"None")</f>
        <v>None</v>
      </c>
      <c r="AT39" s="70">
        <v>39126</v>
      </c>
      <c r="AU39" s="70"/>
      <c r="AV39" s="70">
        <v>39126</v>
      </c>
      <c r="AW39" s="70">
        <v>46023</v>
      </c>
      <c r="AX39" s="71" t="s">
        <v>750</v>
      </c>
      <c r="AY39" s="72" t="s">
        <v>6260</v>
      </c>
    </row>
    <row r="40" spans="1:51" ht="15" customHeight="1" x14ac:dyDescent="0.3">
      <c r="A40" s="59" t="s">
        <v>1223</v>
      </c>
      <c r="B40" s="59" t="s">
        <v>851</v>
      </c>
      <c r="C40" s="59" t="s">
        <v>1224</v>
      </c>
      <c r="D40" s="59" t="s">
        <v>774</v>
      </c>
      <c r="E40" s="59" t="s">
        <v>775</v>
      </c>
      <c r="F40" s="60">
        <v>33731</v>
      </c>
      <c r="G40" s="59" t="s">
        <v>1225</v>
      </c>
      <c r="H40" s="59" t="s">
        <v>1226</v>
      </c>
      <c r="I40" s="60">
        <v>40214</v>
      </c>
      <c r="J40" s="61">
        <f t="shared" ca="1" si="0"/>
        <v>16</v>
      </c>
      <c r="K40" s="62">
        <f t="shared" si="1"/>
        <v>55646</v>
      </c>
      <c r="L40" s="59" t="s">
        <v>735</v>
      </c>
      <c r="M40" s="59" t="s">
        <v>1020</v>
      </c>
      <c r="N40" s="59" t="s">
        <v>758</v>
      </c>
      <c r="O40" s="63">
        <v>0</v>
      </c>
      <c r="P40" s="61">
        <f>IFERROR(SUMPRODUCT((LK_GradeDerivation!$A$4:$A$135=N40)*(IF(O40="",0,O40)&gt;=LK_GradeDerivation!$B$4:$B$135)*(IF(O40="",0,O40)&lt;=LK_GradeDerivation!$C$4:$C$135)*LK_GradeDerivation!$D$4:$D$135),1)</f>
        <v>5</v>
      </c>
      <c r="Q40" s="61">
        <f>IFERROR(SUMPRODUCT((LK_GradeDerivation!$A$4:$A$135=N40)*(IF(O40="",0,O40)&gt;=LK_GradeDerivation!$B$4:$B$135)*(IF(O40="",0,O40)&lt;=LK_GradeDerivation!$C$4:$C$135)*LK_GradeDerivation!$E$4:$E$135),1)</f>
        <v>1</v>
      </c>
      <c r="R40" s="59" t="s">
        <v>1227</v>
      </c>
      <c r="S40" s="59" t="s">
        <v>1228</v>
      </c>
      <c r="T40" s="59" t="s">
        <v>1035</v>
      </c>
      <c r="U40" s="59" t="s">
        <v>1229</v>
      </c>
      <c r="V40" s="59" t="s">
        <v>1230</v>
      </c>
      <c r="W40" s="59" t="s">
        <v>285</v>
      </c>
      <c r="X40" s="59" t="s">
        <v>356</v>
      </c>
      <c r="Y40" s="59" t="s">
        <v>358</v>
      </c>
      <c r="Z40" s="64" t="str">
        <f>IFERROR(VLOOKUP(T40,LK_OrgMaster!$B$4:$H$89,5,FALSE()),"Administration")</f>
        <v>Administration</v>
      </c>
      <c r="AA40" s="65" t="str">
        <f>IFERROR(VLOOKUP(X40,LK_LocationMaster!$D$4:$G$157,4,FALSE()),"No")</f>
        <v>Yes</v>
      </c>
      <c r="AB40" s="65" t="str">
        <f t="shared" si="2"/>
        <v>No</v>
      </c>
      <c r="AC40" s="65" t="str">
        <f>IFERROR(VLOOKUP(X40,LK_LocationMaster!$D$4:$H$157,5,FALSE()),"No")</f>
        <v>No</v>
      </c>
      <c r="AD40" s="59" t="s">
        <v>1231</v>
      </c>
      <c r="AE40" s="59" t="s">
        <v>886</v>
      </c>
      <c r="AF40" s="59" t="s">
        <v>786</v>
      </c>
      <c r="AG40" s="59" t="s">
        <v>368</v>
      </c>
      <c r="AH40" s="59" t="s">
        <v>1232</v>
      </c>
      <c r="AI40" s="59" t="s">
        <v>285</v>
      </c>
      <c r="AJ40" s="59" t="s">
        <v>833</v>
      </c>
      <c r="AK40" s="59" t="s">
        <v>1013</v>
      </c>
      <c r="AL40" s="64" t="str">
        <f>IFERROR(INDEX(LK_BankMaster!$D$4:$D$23,MATCH(AJ40&amp;"|"&amp;AK40,LK_BankMaster!$H$4:$H$23,0)),"")</f>
        <v/>
      </c>
      <c r="AM40" s="59" t="s">
        <v>1233</v>
      </c>
      <c r="AN40" s="64" t="str">
        <f>IFERROR(VLOOKUP(AJ40,LK_BankMaster!$A$4:$E$23,5,FALSE()),"")</f>
        <v/>
      </c>
      <c r="AO40" s="59" t="s">
        <v>291</v>
      </c>
      <c r="AP40" s="66">
        <v>0</v>
      </c>
      <c r="AQ40" s="64" t="str">
        <f t="shared" si="3"/>
        <v>Position Allowance - Section Chief</v>
      </c>
      <c r="AR40" s="65" t="str">
        <f>IFERROR(VLOOKUP(T40,LK_OrgMaster!$B$4:$G$89,6,FALSE()),"No")</f>
        <v>No</v>
      </c>
      <c r="AS40" s="64" t="str">
        <f>IFERROR(VLOOKUP(T40,LK_OrgMaster!$B$4:$H$89,7,FALSE()),"None")</f>
        <v>None</v>
      </c>
      <c r="AT40" s="67">
        <v>40214</v>
      </c>
      <c r="AU40" s="67"/>
      <c r="AV40" s="67">
        <v>40214</v>
      </c>
      <c r="AW40" s="67">
        <v>46023</v>
      </c>
      <c r="AX40" s="68" t="s">
        <v>750</v>
      </c>
      <c r="AY40" s="69" t="s">
        <v>6260</v>
      </c>
    </row>
    <row r="41" spans="1:51" ht="15" customHeight="1" x14ac:dyDescent="0.3">
      <c r="A41" s="59" t="s">
        <v>1234</v>
      </c>
      <c r="B41" s="59" t="s">
        <v>729</v>
      </c>
      <c r="C41" s="59" t="s">
        <v>806</v>
      </c>
      <c r="D41" s="59" t="s">
        <v>1017</v>
      </c>
      <c r="E41" s="59" t="s">
        <v>732</v>
      </c>
      <c r="F41" s="60">
        <v>29082</v>
      </c>
      <c r="G41" s="59" t="s">
        <v>1235</v>
      </c>
      <c r="H41" s="59" t="s">
        <v>1236</v>
      </c>
      <c r="I41" s="60">
        <v>34010</v>
      </c>
      <c r="J41" s="61">
        <f t="shared" ca="1" si="0"/>
        <v>33</v>
      </c>
      <c r="K41" s="62">
        <f t="shared" si="1"/>
        <v>50997</v>
      </c>
      <c r="L41" s="59" t="s">
        <v>735</v>
      </c>
      <c r="M41" s="59" t="s">
        <v>1237</v>
      </c>
      <c r="N41" s="59" t="s">
        <v>779</v>
      </c>
      <c r="O41" s="63">
        <v>0</v>
      </c>
      <c r="P41" s="61">
        <f>IFERROR(SUMPRODUCT((LK_GradeDerivation!$A$4:$A$135=N41)*(IF(O41="",0,O41)&gt;=LK_GradeDerivation!$B$4:$B$135)*(IF(O41="",0,O41)&lt;=LK_GradeDerivation!$C$4:$C$135)*LK_GradeDerivation!$D$4:$D$135),1)</f>
        <v>2</v>
      </c>
      <c r="Q41" s="61">
        <f>IFERROR(SUMPRODUCT((LK_GradeDerivation!$A$4:$A$135=N41)*(IF(O41="",0,O41)&gt;=LK_GradeDerivation!$B$4:$B$135)*(IF(O41="",0,O41)&lt;=LK_GradeDerivation!$C$4:$C$135)*LK_GradeDerivation!$E$4:$E$135),1)</f>
        <v>1</v>
      </c>
      <c r="R41" s="59" t="s">
        <v>1238</v>
      </c>
      <c r="S41" s="59" t="s">
        <v>1239</v>
      </c>
      <c r="T41" s="59" t="s">
        <v>782</v>
      </c>
      <c r="U41" s="59" t="s">
        <v>965</v>
      </c>
      <c r="V41" s="59" t="s">
        <v>1240</v>
      </c>
      <c r="W41" s="59" t="s">
        <v>285</v>
      </c>
      <c r="X41" s="59" t="s">
        <v>429</v>
      </c>
      <c r="Y41" s="59" t="s">
        <v>435</v>
      </c>
      <c r="Z41" s="64" t="str">
        <f>IFERROR(VLOOKUP(T41,LK_OrgMaster!$B$4:$H$89,5,FALSE()),"Administration")</f>
        <v>Medical</v>
      </c>
      <c r="AA41" s="65" t="str">
        <f>IFERROR(VLOOKUP(X41,LK_LocationMaster!$D$4:$G$157,4,FALSE()),"No")</f>
        <v>Yes</v>
      </c>
      <c r="AB41" s="65" t="str">
        <f t="shared" si="2"/>
        <v>No</v>
      </c>
      <c r="AC41" s="65" t="str">
        <f>IFERROR(VLOOKUP(X41,LK_LocationMaster!$D$4:$H$157,5,FALSE()),"No")</f>
        <v>Yes</v>
      </c>
      <c r="AD41" s="59" t="s">
        <v>1241</v>
      </c>
      <c r="AE41" s="59" t="s">
        <v>765</v>
      </c>
      <c r="AF41" s="59" t="s">
        <v>901</v>
      </c>
      <c r="AG41" s="59" t="s">
        <v>288</v>
      </c>
      <c r="AH41" s="59" t="s">
        <v>1242</v>
      </c>
      <c r="AI41" s="59" t="s">
        <v>285</v>
      </c>
      <c r="AJ41" s="59" t="s">
        <v>788</v>
      </c>
      <c r="AK41" s="59" t="s">
        <v>1146</v>
      </c>
      <c r="AL41" s="64" t="str">
        <f>IFERROR(INDEX(LK_BankMaster!$D$4:$D$23,MATCH(AJ41&amp;"|"&amp;AK41,LK_BankMaster!$H$4:$H$23,0)),"")</f>
        <v/>
      </c>
      <c r="AM41" s="59" t="s">
        <v>1243</v>
      </c>
      <c r="AN41" s="64" t="str">
        <f>IFERROR(VLOOKUP(AJ41,LK_BankMaster!$A$4:$E$23,5,FALSE()),"")</f>
        <v/>
      </c>
      <c r="AO41" s="59" t="s">
        <v>314</v>
      </c>
      <c r="AP41" s="66">
        <v>3</v>
      </c>
      <c r="AQ41" s="64" t="str">
        <f t="shared" si="3"/>
        <v>Position Allowance - General Staff</v>
      </c>
      <c r="AR41" s="65" t="str">
        <f>IFERROR(VLOOKUP(T41,LK_OrgMaster!$B$4:$G$89,6,FALSE()),"No")</f>
        <v>No</v>
      </c>
      <c r="AS41" s="64" t="str">
        <f>IFERROR(VLOOKUP(T41,LK_OrgMaster!$B$4:$H$89,7,FALSE()),"None")</f>
        <v>Medical</v>
      </c>
      <c r="AT41" s="70">
        <v>34010</v>
      </c>
      <c r="AU41" s="70"/>
      <c r="AV41" s="70">
        <v>34010</v>
      </c>
      <c r="AW41" s="70">
        <v>46023</v>
      </c>
      <c r="AX41" s="71" t="s">
        <v>750</v>
      </c>
      <c r="AY41" s="72" t="s">
        <v>6260</v>
      </c>
    </row>
    <row r="42" spans="1:51" ht="15" customHeight="1" x14ac:dyDescent="0.3">
      <c r="A42" s="59" t="s">
        <v>1244</v>
      </c>
      <c r="B42" s="59" t="s">
        <v>772</v>
      </c>
      <c r="C42" s="59" t="s">
        <v>1245</v>
      </c>
      <c r="D42" s="59" t="s">
        <v>1112</v>
      </c>
      <c r="E42" s="59" t="s">
        <v>775</v>
      </c>
      <c r="F42" s="60">
        <v>36389</v>
      </c>
      <c r="G42" s="59" t="s">
        <v>1246</v>
      </c>
      <c r="H42" s="59" t="s">
        <v>1247</v>
      </c>
      <c r="I42" s="60">
        <v>40527</v>
      </c>
      <c r="J42" s="61">
        <f t="shared" ca="1" si="0"/>
        <v>15</v>
      </c>
      <c r="K42" s="62">
        <f t="shared" si="1"/>
        <v>58304</v>
      </c>
      <c r="L42" s="59" t="s">
        <v>735</v>
      </c>
      <c r="M42" s="59" t="s">
        <v>1248</v>
      </c>
      <c r="N42" s="59" t="s">
        <v>737</v>
      </c>
      <c r="O42" s="63">
        <v>0</v>
      </c>
      <c r="P42" s="61">
        <f>IFERROR(SUMPRODUCT((LK_GradeDerivation!$A$4:$A$135=N42)*(IF(O42="",0,O42)&gt;=LK_GradeDerivation!$B$4:$B$135)*(IF(O42="",0,O42)&lt;=LK_GradeDerivation!$C$4:$C$135)*LK_GradeDerivation!$D$4:$D$135),1)</f>
        <v>4</v>
      </c>
      <c r="Q42" s="61">
        <f>IFERROR(SUMPRODUCT((LK_GradeDerivation!$A$4:$A$135=N42)*(IF(O42="",0,O42)&gt;=LK_GradeDerivation!$B$4:$B$135)*(IF(O42="",0,O42)&lt;=LK_GradeDerivation!$C$4:$C$135)*LK_GradeDerivation!$E$4:$E$135),1)</f>
        <v>1</v>
      </c>
      <c r="R42" s="59" t="s">
        <v>1249</v>
      </c>
      <c r="S42" s="59" t="s">
        <v>1250</v>
      </c>
      <c r="T42" s="59" t="s">
        <v>1118</v>
      </c>
      <c r="U42" s="59" t="s">
        <v>1178</v>
      </c>
      <c r="V42" s="59" t="s">
        <v>1179</v>
      </c>
      <c r="W42" s="59" t="s">
        <v>598</v>
      </c>
      <c r="X42" s="59" t="s">
        <v>622</v>
      </c>
      <c r="Y42" s="59" t="s">
        <v>1180</v>
      </c>
      <c r="Z42" s="64" t="str">
        <f>IFERROR(VLOOKUP(T42,LK_OrgMaster!$B$4:$H$89,5,FALSE()),"Administration")</f>
        <v>Diplomatic</v>
      </c>
      <c r="AA42" s="65" t="str">
        <f>IFERROR(VLOOKUP(X42,LK_LocationMaster!$D$4:$G$157,4,FALSE()),"No")</f>
        <v>No</v>
      </c>
      <c r="AB42" s="65" t="str">
        <f t="shared" si="2"/>
        <v>Yes</v>
      </c>
      <c r="AC42" s="65" t="str">
        <f>IFERROR(VLOOKUP(X42,LK_LocationMaster!$D$4:$H$157,5,FALSE()),"No")</f>
        <v>No</v>
      </c>
      <c r="AD42" s="59" t="s">
        <v>1251</v>
      </c>
      <c r="AE42" s="59" t="s">
        <v>930</v>
      </c>
      <c r="AF42" s="59" t="s">
        <v>766</v>
      </c>
      <c r="AG42" s="59" t="s">
        <v>368</v>
      </c>
      <c r="AH42" s="59" t="s">
        <v>1252</v>
      </c>
      <c r="AI42" s="59" t="s">
        <v>285</v>
      </c>
      <c r="AJ42" s="59" t="s">
        <v>768</v>
      </c>
      <c r="AK42" s="59" t="s">
        <v>769</v>
      </c>
      <c r="AL42" s="64" t="str">
        <f>IFERROR(INDEX(LK_BankMaster!$D$4:$D$23,MATCH(AJ42&amp;"|"&amp;AK42,LK_BankMaster!$H$4:$H$23,0)),"")</f>
        <v/>
      </c>
      <c r="AM42" s="59" t="s">
        <v>1253</v>
      </c>
      <c r="AN42" s="64" t="str">
        <f>IFERROR(VLOOKUP(AJ42,LK_BankMaster!$A$4:$E$23,5,FALSE()),"")</f>
        <v/>
      </c>
      <c r="AO42" s="59" t="s">
        <v>314</v>
      </c>
      <c r="AP42" s="66">
        <v>2</v>
      </c>
      <c r="AQ42" s="64" t="str">
        <f t="shared" si="3"/>
        <v>Position Allowance - General Staff</v>
      </c>
      <c r="AR42" s="65" t="str">
        <f>IFERROR(VLOOKUP(T42,LK_OrgMaster!$B$4:$G$89,6,FALSE()),"No")</f>
        <v>No</v>
      </c>
      <c r="AS42" s="64" t="str">
        <f>IFERROR(VLOOKUP(T42,LK_OrgMaster!$B$4:$H$89,7,FALSE()),"None")</f>
        <v>None</v>
      </c>
      <c r="AT42" s="67">
        <v>40527</v>
      </c>
      <c r="AU42" s="67"/>
      <c r="AV42" s="67">
        <v>40527</v>
      </c>
      <c r="AW42" s="67">
        <v>46023</v>
      </c>
      <c r="AX42" s="68" t="s">
        <v>750</v>
      </c>
      <c r="AY42" s="69" t="s">
        <v>6260</v>
      </c>
    </row>
    <row r="43" spans="1:51" ht="15" customHeight="1" x14ac:dyDescent="0.3">
      <c r="A43" s="59" t="s">
        <v>1254</v>
      </c>
      <c r="B43" s="59" t="s">
        <v>851</v>
      </c>
      <c r="C43" s="59" t="s">
        <v>1255</v>
      </c>
      <c r="D43" s="59" t="s">
        <v>1256</v>
      </c>
      <c r="E43" s="59" t="s">
        <v>775</v>
      </c>
      <c r="F43" s="60">
        <v>27800</v>
      </c>
      <c r="G43" s="59" t="s">
        <v>1257</v>
      </c>
      <c r="H43" s="59" t="s">
        <v>1258</v>
      </c>
      <c r="I43" s="60">
        <v>43031</v>
      </c>
      <c r="J43" s="61">
        <f t="shared" ca="1" si="0"/>
        <v>8</v>
      </c>
      <c r="K43" s="62">
        <f t="shared" si="1"/>
        <v>49715</v>
      </c>
      <c r="L43" s="59" t="s">
        <v>735</v>
      </c>
      <c r="M43" s="59" t="s">
        <v>1259</v>
      </c>
      <c r="N43" s="59" t="s">
        <v>1081</v>
      </c>
      <c r="O43" s="63">
        <v>21</v>
      </c>
      <c r="P43" s="61">
        <f>IFERROR(SUMPRODUCT((LK_GradeDerivation!$A$4:$A$135=N43)*(IF(O43="",0,O43)&gt;=LK_GradeDerivation!$B$4:$B$135)*(IF(O43="",0,O43)&lt;=LK_GradeDerivation!$C$4:$C$135)*LK_GradeDerivation!$D$4:$D$135),1)</f>
        <v>3</v>
      </c>
      <c r="Q43" s="61">
        <f>IFERROR(SUMPRODUCT((LK_GradeDerivation!$A$4:$A$135=N43)*(IF(O43="",0,O43)&gt;=LK_GradeDerivation!$B$4:$B$135)*(IF(O43="",0,O43)&lt;=LK_GradeDerivation!$C$4:$C$135)*LK_GradeDerivation!$E$4:$E$135),1)</f>
        <v>11</v>
      </c>
      <c r="R43" s="59" t="s">
        <v>1260</v>
      </c>
      <c r="S43" s="59" t="s">
        <v>1261</v>
      </c>
      <c r="T43" s="59" t="s">
        <v>740</v>
      </c>
      <c r="U43" s="59" t="s">
        <v>1262</v>
      </c>
      <c r="V43" s="59" t="s">
        <v>1263</v>
      </c>
      <c r="W43" s="59" t="s">
        <v>285</v>
      </c>
      <c r="X43" s="59" t="s">
        <v>463</v>
      </c>
      <c r="Y43" s="59" t="s">
        <v>467</v>
      </c>
      <c r="Z43" s="64" t="str">
        <f>IFERROR(VLOOKUP(T43,LK_OrgMaster!$B$4:$H$89,5,FALSE()),"Administration")</f>
        <v>Teacher</v>
      </c>
      <c r="AA43" s="65" t="str">
        <f>IFERROR(VLOOKUP(X43,LK_LocationMaster!$D$4:$G$157,4,FALSE()),"No")</f>
        <v>No</v>
      </c>
      <c r="AB43" s="65" t="str">
        <f t="shared" si="2"/>
        <v>No</v>
      </c>
      <c r="AC43" s="65" t="str">
        <f>IFERROR(VLOOKUP(X43,LK_LocationMaster!$D$4:$H$157,5,FALSE()),"No")</f>
        <v>No</v>
      </c>
      <c r="AD43" s="59" t="s">
        <v>1264</v>
      </c>
      <c r="AE43" s="59" t="s">
        <v>765</v>
      </c>
      <c r="AF43" s="59" t="s">
        <v>915</v>
      </c>
      <c r="AG43" s="59" t="s">
        <v>288</v>
      </c>
      <c r="AH43" s="59" t="s">
        <v>1265</v>
      </c>
      <c r="AI43" s="59" t="s">
        <v>285</v>
      </c>
      <c r="AJ43" s="59" t="s">
        <v>747</v>
      </c>
      <c r="AK43" s="59" t="s">
        <v>748</v>
      </c>
      <c r="AL43" s="64" t="str">
        <f>IFERROR(INDEX(LK_BankMaster!$D$4:$D$23,MATCH(AJ43&amp;"|"&amp;AK43,LK_BankMaster!$H$4:$H$23,0)),"")</f>
        <v/>
      </c>
      <c r="AM43" s="59" t="s">
        <v>1266</v>
      </c>
      <c r="AN43" s="64" t="str">
        <f>IFERROR(VLOOKUP(AJ43,LK_BankMaster!$A$4:$E$23,5,FALSE()),"")</f>
        <v/>
      </c>
      <c r="AO43" s="59" t="s">
        <v>291</v>
      </c>
      <c r="AP43" s="66">
        <v>0</v>
      </c>
      <c r="AQ43" s="64" t="str">
        <f t="shared" si="3"/>
        <v>Position Allowance - General Staff</v>
      </c>
      <c r="AR43" s="65" t="str">
        <f>IFERROR(VLOOKUP(T43,LK_OrgMaster!$B$4:$G$89,6,FALSE()),"No")</f>
        <v>No</v>
      </c>
      <c r="AS43" s="64" t="str">
        <f>IFERROR(VLOOKUP(T43,LK_OrgMaster!$B$4:$H$89,7,FALSE()),"None")</f>
        <v>Teaching</v>
      </c>
      <c r="AT43" s="70">
        <v>43031</v>
      </c>
      <c r="AU43" s="70"/>
      <c r="AV43" s="70">
        <v>43031</v>
      </c>
      <c r="AW43" s="70">
        <v>46023</v>
      </c>
      <c r="AX43" s="71" t="s">
        <v>750</v>
      </c>
      <c r="AY43" s="72" t="s">
        <v>6260</v>
      </c>
    </row>
    <row r="44" spans="1:51" ht="15" customHeight="1" x14ac:dyDescent="0.3">
      <c r="A44" s="59" t="s">
        <v>1267</v>
      </c>
      <c r="B44" s="59" t="s">
        <v>851</v>
      </c>
      <c r="C44" s="59" t="s">
        <v>1101</v>
      </c>
      <c r="D44" s="59" t="s">
        <v>587</v>
      </c>
      <c r="E44" s="59" t="s">
        <v>775</v>
      </c>
      <c r="F44" s="60">
        <v>25225</v>
      </c>
      <c r="G44" s="59" t="s">
        <v>1268</v>
      </c>
      <c r="H44" s="59" t="s">
        <v>1269</v>
      </c>
      <c r="I44" s="60">
        <v>33589</v>
      </c>
      <c r="J44" s="61">
        <f t="shared" ca="1" si="0"/>
        <v>34</v>
      </c>
      <c r="K44" s="62">
        <f t="shared" si="1"/>
        <v>47140</v>
      </c>
      <c r="L44" s="59" t="s">
        <v>735</v>
      </c>
      <c r="M44" s="59" t="s">
        <v>910</v>
      </c>
      <c r="N44" s="59" t="s">
        <v>737</v>
      </c>
      <c r="O44" s="63">
        <v>0</v>
      </c>
      <c r="P44" s="61">
        <f>IFERROR(SUMPRODUCT((LK_GradeDerivation!$A$4:$A$135=N44)*(IF(O44="",0,O44)&gt;=LK_GradeDerivation!$B$4:$B$135)*(IF(O44="",0,O44)&lt;=LK_GradeDerivation!$C$4:$C$135)*LK_GradeDerivation!$D$4:$D$135),1)</f>
        <v>4</v>
      </c>
      <c r="Q44" s="61">
        <f>IFERROR(SUMPRODUCT((LK_GradeDerivation!$A$4:$A$135=N44)*(IF(O44="",0,O44)&gt;=LK_GradeDerivation!$B$4:$B$135)*(IF(O44="",0,O44)&lt;=LK_GradeDerivation!$C$4:$C$135)*LK_GradeDerivation!$E$4:$E$135),1)</f>
        <v>1</v>
      </c>
      <c r="R44" s="59" t="s">
        <v>1270</v>
      </c>
      <c r="S44" s="59" t="s">
        <v>1271</v>
      </c>
      <c r="T44" s="59" t="s">
        <v>979</v>
      </c>
      <c r="U44" s="59" t="s">
        <v>1272</v>
      </c>
      <c r="V44" s="59" t="s">
        <v>1273</v>
      </c>
      <c r="W44" s="59" t="s">
        <v>285</v>
      </c>
      <c r="X44" s="59" t="s">
        <v>356</v>
      </c>
      <c r="Y44" s="59" t="s">
        <v>366</v>
      </c>
      <c r="Z44" s="64" t="str">
        <f>IFERROR(VLOOKUP(T44,LK_OrgMaster!$B$4:$H$89,5,FALSE()),"Administration")</f>
        <v>Administration</v>
      </c>
      <c r="AA44" s="65" t="str">
        <f>IFERROR(VLOOKUP(X44,LK_LocationMaster!$D$4:$G$157,4,FALSE()),"No")</f>
        <v>Yes</v>
      </c>
      <c r="AB44" s="65" t="str">
        <f t="shared" si="2"/>
        <v>No</v>
      </c>
      <c r="AC44" s="65" t="str">
        <f>IFERROR(VLOOKUP(X44,LK_LocationMaster!$D$4:$H$157,5,FALSE()),"No")</f>
        <v>No</v>
      </c>
      <c r="AD44" s="59" t="s">
        <v>1274</v>
      </c>
      <c r="AE44" s="59" t="s">
        <v>886</v>
      </c>
      <c r="AF44" s="59" t="s">
        <v>915</v>
      </c>
      <c r="AG44" s="59" t="s">
        <v>408</v>
      </c>
      <c r="AH44" s="59" t="s">
        <v>1275</v>
      </c>
      <c r="AI44" s="59" t="s">
        <v>285</v>
      </c>
      <c r="AJ44" s="59" t="s">
        <v>818</v>
      </c>
      <c r="AK44" s="59" t="s">
        <v>819</v>
      </c>
      <c r="AL44" s="64" t="str">
        <f>IFERROR(INDEX(LK_BankMaster!$D$4:$D$23,MATCH(AJ44&amp;"|"&amp;AK44,LK_BankMaster!$H$4:$H$23,0)),"")</f>
        <v/>
      </c>
      <c r="AM44" s="59" t="s">
        <v>1276</v>
      </c>
      <c r="AN44" s="64" t="str">
        <f>IFERROR(VLOOKUP(AJ44,LK_BankMaster!$A$4:$E$23,5,FALSE()),"")</f>
        <v/>
      </c>
      <c r="AO44" s="59" t="s">
        <v>314</v>
      </c>
      <c r="AP44" s="66">
        <v>3</v>
      </c>
      <c r="AQ44" s="64" t="str">
        <f t="shared" si="3"/>
        <v>Position Allowance - Division Chief</v>
      </c>
      <c r="AR44" s="65" t="str">
        <f>IFERROR(VLOOKUP(T44,LK_OrgMaster!$B$4:$G$89,6,FALSE()),"No")</f>
        <v>No</v>
      </c>
      <c r="AS44" s="64" t="str">
        <f>IFERROR(VLOOKUP(T44,LK_OrgMaster!$B$4:$H$89,7,FALSE()),"None")</f>
        <v>None</v>
      </c>
      <c r="AT44" s="67">
        <v>33589</v>
      </c>
      <c r="AU44" s="67"/>
      <c r="AV44" s="67">
        <v>33589</v>
      </c>
      <c r="AW44" s="67">
        <v>46023</v>
      </c>
      <c r="AX44" s="68" t="s">
        <v>750</v>
      </c>
      <c r="AY44" s="69" t="s">
        <v>6260</v>
      </c>
    </row>
    <row r="45" spans="1:51" ht="15" customHeight="1" x14ac:dyDescent="0.3">
      <c r="A45" s="59" t="s">
        <v>1277</v>
      </c>
      <c r="B45" s="59" t="s">
        <v>752</v>
      </c>
      <c r="C45" s="59" t="s">
        <v>1278</v>
      </c>
      <c r="D45" s="59" t="s">
        <v>921</v>
      </c>
      <c r="E45" s="59" t="s">
        <v>732</v>
      </c>
      <c r="F45" s="60">
        <v>32735</v>
      </c>
      <c r="G45" s="59" t="s">
        <v>1279</v>
      </c>
      <c r="H45" s="59" t="s">
        <v>1280</v>
      </c>
      <c r="I45" s="60">
        <v>37579</v>
      </c>
      <c r="J45" s="61">
        <f t="shared" ca="1" si="0"/>
        <v>23</v>
      </c>
      <c r="K45" s="62">
        <f t="shared" si="1"/>
        <v>54650</v>
      </c>
      <c r="L45" s="59" t="s">
        <v>735</v>
      </c>
      <c r="M45" s="59" t="s">
        <v>1281</v>
      </c>
      <c r="N45" s="59" t="s">
        <v>758</v>
      </c>
      <c r="O45" s="63">
        <v>0</v>
      </c>
      <c r="P45" s="61">
        <f>IFERROR(SUMPRODUCT((LK_GradeDerivation!$A$4:$A$135=N45)*(IF(O45="",0,O45)&gt;=LK_GradeDerivation!$B$4:$B$135)*(IF(O45="",0,O45)&lt;=LK_GradeDerivation!$C$4:$C$135)*LK_GradeDerivation!$D$4:$D$135),1)</f>
        <v>5</v>
      </c>
      <c r="Q45" s="61">
        <f>IFERROR(SUMPRODUCT((LK_GradeDerivation!$A$4:$A$135=N45)*(IF(O45="",0,O45)&gt;=LK_GradeDerivation!$B$4:$B$135)*(IF(O45="",0,O45)&lt;=LK_GradeDerivation!$C$4:$C$135)*LK_GradeDerivation!$E$4:$E$135),1)</f>
        <v>1</v>
      </c>
      <c r="R45" s="59" t="s">
        <v>1282</v>
      </c>
      <c r="S45" s="59" t="s">
        <v>1283</v>
      </c>
      <c r="T45" s="59" t="s">
        <v>1118</v>
      </c>
      <c r="U45" s="59" t="s">
        <v>1178</v>
      </c>
      <c r="V45" s="59" t="s">
        <v>1284</v>
      </c>
      <c r="W45" s="59" t="s">
        <v>285</v>
      </c>
      <c r="X45" s="59" t="s">
        <v>575</v>
      </c>
      <c r="Y45" s="59" t="s">
        <v>585</v>
      </c>
      <c r="Z45" s="64" t="str">
        <f>IFERROR(VLOOKUP(T45,LK_OrgMaster!$B$4:$H$89,5,FALSE()),"Administration")</f>
        <v>Diplomatic</v>
      </c>
      <c r="AA45" s="65" t="str">
        <f>IFERROR(VLOOKUP(X45,LK_LocationMaster!$D$4:$G$157,4,FALSE()),"No")</f>
        <v>Yes</v>
      </c>
      <c r="AB45" s="65" t="str">
        <f t="shared" si="2"/>
        <v>No</v>
      </c>
      <c r="AC45" s="65" t="str">
        <f>IFERROR(VLOOKUP(X45,LK_LocationMaster!$D$4:$H$157,5,FALSE()),"No")</f>
        <v>Yes</v>
      </c>
      <c r="AD45" s="59" t="s">
        <v>1285</v>
      </c>
      <c r="AE45" s="59" t="s">
        <v>886</v>
      </c>
      <c r="AF45" s="59" t="s">
        <v>766</v>
      </c>
      <c r="AG45" s="59" t="s">
        <v>288</v>
      </c>
      <c r="AH45" s="59" t="s">
        <v>1286</v>
      </c>
      <c r="AI45" s="59" t="s">
        <v>285</v>
      </c>
      <c r="AJ45" s="59" t="s">
        <v>818</v>
      </c>
      <c r="AK45" s="59" t="s">
        <v>819</v>
      </c>
      <c r="AL45" s="64" t="str">
        <f>IFERROR(INDEX(LK_BankMaster!$D$4:$D$23,MATCH(AJ45&amp;"|"&amp;AK45,LK_BankMaster!$H$4:$H$23,0)),"")</f>
        <v/>
      </c>
      <c r="AM45" s="59" t="s">
        <v>1287</v>
      </c>
      <c r="AN45" s="64" t="str">
        <f>IFERROR(VLOOKUP(AJ45,LK_BankMaster!$A$4:$E$23,5,FALSE()),"")</f>
        <v/>
      </c>
      <c r="AO45" s="59" t="s">
        <v>314</v>
      </c>
      <c r="AP45" s="66">
        <v>3</v>
      </c>
      <c r="AQ45" s="64" t="str">
        <f t="shared" si="3"/>
        <v>Position Allowance - General Staff</v>
      </c>
      <c r="AR45" s="65" t="str">
        <f>IFERROR(VLOOKUP(T45,LK_OrgMaster!$B$4:$G$89,6,FALSE()),"No")</f>
        <v>No</v>
      </c>
      <c r="AS45" s="64" t="str">
        <f>IFERROR(VLOOKUP(T45,LK_OrgMaster!$B$4:$H$89,7,FALSE()),"None")</f>
        <v>None</v>
      </c>
      <c r="AT45" s="70">
        <v>37579</v>
      </c>
      <c r="AU45" s="70"/>
      <c r="AV45" s="70">
        <v>37579</v>
      </c>
      <c r="AW45" s="70">
        <v>46023</v>
      </c>
      <c r="AX45" s="71" t="s">
        <v>750</v>
      </c>
      <c r="AY45" s="72" t="s">
        <v>6260</v>
      </c>
    </row>
    <row r="46" spans="1:51" ht="15" customHeight="1" x14ac:dyDescent="0.3">
      <c r="A46" s="59" t="s">
        <v>1288</v>
      </c>
      <c r="B46" s="59" t="s">
        <v>752</v>
      </c>
      <c r="C46" s="59" t="s">
        <v>1002</v>
      </c>
      <c r="D46" s="59" t="s">
        <v>1289</v>
      </c>
      <c r="E46" s="59" t="s">
        <v>732</v>
      </c>
      <c r="F46" s="60">
        <v>25320</v>
      </c>
      <c r="G46" s="59" t="s">
        <v>1290</v>
      </c>
      <c r="H46" s="59" t="s">
        <v>1291</v>
      </c>
      <c r="I46" s="60">
        <v>42554</v>
      </c>
      <c r="J46" s="61">
        <f t="shared" ca="1" si="0"/>
        <v>9</v>
      </c>
      <c r="K46" s="62">
        <f t="shared" si="1"/>
        <v>47235</v>
      </c>
      <c r="L46" s="59" t="s">
        <v>735</v>
      </c>
      <c r="M46" s="59" t="s">
        <v>924</v>
      </c>
      <c r="N46" s="59" t="s">
        <v>1292</v>
      </c>
      <c r="O46" s="63">
        <v>19</v>
      </c>
      <c r="P46" s="61">
        <f>IFERROR(SUMPRODUCT((LK_GradeDerivation!$A$4:$A$135=N46)*(IF(O46="",0,O46)&gt;=LK_GradeDerivation!$B$4:$B$135)*(IF(O46="",0,O46)&lt;=LK_GradeDerivation!$C$4:$C$135)*LK_GradeDerivation!$D$4:$D$135),1)</f>
        <v>5</v>
      </c>
      <c r="Q46" s="61">
        <f>IFERROR(SUMPRODUCT((LK_GradeDerivation!$A$4:$A$135=N46)*(IF(O46="",0,O46)&gt;=LK_GradeDerivation!$B$4:$B$135)*(IF(O46="",0,O46)&lt;=LK_GradeDerivation!$C$4:$C$135)*LK_GradeDerivation!$E$4:$E$135),1)</f>
        <v>15</v>
      </c>
      <c r="R46" s="59" t="s">
        <v>1293</v>
      </c>
      <c r="S46" s="59" t="s">
        <v>1294</v>
      </c>
      <c r="T46" s="59" t="s">
        <v>740</v>
      </c>
      <c r="U46" s="59" t="s">
        <v>1166</v>
      </c>
      <c r="V46" s="59" t="s">
        <v>1295</v>
      </c>
      <c r="W46" s="59" t="s">
        <v>285</v>
      </c>
      <c r="X46" s="59" t="s">
        <v>477</v>
      </c>
      <c r="Y46" s="59" t="s">
        <v>479</v>
      </c>
      <c r="Z46" s="64" t="str">
        <f>IFERROR(VLOOKUP(T46,LK_OrgMaster!$B$4:$H$89,5,FALSE()),"Administration")</f>
        <v>Teacher</v>
      </c>
      <c r="AA46" s="65" t="str">
        <f>IFERROR(VLOOKUP(X46,LK_LocationMaster!$D$4:$G$157,4,FALSE()),"No")</f>
        <v>No</v>
      </c>
      <c r="AB46" s="65" t="str">
        <f t="shared" si="2"/>
        <v>No</v>
      </c>
      <c r="AC46" s="65" t="str">
        <f>IFERROR(VLOOKUP(X46,LK_LocationMaster!$D$4:$H$157,5,FALSE()),"No")</f>
        <v>Yes</v>
      </c>
      <c r="AD46" s="59" t="s">
        <v>1296</v>
      </c>
      <c r="AE46" s="59" t="s">
        <v>886</v>
      </c>
      <c r="AF46" s="59" t="s">
        <v>847</v>
      </c>
      <c r="AG46" s="59" t="s">
        <v>368</v>
      </c>
      <c r="AH46" s="59" t="s">
        <v>1297</v>
      </c>
      <c r="AI46" s="59" t="s">
        <v>285</v>
      </c>
      <c r="AJ46" s="59" t="s">
        <v>818</v>
      </c>
      <c r="AK46" s="59" t="s">
        <v>819</v>
      </c>
      <c r="AL46" s="64" t="str">
        <f>IFERROR(INDEX(LK_BankMaster!$D$4:$D$23,MATCH(AJ46&amp;"|"&amp;AK46,LK_BankMaster!$H$4:$H$23,0)),"")</f>
        <v/>
      </c>
      <c r="AM46" s="59" t="s">
        <v>1298</v>
      </c>
      <c r="AN46" s="64" t="str">
        <f>IFERROR(VLOOKUP(AJ46,LK_BankMaster!$A$4:$E$23,5,FALSE()),"")</f>
        <v/>
      </c>
      <c r="AO46" s="59" t="s">
        <v>314</v>
      </c>
      <c r="AP46" s="66">
        <v>1</v>
      </c>
      <c r="AQ46" s="64" t="str">
        <f t="shared" si="3"/>
        <v>Position Allowance - General Staff</v>
      </c>
      <c r="AR46" s="65" t="str">
        <f>IFERROR(VLOOKUP(T46,LK_OrgMaster!$B$4:$G$89,6,FALSE()),"No")</f>
        <v>No</v>
      </c>
      <c r="AS46" s="64" t="str">
        <f>IFERROR(VLOOKUP(T46,LK_OrgMaster!$B$4:$H$89,7,FALSE()),"None")</f>
        <v>Teaching</v>
      </c>
      <c r="AT46" s="67">
        <v>42554</v>
      </c>
      <c r="AU46" s="67"/>
      <c r="AV46" s="67">
        <v>42554</v>
      </c>
      <c r="AW46" s="67">
        <v>46023</v>
      </c>
      <c r="AX46" s="68" t="s">
        <v>750</v>
      </c>
      <c r="AY46" s="69" t="s">
        <v>6260</v>
      </c>
    </row>
    <row r="47" spans="1:51" ht="15" customHeight="1" x14ac:dyDescent="0.3">
      <c r="A47" s="59" t="s">
        <v>1299</v>
      </c>
      <c r="B47" s="59" t="s">
        <v>851</v>
      </c>
      <c r="C47" s="59" t="s">
        <v>773</v>
      </c>
      <c r="D47" s="59" t="s">
        <v>1300</v>
      </c>
      <c r="E47" s="59" t="s">
        <v>775</v>
      </c>
      <c r="F47" s="60">
        <v>37008</v>
      </c>
      <c r="G47" s="59" t="s">
        <v>1301</v>
      </c>
      <c r="H47" s="59" t="s">
        <v>1302</v>
      </c>
      <c r="I47" s="60">
        <v>43839</v>
      </c>
      <c r="J47" s="61">
        <f t="shared" ca="1" si="0"/>
        <v>6</v>
      </c>
      <c r="K47" s="62">
        <f t="shared" si="1"/>
        <v>58923</v>
      </c>
      <c r="L47" s="59" t="s">
        <v>735</v>
      </c>
      <c r="M47" s="59" t="s">
        <v>893</v>
      </c>
      <c r="N47" s="59" t="s">
        <v>1081</v>
      </c>
      <c r="O47" s="63">
        <v>0</v>
      </c>
      <c r="P47" s="61">
        <f>IFERROR(SUMPRODUCT((LK_GradeDerivation!$A$4:$A$135=N47)*(IF(O47="",0,O47)&gt;=LK_GradeDerivation!$B$4:$B$135)*(IF(O47="",0,O47)&lt;=LK_GradeDerivation!$C$4:$C$135)*LK_GradeDerivation!$D$4:$D$135),1)</f>
        <v>3</v>
      </c>
      <c r="Q47" s="61">
        <f>IFERROR(SUMPRODUCT((LK_GradeDerivation!$A$4:$A$135=N47)*(IF(O47="",0,O47)&gt;=LK_GradeDerivation!$B$4:$B$135)*(IF(O47="",0,O47)&lt;=LK_GradeDerivation!$C$4:$C$135)*LK_GradeDerivation!$E$4:$E$135),1)</f>
        <v>1</v>
      </c>
      <c r="R47" s="59" t="s">
        <v>1303</v>
      </c>
      <c r="S47" s="59" t="s">
        <v>1304</v>
      </c>
      <c r="T47" s="59" t="s">
        <v>1305</v>
      </c>
      <c r="U47" s="59" t="s">
        <v>897</v>
      </c>
      <c r="V47" s="59" t="s">
        <v>898</v>
      </c>
      <c r="W47" s="59" t="s">
        <v>285</v>
      </c>
      <c r="X47" s="59" t="s">
        <v>575</v>
      </c>
      <c r="Y47" s="59" t="s">
        <v>583</v>
      </c>
      <c r="Z47" s="64" t="str">
        <f>IFERROR(VLOOKUP(T47,LK_OrgMaster!$B$4:$H$89,5,FALSE()),"Administration")</f>
        <v>Administration</v>
      </c>
      <c r="AA47" s="65" t="str">
        <f>IFERROR(VLOOKUP(X47,LK_LocationMaster!$D$4:$G$157,4,FALSE()),"No")</f>
        <v>Yes</v>
      </c>
      <c r="AB47" s="65" t="str">
        <f t="shared" si="2"/>
        <v>No</v>
      </c>
      <c r="AC47" s="65" t="str">
        <f>IFERROR(VLOOKUP(X47,LK_LocationMaster!$D$4:$H$157,5,FALSE()),"No")</f>
        <v>Yes</v>
      </c>
      <c r="AD47" s="59" t="s">
        <v>1306</v>
      </c>
      <c r="AE47" s="59" t="s">
        <v>800</v>
      </c>
      <c r="AF47" s="59" t="s">
        <v>969</v>
      </c>
      <c r="AG47" s="59" t="s">
        <v>408</v>
      </c>
      <c r="AH47" s="59" t="s">
        <v>1307</v>
      </c>
      <c r="AI47" s="59" t="s">
        <v>285</v>
      </c>
      <c r="AJ47" s="59" t="s">
        <v>788</v>
      </c>
      <c r="AK47" s="59" t="s">
        <v>903</v>
      </c>
      <c r="AL47" s="64" t="str">
        <f>IFERROR(INDEX(LK_BankMaster!$D$4:$D$23,MATCH(AJ47&amp;"|"&amp;AK47,LK_BankMaster!$H$4:$H$23,0)),"")</f>
        <v/>
      </c>
      <c r="AM47" s="59" t="s">
        <v>1308</v>
      </c>
      <c r="AN47" s="64" t="str">
        <f>IFERROR(VLOOKUP(AJ47,LK_BankMaster!$A$4:$E$23,5,FALSE()),"")</f>
        <v/>
      </c>
      <c r="AO47" s="59" t="s">
        <v>314</v>
      </c>
      <c r="AP47" s="66">
        <v>0</v>
      </c>
      <c r="AQ47" s="64" t="str">
        <f t="shared" si="3"/>
        <v>Position Allowance - General Staff</v>
      </c>
      <c r="AR47" s="65" t="str">
        <f>IFERROR(VLOOKUP(T47,LK_OrgMaster!$B$4:$G$89,6,FALSE()),"No")</f>
        <v>No</v>
      </c>
      <c r="AS47" s="64" t="str">
        <f>IFERROR(VLOOKUP(T47,LK_OrgMaster!$B$4:$H$89,7,FALSE()),"None")</f>
        <v>None</v>
      </c>
      <c r="AT47" s="70">
        <v>43839</v>
      </c>
      <c r="AU47" s="70"/>
      <c r="AV47" s="70">
        <v>43839</v>
      </c>
      <c r="AW47" s="70">
        <v>46023</v>
      </c>
      <c r="AX47" s="71" t="s">
        <v>750</v>
      </c>
      <c r="AY47" s="72" t="s">
        <v>6260</v>
      </c>
    </row>
    <row r="48" spans="1:51" ht="15" customHeight="1" x14ac:dyDescent="0.3">
      <c r="A48" s="59" t="s">
        <v>1309</v>
      </c>
      <c r="B48" s="59" t="s">
        <v>851</v>
      </c>
      <c r="C48" s="59" t="s">
        <v>773</v>
      </c>
      <c r="D48" s="59" t="s">
        <v>876</v>
      </c>
      <c r="E48" s="59" t="s">
        <v>775</v>
      </c>
      <c r="F48" s="60">
        <v>31738</v>
      </c>
      <c r="G48" s="59" t="s">
        <v>1310</v>
      </c>
      <c r="H48" s="59" t="s">
        <v>1311</v>
      </c>
      <c r="I48" s="60">
        <v>32695</v>
      </c>
      <c r="J48" s="61">
        <f t="shared" ca="1" si="0"/>
        <v>36</v>
      </c>
      <c r="K48" s="62">
        <f t="shared" si="1"/>
        <v>53653</v>
      </c>
      <c r="L48" s="59" t="s">
        <v>735</v>
      </c>
      <c r="M48" s="59" t="s">
        <v>1069</v>
      </c>
      <c r="N48" s="59" t="s">
        <v>758</v>
      </c>
      <c r="O48" s="63">
        <v>0</v>
      </c>
      <c r="P48" s="61">
        <f>IFERROR(SUMPRODUCT((LK_GradeDerivation!$A$4:$A$135=N48)*(IF(O48="",0,O48)&gt;=LK_GradeDerivation!$B$4:$B$135)*(IF(O48="",0,O48)&lt;=LK_GradeDerivation!$C$4:$C$135)*LK_GradeDerivation!$D$4:$D$135),1)</f>
        <v>5</v>
      </c>
      <c r="Q48" s="61">
        <f>IFERROR(SUMPRODUCT((LK_GradeDerivation!$A$4:$A$135=N48)*(IF(O48="",0,O48)&gt;=LK_GradeDerivation!$B$4:$B$135)*(IF(O48="",0,O48)&lt;=LK_GradeDerivation!$C$4:$C$135)*LK_GradeDerivation!$E$4:$E$135),1)</f>
        <v>1</v>
      </c>
      <c r="R48" s="59" t="s">
        <v>1312</v>
      </c>
      <c r="S48" s="59" t="s">
        <v>1313</v>
      </c>
      <c r="T48" s="59" t="s">
        <v>761</v>
      </c>
      <c r="U48" s="59" t="s">
        <v>1314</v>
      </c>
      <c r="V48" s="59" t="s">
        <v>1315</v>
      </c>
      <c r="W48" s="59" t="s">
        <v>285</v>
      </c>
      <c r="X48" s="59" t="s">
        <v>288</v>
      </c>
      <c r="Y48" s="59" t="s">
        <v>296</v>
      </c>
      <c r="Z48" s="64" t="str">
        <f>IFERROR(VLOOKUP(T48,LK_OrgMaster!$B$4:$H$89,5,FALSE()),"Administration")</f>
        <v>Administration</v>
      </c>
      <c r="AA48" s="65" t="str">
        <f>IFERROR(VLOOKUP(X48,LK_LocationMaster!$D$4:$G$157,4,FALSE()),"No")</f>
        <v>No</v>
      </c>
      <c r="AB48" s="65" t="str">
        <f t="shared" si="2"/>
        <v>No</v>
      </c>
      <c r="AC48" s="65" t="str">
        <f>IFERROR(VLOOKUP(X48,LK_LocationMaster!$D$4:$H$157,5,FALSE()),"No")</f>
        <v>No</v>
      </c>
      <c r="AD48" s="59" t="s">
        <v>1316</v>
      </c>
      <c r="AE48" s="59" t="s">
        <v>930</v>
      </c>
      <c r="AF48" s="59" t="s">
        <v>816</v>
      </c>
      <c r="AG48" s="59" t="s">
        <v>288</v>
      </c>
      <c r="AH48" s="59" t="s">
        <v>1317</v>
      </c>
      <c r="AI48" s="59" t="s">
        <v>285</v>
      </c>
      <c r="AJ48" s="59" t="s">
        <v>747</v>
      </c>
      <c r="AK48" s="59" t="s">
        <v>748</v>
      </c>
      <c r="AL48" s="64" t="str">
        <f>IFERROR(INDEX(LK_BankMaster!$D$4:$D$23,MATCH(AJ48&amp;"|"&amp;AK48,LK_BankMaster!$H$4:$H$23,0)),"")</f>
        <v/>
      </c>
      <c r="AM48" s="59" t="s">
        <v>1318</v>
      </c>
      <c r="AN48" s="64" t="str">
        <f>IFERROR(VLOOKUP(AJ48,LK_BankMaster!$A$4:$E$23,5,FALSE()),"")</f>
        <v/>
      </c>
      <c r="AO48" s="59" t="s">
        <v>291</v>
      </c>
      <c r="AP48" s="66">
        <v>0</v>
      </c>
      <c r="AQ48" s="64" t="str">
        <f t="shared" si="3"/>
        <v>Position Allowance - General Staff</v>
      </c>
      <c r="AR48" s="65" t="str">
        <f>IFERROR(VLOOKUP(T48,LK_OrgMaster!$B$4:$G$89,6,FALSE()),"No")</f>
        <v>Yes</v>
      </c>
      <c r="AS48" s="64" t="str">
        <f>IFERROR(VLOOKUP(T48,LK_OrgMaster!$B$4:$H$89,7,FALSE()),"None")</f>
        <v>None</v>
      </c>
      <c r="AT48" s="67">
        <v>32695</v>
      </c>
      <c r="AU48" s="67"/>
      <c r="AV48" s="67">
        <v>32695</v>
      </c>
      <c r="AW48" s="67">
        <v>46023</v>
      </c>
      <c r="AX48" s="68" t="s">
        <v>750</v>
      </c>
      <c r="AY48" s="69" t="s">
        <v>6260</v>
      </c>
    </row>
    <row r="49" spans="1:51" ht="15" customHeight="1" x14ac:dyDescent="0.3">
      <c r="A49" s="59" t="s">
        <v>1319</v>
      </c>
      <c r="B49" s="59" t="s">
        <v>752</v>
      </c>
      <c r="C49" s="59" t="s">
        <v>1091</v>
      </c>
      <c r="D49" s="59" t="s">
        <v>1320</v>
      </c>
      <c r="E49" s="59" t="s">
        <v>732</v>
      </c>
      <c r="F49" s="60">
        <v>29475</v>
      </c>
      <c r="G49" s="59" t="s">
        <v>1321</v>
      </c>
      <c r="H49" s="59" t="s">
        <v>1322</v>
      </c>
      <c r="I49" s="60">
        <v>42747</v>
      </c>
      <c r="J49" s="61">
        <f t="shared" ca="1" si="0"/>
        <v>9</v>
      </c>
      <c r="K49" s="62">
        <f t="shared" si="1"/>
        <v>51390</v>
      </c>
      <c r="L49" s="59" t="s">
        <v>735</v>
      </c>
      <c r="M49" s="59" t="s">
        <v>1163</v>
      </c>
      <c r="N49" s="59" t="s">
        <v>737</v>
      </c>
      <c r="O49" s="63">
        <v>14</v>
      </c>
      <c r="P49" s="61">
        <f>IFERROR(SUMPRODUCT((LK_GradeDerivation!$A$4:$A$135=N49)*(IF(O49="",0,O49)&gt;=LK_GradeDerivation!$B$4:$B$135)*(IF(O49="",0,O49)&lt;=LK_GradeDerivation!$C$4:$C$135)*LK_GradeDerivation!$D$4:$D$135),1)</f>
        <v>4</v>
      </c>
      <c r="Q49" s="61">
        <f>IFERROR(SUMPRODUCT((LK_GradeDerivation!$A$4:$A$135=N49)*(IF(O49="",0,O49)&gt;=LK_GradeDerivation!$B$4:$B$135)*(IF(O49="",0,O49)&lt;=LK_GradeDerivation!$C$4:$C$135)*LK_GradeDerivation!$E$4:$E$135),1)</f>
        <v>8</v>
      </c>
      <c r="R49" s="59" t="s">
        <v>1323</v>
      </c>
      <c r="S49" s="59" t="s">
        <v>1324</v>
      </c>
      <c r="T49" s="59" t="s">
        <v>740</v>
      </c>
      <c r="U49" s="59" t="s">
        <v>1262</v>
      </c>
      <c r="V49" s="59" t="s">
        <v>1325</v>
      </c>
      <c r="W49" s="59" t="s">
        <v>285</v>
      </c>
      <c r="X49" s="59" t="s">
        <v>368</v>
      </c>
      <c r="Y49" s="59" t="s">
        <v>389</v>
      </c>
      <c r="Z49" s="64" t="str">
        <f>IFERROR(VLOOKUP(T49,LK_OrgMaster!$B$4:$H$89,5,FALSE()),"Administration")</f>
        <v>Teacher</v>
      </c>
      <c r="AA49" s="65" t="str">
        <f>IFERROR(VLOOKUP(X49,LK_LocationMaster!$D$4:$G$157,4,FALSE()),"No")</f>
        <v>No</v>
      </c>
      <c r="AB49" s="65" t="str">
        <f t="shared" si="2"/>
        <v>No</v>
      </c>
      <c r="AC49" s="65" t="str">
        <f>IFERROR(VLOOKUP(X49,LK_LocationMaster!$D$4:$H$157,5,FALSE()),"No")</f>
        <v>No</v>
      </c>
      <c r="AD49" s="59" t="s">
        <v>1326</v>
      </c>
      <c r="AE49" s="59" t="s">
        <v>765</v>
      </c>
      <c r="AF49" s="59" t="s">
        <v>984</v>
      </c>
      <c r="AG49" s="59" t="s">
        <v>408</v>
      </c>
      <c r="AH49" s="59" t="s">
        <v>1327</v>
      </c>
      <c r="AI49" s="59" t="s">
        <v>285</v>
      </c>
      <c r="AJ49" s="59" t="s">
        <v>818</v>
      </c>
      <c r="AK49" s="59" t="s">
        <v>944</v>
      </c>
      <c r="AL49" s="64" t="str">
        <f>IFERROR(INDEX(LK_BankMaster!$D$4:$D$23,MATCH(AJ49&amp;"|"&amp;AK49,LK_BankMaster!$H$4:$H$23,0)),"")</f>
        <v/>
      </c>
      <c r="AM49" s="59" t="s">
        <v>1328</v>
      </c>
      <c r="AN49" s="64" t="str">
        <f>IFERROR(VLOOKUP(AJ49,LK_BankMaster!$A$4:$E$23,5,FALSE()),"")</f>
        <v/>
      </c>
      <c r="AO49" s="59" t="s">
        <v>314</v>
      </c>
      <c r="AP49" s="66">
        <v>1</v>
      </c>
      <c r="AQ49" s="64" t="str">
        <f t="shared" si="3"/>
        <v>Position Allowance - General Staff</v>
      </c>
      <c r="AR49" s="65" t="str">
        <f>IFERROR(VLOOKUP(T49,LK_OrgMaster!$B$4:$G$89,6,FALSE()),"No")</f>
        <v>No</v>
      </c>
      <c r="AS49" s="64" t="str">
        <f>IFERROR(VLOOKUP(T49,LK_OrgMaster!$B$4:$H$89,7,FALSE()),"None")</f>
        <v>Teaching</v>
      </c>
      <c r="AT49" s="70">
        <v>42747</v>
      </c>
      <c r="AU49" s="70"/>
      <c r="AV49" s="70">
        <v>42747</v>
      </c>
      <c r="AW49" s="70">
        <v>46023</v>
      </c>
      <c r="AX49" s="71" t="s">
        <v>750</v>
      </c>
      <c r="AY49" s="72" t="s">
        <v>6260</v>
      </c>
    </row>
    <row r="50" spans="1:51" ht="15" customHeight="1" x14ac:dyDescent="0.3">
      <c r="A50" s="59" t="s">
        <v>1329</v>
      </c>
      <c r="B50" s="59" t="s">
        <v>772</v>
      </c>
      <c r="C50" s="59" t="s">
        <v>1330</v>
      </c>
      <c r="D50" s="59" t="s">
        <v>1331</v>
      </c>
      <c r="E50" s="59" t="s">
        <v>732</v>
      </c>
      <c r="F50" s="60">
        <v>36188</v>
      </c>
      <c r="G50" s="59" t="s">
        <v>1332</v>
      </c>
      <c r="H50" s="59" t="s">
        <v>1333</v>
      </c>
      <c r="I50" s="60">
        <v>41406</v>
      </c>
      <c r="J50" s="61">
        <f t="shared" ca="1" si="0"/>
        <v>12</v>
      </c>
      <c r="K50" s="62">
        <f t="shared" si="1"/>
        <v>58103</v>
      </c>
      <c r="L50" s="59" t="s">
        <v>735</v>
      </c>
      <c r="M50" s="59" t="s">
        <v>1334</v>
      </c>
      <c r="N50" s="59" t="s">
        <v>1081</v>
      </c>
      <c r="O50" s="63">
        <v>0</v>
      </c>
      <c r="P50" s="61">
        <f>IFERROR(SUMPRODUCT((LK_GradeDerivation!$A$4:$A$135=N50)*(IF(O50="",0,O50)&gt;=LK_GradeDerivation!$B$4:$B$135)*(IF(O50="",0,O50)&lt;=LK_GradeDerivation!$C$4:$C$135)*LK_GradeDerivation!$D$4:$D$135),1)</f>
        <v>3</v>
      </c>
      <c r="Q50" s="61">
        <f>IFERROR(SUMPRODUCT((LK_GradeDerivation!$A$4:$A$135=N50)*(IF(O50="",0,O50)&gt;=LK_GradeDerivation!$B$4:$B$135)*(IF(O50="",0,O50)&lt;=LK_GradeDerivation!$C$4:$C$135)*LK_GradeDerivation!$E$4:$E$135),1)</f>
        <v>1</v>
      </c>
      <c r="R50" s="59" t="s">
        <v>1335</v>
      </c>
      <c r="S50" s="59" t="s">
        <v>1336</v>
      </c>
      <c r="T50" s="59" t="s">
        <v>740</v>
      </c>
      <c r="U50" s="59" t="s">
        <v>741</v>
      </c>
      <c r="V50" s="59" t="s">
        <v>995</v>
      </c>
      <c r="W50" s="59" t="s">
        <v>285</v>
      </c>
      <c r="X50" s="59" t="s">
        <v>429</v>
      </c>
      <c r="Y50" s="59" t="s">
        <v>431</v>
      </c>
      <c r="Z50" s="64" t="str">
        <f>IFERROR(VLOOKUP(T50,LK_OrgMaster!$B$4:$H$89,5,FALSE()),"Administration")</f>
        <v>Teacher</v>
      </c>
      <c r="AA50" s="65" t="str">
        <f>IFERROR(VLOOKUP(X50,LK_LocationMaster!$D$4:$G$157,4,FALSE()),"No")</f>
        <v>Yes</v>
      </c>
      <c r="AB50" s="65" t="str">
        <f t="shared" si="2"/>
        <v>No</v>
      </c>
      <c r="AC50" s="65" t="str">
        <f>IFERROR(VLOOKUP(X50,LK_LocationMaster!$D$4:$H$157,5,FALSE()),"No")</f>
        <v>Yes</v>
      </c>
      <c r="AD50" s="59" t="s">
        <v>1337</v>
      </c>
      <c r="AE50" s="59" t="s">
        <v>800</v>
      </c>
      <c r="AF50" s="59" t="s">
        <v>901</v>
      </c>
      <c r="AG50" s="59" t="s">
        <v>329</v>
      </c>
      <c r="AH50" s="59" t="s">
        <v>1338</v>
      </c>
      <c r="AI50" s="59" t="s">
        <v>285</v>
      </c>
      <c r="AJ50" s="59" t="s">
        <v>768</v>
      </c>
      <c r="AK50" s="59" t="s">
        <v>803</v>
      </c>
      <c r="AL50" s="64" t="str">
        <f>IFERROR(INDEX(LK_BankMaster!$D$4:$D$23,MATCH(AJ50&amp;"|"&amp;AK50,LK_BankMaster!$H$4:$H$23,0)),"")</f>
        <v/>
      </c>
      <c r="AM50" s="59" t="s">
        <v>1339</v>
      </c>
      <c r="AN50" s="64" t="str">
        <f>IFERROR(VLOOKUP(AJ50,LK_BankMaster!$A$4:$E$23,5,FALSE()),"")</f>
        <v/>
      </c>
      <c r="AO50" s="59" t="s">
        <v>291</v>
      </c>
      <c r="AP50" s="66">
        <v>0</v>
      </c>
      <c r="AQ50" s="64" t="str">
        <f t="shared" si="3"/>
        <v>Position Allowance - General Staff</v>
      </c>
      <c r="AR50" s="65" t="str">
        <f>IFERROR(VLOOKUP(T50,LK_OrgMaster!$B$4:$G$89,6,FALSE()),"No")</f>
        <v>No</v>
      </c>
      <c r="AS50" s="64" t="str">
        <f>IFERROR(VLOOKUP(T50,LK_OrgMaster!$B$4:$H$89,7,FALSE()),"None")</f>
        <v>Teaching</v>
      </c>
      <c r="AT50" s="67">
        <v>41406</v>
      </c>
      <c r="AU50" s="67"/>
      <c r="AV50" s="67">
        <v>41406</v>
      </c>
      <c r="AW50" s="67">
        <v>46023</v>
      </c>
      <c r="AX50" s="68" t="s">
        <v>750</v>
      </c>
      <c r="AY50" s="69" t="s">
        <v>6260</v>
      </c>
    </row>
    <row r="51" spans="1:51" ht="15" customHeight="1" x14ac:dyDescent="0.3">
      <c r="A51" s="59" t="s">
        <v>1340</v>
      </c>
      <c r="B51" s="59" t="s">
        <v>772</v>
      </c>
      <c r="C51" s="59" t="s">
        <v>1002</v>
      </c>
      <c r="D51" s="59" t="s">
        <v>876</v>
      </c>
      <c r="E51" s="59" t="s">
        <v>732</v>
      </c>
      <c r="F51" s="60">
        <v>29900</v>
      </c>
      <c r="G51" s="59" t="s">
        <v>1341</v>
      </c>
      <c r="H51" s="59" t="s">
        <v>1342</v>
      </c>
      <c r="I51" s="60">
        <v>43507</v>
      </c>
      <c r="J51" s="61">
        <f t="shared" ca="1" si="0"/>
        <v>7</v>
      </c>
      <c r="K51" s="62">
        <f t="shared" si="1"/>
        <v>51815</v>
      </c>
      <c r="L51" s="59" t="s">
        <v>735</v>
      </c>
      <c r="M51" s="59" t="s">
        <v>841</v>
      </c>
      <c r="N51" s="59" t="s">
        <v>758</v>
      </c>
      <c r="O51" s="63">
        <v>12</v>
      </c>
      <c r="P51" s="61">
        <f>IFERROR(SUMPRODUCT((LK_GradeDerivation!$A$4:$A$135=N51)*(IF(O51="",0,O51)&gt;=LK_GradeDerivation!$B$4:$B$135)*(IF(O51="",0,O51)&lt;=LK_GradeDerivation!$C$4:$C$135)*LK_GradeDerivation!$D$4:$D$135),1)</f>
        <v>5</v>
      </c>
      <c r="Q51" s="61">
        <f>IFERROR(SUMPRODUCT((LK_GradeDerivation!$A$4:$A$135=N51)*(IF(O51="",0,O51)&gt;=LK_GradeDerivation!$B$4:$B$135)*(IF(O51="",0,O51)&lt;=LK_GradeDerivation!$C$4:$C$135)*LK_GradeDerivation!$E$4:$E$135),1)</f>
        <v>7</v>
      </c>
      <c r="R51" s="59" t="s">
        <v>1343</v>
      </c>
      <c r="S51" s="59" t="s">
        <v>1344</v>
      </c>
      <c r="T51" s="59" t="s">
        <v>844</v>
      </c>
      <c r="U51" s="59" t="s">
        <v>1345</v>
      </c>
      <c r="V51" s="59" t="s">
        <v>1346</v>
      </c>
      <c r="W51" s="59" t="s">
        <v>285</v>
      </c>
      <c r="X51" s="59" t="s">
        <v>527</v>
      </c>
      <c r="Y51" s="59" t="s">
        <v>532</v>
      </c>
      <c r="Z51" s="64" t="str">
        <f>IFERROR(VLOOKUP(T51,LK_OrgMaster!$B$4:$H$89,5,FALSE()),"Administration")</f>
        <v>Administration</v>
      </c>
      <c r="AA51" s="65" t="str">
        <f>IFERROR(VLOOKUP(X51,LK_LocationMaster!$D$4:$G$157,4,FALSE()),"No")</f>
        <v>No</v>
      </c>
      <c r="AB51" s="65" t="str">
        <f t="shared" si="2"/>
        <v>No</v>
      </c>
      <c r="AC51" s="65" t="str">
        <f>IFERROR(VLOOKUP(X51,LK_LocationMaster!$D$4:$H$157,5,FALSE()),"No")</f>
        <v>No</v>
      </c>
      <c r="AD51" s="59" t="s">
        <v>1347</v>
      </c>
      <c r="AE51" s="59" t="s">
        <v>800</v>
      </c>
      <c r="AF51" s="59" t="s">
        <v>901</v>
      </c>
      <c r="AG51" s="59" t="s">
        <v>288</v>
      </c>
      <c r="AH51" s="59" t="s">
        <v>1348</v>
      </c>
      <c r="AI51" s="59" t="s">
        <v>285</v>
      </c>
      <c r="AJ51" s="59" t="s">
        <v>818</v>
      </c>
      <c r="AK51" s="59" t="s">
        <v>944</v>
      </c>
      <c r="AL51" s="64" t="str">
        <f>IFERROR(INDEX(LK_BankMaster!$D$4:$D$23,MATCH(AJ51&amp;"|"&amp;AK51,LK_BankMaster!$H$4:$H$23,0)),"")</f>
        <v/>
      </c>
      <c r="AM51" s="59" t="s">
        <v>1349</v>
      </c>
      <c r="AN51" s="64" t="str">
        <f>IFERROR(VLOOKUP(AJ51,LK_BankMaster!$A$4:$E$23,5,FALSE()),"")</f>
        <v/>
      </c>
      <c r="AO51" s="59" t="s">
        <v>314</v>
      </c>
      <c r="AP51" s="66">
        <v>2</v>
      </c>
      <c r="AQ51" s="64" t="str">
        <f t="shared" si="3"/>
        <v>Position Allowance - Director</v>
      </c>
      <c r="AR51" s="65" t="str">
        <f>IFERROR(VLOOKUP(T51,LK_OrgMaster!$B$4:$G$89,6,FALSE()),"No")</f>
        <v>No</v>
      </c>
      <c r="AS51" s="64" t="str">
        <f>IFERROR(VLOOKUP(T51,LK_OrgMaster!$B$4:$H$89,7,FALSE()),"None")</f>
        <v>None</v>
      </c>
      <c r="AT51" s="70">
        <v>43507</v>
      </c>
      <c r="AU51" s="70"/>
      <c r="AV51" s="70">
        <v>43507</v>
      </c>
      <c r="AW51" s="70">
        <v>46023</v>
      </c>
      <c r="AX51" s="71" t="s">
        <v>750</v>
      </c>
      <c r="AY51" s="72" t="s">
        <v>6260</v>
      </c>
    </row>
    <row r="52" spans="1:51" ht="15" customHeight="1" x14ac:dyDescent="0.3">
      <c r="A52" s="59" t="s">
        <v>1350</v>
      </c>
      <c r="B52" s="59" t="s">
        <v>772</v>
      </c>
      <c r="C52" s="59" t="s">
        <v>1351</v>
      </c>
      <c r="D52" s="59" t="s">
        <v>1352</v>
      </c>
      <c r="E52" s="59" t="s">
        <v>775</v>
      </c>
      <c r="F52" s="60">
        <v>35594</v>
      </c>
      <c r="G52" s="59" t="s">
        <v>1353</v>
      </c>
      <c r="H52" s="59" t="s">
        <v>1354</v>
      </c>
      <c r="I52" s="60">
        <v>40494</v>
      </c>
      <c r="J52" s="61">
        <f t="shared" ca="1" si="0"/>
        <v>15</v>
      </c>
      <c r="K52" s="62">
        <f t="shared" si="1"/>
        <v>57509</v>
      </c>
      <c r="L52" s="59" t="s">
        <v>735</v>
      </c>
      <c r="M52" s="59" t="s">
        <v>1201</v>
      </c>
      <c r="N52" s="59" t="s">
        <v>779</v>
      </c>
      <c r="O52" s="63">
        <v>0</v>
      </c>
      <c r="P52" s="61">
        <f>IFERROR(SUMPRODUCT((LK_GradeDerivation!$A$4:$A$135=N52)*(IF(O52="",0,O52)&gt;=LK_GradeDerivation!$B$4:$B$135)*(IF(O52="",0,O52)&lt;=LK_GradeDerivation!$C$4:$C$135)*LK_GradeDerivation!$D$4:$D$135),1)</f>
        <v>2</v>
      </c>
      <c r="Q52" s="61">
        <f>IFERROR(SUMPRODUCT((LK_GradeDerivation!$A$4:$A$135=N52)*(IF(O52="",0,O52)&gt;=LK_GradeDerivation!$B$4:$B$135)*(IF(O52="",0,O52)&lt;=LK_GradeDerivation!$C$4:$C$135)*LK_GradeDerivation!$E$4:$E$135),1)</f>
        <v>1</v>
      </c>
      <c r="R52" s="59" t="s">
        <v>1355</v>
      </c>
      <c r="S52" s="59" t="s">
        <v>1356</v>
      </c>
      <c r="T52" s="59" t="s">
        <v>1305</v>
      </c>
      <c r="U52" s="59" t="s">
        <v>897</v>
      </c>
      <c r="V52" s="59" t="s">
        <v>1357</v>
      </c>
      <c r="W52" s="59" t="s">
        <v>285</v>
      </c>
      <c r="X52" s="59" t="s">
        <v>312</v>
      </c>
      <c r="Y52" s="59" t="s">
        <v>323</v>
      </c>
      <c r="Z52" s="64" t="str">
        <f>IFERROR(VLOOKUP(T52,LK_OrgMaster!$B$4:$H$89,5,FALSE()),"Administration")</f>
        <v>Administration</v>
      </c>
      <c r="AA52" s="65" t="str">
        <f>IFERROR(VLOOKUP(X52,LK_LocationMaster!$D$4:$G$157,4,FALSE()),"No")</f>
        <v>Yes</v>
      </c>
      <c r="AB52" s="65" t="str">
        <f t="shared" si="2"/>
        <v>No</v>
      </c>
      <c r="AC52" s="65" t="str">
        <f>IFERROR(VLOOKUP(X52,LK_LocationMaster!$D$4:$H$157,5,FALSE()),"No")</f>
        <v>No</v>
      </c>
      <c r="AD52" s="59" t="s">
        <v>1358</v>
      </c>
      <c r="AE52" s="59" t="s">
        <v>886</v>
      </c>
      <c r="AF52" s="59" t="s">
        <v>915</v>
      </c>
      <c r="AG52" s="59" t="s">
        <v>368</v>
      </c>
      <c r="AH52" s="59" t="s">
        <v>1359</v>
      </c>
      <c r="AI52" s="59" t="s">
        <v>285</v>
      </c>
      <c r="AJ52" s="59" t="s">
        <v>833</v>
      </c>
      <c r="AK52" s="59" t="s">
        <v>1013</v>
      </c>
      <c r="AL52" s="64" t="str">
        <f>IFERROR(INDEX(LK_BankMaster!$D$4:$D$23,MATCH(AJ52&amp;"|"&amp;AK52,LK_BankMaster!$H$4:$H$23,0)),"")</f>
        <v/>
      </c>
      <c r="AM52" s="59" t="s">
        <v>1360</v>
      </c>
      <c r="AN52" s="64" t="str">
        <f>IFERROR(VLOOKUP(AJ52,LK_BankMaster!$A$4:$E$23,5,FALSE()),"")</f>
        <v/>
      </c>
      <c r="AO52" s="59" t="s">
        <v>314</v>
      </c>
      <c r="AP52" s="66">
        <v>0</v>
      </c>
      <c r="AQ52" s="64" t="str">
        <f t="shared" si="3"/>
        <v>Position Allowance - General Staff</v>
      </c>
      <c r="AR52" s="65" t="str">
        <f>IFERROR(VLOOKUP(T52,LK_OrgMaster!$B$4:$G$89,6,FALSE()),"No")</f>
        <v>No</v>
      </c>
      <c r="AS52" s="64" t="str">
        <f>IFERROR(VLOOKUP(T52,LK_OrgMaster!$B$4:$H$89,7,FALSE()),"None")</f>
        <v>None</v>
      </c>
      <c r="AT52" s="67">
        <v>40494</v>
      </c>
      <c r="AU52" s="67"/>
      <c r="AV52" s="67">
        <v>40494</v>
      </c>
      <c r="AW52" s="67">
        <v>46023</v>
      </c>
      <c r="AX52" s="68" t="s">
        <v>750</v>
      </c>
      <c r="AY52" s="69" t="s">
        <v>6260</v>
      </c>
    </row>
    <row r="53" spans="1:51" ht="15" customHeight="1" x14ac:dyDescent="0.3">
      <c r="A53" s="59" t="s">
        <v>1361</v>
      </c>
      <c r="B53" s="59" t="s">
        <v>772</v>
      </c>
      <c r="C53" s="59" t="s">
        <v>1362</v>
      </c>
      <c r="D53" s="59" t="s">
        <v>1066</v>
      </c>
      <c r="E53" s="59" t="s">
        <v>732</v>
      </c>
      <c r="F53" s="60">
        <v>31190</v>
      </c>
      <c r="G53" s="59" t="s">
        <v>1363</v>
      </c>
      <c r="H53" s="59" t="s">
        <v>1364</v>
      </c>
      <c r="I53" s="60">
        <v>35540</v>
      </c>
      <c r="J53" s="61">
        <f t="shared" ca="1" si="0"/>
        <v>28</v>
      </c>
      <c r="K53" s="62">
        <f t="shared" si="1"/>
        <v>53105</v>
      </c>
      <c r="L53" s="59" t="s">
        <v>735</v>
      </c>
      <c r="M53" s="59" t="s">
        <v>1163</v>
      </c>
      <c r="N53" s="59" t="s">
        <v>1081</v>
      </c>
      <c r="O53" s="63">
        <v>0</v>
      </c>
      <c r="P53" s="61">
        <f>IFERROR(SUMPRODUCT((LK_GradeDerivation!$A$4:$A$135=N53)*(IF(O53="",0,O53)&gt;=LK_GradeDerivation!$B$4:$B$135)*(IF(O53="",0,O53)&lt;=LK_GradeDerivation!$C$4:$C$135)*LK_GradeDerivation!$D$4:$D$135),1)</f>
        <v>3</v>
      </c>
      <c r="Q53" s="61">
        <f>IFERROR(SUMPRODUCT((LK_GradeDerivation!$A$4:$A$135=N53)*(IF(O53="",0,O53)&gt;=LK_GradeDerivation!$B$4:$B$135)*(IF(O53="",0,O53)&lt;=LK_GradeDerivation!$C$4:$C$135)*LK_GradeDerivation!$E$4:$E$135),1)</f>
        <v>1</v>
      </c>
      <c r="R53" s="59" t="s">
        <v>1365</v>
      </c>
      <c r="S53" s="59" t="s">
        <v>1366</v>
      </c>
      <c r="T53" s="59" t="s">
        <v>740</v>
      </c>
      <c r="U53" s="59" t="s">
        <v>741</v>
      </c>
      <c r="V53" s="59" t="s">
        <v>1367</v>
      </c>
      <c r="W53" s="59" t="s">
        <v>285</v>
      </c>
      <c r="X53" s="59" t="s">
        <v>554</v>
      </c>
      <c r="Y53" s="59" t="s">
        <v>562</v>
      </c>
      <c r="Z53" s="64" t="str">
        <f>IFERROR(VLOOKUP(T53,LK_OrgMaster!$B$4:$H$89,5,FALSE()),"Administration")</f>
        <v>Teacher</v>
      </c>
      <c r="AA53" s="65" t="str">
        <f>IFERROR(VLOOKUP(X53,LK_LocationMaster!$D$4:$G$157,4,FALSE()),"No")</f>
        <v>No</v>
      </c>
      <c r="AB53" s="65" t="str">
        <f t="shared" si="2"/>
        <v>No</v>
      </c>
      <c r="AC53" s="65" t="str">
        <f>IFERROR(VLOOKUP(X53,LK_LocationMaster!$D$4:$H$157,5,FALSE()),"No")</f>
        <v>No</v>
      </c>
      <c r="AD53" s="59" t="s">
        <v>1368</v>
      </c>
      <c r="AE53" s="59" t="s">
        <v>930</v>
      </c>
      <c r="AF53" s="59" t="s">
        <v>766</v>
      </c>
      <c r="AG53" s="59" t="s">
        <v>368</v>
      </c>
      <c r="AH53" s="59" t="s">
        <v>1369</v>
      </c>
      <c r="AI53" s="59" t="s">
        <v>285</v>
      </c>
      <c r="AJ53" s="59" t="s">
        <v>788</v>
      </c>
      <c r="AK53" s="59" t="s">
        <v>1370</v>
      </c>
      <c r="AL53" s="64" t="str">
        <f>IFERROR(INDEX(LK_BankMaster!$D$4:$D$23,MATCH(AJ53&amp;"|"&amp;AK53,LK_BankMaster!$H$4:$H$23,0)),"")</f>
        <v/>
      </c>
      <c r="AM53" s="59" t="s">
        <v>1371</v>
      </c>
      <c r="AN53" s="64" t="str">
        <f>IFERROR(VLOOKUP(AJ53,LK_BankMaster!$A$4:$E$23,5,FALSE()),"")</f>
        <v/>
      </c>
      <c r="AO53" s="59" t="s">
        <v>314</v>
      </c>
      <c r="AP53" s="66">
        <v>3</v>
      </c>
      <c r="AQ53" s="64" t="str">
        <f t="shared" si="3"/>
        <v>Position Allowance - General Staff</v>
      </c>
      <c r="AR53" s="65" t="str">
        <f>IFERROR(VLOOKUP(T53,LK_OrgMaster!$B$4:$G$89,6,FALSE()),"No")</f>
        <v>No</v>
      </c>
      <c r="AS53" s="64" t="str">
        <f>IFERROR(VLOOKUP(T53,LK_OrgMaster!$B$4:$H$89,7,FALSE()),"None")</f>
        <v>Teaching</v>
      </c>
      <c r="AT53" s="70">
        <v>35540</v>
      </c>
      <c r="AU53" s="70"/>
      <c r="AV53" s="70">
        <v>35540</v>
      </c>
      <c r="AW53" s="70">
        <v>46023</v>
      </c>
      <c r="AX53" s="71" t="s">
        <v>750</v>
      </c>
      <c r="AY53" s="72" t="s">
        <v>6260</v>
      </c>
    </row>
    <row r="54" spans="1:51" ht="15" customHeight="1" x14ac:dyDescent="0.3">
      <c r="A54" s="59" t="s">
        <v>1372</v>
      </c>
      <c r="B54" s="59" t="s">
        <v>851</v>
      </c>
      <c r="C54" s="59" t="s">
        <v>920</v>
      </c>
      <c r="D54" s="59" t="s">
        <v>1373</v>
      </c>
      <c r="E54" s="59" t="s">
        <v>775</v>
      </c>
      <c r="F54" s="60">
        <v>34547</v>
      </c>
      <c r="G54" s="59" t="s">
        <v>1374</v>
      </c>
      <c r="H54" s="59" t="s">
        <v>1375</v>
      </c>
      <c r="I54" s="60">
        <v>41341</v>
      </c>
      <c r="J54" s="61">
        <f t="shared" ca="1" si="0"/>
        <v>13</v>
      </c>
      <c r="K54" s="62">
        <f t="shared" si="1"/>
        <v>56462</v>
      </c>
      <c r="L54" s="59" t="s">
        <v>735</v>
      </c>
      <c r="M54" s="59" t="s">
        <v>1376</v>
      </c>
      <c r="N54" s="59" t="s">
        <v>737</v>
      </c>
      <c r="O54" s="63">
        <v>0</v>
      </c>
      <c r="P54" s="61">
        <f>IFERROR(SUMPRODUCT((LK_GradeDerivation!$A$4:$A$135=N54)*(IF(O54="",0,O54)&gt;=LK_GradeDerivation!$B$4:$B$135)*(IF(O54="",0,O54)&lt;=LK_GradeDerivation!$C$4:$C$135)*LK_GradeDerivation!$D$4:$D$135),1)</f>
        <v>4</v>
      </c>
      <c r="Q54" s="61">
        <f>IFERROR(SUMPRODUCT((LK_GradeDerivation!$A$4:$A$135=N54)*(IF(O54="",0,O54)&gt;=LK_GradeDerivation!$B$4:$B$135)*(IF(O54="",0,O54)&lt;=LK_GradeDerivation!$C$4:$C$135)*LK_GradeDerivation!$E$4:$E$135),1)</f>
        <v>1</v>
      </c>
      <c r="R54" s="59" t="s">
        <v>1377</v>
      </c>
      <c r="S54" s="59" t="s">
        <v>1378</v>
      </c>
      <c r="T54" s="59" t="s">
        <v>782</v>
      </c>
      <c r="U54" s="59" t="s">
        <v>1191</v>
      </c>
      <c r="V54" s="59" t="s">
        <v>1192</v>
      </c>
      <c r="W54" s="59" t="s">
        <v>285</v>
      </c>
      <c r="X54" s="59" t="s">
        <v>477</v>
      </c>
      <c r="Y54" s="59" t="s">
        <v>494</v>
      </c>
      <c r="Z54" s="64" t="str">
        <f>IFERROR(VLOOKUP(T54,LK_OrgMaster!$B$4:$H$89,5,FALSE()),"Administration")</f>
        <v>Medical</v>
      </c>
      <c r="AA54" s="65" t="str">
        <f>IFERROR(VLOOKUP(X54,LK_LocationMaster!$D$4:$G$157,4,FALSE()),"No")</f>
        <v>No</v>
      </c>
      <c r="AB54" s="65" t="str">
        <f t="shared" si="2"/>
        <v>No</v>
      </c>
      <c r="AC54" s="65" t="str">
        <f>IFERROR(VLOOKUP(X54,LK_LocationMaster!$D$4:$H$157,5,FALSE()),"No")</f>
        <v>Yes</v>
      </c>
      <c r="AD54" s="59" t="s">
        <v>1379</v>
      </c>
      <c r="AE54" s="59" t="s">
        <v>800</v>
      </c>
      <c r="AF54" s="59" t="s">
        <v>766</v>
      </c>
      <c r="AG54" s="59" t="s">
        <v>391</v>
      </c>
      <c r="AH54" s="59" t="s">
        <v>1380</v>
      </c>
      <c r="AI54" s="59" t="s">
        <v>285</v>
      </c>
      <c r="AJ54" s="59" t="s">
        <v>747</v>
      </c>
      <c r="AK54" s="59" t="s">
        <v>748</v>
      </c>
      <c r="AL54" s="64" t="str">
        <f>IFERROR(INDEX(LK_BankMaster!$D$4:$D$23,MATCH(AJ54&amp;"|"&amp;AK54,LK_BankMaster!$H$4:$H$23,0)),"")</f>
        <v/>
      </c>
      <c r="AM54" s="59" t="s">
        <v>1381</v>
      </c>
      <c r="AN54" s="64" t="str">
        <f>IFERROR(VLOOKUP(AJ54,LK_BankMaster!$A$4:$E$23,5,FALSE()),"")</f>
        <v/>
      </c>
      <c r="AO54" s="59" t="s">
        <v>291</v>
      </c>
      <c r="AP54" s="66">
        <v>0</v>
      </c>
      <c r="AQ54" s="64" t="str">
        <f t="shared" si="3"/>
        <v>Position Allowance - Director</v>
      </c>
      <c r="AR54" s="65" t="str">
        <f>IFERROR(VLOOKUP(T54,LK_OrgMaster!$B$4:$G$89,6,FALSE()),"No")</f>
        <v>No</v>
      </c>
      <c r="AS54" s="64" t="str">
        <f>IFERROR(VLOOKUP(T54,LK_OrgMaster!$B$4:$H$89,7,FALSE()),"None")</f>
        <v>Medical</v>
      </c>
      <c r="AT54" s="67">
        <v>41341</v>
      </c>
      <c r="AU54" s="67"/>
      <c r="AV54" s="67">
        <v>41341</v>
      </c>
      <c r="AW54" s="67">
        <v>46023</v>
      </c>
      <c r="AX54" s="68" t="s">
        <v>750</v>
      </c>
      <c r="AY54" s="69" t="s">
        <v>6260</v>
      </c>
    </row>
    <row r="55" spans="1:51" ht="15" customHeight="1" x14ac:dyDescent="0.3">
      <c r="A55" s="59" t="s">
        <v>1382</v>
      </c>
      <c r="B55" s="59" t="s">
        <v>851</v>
      </c>
      <c r="C55" s="59" t="s">
        <v>1383</v>
      </c>
      <c r="D55" s="59" t="s">
        <v>838</v>
      </c>
      <c r="E55" s="59" t="s">
        <v>775</v>
      </c>
      <c r="F55" s="60">
        <v>25102</v>
      </c>
      <c r="G55" s="59" t="s">
        <v>1384</v>
      </c>
      <c r="H55" s="59" t="s">
        <v>1385</v>
      </c>
      <c r="I55" s="60">
        <v>37707</v>
      </c>
      <c r="J55" s="61">
        <f t="shared" ca="1" si="0"/>
        <v>22</v>
      </c>
      <c r="K55" s="62">
        <f t="shared" si="1"/>
        <v>47017</v>
      </c>
      <c r="L55" s="59" t="s">
        <v>735</v>
      </c>
      <c r="M55" s="59" t="s">
        <v>1334</v>
      </c>
      <c r="N55" s="59" t="s">
        <v>1081</v>
      </c>
      <c r="O55" s="63">
        <v>14</v>
      </c>
      <c r="P55" s="61">
        <f>IFERROR(SUMPRODUCT((LK_GradeDerivation!$A$4:$A$135=N55)*(IF(O55="",0,O55)&gt;=LK_GradeDerivation!$B$4:$B$135)*(IF(O55="",0,O55)&lt;=LK_GradeDerivation!$C$4:$C$135)*LK_GradeDerivation!$D$4:$D$135),1)</f>
        <v>3</v>
      </c>
      <c r="Q55" s="61">
        <f>IFERROR(SUMPRODUCT((LK_GradeDerivation!$A$4:$A$135=N55)*(IF(O55="",0,O55)&gt;=LK_GradeDerivation!$B$4:$B$135)*(IF(O55="",0,O55)&lt;=LK_GradeDerivation!$C$4:$C$135)*LK_GradeDerivation!$E$4:$E$135),1)</f>
        <v>8</v>
      </c>
      <c r="R55" s="59" t="s">
        <v>1386</v>
      </c>
      <c r="S55" s="59" t="s">
        <v>1387</v>
      </c>
      <c r="T55" s="59" t="s">
        <v>740</v>
      </c>
      <c r="U55" s="59" t="s">
        <v>1388</v>
      </c>
      <c r="V55" s="59" t="s">
        <v>1389</v>
      </c>
      <c r="W55" s="59" t="s">
        <v>285</v>
      </c>
      <c r="X55" s="59" t="s">
        <v>356</v>
      </c>
      <c r="Y55" s="59" t="s">
        <v>364</v>
      </c>
      <c r="Z55" s="64" t="str">
        <f>IFERROR(VLOOKUP(T55,LK_OrgMaster!$B$4:$H$89,5,FALSE()),"Administration")</f>
        <v>Teacher</v>
      </c>
      <c r="AA55" s="65" t="str">
        <f>IFERROR(VLOOKUP(X55,LK_LocationMaster!$D$4:$G$157,4,FALSE()),"No")</f>
        <v>Yes</v>
      </c>
      <c r="AB55" s="65" t="str">
        <f t="shared" si="2"/>
        <v>No</v>
      </c>
      <c r="AC55" s="65" t="str">
        <f>IFERROR(VLOOKUP(X55,LK_LocationMaster!$D$4:$H$157,5,FALSE()),"No")</f>
        <v>No</v>
      </c>
      <c r="AD55" s="59" t="s">
        <v>1390</v>
      </c>
      <c r="AE55" s="59" t="s">
        <v>765</v>
      </c>
      <c r="AF55" s="59" t="s">
        <v>901</v>
      </c>
      <c r="AG55" s="59" t="s">
        <v>329</v>
      </c>
      <c r="AH55" s="59" t="s">
        <v>1391</v>
      </c>
      <c r="AI55" s="59" t="s">
        <v>285</v>
      </c>
      <c r="AJ55" s="59" t="s">
        <v>747</v>
      </c>
      <c r="AK55" s="59" t="s">
        <v>748</v>
      </c>
      <c r="AL55" s="64" t="str">
        <f>IFERROR(INDEX(LK_BankMaster!$D$4:$D$23,MATCH(AJ55&amp;"|"&amp;AK55,LK_BankMaster!$H$4:$H$23,0)),"")</f>
        <v/>
      </c>
      <c r="AM55" s="59" t="s">
        <v>1392</v>
      </c>
      <c r="AN55" s="64" t="str">
        <f>IFERROR(VLOOKUP(AJ55,LK_BankMaster!$A$4:$E$23,5,FALSE()),"")</f>
        <v/>
      </c>
      <c r="AO55" s="59" t="s">
        <v>314</v>
      </c>
      <c r="AP55" s="66">
        <v>1</v>
      </c>
      <c r="AQ55" s="64" t="str">
        <f t="shared" si="3"/>
        <v>Position Allowance - General Staff</v>
      </c>
      <c r="AR55" s="65" t="str">
        <f>IFERROR(VLOOKUP(T55,LK_OrgMaster!$B$4:$G$89,6,FALSE()),"No")</f>
        <v>No</v>
      </c>
      <c r="AS55" s="64" t="str">
        <f>IFERROR(VLOOKUP(T55,LK_OrgMaster!$B$4:$H$89,7,FALSE()),"None")</f>
        <v>Teaching</v>
      </c>
      <c r="AT55" s="70">
        <v>37707</v>
      </c>
      <c r="AU55" s="70"/>
      <c r="AV55" s="70">
        <v>37707</v>
      </c>
      <c r="AW55" s="70">
        <v>46023</v>
      </c>
      <c r="AX55" s="71" t="s">
        <v>750</v>
      </c>
      <c r="AY55" s="72" t="s">
        <v>6260</v>
      </c>
    </row>
    <row r="56" spans="1:51" ht="15" customHeight="1" x14ac:dyDescent="0.3">
      <c r="A56" s="59" t="s">
        <v>1393</v>
      </c>
      <c r="B56" s="59" t="s">
        <v>772</v>
      </c>
      <c r="C56" s="59" t="s">
        <v>1394</v>
      </c>
      <c r="D56" s="59" t="s">
        <v>1395</v>
      </c>
      <c r="E56" s="59" t="s">
        <v>732</v>
      </c>
      <c r="F56" s="60">
        <v>30261</v>
      </c>
      <c r="G56" s="59" t="s">
        <v>1396</v>
      </c>
      <c r="H56" s="59" t="s">
        <v>1397</v>
      </c>
      <c r="I56" s="60">
        <v>33286</v>
      </c>
      <c r="J56" s="61">
        <f t="shared" ca="1" si="0"/>
        <v>35</v>
      </c>
      <c r="K56" s="62">
        <f t="shared" si="1"/>
        <v>52176</v>
      </c>
      <c r="L56" s="59" t="s">
        <v>735</v>
      </c>
      <c r="M56" s="59" t="s">
        <v>910</v>
      </c>
      <c r="N56" s="59" t="s">
        <v>737</v>
      </c>
      <c r="O56" s="63">
        <v>0</v>
      </c>
      <c r="P56" s="61">
        <f>IFERROR(SUMPRODUCT((LK_GradeDerivation!$A$4:$A$135=N56)*(IF(O56="",0,O56)&gt;=LK_GradeDerivation!$B$4:$B$135)*(IF(O56="",0,O56)&lt;=LK_GradeDerivation!$C$4:$C$135)*LK_GradeDerivation!$D$4:$D$135),1)</f>
        <v>4</v>
      </c>
      <c r="Q56" s="61">
        <f>IFERROR(SUMPRODUCT((LK_GradeDerivation!$A$4:$A$135=N56)*(IF(O56="",0,O56)&gt;=LK_GradeDerivation!$B$4:$B$135)*(IF(O56="",0,O56)&lt;=LK_GradeDerivation!$C$4:$C$135)*LK_GradeDerivation!$E$4:$E$135),1)</f>
        <v>1</v>
      </c>
      <c r="R56" s="59" t="s">
        <v>1398</v>
      </c>
      <c r="S56" s="59" t="s">
        <v>1399</v>
      </c>
      <c r="T56" s="59" t="s">
        <v>1035</v>
      </c>
      <c r="U56" s="59" t="s">
        <v>953</v>
      </c>
      <c r="V56" s="59" t="s">
        <v>954</v>
      </c>
      <c r="W56" s="59" t="s">
        <v>285</v>
      </c>
      <c r="X56" s="59" t="s">
        <v>356</v>
      </c>
      <c r="Y56" s="59" t="s">
        <v>360</v>
      </c>
      <c r="Z56" s="64" t="str">
        <f>IFERROR(VLOOKUP(T56,LK_OrgMaster!$B$4:$H$89,5,FALSE()),"Administration")</f>
        <v>Administration</v>
      </c>
      <c r="AA56" s="65" t="str">
        <f>IFERROR(VLOOKUP(X56,LK_LocationMaster!$D$4:$G$157,4,FALSE()),"No")</f>
        <v>Yes</v>
      </c>
      <c r="AB56" s="65" t="str">
        <f t="shared" si="2"/>
        <v>No</v>
      </c>
      <c r="AC56" s="65" t="str">
        <f>IFERROR(VLOOKUP(X56,LK_LocationMaster!$D$4:$H$157,5,FALSE()),"No")</f>
        <v>No</v>
      </c>
      <c r="AD56" s="59" t="s">
        <v>1400</v>
      </c>
      <c r="AE56" s="59" t="s">
        <v>1401</v>
      </c>
      <c r="AF56" s="59" t="s">
        <v>816</v>
      </c>
      <c r="AG56" s="59" t="s">
        <v>356</v>
      </c>
      <c r="AH56" s="59" t="s">
        <v>1402</v>
      </c>
      <c r="AI56" s="59" t="s">
        <v>285</v>
      </c>
      <c r="AJ56" s="59" t="s">
        <v>747</v>
      </c>
      <c r="AK56" s="59" t="s">
        <v>748</v>
      </c>
      <c r="AL56" s="64" t="str">
        <f>IFERROR(INDEX(LK_BankMaster!$D$4:$D$23,MATCH(AJ56&amp;"|"&amp;AK56,LK_BankMaster!$H$4:$H$23,0)),"")</f>
        <v/>
      </c>
      <c r="AM56" s="59" t="s">
        <v>1403</v>
      </c>
      <c r="AN56" s="64" t="str">
        <f>IFERROR(VLOOKUP(AJ56,LK_BankMaster!$A$4:$E$23,5,FALSE()),"")</f>
        <v/>
      </c>
      <c r="AO56" s="59" t="s">
        <v>314</v>
      </c>
      <c r="AP56" s="66">
        <v>0</v>
      </c>
      <c r="AQ56" s="64" t="str">
        <f t="shared" si="3"/>
        <v>Position Allowance - Division Chief</v>
      </c>
      <c r="AR56" s="65" t="str">
        <f>IFERROR(VLOOKUP(T56,LK_OrgMaster!$B$4:$G$89,6,FALSE()),"No")</f>
        <v>No</v>
      </c>
      <c r="AS56" s="64" t="str">
        <f>IFERROR(VLOOKUP(T56,LK_OrgMaster!$B$4:$H$89,7,FALSE()),"None")</f>
        <v>None</v>
      </c>
      <c r="AT56" s="67">
        <v>33286</v>
      </c>
      <c r="AU56" s="67"/>
      <c r="AV56" s="67">
        <v>33286</v>
      </c>
      <c r="AW56" s="67">
        <v>46023</v>
      </c>
      <c r="AX56" s="68" t="s">
        <v>750</v>
      </c>
      <c r="AY56" s="69" t="s">
        <v>6260</v>
      </c>
    </row>
    <row r="57" spans="1:51" ht="15" customHeight="1" x14ac:dyDescent="0.3">
      <c r="A57" s="59" t="s">
        <v>1404</v>
      </c>
      <c r="B57" s="59" t="s">
        <v>772</v>
      </c>
      <c r="C57" s="59" t="s">
        <v>822</v>
      </c>
      <c r="D57" s="59" t="s">
        <v>807</v>
      </c>
      <c r="E57" s="59" t="s">
        <v>732</v>
      </c>
      <c r="F57" s="60">
        <v>26373</v>
      </c>
      <c r="G57" s="59" t="s">
        <v>1405</v>
      </c>
      <c r="H57" s="59" t="s">
        <v>1406</v>
      </c>
      <c r="I57" s="60">
        <v>44532</v>
      </c>
      <c r="J57" s="61">
        <f t="shared" ca="1" si="0"/>
        <v>4</v>
      </c>
      <c r="K57" s="62">
        <f t="shared" si="1"/>
        <v>48288</v>
      </c>
      <c r="L57" s="59" t="s">
        <v>735</v>
      </c>
      <c r="M57" s="59" t="s">
        <v>1407</v>
      </c>
      <c r="N57" s="59" t="s">
        <v>1081</v>
      </c>
      <c r="O57" s="63">
        <v>25</v>
      </c>
      <c r="P57" s="61">
        <f>IFERROR(SUMPRODUCT((LK_GradeDerivation!$A$4:$A$135=N57)*(IF(O57="",0,O57)&gt;=LK_GradeDerivation!$B$4:$B$135)*(IF(O57="",0,O57)&lt;=LK_GradeDerivation!$C$4:$C$135)*LK_GradeDerivation!$D$4:$D$135),1)</f>
        <v>3</v>
      </c>
      <c r="Q57" s="61">
        <f>IFERROR(SUMPRODUCT((LK_GradeDerivation!$A$4:$A$135=N57)*(IF(O57="",0,O57)&gt;=LK_GradeDerivation!$B$4:$B$135)*(IF(O57="",0,O57)&lt;=LK_GradeDerivation!$C$4:$C$135)*LK_GradeDerivation!$E$4:$E$135),1)</f>
        <v>13</v>
      </c>
      <c r="R57" s="59" t="s">
        <v>1408</v>
      </c>
      <c r="S57" s="59" t="s">
        <v>1409</v>
      </c>
      <c r="T57" s="59" t="s">
        <v>1058</v>
      </c>
      <c r="U57" s="59" t="s">
        <v>1410</v>
      </c>
      <c r="V57" s="59" t="s">
        <v>1411</v>
      </c>
      <c r="W57" s="59" t="s">
        <v>285</v>
      </c>
      <c r="X57" s="59" t="s">
        <v>544</v>
      </c>
      <c r="Y57" s="59" t="s">
        <v>548</v>
      </c>
      <c r="Z57" s="64" t="str">
        <f>IFERROR(VLOOKUP(T57,LK_OrgMaster!$B$4:$H$89,5,FALSE()),"Administration")</f>
        <v>Technical</v>
      </c>
      <c r="AA57" s="65" t="str">
        <f>IFERROR(VLOOKUP(X57,LK_LocationMaster!$D$4:$G$157,4,FALSE()),"No")</f>
        <v>Yes</v>
      </c>
      <c r="AB57" s="65" t="str">
        <f t="shared" si="2"/>
        <v>No</v>
      </c>
      <c r="AC57" s="65" t="str">
        <f>IFERROR(VLOOKUP(X57,LK_LocationMaster!$D$4:$H$157,5,FALSE()),"No")</f>
        <v>Yes</v>
      </c>
      <c r="AD57" s="59" t="s">
        <v>1412</v>
      </c>
      <c r="AE57" s="59" t="s">
        <v>1413</v>
      </c>
      <c r="AF57" s="59" t="s">
        <v>766</v>
      </c>
      <c r="AG57" s="59" t="s">
        <v>329</v>
      </c>
      <c r="AH57" s="59" t="s">
        <v>1414</v>
      </c>
      <c r="AI57" s="59" t="s">
        <v>285</v>
      </c>
      <c r="AJ57" s="59" t="s">
        <v>768</v>
      </c>
      <c r="AK57" s="59" t="s">
        <v>1063</v>
      </c>
      <c r="AL57" s="64" t="str">
        <f>IFERROR(INDEX(LK_BankMaster!$D$4:$D$23,MATCH(AJ57&amp;"|"&amp;AK57,LK_BankMaster!$H$4:$H$23,0)),"")</f>
        <v/>
      </c>
      <c r="AM57" s="59" t="s">
        <v>1415</v>
      </c>
      <c r="AN57" s="64" t="str">
        <f>IFERROR(VLOOKUP(AJ57,LK_BankMaster!$A$4:$E$23,5,FALSE()),"")</f>
        <v/>
      </c>
      <c r="AO57" s="59" t="s">
        <v>314</v>
      </c>
      <c r="AP57" s="66">
        <v>2</v>
      </c>
      <c r="AQ57" s="64" t="str">
        <f t="shared" si="3"/>
        <v>Position Allowance - General Staff</v>
      </c>
      <c r="AR57" s="65" t="str">
        <f>IFERROR(VLOOKUP(T57,LK_OrgMaster!$B$4:$G$89,6,FALSE()),"No")</f>
        <v>No</v>
      </c>
      <c r="AS57" s="64" t="str">
        <f>IFERROR(VLOOKUP(T57,LK_OrgMaster!$B$4:$H$89,7,FALSE()),"None")</f>
        <v>None</v>
      </c>
      <c r="AT57" s="70">
        <v>44532</v>
      </c>
      <c r="AU57" s="70"/>
      <c r="AV57" s="70">
        <v>44532</v>
      </c>
      <c r="AW57" s="70">
        <v>46023</v>
      </c>
      <c r="AX57" s="71" t="s">
        <v>750</v>
      </c>
      <c r="AY57" s="72" t="s">
        <v>6260</v>
      </c>
    </row>
    <row r="58" spans="1:51" ht="15" customHeight="1" x14ac:dyDescent="0.3">
      <c r="A58" s="59" t="s">
        <v>1416</v>
      </c>
      <c r="B58" s="59" t="s">
        <v>729</v>
      </c>
      <c r="C58" s="59" t="s">
        <v>1417</v>
      </c>
      <c r="D58" s="59" t="s">
        <v>1418</v>
      </c>
      <c r="E58" s="59" t="s">
        <v>732</v>
      </c>
      <c r="F58" s="60">
        <v>34986</v>
      </c>
      <c r="G58" s="59" t="s">
        <v>1419</v>
      </c>
      <c r="H58" s="59" t="s">
        <v>1420</v>
      </c>
      <c r="I58" s="60">
        <v>44694</v>
      </c>
      <c r="J58" s="61">
        <f t="shared" ca="1" si="0"/>
        <v>3</v>
      </c>
      <c r="K58" s="62">
        <f t="shared" si="1"/>
        <v>56901</v>
      </c>
      <c r="L58" s="59" t="s">
        <v>735</v>
      </c>
      <c r="M58" s="59" t="s">
        <v>1421</v>
      </c>
      <c r="N58" s="59" t="s">
        <v>779</v>
      </c>
      <c r="O58" s="63">
        <v>8</v>
      </c>
      <c r="P58" s="61">
        <f>IFERROR(SUMPRODUCT((LK_GradeDerivation!$A$4:$A$135=N58)*(IF(O58="",0,O58)&gt;=LK_GradeDerivation!$B$4:$B$135)*(IF(O58="",0,O58)&lt;=LK_GradeDerivation!$C$4:$C$135)*LK_GradeDerivation!$D$4:$D$135),1)</f>
        <v>2</v>
      </c>
      <c r="Q58" s="61">
        <f>IFERROR(SUMPRODUCT((LK_GradeDerivation!$A$4:$A$135=N58)*(IF(O58="",0,O58)&gt;=LK_GradeDerivation!$B$4:$B$135)*(IF(O58="",0,O58)&lt;=LK_GradeDerivation!$C$4:$C$135)*LK_GradeDerivation!$E$4:$E$135),1)</f>
        <v>5</v>
      </c>
      <c r="R58" s="59" t="s">
        <v>1422</v>
      </c>
      <c r="S58" s="59" t="s">
        <v>1423</v>
      </c>
      <c r="T58" s="59" t="s">
        <v>782</v>
      </c>
      <c r="U58" s="59" t="s">
        <v>1191</v>
      </c>
      <c r="V58" s="59" t="s">
        <v>1424</v>
      </c>
      <c r="W58" s="59" t="s">
        <v>285</v>
      </c>
      <c r="X58" s="59" t="s">
        <v>368</v>
      </c>
      <c r="Y58" s="59" t="s">
        <v>379</v>
      </c>
      <c r="Z58" s="64" t="str">
        <f>IFERROR(VLOOKUP(T58,LK_OrgMaster!$B$4:$H$89,5,FALSE()),"Administration")</f>
        <v>Medical</v>
      </c>
      <c r="AA58" s="65" t="str">
        <f>IFERROR(VLOOKUP(X58,LK_LocationMaster!$D$4:$G$157,4,FALSE()),"No")</f>
        <v>No</v>
      </c>
      <c r="AB58" s="65" t="str">
        <f t="shared" si="2"/>
        <v>No</v>
      </c>
      <c r="AC58" s="65" t="str">
        <f>IFERROR(VLOOKUP(X58,LK_LocationMaster!$D$4:$H$157,5,FALSE()),"No")</f>
        <v>No</v>
      </c>
      <c r="AD58" s="59" t="s">
        <v>1425</v>
      </c>
      <c r="AE58" s="59" t="s">
        <v>800</v>
      </c>
      <c r="AF58" s="59" t="s">
        <v>984</v>
      </c>
      <c r="AG58" s="59" t="s">
        <v>408</v>
      </c>
      <c r="AH58" s="59" t="s">
        <v>1426</v>
      </c>
      <c r="AI58" s="59" t="s">
        <v>285</v>
      </c>
      <c r="AJ58" s="59" t="s">
        <v>747</v>
      </c>
      <c r="AK58" s="59" t="s">
        <v>748</v>
      </c>
      <c r="AL58" s="64" t="str">
        <f>IFERROR(INDEX(LK_BankMaster!$D$4:$D$23,MATCH(AJ58&amp;"|"&amp;AK58,LK_BankMaster!$H$4:$H$23,0)),"")</f>
        <v/>
      </c>
      <c r="AM58" s="59" t="s">
        <v>1427</v>
      </c>
      <c r="AN58" s="64" t="str">
        <f>IFERROR(VLOOKUP(AJ58,LK_BankMaster!$A$4:$E$23,5,FALSE()),"")</f>
        <v/>
      </c>
      <c r="AO58" s="59" t="s">
        <v>291</v>
      </c>
      <c r="AP58" s="66">
        <v>0</v>
      </c>
      <c r="AQ58" s="64" t="str">
        <f t="shared" si="3"/>
        <v>Position Allowance - General Staff</v>
      </c>
      <c r="AR58" s="65" t="str">
        <f>IFERROR(VLOOKUP(T58,LK_OrgMaster!$B$4:$G$89,6,FALSE()),"No")</f>
        <v>No</v>
      </c>
      <c r="AS58" s="64" t="str">
        <f>IFERROR(VLOOKUP(T58,LK_OrgMaster!$B$4:$H$89,7,FALSE()),"None")</f>
        <v>Medical</v>
      </c>
      <c r="AT58" s="67">
        <v>44694</v>
      </c>
      <c r="AU58" s="67"/>
      <c r="AV58" s="67">
        <v>44694</v>
      </c>
      <c r="AW58" s="67">
        <v>46023</v>
      </c>
      <c r="AX58" s="68" t="s">
        <v>750</v>
      </c>
      <c r="AY58" s="69" t="s">
        <v>6260</v>
      </c>
    </row>
    <row r="59" spans="1:51" ht="15" customHeight="1" x14ac:dyDescent="0.3">
      <c r="A59" s="59" t="s">
        <v>1428</v>
      </c>
      <c r="B59" s="59" t="s">
        <v>772</v>
      </c>
      <c r="C59" s="59" t="s">
        <v>1429</v>
      </c>
      <c r="D59" s="59" t="s">
        <v>1430</v>
      </c>
      <c r="E59" s="59" t="s">
        <v>775</v>
      </c>
      <c r="F59" s="60">
        <v>30642</v>
      </c>
      <c r="G59" s="59" t="s">
        <v>1431</v>
      </c>
      <c r="H59" s="59" t="s">
        <v>1432</v>
      </c>
      <c r="I59" s="60">
        <v>34634</v>
      </c>
      <c r="J59" s="61">
        <f t="shared" ca="1" si="0"/>
        <v>31</v>
      </c>
      <c r="K59" s="62">
        <f t="shared" si="1"/>
        <v>52557</v>
      </c>
      <c r="L59" s="59" t="s">
        <v>735</v>
      </c>
      <c r="M59" s="59" t="s">
        <v>1433</v>
      </c>
      <c r="N59" s="59" t="s">
        <v>779</v>
      </c>
      <c r="O59" s="63">
        <v>0</v>
      </c>
      <c r="P59" s="61">
        <f>IFERROR(SUMPRODUCT((LK_GradeDerivation!$A$4:$A$135=N59)*(IF(O59="",0,O59)&gt;=LK_GradeDerivation!$B$4:$B$135)*(IF(O59="",0,O59)&lt;=LK_GradeDerivation!$C$4:$C$135)*LK_GradeDerivation!$D$4:$D$135),1)</f>
        <v>2</v>
      </c>
      <c r="Q59" s="61">
        <f>IFERROR(SUMPRODUCT((LK_GradeDerivation!$A$4:$A$135=N59)*(IF(O59="",0,O59)&gt;=LK_GradeDerivation!$B$4:$B$135)*(IF(O59="",0,O59)&lt;=LK_GradeDerivation!$C$4:$C$135)*LK_GradeDerivation!$E$4:$E$135),1)</f>
        <v>1</v>
      </c>
      <c r="R59" s="59" t="s">
        <v>1434</v>
      </c>
      <c r="S59" s="59" t="s">
        <v>1435</v>
      </c>
      <c r="T59" s="59" t="s">
        <v>859</v>
      </c>
      <c r="U59" s="59" t="s">
        <v>940</v>
      </c>
      <c r="V59" s="59" t="s">
        <v>763</v>
      </c>
      <c r="W59" s="59" t="s">
        <v>285</v>
      </c>
      <c r="X59" s="59" t="s">
        <v>587</v>
      </c>
      <c r="Y59" s="59" t="s">
        <v>589</v>
      </c>
      <c r="Z59" s="64" t="str">
        <f>IFERROR(VLOOKUP(T59,LK_OrgMaster!$B$4:$H$89,5,FALSE()),"Administration")</f>
        <v>Technical</v>
      </c>
      <c r="AA59" s="65" t="str">
        <f>IFERROR(VLOOKUP(X59,LK_LocationMaster!$D$4:$G$157,4,FALSE()),"No")</f>
        <v>Yes</v>
      </c>
      <c r="AB59" s="65" t="str">
        <f t="shared" si="2"/>
        <v>No</v>
      </c>
      <c r="AC59" s="65" t="str">
        <f>IFERROR(VLOOKUP(X59,LK_LocationMaster!$D$4:$H$157,5,FALSE()),"No")</f>
        <v>Yes</v>
      </c>
      <c r="AD59" s="59" t="s">
        <v>1436</v>
      </c>
      <c r="AE59" s="59" t="s">
        <v>930</v>
      </c>
      <c r="AF59" s="59" t="s">
        <v>969</v>
      </c>
      <c r="AG59" s="59" t="s">
        <v>368</v>
      </c>
      <c r="AH59" s="59" t="s">
        <v>1437</v>
      </c>
      <c r="AI59" s="59" t="s">
        <v>285</v>
      </c>
      <c r="AJ59" s="59" t="s">
        <v>788</v>
      </c>
      <c r="AK59" s="59" t="s">
        <v>1221</v>
      </c>
      <c r="AL59" s="64" t="str">
        <f>IFERROR(INDEX(LK_BankMaster!$D$4:$D$23,MATCH(AJ59&amp;"|"&amp;AK59,LK_BankMaster!$H$4:$H$23,0)),"")</f>
        <v/>
      </c>
      <c r="AM59" s="59" t="s">
        <v>1438</v>
      </c>
      <c r="AN59" s="64" t="str">
        <f>IFERROR(VLOOKUP(AJ59,LK_BankMaster!$A$4:$E$23,5,FALSE()),"")</f>
        <v/>
      </c>
      <c r="AO59" s="59" t="s">
        <v>291</v>
      </c>
      <c r="AP59" s="66">
        <v>0</v>
      </c>
      <c r="AQ59" s="64" t="str">
        <f t="shared" si="3"/>
        <v>Position Allowance - General Staff</v>
      </c>
      <c r="AR59" s="65" t="str">
        <f>IFERROR(VLOOKUP(T59,LK_OrgMaster!$B$4:$G$89,6,FALSE()),"No")</f>
        <v>No</v>
      </c>
      <c r="AS59" s="64" t="str">
        <f>IFERROR(VLOOKUP(T59,LK_OrgMaster!$B$4:$H$89,7,FALSE()),"None")</f>
        <v>None</v>
      </c>
      <c r="AT59" s="70">
        <v>34634</v>
      </c>
      <c r="AU59" s="70"/>
      <c r="AV59" s="70">
        <v>34634</v>
      </c>
      <c r="AW59" s="70">
        <v>46023</v>
      </c>
      <c r="AX59" s="71" t="s">
        <v>750</v>
      </c>
      <c r="AY59" s="72" t="s">
        <v>6260</v>
      </c>
    </row>
    <row r="60" spans="1:51" ht="15" customHeight="1" x14ac:dyDescent="0.3">
      <c r="A60" s="59" t="s">
        <v>1439</v>
      </c>
      <c r="B60" s="59" t="s">
        <v>772</v>
      </c>
      <c r="C60" s="59" t="s">
        <v>1440</v>
      </c>
      <c r="D60" s="59" t="s">
        <v>774</v>
      </c>
      <c r="E60" s="59" t="s">
        <v>775</v>
      </c>
      <c r="F60" s="60">
        <v>34511</v>
      </c>
      <c r="G60" s="59" t="s">
        <v>1441</v>
      </c>
      <c r="H60" s="59" t="s">
        <v>1442</v>
      </c>
      <c r="I60" s="60">
        <v>42779</v>
      </c>
      <c r="J60" s="61">
        <f t="shared" ca="1" si="0"/>
        <v>9</v>
      </c>
      <c r="K60" s="62">
        <f t="shared" si="1"/>
        <v>56426</v>
      </c>
      <c r="L60" s="59" t="s">
        <v>735</v>
      </c>
      <c r="M60" s="59" t="s">
        <v>1443</v>
      </c>
      <c r="N60" s="59" t="s">
        <v>758</v>
      </c>
      <c r="O60" s="63">
        <v>0</v>
      </c>
      <c r="P60" s="61">
        <f>IFERROR(SUMPRODUCT((LK_GradeDerivation!$A$4:$A$135=N60)*(IF(O60="",0,O60)&gt;=LK_GradeDerivation!$B$4:$B$135)*(IF(O60="",0,O60)&lt;=LK_GradeDerivation!$C$4:$C$135)*LK_GradeDerivation!$D$4:$D$135),1)</f>
        <v>5</v>
      </c>
      <c r="Q60" s="61">
        <f>IFERROR(SUMPRODUCT((LK_GradeDerivation!$A$4:$A$135=N60)*(IF(O60="",0,O60)&gt;=LK_GradeDerivation!$B$4:$B$135)*(IF(O60="",0,O60)&lt;=LK_GradeDerivation!$C$4:$C$135)*LK_GradeDerivation!$E$4:$E$135),1)</f>
        <v>1</v>
      </c>
      <c r="R60" s="59" t="s">
        <v>1444</v>
      </c>
      <c r="S60" s="59" t="s">
        <v>1445</v>
      </c>
      <c r="T60" s="59" t="s">
        <v>1058</v>
      </c>
      <c r="U60" s="59" t="s">
        <v>1446</v>
      </c>
      <c r="V60" s="59" t="s">
        <v>1447</v>
      </c>
      <c r="W60" s="59" t="s">
        <v>285</v>
      </c>
      <c r="X60" s="59" t="s">
        <v>587</v>
      </c>
      <c r="Y60" s="59" t="s">
        <v>593</v>
      </c>
      <c r="Z60" s="64" t="str">
        <f>IFERROR(VLOOKUP(T60,LK_OrgMaster!$B$4:$H$89,5,FALSE()),"Administration")</f>
        <v>Technical</v>
      </c>
      <c r="AA60" s="65" t="str">
        <f>IFERROR(VLOOKUP(X60,LK_LocationMaster!$D$4:$G$157,4,FALSE()),"No")</f>
        <v>Yes</v>
      </c>
      <c r="AB60" s="65" t="str">
        <f t="shared" si="2"/>
        <v>No</v>
      </c>
      <c r="AC60" s="65" t="str">
        <f>IFERROR(VLOOKUP(X60,LK_LocationMaster!$D$4:$H$157,5,FALSE()),"No")</f>
        <v>Yes</v>
      </c>
      <c r="AD60" s="59" t="s">
        <v>1448</v>
      </c>
      <c r="AE60" s="59" t="s">
        <v>886</v>
      </c>
      <c r="AF60" s="59" t="s">
        <v>801</v>
      </c>
      <c r="AG60" s="59" t="s">
        <v>288</v>
      </c>
      <c r="AH60" s="59" t="s">
        <v>1449</v>
      </c>
      <c r="AI60" s="59" t="s">
        <v>285</v>
      </c>
      <c r="AJ60" s="59" t="s">
        <v>833</v>
      </c>
      <c r="AK60" s="59" t="s">
        <v>917</v>
      </c>
      <c r="AL60" s="64" t="str">
        <f>IFERROR(INDEX(LK_BankMaster!$D$4:$D$23,MATCH(AJ60&amp;"|"&amp;AK60,LK_BankMaster!$H$4:$H$23,0)),"")</f>
        <v/>
      </c>
      <c r="AM60" s="59" t="s">
        <v>1450</v>
      </c>
      <c r="AN60" s="64" t="str">
        <f>IFERROR(VLOOKUP(AJ60,LK_BankMaster!$A$4:$E$23,5,FALSE()),"")</f>
        <v/>
      </c>
      <c r="AO60" s="59" t="s">
        <v>314</v>
      </c>
      <c r="AP60" s="66">
        <v>3</v>
      </c>
      <c r="AQ60" s="64" t="str">
        <f t="shared" si="3"/>
        <v>Position Allowance - General Staff</v>
      </c>
      <c r="AR60" s="65" t="str">
        <f>IFERROR(VLOOKUP(T60,LK_OrgMaster!$B$4:$G$89,6,FALSE()),"No")</f>
        <v>No</v>
      </c>
      <c r="AS60" s="64" t="str">
        <f>IFERROR(VLOOKUP(T60,LK_OrgMaster!$B$4:$H$89,7,FALSE()),"None")</f>
        <v>None</v>
      </c>
      <c r="AT60" s="67">
        <v>42779</v>
      </c>
      <c r="AU60" s="67"/>
      <c r="AV60" s="67">
        <v>42779</v>
      </c>
      <c r="AW60" s="67">
        <v>46023</v>
      </c>
      <c r="AX60" s="68" t="s">
        <v>750</v>
      </c>
      <c r="AY60" s="69" t="s">
        <v>6260</v>
      </c>
    </row>
    <row r="61" spans="1:51" ht="15" customHeight="1" x14ac:dyDescent="0.3">
      <c r="A61" s="59" t="s">
        <v>1451</v>
      </c>
      <c r="B61" s="59" t="s">
        <v>772</v>
      </c>
      <c r="C61" s="59" t="s">
        <v>1383</v>
      </c>
      <c r="D61" s="59" t="s">
        <v>853</v>
      </c>
      <c r="E61" s="59" t="s">
        <v>775</v>
      </c>
      <c r="F61" s="60">
        <v>30212</v>
      </c>
      <c r="G61" s="59" t="s">
        <v>1452</v>
      </c>
      <c r="H61" s="59" t="s">
        <v>1453</v>
      </c>
      <c r="I61" s="60">
        <v>38257</v>
      </c>
      <c r="J61" s="61">
        <f t="shared" ca="1" si="0"/>
        <v>21</v>
      </c>
      <c r="K61" s="62">
        <f t="shared" si="1"/>
        <v>52127</v>
      </c>
      <c r="L61" s="59" t="s">
        <v>735</v>
      </c>
      <c r="M61" s="59" t="s">
        <v>1454</v>
      </c>
      <c r="N61" s="59" t="s">
        <v>758</v>
      </c>
      <c r="O61" s="63">
        <v>0</v>
      </c>
      <c r="P61" s="61">
        <f>IFERROR(SUMPRODUCT((LK_GradeDerivation!$A$4:$A$135=N61)*(IF(O61="",0,O61)&gt;=LK_GradeDerivation!$B$4:$B$135)*(IF(O61="",0,O61)&lt;=LK_GradeDerivation!$C$4:$C$135)*LK_GradeDerivation!$D$4:$D$135),1)</f>
        <v>5</v>
      </c>
      <c r="Q61" s="61">
        <f>IFERROR(SUMPRODUCT((LK_GradeDerivation!$A$4:$A$135=N61)*(IF(O61="",0,O61)&gt;=LK_GradeDerivation!$B$4:$B$135)*(IF(O61="",0,O61)&lt;=LK_GradeDerivation!$C$4:$C$135)*LK_GradeDerivation!$E$4:$E$135),1)</f>
        <v>1</v>
      </c>
      <c r="R61" s="59" t="s">
        <v>1455</v>
      </c>
      <c r="S61" s="59" t="s">
        <v>1456</v>
      </c>
      <c r="T61" s="59" t="s">
        <v>740</v>
      </c>
      <c r="U61" s="59" t="s">
        <v>1388</v>
      </c>
      <c r="V61" s="59" t="s">
        <v>1457</v>
      </c>
      <c r="W61" s="59" t="s">
        <v>285</v>
      </c>
      <c r="X61" s="59" t="s">
        <v>443</v>
      </c>
      <c r="Y61" s="59" t="s">
        <v>459</v>
      </c>
      <c r="Z61" s="64" t="str">
        <f>IFERROR(VLOOKUP(T61,LK_OrgMaster!$B$4:$H$89,5,FALSE()),"Administration")</f>
        <v>Teacher</v>
      </c>
      <c r="AA61" s="65" t="str">
        <f>IFERROR(VLOOKUP(X61,LK_LocationMaster!$D$4:$G$157,4,FALSE()),"No")</f>
        <v>No</v>
      </c>
      <c r="AB61" s="65" t="str">
        <f t="shared" si="2"/>
        <v>No</v>
      </c>
      <c r="AC61" s="65" t="str">
        <f>IFERROR(VLOOKUP(X61,LK_LocationMaster!$D$4:$H$157,5,FALSE()),"No")</f>
        <v>No</v>
      </c>
      <c r="AD61" s="59" t="s">
        <v>1458</v>
      </c>
      <c r="AE61" s="59" t="s">
        <v>930</v>
      </c>
      <c r="AF61" s="59" t="s">
        <v>969</v>
      </c>
      <c r="AG61" s="59" t="s">
        <v>356</v>
      </c>
      <c r="AH61" s="59" t="s">
        <v>1459</v>
      </c>
      <c r="AI61" s="59" t="s">
        <v>285</v>
      </c>
      <c r="AJ61" s="59" t="s">
        <v>788</v>
      </c>
      <c r="AK61" s="59" t="s">
        <v>1460</v>
      </c>
      <c r="AL61" s="64" t="str">
        <f>IFERROR(INDEX(LK_BankMaster!$D$4:$D$23,MATCH(AJ61&amp;"|"&amp;AK61,LK_BankMaster!$H$4:$H$23,0)),"")</f>
        <v/>
      </c>
      <c r="AM61" s="59" t="s">
        <v>1461</v>
      </c>
      <c r="AN61" s="64" t="str">
        <f>IFERROR(VLOOKUP(AJ61,LK_BankMaster!$A$4:$E$23,5,FALSE()),"")</f>
        <v/>
      </c>
      <c r="AO61" s="59" t="s">
        <v>291</v>
      </c>
      <c r="AP61" s="66">
        <v>0</v>
      </c>
      <c r="AQ61" s="64" t="str">
        <f t="shared" si="3"/>
        <v>Position Allowance - General Staff</v>
      </c>
      <c r="AR61" s="65" t="str">
        <f>IFERROR(VLOOKUP(T61,LK_OrgMaster!$B$4:$G$89,6,FALSE()),"No")</f>
        <v>No</v>
      </c>
      <c r="AS61" s="64" t="str">
        <f>IFERROR(VLOOKUP(T61,LK_OrgMaster!$B$4:$H$89,7,FALSE()),"None")</f>
        <v>Teaching</v>
      </c>
      <c r="AT61" s="70">
        <v>38257</v>
      </c>
      <c r="AU61" s="70"/>
      <c r="AV61" s="70">
        <v>38257</v>
      </c>
      <c r="AW61" s="70">
        <v>46023</v>
      </c>
      <c r="AX61" s="71" t="s">
        <v>750</v>
      </c>
      <c r="AY61" s="72" t="s">
        <v>6260</v>
      </c>
    </row>
    <row r="62" spans="1:51" ht="15" customHeight="1" x14ac:dyDescent="0.3">
      <c r="A62" s="59" t="s">
        <v>1462</v>
      </c>
      <c r="B62" s="59" t="s">
        <v>851</v>
      </c>
      <c r="C62" s="59" t="s">
        <v>866</v>
      </c>
      <c r="D62" s="59" t="s">
        <v>1300</v>
      </c>
      <c r="E62" s="59" t="s">
        <v>775</v>
      </c>
      <c r="F62" s="60">
        <v>28144</v>
      </c>
      <c r="G62" s="59" t="s">
        <v>1463</v>
      </c>
      <c r="H62" s="59" t="s">
        <v>1464</v>
      </c>
      <c r="I62" s="60">
        <v>42682</v>
      </c>
      <c r="J62" s="61">
        <f t="shared" ca="1" si="0"/>
        <v>9</v>
      </c>
      <c r="K62" s="62">
        <f t="shared" si="1"/>
        <v>50059</v>
      </c>
      <c r="L62" s="59" t="s">
        <v>735</v>
      </c>
      <c r="M62" s="59" t="s">
        <v>992</v>
      </c>
      <c r="N62" s="59" t="s">
        <v>737</v>
      </c>
      <c r="O62" s="63">
        <v>17</v>
      </c>
      <c r="P62" s="61">
        <f>IFERROR(SUMPRODUCT((LK_GradeDerivation!$A$4:$A$135=N62)*(IF(O62="",0,O62)&gt;=LK_GradeDerivation!$B$4:$B$135)*(IF(O62="",0,O62)&lt;=LK_GradeDerivation!$C$4:$C$135)*LK_GradeDerivation!$D$4:$D$135),1)</f>
        <v>4</v>
      </c>
      <c r="Q62" s="61">
        <f>IFERROR(SUMPRODUCT((LK_GradeDerivation!$A$4:$A$135=N62)*(IF(O62="",0,O62)&gt;=LK_GradeDerivation!$B$4:$B$135)*(IF(O62="",0,O62)&lt;=LK_GradeDerivation!$C$4:$C$135)*LK_GradeDerivation!$E$4:$E$135),1)</f>
        <v>9</v>
      </c>
      <c r="R62" s="59" t="s">
        <v>1465</v>
      </c>
      <c r="S62" s="59" t="s">
        <v>1466</v>
      </c>
      <c r="T62" s="59" t="s">
        <v>740</v>
      </c>
      <c r="U62" s="59" t="s">
        <v>1262</v>
      </c>
      <c r="V62" s="59" t="s">
        <v>1467</v>
      </c>
      <c r="W62" s="59" t="s">
        <v>285</v>
      </c>
      <c r="X62" s="59" t="s">
        <v>340</v>
      </c>
      <c r="Y62" s="59" t="s">
        <v>344</v>
      </c>
      <c r="Z62" s="64" t="str">
        <f>IFERROR(VLOOKUP(T62,LK_OrgMaster!$B$4:$H$89,5,FALSE()),"Administration")</f>
        <v>Teacher</v>
      </c>
      <c r="AA62" s="65" t="str">
        <f>IFERROR(VLOOKUP(X62,LK_LocationMaster!$D$4:$G$157,4,FALSE()),"No")</f>
        <v>No</v>
      </c>
      <c r="AB62" s="65" t="str">
        <f t="shared" si="2"/>
        <v>No</v>
      </c>
      <c r="AC62" s="65" t="str">
        <f>IFERROR(VLOOKUP(X62,LK_LocationMaster!$D$4:$H$157,5,FALSE()),"No")</f>
        <v>No</v>
      </c>
      <c r="AD62" s="59" t="s">
        <v>1468</v>
      </c>
      <c r="AE62" s="59" t="s">
        <v>930</v>
      </c>
      <c r="AF62" s="59" t="s">
        <v>786</v>
      </c>
      <c r="AG62" s="59" t="s">
        <v>408</v>
      </c>
      <c r="AH62" s="59" t="s">
        <v>1469</v>
      </c>
      <c r="AI62" s="59" t="s">
        <v>285</v>
      </c>
      <c r="AJ62" s="59" t="s">
        <v>788</v>
      </c>
      <c r="AK62" s="59" t="s">
        <v>789</v>
      </c>
      <c r="AL62" s="64" t="str">
        <f>IFERROR(INDEX(LK_BankMaster!$D$4:$D$23,MATCH(AJ62&amp;"|"&amp;AK62,LK_BankMaster!$H$4:$H$23,0)),"")</f>
        <v/>
      </c>
      <c r="AM62" s="59" t="s">
        <v>1470</v>
      </c>
      <c r="AN62" s="64" t="str">
        <f>IFERROR(VLOOKUP(AJ62,LK_BankMaster!$A$4:$E$23,5,FALSE()),"")</f>
        <v/>
      </c>
      <c r="AO62" s="59" t="s">
        <v>314</v>
      </c>
      <c r="AP62" s="66">
        <v>3</v>
      </c>
      <c r="AQ62" s="64" t="str">
        <f t="shared" si="3"/>
        <v>Position Allowance - General Staff</v>
      </c>
      <c r="AR62" s="65" t="str">
        <f>IFERROR(VLOOKUP(T62,LK_OrgMaster!$B$4:$G$89,6,FALSE()),"No")</f>
        <v>No</v>
      </c>
      <c r="AS62" s="64" t="str">
        <f>IFERROR(VLOOKUP(T62,LK_OrgMaster!$B$4:$H$89,7,FALSE()),"None")</f>
        <v>Teaching</v>
      </c>
      <c r="AT62" s="67">
        <v>42682</v>
      </c>
      <c r="AU62" s="67"/>
      <c r="AV62" s="67">
        <v>42682</v>
      </c>
      <c r="AW62" s="67">
        <v>46023</v>
      </c>
      <c r="AX62" s="68" t="s">
        <v>750</v>
      </c>
      <c r="AY62" s="69" t="s">
        <v>6260</v>
      </c>
    </row>
    <row r="63" spans="1:51" ht="15" customHeight="1" x14ac:dyDescent="0.3">
      <c r="A63" s="59" t="s">
        <v>1471</v>
      </c>
      <c r="B63" s="59" t="s">
        <v>729</v>
      </c>
      <c r="C63" s="59" t="s">
        <v>1362</v>
      </c>
      <c r="D63" s="59" t="s">
        <v>1066</v>
      </c>
      <c r="E63" s="59" t="s">
        <v>732</v>
      </c>
      <c r="F63" s="60">
        <v>24801</v>
      </c>
      <c r="G63" s="59" t="s">
        <v>1363</v>
      </c>
      <c r="H63" s="59" t="s">
        <v>1472</v>
      </c>
      <c r="I63" s="60">
        <v>38242</v>
      </c>
      <c r="J63" s="61">
        <f t="shared" ca="1" si="0"/>
        <v>21</v>
      </c>
      <c r="K63" s="62">
        <f t="shared" si="1"/>
        <v>46716</v>
      </c>
      <c r="L63" s="59" t="s">
        <v>735</v>
      </c>
      <c r="M63" s="59" t="s">
        <v>841</v>
      </c>
      <c r="N63" s="59" t="s">
        <v>758</v>
      </c>
      <c r="O63" s="63">
        <v>11</v>
      </c>
      <c r="P63" s="61">
        <f>IFERROR(SUMPRODUCT((LK_GradeDerivation!$A$4:$A$135=N63)*(IF(O63="",0,O63)&gt;=LK_GradeDerivation!$B$4:$B$135)*(IF(O63="",0,O63)&lt;=LK_GradeDerivation!$C$4:$C$135)*LK_GradeDerivation!$D$4:$D$135),1)</f>
        <v>5</v>
      </c>
      <c r="Q63" s="61">
        <f>IFERROR(SUMPRODUCT((LK_GradeDerivation!$A$4:$A$135=N63)*(IF(O63="",0,O63)&gt;=LK_GradeDerivation!$B$4:$B$135)*(IF(O63="",0,O63)&lt;=LK_GradeDerivation!$C$4:$C$135)*LK_GradeDerivation!$E$4:$E$135),1)</f>
        <v>6</v>
      </c>
      <c r="R63" s="59" t="s">
        <v>1473</v>
      </c>
      <c r="S63" s="59" t="s">
        <v>1474</v>
      </c>
      <c r="T63" s="59" t="s">
        <v>979</v>
      </c>
      <c r="U63" s="59" t="s">
        <v>1475</v>
      </c>
      <c r="V63" s="59" t="s">
        <v>1476</v>
      </c>
      <c r="W63" s="59" t="s">
        <v>285</v>
      </c>
      <c r="X63" s="59" t="s">
        <v>429</v>
      </c>
      <c r="Y63" s="59" t="s">
        <v>439</v>
      </c>
      <c r="Z63" s="64" t="str">
        <f>IFERROR(VLOOKUP(T63,LK_OrgMaster!$B$4:$H$89,5,FALSE()),"Administration")</f>
        <v>Administration</v>
      </c>
      <c r="AA63" s="65" t="str">
        <f>IFERROR(VLOOKUP(X63,LK_LocationMaster!$D$4:$G$157,4,FALSE()),"No")</f>
        <v>Yes</v>
      </c>
      <c r="AB63" s="65" t="str">
        <f t="shared" si="2"/>
        <v>No</v>
      </c>
      <c r="AC63" s="65" t="str">
        <f>IFERROR(VLOOKUP(X63,LK_LocationMaster!$D$4:$H$157,5,FALSE()),"No")</f>
        <v>Yes</v>
      </c>
      <c r="AD63" s="59" t="s">
        <v>1477</v>
      </c>
      <c r="AE63" s="59" t="s">
        <v>800</v>
      </c>
      <c r="AF63" s="59" t="s">
        <v>901</v>
      </c>
      <c r="AG63" s="59" t="s">
        <v>356</v>
      </c>
      <c r="AH63" s="59" t="s">
        <v>1478</v>
      </c>
      <c r="AI63" s="59" t="s">
        <v>285</v>
      </c>
      <c r="AJ63" s="59" t="s">
        <v>818</v>
      </c>
      <c r="AK63" s="59" t="s">
        <v>819</v>
      </c>
      <c r="AL63" s="64" t="str">
        <f>IFERROR(INDEX(LK_BankMaster!$D$4:$D$23,MATCH(AJ63&amp;"|"&amp;AK63,LK_BankMaster!$H$4:$H$23,0)),"")</f>
        <v/>
      </c>
      <c r="AM63" s="59" t="s">
        <v>1479</v>
      </c>
      <c r="AN63" s="64" t="str">
        <f>IFERROR(VLOOKUP(AJ63,LK_BankMaster!$A$4:$E$23,5,FALSE()),"")</f>
        <v/>
      </c>
      <c r="AO63" s="59" t="s">
        <v>314</v>
      </c>
      <c r="AP63" s="66">
        <v>2</v>
      </c>
      <c r="AQ63" s="64" t="str">
        <f t="shared" si="3"/>
        <v>Position Allowance - Director</v>
      </c>
      <c r="AR63" s="65" t="str">
        <f>IFERROR(VLOOKUP(T63,LK_OrgMaster!$B$4:$G$89,6,FALSE()),"No")</f>
        <v>No</v>
      </c>
      <c r="AS63" s="64" t="str">
        <f>IFERROR(VLOOKUP(T63,LK_OrgMaster!$B$4:$H$89,7,FALSE()),"None")</f>
        <v>None</v>
      </c>
      <c r="AT63" s="70">
        <v>38242</v>
      </c>
      <c r="AU63" s="70"/>
      <c r="AV63" s="70">
        <v>38242</v>
      </c>
      <c r="AW63" s="70">
        <v>46023</v>
      </c>
      <c r="AX63" s="71" t="s">
        <v>750</v>
      </c>
      <c r="AY63" s="72" t="s">
        <v>6260</v>
      </c>
    </row>
    <row r="64" spans="1:51" ht="15" customHeight="1" x14ac:dyDescent="0.3">
      <c r="A64" s="59" t="s">
        <v>1480</v>
      </c>
      <c r="B64" s="59" t="s">
        <v>772</v>
      </c>
      <c r="C64" s="59" t="s">
        <v>1417</v>
      </c>
      <c r="D64" s="59" t="s">
        <v>1186</v>
      </c>
      <c r="E64" s="59" t="s">
        <v>732</v>
      </c>
      <c r="F64" s="60">
        <v>27769</v>
      </c>
      <c r="G64" s="59" t="s">
        <v>1481</v>
      </c>
      <c r="H64" s="59" t="s">
        <v>1482</v>
      </c>
      <c r="I64" s="60">
        <v>37690</v>
      </c>
      <c r="J64" s="61">
        <f t="shared" ca="1" si="0"/>
        <v>23</v>
      </c>
      <c r="K64" s="62">
        <f t="shared" si="1"/>
        <v>49684</v>
      </c>
      <c r="L64" s="59" t="s">
        <v>735</v>
      </c>
      <c r="M64" s="59" t="s">
        <v>1483</v>
      </c>
      <c r="N64" s="59" t="s">
        <v>1081</v>
      </c>
      <c r="O64" s="63">
        <v>7</v>
      </c>
      <c r="P64" s="61">
        <f>IFERROR(SUMPRODUCT((LK_GradeDerivation!$A$4:$A$135=N64)*(IF(O64="",0,O64)&gt;=LK_GradeDerivation!$B$4:$B$135)*(IF(O64="",0,O64)&lt;=LK_GradeDerivation!$C$4:$C$135)*LK_GradeDerivation!$D$4:$D$135),1)</f>
        <v>3</v>
      </c>
      <c r="Q64" s="61">
        <f>IFERROR(SUMPRODUCT((LK_GradeDerivation!$A$4:$A$135=N64)*(IF(O64="",0,O64)&gt;=LK_GradeDerivation!$B$4:$B$135)*(IF(O64="",0,O64)&lt;=LK_GradeDerivation!$C$4:$C$135)*LK_GradeDerivation!$E$4:$E$135),1)</f>
        <v>4</v>
      </c>
      <c r="R64" s="59" t="s">
        <v>1484</v>
      </c>
      <c r="S64" s="59" t="s">
        <v>1485</v>
      </c>
      <c r="T64" s="59" t="s">
        <v>1305</v>
      </c>
      <c r="U64" s="59" t="s">
        <v>1486</v>
      </c>
      <c r="V64" s="59" t="s">
        <v>1487</v>
      </c>
      <c r="W64" s="59" t="s">
        <v>285</v>
      </c>
      <c r="X64" s="59" t="s">
        <v>329</v>
      </c>
      <c r="Y64" s="59" t="s">
        <v>334</v>
      </c>
      <c r="Z64" s="64" t="str">
        <f>IFERROR(VLOOKUP(T64,LK_OrgMaster!$B$4:$H$89,5,FALSE()),"Administration")</f>
        <v>Administration</v>
      </c>
      <c r="AA64" s="65" t="str">
        <f>IFERROR(VLOOKUP(X64,LK_LocationMaster!$D$4:$G$157,4,FALSE()),"No")</f>
        <v>Yes</v>
      </c>
      <c r="AB64" s="65" t="str">
        <f t="shared" si="2"/>
        <v>No</v>
      </c>
      <c r="AC64" s="65" t="str">
        <f>IFERROR(VLOOKUP(X64,LK_LocationMaster!$D$4:$H$157,5,FALSE()),"No")</f>
        <v>No</v>
      </c>
      <c r="AD64" s="59" t="s">
        <v>1448</v>
      </c>
      <c r="AE64" s="59" t="s">
        <v>1488</v>
      </c>
      <c r="AF64" s="59" t="s">
        <v>969</v>
      </c>
      <c r="AG64" s="59" t="s">
        <v>356</v>
      </c>
      <c r="AH64" s="59" t="s">
        <v>1489</v>
      </c>
      <c r="AI64" s="59" t="s">
        <v>285</v>
      </c>
      <c r="AJ64" s="59" t="s">
        <v>818</v>
      </c>
      <c r="AK64" s="59" t="s">
        <v>944</v>
      </c>
      <c r="AL64" s="64" t="str">
        <f>IFERROR(INDEX(LK_BankMaster!$D$4:$D$23,MATCH(AJ64&amp;"|"&amp;AK64,LK_BankMaster!$H$4:$H$23,0)),"")</f>
        <v/>
      </c>
      <c r="AM64" s="59" t="s">
        <v>1490</v>
      </c>
      <c r="AN64" s="64" t="str">
        <f>IFERROR(VLOOKUP(AJ64,LK_BankMaster!$A$4:$E$23,5,FALSE()),"")</f>
        <v/>
      </c>
      <c r="AO64" s="59" t="s">
        <v>314</v>
      </c>
      <c r="AP64" s="66">
        <v>1</v>
      </c>
      <c r="AQ64" s="64" t="str">
        <f t="shared" si="3"/>
        <v>Position Allowance - General Staff</v>
      </c>
      <c r="AR64" s="65" t="str">
        <f>IFERROR(VLOOKUP(T64,LK_OrgMaster!$B$4:$G$89,6,FALSE()),"No")</f>
        <v>No</v>
      </c>
      <c r="AS64" s="64" t="str">
        <f>IFERROR(VLOOKUP(T64,LK_OrgMaster!$B$4:$H$89,7,FALSE()),"None")</f>
        <v>None</v>
      </c>
      <c r="AT64" s="67">
        <v>37690</v>
      </c>
      <c r="AU64" s="67"/>
      <c r="AV64" s="67">
        <v>37690</v>
      </c>
      <c r="AW64" s="67">
        <v>46023</v>
      </c>
      <c r="AX64" s="68" t="s">
        <v>750</v>
      </c>
      <c r="AY64" s="69" t="s">
        <v>6260</v>
      </c>
    </row>
    <row r="65" spans="1:51" ht="15" customHeight="1" x14ac:dyDescent="0.3">
      <c r="A65" s="59" t="s">
        <v>1491</v>
      </c>
      <c r="B65" s="59" t="s">
        <v>851</v>
      </c>
      <c r="C65" s="59" t="s">
        <v>1077</v>
      </c>
      <c r="D65" s="59" t="s">
        <v>1003</v>
      </c>
      <c r="E65" s="59" t="s">
        <v>775</v>
      </c>
      <c r="F65" s="60">
        <v>29281</v>
      </c>
      <c r="G65" s="59" t="s">
        <v>1492</v>
      </c>
      <c r="H65" s="59" t="s">
        <v>1493</v>
      </c>
      <c r="I65" s="60">
        <v>34752</v>
      </c>
      <c r="J65" s="61">
        <f t="shared" ca="1" si="0"/>
        <v>31</v>
      </c>
      <c r="K65" s="62">
        <f t="shared" si="1"/>
        <v>51196</v>
      </c>
      <c r="L65" s="59" t="s">
        <v>735</v>
      </c>
      <c r="M65" s="59" t="s">
        <v>1045</v>
      </c>
      <c r="N65" s="59" t="s">
        <v>758</v>
      </c>
      <c r="O65" s="63">
        <v>0</v>
      </c>
      <c r="P65" s="61">
        <f>IFERROR(SUMPRODUCT((LK_GradeDerivation!$A$4:$A$135=N65)*(IF(O65="",0,O65)&gt;=LK_GradeDerivation!$B$4:$B$135)*(IF(O65="",0,O65)&lt;=LK_GradeDerivation!$C$4:$C$135)*LK_GradeDerivation!$D$4:$D$135),1)</f>
        <v>5</v>
      </c>
      <c r="Q65" s="61">
        <f>IFERROR(SUMPRODUCT((LK_GradeDerivation!$A$4:$A$135=N65)*(IF(O65="",0,O65)&gt;=LK_GradeDerivation!$B$4:$B$135)*(IF(O65="",0,O65)&lt;=LK_GradeDerivation!$C$4:$C$135)*LK_GradeDerivation!$E$4:$E$135),1)</f>
        <v>1</v>
      </c>
      <c r="R65" s="59" t="s">
        <v>1494</v>
      </c>
      <c r="S65" s="59" t="s">
        <v>1495</v>
      </c>
      <c r="T65" s="59" t="s">
        <v>979</v>
      </c>
      <c r="U65" s="59" t="s">
        <v>1475</v>
      </c>
      <c r="V65" s="59" t="s">
        <v>1496</v>
      </c>
      <c r="W65" s="59" t="s">
        <v>285</v>
      </c>
      <c r="X65" s="59" t="s">
        <v>368</v>
      </c>
      <c r="Y65" s="59" t="s">
        <v>381</v>
      </c>
      <c r="Z65" s="64" t="str">
        <f>IFERROR(VLOOKUP(T65,LK_OrgMaster!$B$4:$H$89,5,FALSE()),"Administration")</f>
        <v>Administration</v>
      </c>
      <c r="AA65" s="65" t="str">
        <f>IFERROR(VLOOKUP(X65,LK_LocationMaster!$D$4:$G$157,4,FALSE()),"No")</f>
        <v>No</v>
      </c>
      <c r="AB65" s="65" t="str">
        <f t="shared" si="2"/>
        <v>No</v>
      </c>
      <c r="AC65" s="65" t="str">
        <f>IFERROR(VLOOKUP(X65,LK_LocationMaster!$D$4:$H$157,5,FALSE()),"No")</f>
        <v>No</v>
      </c>
      <c r="AD65" s="59" t="s">
        <v>1497</v>
      </c>
      <c r="AE65" s="59" t="s">
        <v>930</v>
      </c>
      <c r="AF65" s="59" t="s">
        <v>969</v>
      </c>
      <c r="AG65" s="59" t="s">
        <v>288</v>
      </c>
      <c r="AH65" s="59" t="s">
        <v>1498</v>
      </c>
      <c r="AI65" s="59" t="s">
        <v>285</v>
      </c>
      <c r="AJ65" s="59" t="s">
        <v>818</v>
      </c>
      <c r="AK65" s="59" t="s">
        <v>944</v>
      </c>
      <c r="AL65" s="64" t="str">
        <f>IFERROR(INDEX(LK_BankMaster!$D$4:$D$23,MATCH(AJ65&amp;"|"&amp;AK65,LK_BankMaster!$H$4:$H$23,0)),"")</f>
        <v/>
      </c>
      <c r="AM65" s="59" t="s">
        <v>1499</v>
      </c>
      <c r="AN65" s="64" t="str">
        <f>IFERROR(VLOOKUP(AJ65,LK_BankMaster!$A$4:$E$23,5,FALSE()),"")</f>
        <v/>
      </c>
      <c r="AO65" s="59" t="s">
        <v>314</v>
      </c>
      <c r="AP65" s="66">
        <v>2</v>
      </c>
      <c r="AQ65" s="64" t="str">
        <f t="shared" si="3"/>
        <v>Position Allowance - General Staff</v>
      </c>
      <c r="AR65" s="65" t="str">
        <f>IFERROR(VLOOKUP(T65,LK_OrgMaster!$B$4:$G$89,6,FALSE()),"No")</f>
        <v>No</v>
      </c>
      <c r="AS65" s="64" t="str">
        <f>IFERROR(VLOOKUP(T65,LK_OrgMaster!$B$4:$H$89,7,FALSE()),"None")</f>
        <v>None</v>
      </c>
      <c r="AT65" s="70">
        <v>34752</v>
      </c>
      <c r="AU65" s="70"/>
      <c r="AV65" s="70">
        <v>34752</v>
      </c>
      <c r="AW65" s="70">
        <v>46023</v>
      </c>
      <c r="AX65" s="71" t="s">
        <v>750</v>
      </c>
      <c r="AY65" s="72" t="s">
        <v>6260</v>
      </c>
    </row>
    <row r="66" spans="1:51" ht="15" customHeight="1" x14ac:dyDescent="0.3">
      <c r="A66" s="59" t="s">
        <v>1500</v>
      </c>
      <c r="B66" s="59" t="s">
        <v>851</v>
      </c>
      <c r="C66" s="59" t="s">
        <v>1501</v>
      </c>
      <c r="D66" s="59" t="s">
        <v>947</v>
      </c>
      <c r="E66" s="59" t="s">
        <v>775</v>
      </c>
      <c r="F66" s="60">
        <v>33012</v>
      </c>
      <c r="G66" s="59" t="s">
        <v>1502</v>
      </c>
      <c r="H66" s="59" t="s">
        <v>1503</v>
      </c>
      <c r="I66" s="60">
        <v>39083</v>
      </c>
      <c r="J66" s="61">
        <f t="shared" ca="1" si="0"/>
        <v>19</v>
      </c>
      <c r="K66" s="62">
        <f t="shared" si="1"/>
        <v>54927</v>
      </c>
      <c r="L66" s="59" t="s">
        <v>735</v>
      </c>
      <c r="M66" s="59" t="s">
        <v>1504</v>
      </c>
      <c r="N66" s="59" t="s">
        <v>1081</v>
      </c>
      <c r="O66" s="63">
        <v>0</v>
      </c>
      <c r="P66" s="61">
        <f>IFERROR(SUMPRODUCT((LK_GradeDerivation!$A$4:$A$135=N66)*(IF(O66="",0,O66)&gt;=LK_GradeDerivation!$B$4:$B$135)*(IF(O66="",0,O66)&lt;=LK_GradeDerivation!$C$4:$C$135)*LK_GradeDerivation!$D$4:$D$135),1)</f>
        <v>3</v>
      </c>
      <c r="Q66" s="61">
        <f>IFERROR(SUMPRODUCT((LK_GradeDerivation!$A$4:$A$135=N66)*(IF(O66="",0,O66)&gt;=LK_GradeDerivation!$B$4:$B$135)*(IF(O66="",0,O66)&lt;=LK_GradeDerivation!$C$4:$C$135)*LK_GradeDerivation!$E$4:$E$135),1)</f>
        <v>1</v>
      </c>
      <c r="R66" s="59" t="s">
        <v>1505</v>
      </c>
      <c r="S66" s="59" t="s">
        <v>1506</v>
      </c>
      <c r="T66" s="59" t="s">
        <v>782</v>
      </c>
      <c r="U66" s="59" t="s">
        <v>829</v>
      </c>
      <c r="V66" s="59" t="s">
        <v>830</v>
      </c>
      <c r="W66" s="59" t="s">
        <v>285</v>
      </c>
      <c r="X66" s="59" t="s">
        <v>463</v>
      </c>
      <c r="Y66" s="59" t="s">
        <v>469</v>
      </c>
      <c r="Z66" s="64" t="str">
        <f>IFERROR(VLOOKUP(T66,LK_OrgMaster!$B$4:$H$89,5,FALSE()),"Administration")</f>
        <v>Medical</v>
      </c>
      <c r="AA66" s="65" t="str">
        <f>IFERROR(VLOOKUP(X66,LK_LocationMaster!$D$4:$G$157,4,FALSE()),"No")</f>
        <v>No</v>
      </c>
      <c r="AB66" s="65" t="str">
        <f t="shared" si="2"/>
        <v>No</v>
      </c>
      <c r="AC66" s="65" t="str">
        <f>IFERROR(VLOOKUP(X66,LK_LocationMaster!$D$4:$H$157,5,FALSE()),"No")</f>
        <v>No</v>
      </c>
      <c r="AD66" s="59" t="s">
        <v>1507</v>
      </c>
      <c r="AE66" s="59" t="s">
        <v>886</v>
      </c>
      <c r="AF66" s="59" t="s">
        <v>786</v>
      </c>
      <c r="AG66" s="59" t="s">
        <v>340</v>
      </c>
      <c r="AH66" s="59" t="s">
        <v>1508</v>
      </c>
      <c r="AI66" s="59" t="s">
        <v>285</v>
      </c>
      <c r="AJ66" s="59" t="s">
        <v>818</v>
      </c>
      <c r="AK66" s="59" t="s">
        <v>944</v>
      </c>
      <c r="AL66" s="64" t="str">
        <f>IFERROR(INDEX(LK_BankMaster!$D$4:$D$23,MATCH(AJ66&amp;"|"&amp;AK66,LK_BankMaster!$H$4:$H$23,0)),"")</f>
        <v/>
      </c>
      <c r="AM66" s="59" t="s">
        <v>1509</v>
      </c>
      <c r="AN66" s="64" t="str">
        <f>IFERROR(VLOOKUP(AJ66,LK_BankMaster!$A$4:$E$23,5,FALSE()),"")</f>
        <v/>
      </c>
      <c r="AO66" s="59" t="s">
        <v>291</v>
      </c>
      <c r="AP66" s="66">
        <v>0</v>
      </c>
      <c r="AQ66" s="64" t="str">
        <f t="shared" si="3"/>
        <v>Position Allowance - General Staff</v>
      </c>
      <c r="AR66" s="65" t="str">
        <f>IFERROR(VLOOKUP(T66,LK_OrgMaster!$B$4:$G$89,6,FALSE()),"No")</f>
        <v>No</v>
      </c>
      <c r="AS66" s="64" t="str">
        <f>IFERROR(VLOOKUP(T66,LK_OrgMaster!$B$4:$H$89,7,FALSE()),"None")</f>
        <v>Medical</v>
      </c>
      <c r="AT66" s="67">
        <v>39083</v>
      </c>
      <c r="AU66" s="67"/>
      <c r="AV66" s="67">
        <v>39083</v>
      </c>
      <c r="AW66" s="67">
        <v>46023</v>
      </c>
      <c r="AX66" s="68" t="s">
        <v>750</v>
      </c>
      <c r="AY66" s="69" t="s">
        <v>6260</v>
      </c>
    </row>
    <row r="67" spans="1:51" ht="15" customHeight="1" x14ac:dyDescent="0.3">
      <c r="A67" s="59" t="s">
        <v>1510</v>
      </c>
      <c r="B67" s="59" t="s">
        <v>772</v>
      </c>
      <c r="C67" s="59" t="s">
        <v>1511</v>
      </c>
      <c r="D67" s="59" t="s">
        <v>1512</v>
      </c>
      <c r="E67" s="59" t="s">
        <v>775</v>
      </c>
      <c r="F67" s="60">
        <v>33027</v>
      </c>
      <c r="G67" s="59" t="s">
        <v>1513</v>
      </c>
      <c r="H67" s="59" t="s">
        <v>1514</v>
      </c>
      <c r="I67" s="60">
        <v>36724</v>
      </c>
      <c r="J67" s="61">
        <f t="shared" ca="1" si="0"/>
        <v>25</v>
      </c>
      <c r="K67" s="62">
        <f t="shared" si="1"/>
        <v>54942</v>
      </c>
      <c r="L67" s="59" t="s">
        <v>735</v>
      </c>
      <c r="M67" s="59" t="s">
        <v>924</v>
      </c>
      <c r="N67" s="59" t="s">
        <v>758</v>
      </c>
      <c r="O67" s="63">
        <v>0</v>
      </c>
      <c r="P67" s="61">
        <f>IFERROR(SUMPRODUCT((LK_GradeDerivation!$A$4:$A$135=N67)*(IF(O67="",0,O67)&gt;=LK_GradeDerivation!$B$4:$B$135)*(IF(O67="",0,O67)&lt;=LK_GradeDerivation!$C$4:$C$135)*LK_GradeDerivation!$D$4:$D$135),1)</f>
        <v>5</v>
      </c>
      <c r="Q67" s="61">
        <f>IFERROR(SUMPRODUCT((LK_GradeDerivation!$A$4:$A$135=N67)*(IF(O67="",0,O67)&gt;=LK_GradeDerivation!$B$4:$B$135)*(IF(O67="",0,O67)&lt;=LK_GradeDerivation!$C$4:$C$135)*LK_GradeDerivation!$E$4:$E$135),1)</f>
        <v>1</v>
      </c>
      <c r="R67" s="59" t="s">
        <v>1515</v>
      </c>
      <c r="S67" s="59" t="s">
        <v>1516</v>
      </c>
      <c r="T67" s="59" t="s">
        <v>740</v>
      </c>
      <c r="U67" s="59" t="s">
        <v>1166</v>
      </c>
      <c r="V67" s="59" t="s">
        <v>1167</v>
      </c>
      <c r="W67" s="59" t="s">
        <v>285</v>
      </c>
      <c r="X67" s="59" t="s">
        <v>340</v>
      </c>
      <c r="Y67" s="59" t="s">
        <v>344</v>
      </c>
      <c r="Z67" s="64" t="str">
        <f>IFERROR(VLOOKUP(T67,LK_OrgMaster!$B$4:$H$89,5,FALSE()),"Administration")</f>
        <v>Teacher</v>
      </c>
      <c r="AA67" s="65" t="str">
        <f>IFERROR(VLOOKUP(X67,LK_LocationMaster!$D$4:$G$157,4,FALSE()),"No")</f>
        <v>No</v>
      </c>
      <c r="AB67" s="65" t="str">
        <f t="shared" si="2"/>
        <v>No</v>
      </c>
      <c r="AC67" s="65" t="str">
        <f>IFERROR(VLOOKUP(X67,LK_LocationMaster!$D$4:$H$157,5,FALSE()),"No")</f>
        <v>No</v>
      </c>
      <c r="AD67" s="59" t="s">
        <v>1517</v>
      </c>
      <c r="AE67" s="59" t="s">
        <v>886</v>
      </c>
      <c r="AF67" s="59" t="s">
        <v>901</v>
      </c>
      <c r="AG67" s="59" t="s">
        <v>391</v>
      </c>
      <c r="AH67" s="59" t="s">
        <v>1518</v>
      </c>
      <c r="AI67" s="59" t="s">
        <v>285</v>
      </c>
      <c r="AJ67" s="59" t="s">
        <v>833</v>
      </c>
      <c r="AK67" s="59" t="s">
        <v>1013</v>
      </c>
      <c r="AL67" s="64" t="str">
        <f>IFERROR(INDEX(LK_BankMaster!$D$4:$D$23,MATCH(AJ67&amp;"|"&amp;AK67,LK_BankMaster!$H$4:$H$23,0)),"")</f>
        <v/>
      </c>
      <c r="AM67" s="59" t="s">
        <v>1519</v>
      </c>
      <c r="AN67" s="64" t="str">
        <f>IFERROR(VLOOKUP(AJ67,LK_BankMaster!$A$4:$E$23,5,FALSE()),"")</f>
        <v/>
      </c>
      <c r="AO67" s="59" t="s">
        <v>291</v>
      </c>
      <c r="AP67" s="66">
        <v>0</v>
      </c>
      <c r="AQ67" s="64" t="str">
        <f t="shared" si="3"/>
        <v>Position Allowance - General Staff</v>
      </c>
      <c r="AR67" s="65" t="str">
        <f>IFERROR(VLOOKUP(T67,LK_OrgMaster!$B$4:$G$89,6,FALSE()),"No")</f>
        <v>No</v>
      </c>
      <c r="AS67" s="64" t="str">
        <f>IFERROR(VLOOKUP(T67,LK_OrgMaster!$B$4:$H$89,7,FALSE()),"None")</f>
        <v>Teaching</v>
      </c>
      <c r="AT67" s="70">
        <v>36724</v>
      </c>
      <c r="AU67" s="70"/>
      <c r="AV67" s="70">
        <v>36724</v>
      </c>
      <c r="AW67" s="70">
        <v>46023</v>
      </c>
      <c r="AX67" s="71" t="s">
        <v>750</v>
      </c>
      <c r="AY67" s="72" t="s">
        <v>6260</v>
      </c>
    </row>
    <row r="68" spans="1:51" ht="15" customHeight="1" x14ac:dyDescent="0.3">
      <c r="A68" s="59" t="s">
        <v>1520</v>
      </c>
      <c r="B68" s="59" t="s">
        <v>772</v>
      </c>
      <c r="C68" s="59" t="s">
        <v>1521</v>
      </c>
      <c r="D68" s="59" t="s">
        <v>1522</v>
      </c>
      <c r="E68" s="59" t="s">
        <v>732</v>
      </c>
      <c r="F68" s="60">
        <v>34537</v>
      </c>
      <c r="G68" s="59" t="s">
        <v>1523</v>
      </c>
      <c r="H68" s="59" t="s">
        <v>1524</v>
      </c>
      <c r="I68" s="60">
        <v>35191</v>
      </c>
      <c r="J68" s="61">
        <f t="shared" ref="J68:J131" ca="1" si="4">IFERROR(DATEDIF(I68,TODAY(),"Y"),0)</f>
        <v>29</v>
      </c>
      <c r="K68" s="62">
        <f t="shared" ref="K68:K131" si="5">IFERROR(DATE(YEAR(F68)+60,MONTH(F68),DAY(F68)),"")</f>
        <v>56452</v>
      </c>
      <c r="L68" s="59" t="s">
        <v>735</v>
      </c>
      <c r="M68" s="59" t="s">
        <v>1525</v>
      </c>
      <c r="N68" s="59" t="s">
        <v>779</v>
      </c>
      <c r="O68" s="63">
        <v>0</v>
      </c>
      <c r="P68" s="61">
        <f>IFERROR(SUMPRODUCT((LK_GradeDerivation!$A$4:$A$135=N68)*(IF(O68="",0,O68)&gt;=LK_GradeDerivation!$B$4:$B$135)*(IF(O68="",0,O68)&lt;=LK_GradeDerivation!$C$4:$C$135)*LK_GradeDerivation!$D$4:$D$135),1)</f>
        <v>2</v>
      </c>
      <c r="Q68" s="61">
        <f>IFERROR(SUMPRODUCT((LK_GradeDerivation!$A$4:$A$135=N68)*(IF(O68="",0,O68)&gt;=LK_GradeDerivation!$B$4:$B$135)*(IF(O68="",0,O68)&lt;=LK_GradeDerivation!$C$4:$C$135)*LK_GradeDerivation!$E$4:$E$135),1)</f>
        <v>1</v>
      </c>
      <c r="R68" s="59" t="s">
        <v>1526</v>
      </c>
      <c r="S68" s="59" t="s">
        <v>1527</v>
      </c>
      <c r="T68" s="59" t="s">
        <v>1084</v>
      </c>
      <c r="U68" s="59" t="s">
        <v>1528</v>
      </c>
      <c r="V68" s="59" t="s">
        <v>1529</v>
      </c>
      <c r="W68" s="59" t="s">
        <v>285</v>
      </c>
      <c r="X68" s="59" t="s">
        <v>443</v>
      </c>
      <c r="Y68" s="59" t="s">
        <v>447</v>
      </c>
      <c r="Z68" s="64" t="str">
        <f>IFERROR(VLOOKUP(T68,LK_OrgMaster!$B$4:$H$89,5,FALSE()),"Administration")</f>
        <v>Finance</v>
      </c>
      <c r="AA68" s="65" t="str">
        <f>IFERROR(VLOOKUP(X68,LK_LocationMaster!$D$4:$G$157,4,FALSE()),"No")</f>
        <v>No</v>
      </c>
      <c r="AB68" s="65" t="str">
        <f t="shared" ref="AB68:AB131" si="6">IF(W68="Foreign / International","Yes","No")</f>
        <v>No</v>
      </c>
      <c r="AC68" s="65" t="str">
        <f>IFERROR(VLOOKUP(X68,LK_LocationMaster!$D$4:$H$157,5,FALSE()),"No")</f>
        <v>No</v>
      </c>
      <c r="AD68" s="59" t="s">
        <v>1530</v>
      </c>
      <c r="AE68" s="59" t="s">
        <v>886</v>
      </c>
      <c r="AF68" s="59" t="s">
        <v>816</v>
      </c>
      <c r="AG68" s="59" t="s">
        <v>408</v>
      </c>
      <c r="AH68" s="59" t="s">
        <v>1531</v>
      </c>
      <c r="AI68" s="59" t="s">
        <v>285</v>
      </c>
      <c r="AJ68" s="59" t="s">
        <v>768</v>
      </c>
      <c r="AK68" s="59" t="s">
        <v>769</v>
      </c>
      <c r="AL68" s="64" t="str">
        <f>IFERROR(INDEX(LK_BankMaster!$D$4:$D$23,MATCH(AJ68&amp;"|"&amp;AK68,LK_BankMaster!$H$4:$H$23,0)),"")</f>
        <v/>
      </c>
      <c r="AM68" s="59" t="s">
        <v>1532</v>
      </c>
      <c r="AN68" s="64" t="str">
        <f>IFERROR(VLOOKUP(AJ68,LK_BankMaster!$A$4:$E$23,5,FALSE()),"")</f>
        <v/>
      </c>
      <c r="AO68" s="59" t="s">
        <v>314</v>
      </c>
      <c r="AP68" s="66">
        <v>1</v>
      </c>
      <c r="AQ68" s="64" t="str">
        <f t="shared" ref="AQ68:AQ131" si="7">IF(ISNUMBER(SEARCH("Deputy Minister",M68)),"Position Allowance - Deputy Minister",IF(AND(ISNUMBER(SEARCH("Minister",M68)),NOT(ISNUMBER(SEARCH("Deputy",M68)))),"Position Allowance - Minister",IF(ISNUMBER(SEARCH("Deputy Director",M68)),"Position Allowance - Deputy Director",IF(AND(ISNUMBER(SEARCH("Director",M68)),NOT(ISNUMBER(SEARCH("Deputy",M68)))),"Position Allowance - Director",IF(ISNUMBER(SEARCH("Division Chief",M68)),"Position Allowance - Division Chief",IF(ISNUMBER(SEARCH("Section Chief",M68)),"Position Allowance - Section Chief","Position Allowance - General Staff"))))))</f>
        <v>Position Allowance - General Staff</v>
      </c>
      <c r="AR68" s="65" t="str">
        <f>IFERROR(VLOOKUP(T68,LK_OrgMaster!$B$4:$G$89,6,FALSE()),"No")</f>
        <v>No</v>
      </c>
      <c r="AS68" s="64" t="str">
        <f>IFERROR(VLOOKUP(T68,LK_OrgMaster!$B$4:$H$89,7,FALSE()),"None")</f>
        <v>None</v>
      </c>
      <c r="AT68" s="67">
        <v>35191</v>
      </c>
      <c r="AU68" s="67"/>
      <c r="AV68" s="67">
        <v>35191</v>
      </c>
      <c r="AW68" s="67">
        <v>46023</v>
      </c>
      <c r="AX68" s="68" t="s">
        <v>750</v>
      </c>
      <c r="AY68" s="69" t="s">
        <v>6260</v>
      </c>
    </row>
    <row r="69" spans="1:51" ht="15" customHeight="1" x14ac:dyDescent="0.3">
      <c r="A69" s="59" t="s">
        <v>1533</v>
      </c>
      <c r="B69" s="59" t="s">
        <v>851</v>
      </c>
      <c r="C69" s="59" t="s">
        <v>1534</v>
      </c>
      <c r="D69" s="59" t="s">
        <v>1289</v>
      </c>
      <c r="E69" s="59" t="s">
        <v>775</v>
      </c>
      <c r="F69" s="60">
        <v>24870</v>
      </c>
      <c r="G69" s="59" t="s">
        <v>1535</v>
      </c>
      <c r="H69" s="59" t="s">
        <v>1536</v>
      </c>
      <c r="I69" s="60">
        <v>37306</v>
      </c>
      <c r="J69" s="61">
        <f t="shared" ca="1" si="4"/>
        <v>24</v>
      </c>
      <c r="K69" s="62">
        <f t="shared" si="5"/>
        <v>46785</v>
      </c>
      <c r="L69" s="59" t="s">
        <v>735</v>
      </c>
      <c r="M69" s="59" t="s">
        <v>992</v>
      </c>
      <c r="N69" s="59" t="s">
        <v>1081</v>
      </c>
      <c r="O69" s="63">
        <v>14</v>
      </c>
      <c r="P69" s="61">
        <f>IFERROR(SUMPRODUCT((LK_GradeDerivation!$A$4:$A$135=N69)*(IF(O69="",0,O69)&gt;=LK_GradeDerivation!$B$4:$B$135)*(IF(O69="",0,O69)&lt;=LK_GradeDerivation!$C$4:$C$135)*LK_GradeDerivation!$D$4:$D$135),1)</f>
        <v>3</v>
      </c>
      <c r="Q69" s="61">
        <f>IFERROR(SUMPRODUCT((LK_GradeDerivation!$A$4:$A$135=N69)*(IF(O69="",0,O69)&gt;=LK_GradeDerivation!$B$4:$B$135)*(IF(O69="",0,O69)&lt;=LK_GradeDerivation!$C$4:$C$135)*LK_GradeDerivation!$E$4:$E$135),1)</f>
        <v>8</v>
      </c>
      <c r="R69" s="59" t="s">
        <v>1537</v>
      </c>
      <c r="S69" s="59" t="s">
        <v>1538</v>
      </c>
      <c r="T69" s="59" t="s">
        <v>740</v>
      </c>
      <c r="U69" s="59" t="s">
        <v>1388</v>
      </c>
      <c r="V69" s="59" t="s">
        <v>1457</v>
      </c>
      <c r="W69" s="59" t="s">
        <v>285</v>
      </c>
      <c r="X69" s="59" t="s">
        <v>575</v>
      </c>
      <c r="Y69" s="59" t="s">
        <v>579</v>
      </c>
      <c r="Z69" s="64" t="str">
        <f>IFERROR(VLOOKUP(T69,LK_OrgMaster!$B$4:$H$89,5,FALSE()),"Administration")</f>
        <v>Teacher</v>
      </c>
      <c r="AA69" s="65" t="str">
        <f>IFERROR(VLOOKUP(X69,LK_LocationMaster!$D$4:$G$157,4,FALSE()),"No")</f>
        <v>Yes</v>
      </c>
      <c r="AB69" s="65" t="str">
        <f t="shared" si="6"/>
        <v>No</v>
      </c>
      <c r="AC69" s="65" t="str">
        <f>IFERROR(VLOOKUP(X69,LK_LocationMaster!$D$4:$H$157,5,FALSE()),"No")</f>
        <v>Yes</v>
      </c>
      <c r="AD69" s="59" t="s">
        <v>1379</v>
      </c>
      <c r="AE69" s="59" t="s">
        <v>800</v>
      </c>
      <c r="AF69" s="59" t="s">
        <v>847</v>
      </c>
      <c r="AG69" s="59" t="s">
        <v>340</v>
      </c>
      <c r="AH69" s="59" t="s">
        <v>1539</v>
      </c>
      <c r="AI69" s="59" t="s">
        <v>285</v>
      </c>
      <c r="AJ69" s="59" t="s">
        <v>747</v>
      </c>
      <c r="AK69" s="59" t="s">
        <v>748</v>
      </c>
      <c r="AL69" s="64" t="str">
        <f>IFERROR(INDEX(LK_BankMaster!$D$4:$D$23,MATCH(AJ69&amp;"|"&amp;AK69,LK_BankMaster!$H$4:$H$23,0)),"")</f>
        <v/>
      </c>
      <c r="AM69" s="59" t="s">
        <v>1540</v>
      </c>
      <c r="AN69" s="64" t="str">
        <f>IFERROR(VLOOKUP(AJ69,LK_BankMaster!$A$4:$E$23,5,FALSE()),"")</f>
        <v/>
      </c>
      <c r="AO69" s="59" t="s">
        <v>314</v>
      </c>
      <c r="AP69" s="66">
        <v>3</v>
      </c>
      <c r="AQ69" s="64" t="str">
        <f t="shared" si="7"/>
        <v>Position Allowance - General Staff</v>
      </c>
      <c r="AR69" s="65" t="str">
        <f>IFERROR(VLOOKUP(T69,LK_OrgMaster!$B$4:$G$89,6,FALSE()),"No")</f>
        <v>No</v>
      </c>
      <c r="AS69" s="64" t="str">
        <f>IFERROR(VLOOKUP(T69,LK_OrgMaster!$B$4:$H$89,7,FALSE()),"None")</f>
        <v>Teaching</v>
      </c>
      <c r="AT69" s="70">
        <v>37306</v>
      </c>
      <c r="AU69" s="70"/>
      <c r="AV69" s="70">
        <v>37306</v>
      </c>
      <c r="AW69" s="70">
        <v>46023</v>
      </c>
      <c r="AX69" s="71" t="s">
        <v>750</v>
      </c>
      <c r="AY69" s="72" t="s">
        <v>6260</v>
      </c>
    </row>
    <row r="70" spans="1:51" ht="15" customHeight="1" x14ac:dyDescent="0.3">
      <c r="A70" s="59" t="s">
        <v>1541</v>
      </c>
      <c r="B70" s="59" t="s">
        <v>729</v>
      </c>
      <c r="C70" s="59" t="s">
        <v>1542</v>
      </c>
      <c r="D70" s="59" t="s">
        <v>774</v>
      </c>
      <c r="E70" s="59" t="s">
        <v>732</v>
      </c>
      <c r="F70" s="60">
        <v>35939</v>
      </c>
      <c r="G70" s="59" t="s">
        <v>1543</v>
      </c>
      <c r="H70" s="59" t="s">
        <v>1544</v>
      </c>
      <c r="I70" s="60">
        <v>33107</v>
      </c>
      <c r="J70" s="61">
        <f t="shared" ca="1" si="4"/>
        <v>35</v>
      </c>
      <c r="K70" s="62">
        <f t="shared" si="5"/>
        <v>57854</v>
      </c>
      <c r="L70" s="59" t="s">
        <v>735</v>
      </c>
      <c r="M70" s="59" t="s">
        <v>1006</v>
      </c>
      <c r="N70" s="59" t="s">
        <v>737</v>
      </c>
      <c r="O70" s="63">
        <v>0</v>
      </c>
      <c r="P70" s="61">
        <f>IFERROR(SUMPRODUCT((LK_GradeDerivation!$A$4:$A$135=N70)*(IF(O70="",0,O70)&gt;=LK_GradeDerivation!$B$4:$B$135)*(IF(O70="",0,O70)&lt;=LK_GradeDerivation!$C$4:$C$135)*LK_GradeDerivation!$D$4:$D$135),1)</f>
        <v>4</v>
      </c>
      <c r="Q70" s="61">
        <f>IFERROR(SUMPRODUCT((LK_GradeDerivation!$A$4:$A$135=N70)*(IF(O70="",0,O70)&gt;=LK_GradeDerivation!$B$4:$B$135)*(IF(O70="",0,O70)&lt;=LK_GradeDerivation!$C$4:$C$135)*LK_GradeDerivation!$E$4:$E$135),1)</f>
        <v>1</v>
      </c>
      <c r="R70" s="59" t="s">
        <v>1545</v>
      </c>
      <c r="S70" s="59" t="s">
        <v>1546</v>
      </c>
      <c r="T70" s="59" t="s">
        <v>1058</v>
      </c>
      <c r="U70" s="59" t="s">
        <v>1410</v>
      </c>
      <c r="V70" s="59" t="s">
        <v>1547</v>
      </c>
      <c r="W70" s="59" t="s">
        <v>285</v>
      </c>
      <c r="X70" s="59" t="s">
        <v>408</v>
      </c>
      <c r="Y70" s="59" t="s">
        <v>408</v>
      </c>
      <c r="Z70" s="64" t="str">
        <f>IFERROR(VLOOKUP(T70,LK_OrgMaster!$B$4:$H$89,5,FALSE()),"Administration")</f>
        <v>Technical</v>
      </c>
      <c r="AA70" s="65" t="str">
        <f>IFERROR(VLOOKUP(X70,LK_LocationMaster!$D$4:$G$157,4,FALSE()),"No")</f>
        <v>Yes</v>
      </c>
      <c r="AB70" s="65" t="str">
        <f t="shared" si="6"/>
        <v>No</v>
      </c>
      <c r="AC70" s="65" t="str">
        <f>IFERROR(VLOOKUP(X70,LK_LocationMaster!$D$4:$H$157,5,FALSE()),"No")</f>
        <v>No</v>
      </c>
      <c r="AD70" s="59" t="s">
        <v>1548</v>
      </c>
      <c r="AE70" s="59" t="s">
        <v>800</v>
      </c>
      <c r="AF70" s="59" t="s">
        <v>786</v>
      </c>
      <c r="AG70" s="59" t="s">
        <v>408</v>
      </c>
      <c r="AH70" s="59" t="s">
        <v>1549</v>
      </c>
      <c r="AI70" s="59" t="s">
        <v>285</v>
      </c>
      <c r="AJ70" s="59" t="s">
        <v>833</v>
      </c>
      <c r="AK70" s="59" t="s">
        <v>1550</v>
      </c>
      <c r="AL70" s="64" t="str">
        <f>IFERROR(INDEX(LK_BankMaster!$D$4:$D$23,MATCH(AJ70&amp;"|"&amp;AK70,LK_BankMaster!$H$4:$H$23,0)),"")</f>
        <v/>
      </c>
      <c r="AM70" s="59" t="s">
        <v>1551</v>
      </c>
      <c r="AN70" s="64" t="str">
        <f>IFERROR(VLOOKUP(AJ70,LK_BankMaster!$A$4:$E$23,5,FALSE()),"")</f>
        <v/>
      </c>
      <c r="AO70" s="59" t="s">
        <v>314</v>
      </c>
      <c r="AP70" s="66">
        <v>0</v>
      </c>
      <c r="AQ70" s="64" t="str">
        <f t="shared" si="7"/>
        <v>Position Allowance - General Staff</v>
      </c>
      <c r="AR70" s="65" t="str">
        <f>IFERROR(VLOOKUP(T70,LK_OrgMaster!$B$4:$G$89,6,FALSE()),"No")</f>
        <v>No</v>
      </c>
      <c r="AS70" s="64" t="str">
        <f>IFERROR(VLOOKUP(T70,LK_OrgMaster!$B$4:$H$89,7,FALSE()),"None")</f>
        <v>None</v>
      </c>
      <c r="AT70" s="67">
        <v>33107</v>
      </c>
      <c r="AU70" s="67"/>
      <c r="AV70" s="67">
        <v>33107</v>
      </c>
      <c r="AW70" s="67">
        <v>46023</v>
      </c>
      <c r="AX70" s="68" t="s">
        <v>750</v>
      </c>
      <c r="AY70" s="69" t="s">
        <v>6260</v>
      </c>
    </row>
    <row r="71" spans="1:51" ht="15" customHeight="1" x14ac:dyDescent="0.3">
      <c r="A71" s="59" t="s">
        <v>1552</v>
      </c>
      <c r="B71" s="59" t="s">
        <v>729</v>
      </c>
      <c r="C71" s="59" t="s">
        <v>1553</v>
      </c>
      <c r="D71" s="59" t="s">
        <v>1066</v>
      </c>
      <c r="E71" s="59" t="s">
        <v>732</v>
      </c>
      <c r="F71" s="60">
        <v>29053</v>
      </c>
      <c r="G71" s="59" t="s">
        <v>1554</v>
      </c>
      <c r="H71" s="59" t="s">
        <v>1555</v>
      </c>
      <c r="I71" s="60">
        <v>43177</v>
      </c>
      <c r="J71" s="61">
        <f t="shared" ca="1" si="4"/>
        <v>7</v>
      </c>
      <c r="K71" s="62">
        <f t="shared" si="5"/>
        <v>50968</v>
      </c>
      <c r="L71" s="59" t="s">
        <v>735</v>
      </c>
      <c r="M71" s="59" t="s">
        <v>1045</v>
      </c>
      <c r="N71" s="59" t="s">
        <v>737</v>
      </c>
      <c r="O71" s="63">
        <v>16</v>
      </c>
      <c r="P71" s="61">
        <f>IFERROR(SUMPRODUCT((LK_GradeDerivation!$A$4:$A$135=N71)*(IF(O71="",0,O71)&gt;=LK_GradeDerivation!$B$4:$B$135)*(IF(O71="",0,O71)&lt;=LK_GradeDerivation!$C$4:$C$135)*LK_GradeDerivation!$D$4:$D$135),1)</f>
        <v>4</v>
      </c>
      <c r="Q71" s="61">
        <f>IFERROR(SUMPRODUCT((LK_GradeDerivation!$A$4:$A$135=N71)*(IF(O71="",0,O71)&gt;=LK_GradeDerivation!$B$4:$B$135)*(IF(O71="",0,O71)&lt;=LK_GradeDerivation!$C$4:$C$135)*LK_GradeDerivation!$E$4:$E$135),1)</f>
        <v>9</v>
      </c>
      <c r="R71" s="59" t="s">
        <v>1556</v>
      </c>
      <c r="S71" s="59" t="s">
        <v>1557</v>
      </c>
      <c r="T71" s="59" t="s">
        <v>1305</v>
      </c>
      <c r="U71" s="59" t="s">
        <v>1558</v>
      </c>
      <c r="V71" s="59" t="s">
        <v>1559</v>
      </c>
      <c r="W71" s="59" t="s">
        <v>285</v>
      </c>
      <c r="X71" s="59" t="s">
        <v>408</v>
      </c>
      <c r="Y71" s="59" t="s">
        <v>408</v>
      </c>
      <c r="Z71" s="64" t="str">
        <f>IFERROR(VLOOKUP(T71,LK_OrgMaster!$B$4:$H$89,5,FALSE()),"Administration")</f>
        <v>Administration</v>
      </c>
      <c r="AA71" s="65" t="str">
        <f>IFERROR(VLOOKUP(X71,LK_LocationMaster!$D$4:$G$157,4,FALSE()),"No")</f>
        <v>Yes</v>
      </c>
      <c r="AB71" s="65" t="str">
        <f t="shared" si="6"/>
        <v>No</v>
      </c>
      <c r="AC71" s="65" t="str">
        <f>IFERROR(VLOOKUP(X71,LK_LocationMaster!$D$4:$H$157,5,FALSE()),"No")</f>
        <v>No</v>
      </c>
      <c r="AD71" s="59" t="s">
        <v>1560</v>
      </c>
      <c r="AE71" s="59" t="s">
        <v>765</v>
      </c>
      <c r="AF71" s="59" t="s">
        <v>801</v>
      </c>
      <c r="AG71" s="59" t="s">
        <v>391</v>
      </c>
      <c r="AH71" s="59" t="s">
        <v>1561</v>
      </c>
      <c r="AI71" s="59" t="s">
        <v>285</v>
      </c>
      <c r="AJ71" s="59" t="s">
        <v>788</v>
      </c>
      <c r="AK71" s="59" t="s">
        <v>903</v>
      </c>
      <c r="AL71" s="64" t="str">
        <f>IFERROR(INDEX(LK_BankMaster!$D$4:$D$23,MATCH(AJ71&amp;"|"&amp;AK71,LK_BankMaster!$H$4:$H$23,0)),"")</f>
        <v/>
      </c>
      <c r="AM71" s="59" t="s">
        <v>1562</v>
      </c>
      <c r="AN71" s="64" t="str">
        <f>IFERROR(VLOOKUP(AJ71,LK_BankMaster!$A$4:$E$23,5,FALSE()),"")</f>
        <v/>
      </c>
      <c r="AO71" s="59" t="s">
        <v>291</v>
      </c>
      <c r="AP71" s="66">
        <v>0</v>
      </c>
      <c r="AQ71" s="64" t="str">
        <f t="shared" si="7"/>
        <v>Position Allowance - General Staff</v>
      </c>
      <c r="AR71" s="65" t="str">
        <f>IFERROR(VLOOKUP(T71,LK_OrgMaster!$B$4:$G$89,6,FALSE()),"No")</f>
        <v>No</v>
      </c>
      <c r="AS71" s="64" t="str">
        <f>IFERROR(VLOOKUP(T71,LK_OrgMaster!$B$4:$H$89,7,FALSE()),"None")</f>
        <v>None</v>
      </c>
      <c r="AT71" s="70">
        <v>43177</v>
      </c>
      <c r="AU71" s="70"/>
      <c r="AV71" s="70">
        <v>43177</v>
      </c>
      <c r="AW71" s="70">
        <v>46023</v>
      </c>
      <c r="AX71" s="71" t="s">
        <v>750</v>
      </c>
      <c r="AY71" s="72" t="s">
        <v>6260</v>
      </c>
    </row>
    <row r="72" spans="1:51" ht="15" customHeight="1" x14ac:dyDescent="0.3">
      <c r="A72" s="59" t="s">
        <v>1563</v>
      </c>
      <c r="B72" s="59" t="s">
        <v>851</v>
      </c>
      <c r="C72" s="59" t="s">
        <v>1136</v>
      </c>
      <c r="D72" s="59" t="s">
        <v>1289</v>
      </c>
      <c r="E72" s="59" t="s">
        <v>775</v>
      </c>
      <c r="F72" s="60">
        <v>27429</v>
      </c>
      <c r="G72" s="59" t="s">
        <v>1564</v>
      </c>
      <c r="H72" s="59" t="s">
        <v>1565</v>
      </c>
      <c r="I72" s="60">
        <v>45389</v>
      </c>
      <c r="J72" s="61">
        <f t="shared" ca="1" si="4"/>
        <v>1</v>
      </c>
      <c r="K72" s="62">
        <f t="shared" si="5"/>
        <v>49344</v>
      </c>
      <c r="L72" s="59" t="s">
        <v>735</v>
      </c>
      <c r="M72" s="59" t="s">
        <v>1201</v>
      </c>
      <c r="N72" s="59" t="s">
        <v>737</v>
      </c>
      <c r="O72" s="63">
        <v>25</v>
      </c>
      <c r="P72" s="61">
        <f>IFERROR(SUMPRODUCT((LK_GradeDerivation!$A$4:$A$135=N72)*(IF(O72="",0,O72)&gt;=LK_GradeDerivation!$B$4:$B$135)*(IF(O72="",0,O72)&lt;=LK_GradeDerivation!$C$4:$C$135)*LK_GradeDerivation!$D$4:$D$135),1)</f>
        <v>4</v>
      </c>
      <c r="Q72" s="61">
        <f>IFERROR(SUMPRODUCT((LK_GradeDerivation!$A$4:$A$135=N72)*(IF(O72="",0,O72)&gt;=LK_GradeDerivation!$B$4:$B$135)*(IF(O72="",0,O72)&lt;=LK_GradeDerivation!$C$4:$C$135)*LK_GradeDerivation!$E$4:$E$135),1)</f>
        <v>13</v>
      </c>
      <c r="R72" s="59" t="s">
        <v>1566</v>
      </c>
      <c r="S72" s="59" t="s">
        <v>1567</v>
      </c>
      <c r="T72" s="59" t="s">
        <v>979</v>
      </c>
      <c r="U72" s="59" t="s">
        <v>1475</v>
      </c>
      <c r="V72" s="59" t="s">
        <v>1476</v>
      </c>
      <c r="W72" s="59" t="s">
        <v>285</v>
      </c>
      <c r="X72" s="59" t="s">
        <v>544</v>
      </c>
      <c r="Y72" s="59" t="s">
        <v>546</v>
      </c>
      <c r="Z72" s="64" t="str">
        <f>IFERROR(VLOOKUP(T72,LK_OrgMaster!$B$4:$H$89,5,FALSE()),"Administration")</f>
        <v>Administration</v>
      </c>
      <c r="AA72" s="65" t="str">
        <f>IFERROR(VLOOKUP(X72,LK_LocationMaster!$D$4:$G$157,4,FALSE()),"No")</f>
        <v>Yes</v>
      </c>
      <c r="AB72" s="65" t="str">
        <f t="shared" si="6"/>
        <v>No</v>
      </c>
      <c r="AC72" s="65" t="str">
        <f>IFERROR(VLOOKUP(X72,LK_LocationMaster!$D$4:$H$157,5,FALSE()),"No")</f>
        <v>Yes</v>
      </c>
      <c r="AD72" s="59" t="s">
        <v>1568</v>
      </c>
      <c r="AE72" s="59" t="s">
        <v>765</v>
      </c>
      <c r="AF72" s="59" t="s">
        <v>969</v>
      </c>
      <c r="AG72" s="59" t="s">
        <v>329</v>
      </c>
      <c r="AH72" s="59" t="s">
        <v>1569</v>
      </c>
      <c r="AI72" s="59" t="s">
        <v>285</v>
      </c>
      <c r="AJ72" s="59" t="s">
        <v>833</v>
      </c>
      <c r="AK72" s="59" t="s">
        <v>1550</v>
      </c>
      <c r="AL72" s="64" t="str">
        <f>IFERROR(INDEX(LK_BankMaster!$D$4:$D$23,MATCH(AJ72&amp;"|"&amp;AK72,LK_BankMaster!$H$4:$H$23,0)),"")</f>
        <v/>
      </c>
      <c r="AM72" s="59" t="s">
        <v>1570</v>
      </c>
      <c r="AN72" s="64" t="str">
        <f>IFERROR(VLOOKUP(AJ72,LK_BankMaster!$A$4:$E$23,5,FALSE()),"")</f>
        <v/>
      </c>
      <c r="AO72" s="59" t="s">
        <v>314</v>
      </c>
      <c r="AP72" s="66">
        <v>3</v>
      </c>
      <c r="AQ72" s="64" t="str">
        <f t="shared" si="7"/>
        <v>Position Allowance - General Staff</v>
      </c>
      <c r="AR72" s="65" t="str">
        <f>IFERROR(VLOOKUP(T72,LK_OrgMaster!$B$4:$G$89,6,FALSE()),"No")</f>
        <v>No</v>
      </c>
      <c r="AS72" s="64" t="str">
        <f>IFERROR(VLOOKUP(T72,LK_OrgMaster!$B$4:$H$89,7,FALSE()),"None")</f>
        <v>None</v>
      </c>
      <c r="AT72" s="67">
        <v>45389</v>
      </c>
      <c r="AU72" s="67"/>
      <c r="AV72" s="67">
        <v>45389</v>
      </c>
      <c r="AW72" s="67">
        <v>46023</v>
      </c>
      <c r="AX72" s="68" t="s">
        <v>750</v>
      </c>
      <c r="AY72" s="69" t="s">
        <v>6260</v>
      </c>
    </row>
    <row r="73" spans="1:51" ht="15" customHeight="1" x14ac:dyDescent="0.3">
      <c r="A73" s="59" t="s">
        <v>1571</v>
      </c>
      <c r="B73" s="59" t="s">
        <v>772</v>
      </c>
      <c r="C73" s="59" t="s">
        <v>1125</v>
      </c>
      <c r="D73" s="59" t="s">
        <v>1137</v>
      </c>
      <c r="E73" s="59" t="s">
        <v>732</v>
      </c>
      <c r="F73" s="60">
        <v>30248</v>
      </c>
      <c r="G73" s="59" t="s">
        <v>1572</v>
      </c>
      <c r="H73" s="59" t="s">
        <v>1573</v>
      </c>
      <c r="I73" s="60">
        <v>39465</v>
      </c>
      <c r="J73" s="61">
        <f t="shared" ca="1" si="4"/>
        <v>18</v>
      </c>
      <c r="K73" s="62">
        <f t="shared" si="5"/>
        <v>52163</v>
      </c>
      <c r="L73" s="59" t="s">
        <v>735</v>
      </c>
      <c r="M73" s="59" t="s">
        <v>1574</v>
      </c>
      <c r="N73" s="59" t="s">
        <v>758</v>
      </c>
      <c r="O73" s="63">
        <v>0</v>
      </c>
      <c r="P73" s="61">
        <f>IFERROR(SUMPRODUCT((LK_GradeDerivation!$A$4:$A$135=N73)*(IF(O73="",0,O73)&gt;=LK_GradeDerivation!$B$4:$B$135)*(IF(O73="",0,O73)&lt;=LK_GradeDerivation!$C$4:$C$135)*LK_GradeDerivation!$D$4:$D$135),1)</f>
        <v>5</v>
      </c>
      <c r="Q73" s="61">
        <f>IFERROR(SUMPRODUCT((LK_GradeDerivation!$A$4:$A$135=N73)*(IF(O73="",0,O73)&gt;=LK_GradeDerivation!$B$4:$B$135)*(IF(O73="",0,O73)&lt;=LK_GradeDerivation!$C$4:$C$135)*LK_GradeDerivation!$E$4:$E$135),1)</f>
        <v>1</v>
      </c>
      <c r="R73" s="59" t="s">
        <v>1575</v>
      </c>
      <c r="S73" s="59" t="s">
        <v>1576</v>
      </c>
      <c r="T73" s="59" t="s">
        <v>1096</v>
      </c>
      <c r="U73" s="59" t="s">
        <v>953</v>
      </c>
      <c r="V73" s="59" t="s">
        <v>1577</v>
      </c>
      <c r="W73" s="59" t="s">
        <v>285</v>
      </c>
      <c r="X73" s="59" t="s">
        <v>527</v>
      </c>
      <c r="Y73" s="59" t="s">
        <v>542</v>
      </c>
      <c r="Z73" s="64" t="str">
        <f>IFERROR(VLOOKUP(T73,LK_OrgMaster!$B$4:$H$89,5,FALSE()),"Administration")</f>
        <v>Administration</v>
      </c>
      <c r="AA73" s="65" t="str">
        <f>IFERROR(VLOOKUP(X73,LK_LocationMaster!$D$4:$G$157,4,FALSE()),"No")</f>
        <v>No</v>
      </c>
      <c r="AB73" s="65" t="str">
        <f t="shared" si="6"/>
        <v>No</v>
      </c>
      <c r="AC73" s="65" t="str">
        <f>IFERROR(VLOOKUP(X73,LK_LocationMaster!$D$4:$H$157,5,FALSE()),"No")</f>
        <v>No</v>
      </c>
      <c r="AD73" s="59" t="s">
        <v>1578</v>
      </c>
      <c r="AE73" s="59" t="s">
        <v>886</v>
      </c>
      <c r="AF73" s="59" t="s">
        <v>816</v>
      </c>
      <c r="AG73" s="59" t="s">
        <v>391</v>
      </c>
      <c r="AH73" s="59" t="s">
        <v>1579</v>
      </c>
      <c r="AI73" s="59" t="s">
        <v>285</v>
      </c>
      <c r="AJ73" s="59" t="s">
        <v>788</v>
      </c>
      <c r="AK73" s="59" t="s">
        <v>1460</v>
      </c>
      <c r="AL73" s="64" t="str">
        <f>IFERROR(INDEX(LK_BankMaster!$D$4:$D$23,MATCH(AJ73&amp;"|"&amp;AK73,LK_BankMaster!$H$4:$H$23,0)),"")</f>
        <v/>
      </c>
      <c r="AM73" s="59" t="s">
        <v>1580</v>
      </c>
      <c r="AN73" s="64" t="str">
        <f>IFERROR(VLOOKUP(AJ73,LK_BankMaster!$A$4:$E$23,5,FALSE()),"")</f>
        <v/>
      </c>
      <c r="AO73" s="59" t="s">
        <v>291</v>
      </c>
      <c r="AP73" s="66">
        <v>0</v>
      </c>
      <c r="AQ73" s="64" t="str">
        <f t="shared" si="7"/>
        <v>Position Allowance - Deputy Director</v>
      </c>
      <c r="AR73" s="65" t="str">
        <f>IFERROR(VLOOKUP(T73,LK_OrgMaster!$B$4:$G$89,6,FALSE()),"No")</f>
        <v>No</v>
      </c>
      <c r="AS73" s="64" t="str">
        <f>IFERROR(VLOOKUP(T73,LK_OrgMaster!$B$4:$H$89,7,FALSE()),"None")</f>
        <v>None</v>
      </c>
      <c r="AT73" s="70">
        <v>39465</v>
      </c>
      <c r="AU73" s="70"/>
      <c r="AV73" s="70">
        <v>39465</v>
      </c>
      <c r="AW73" s="70">
        <v>46023</v>
      </c>
      <c r="AX73" s="71" t="s">
        <v>750</v>
      </c>
      <c r="AY73" s="72" t="s">
        <v>6260</v>
      </c>
    </row>
    <row r="74" spans="1:51" ht="15" customHeight="1" x14ac:dyDescent="0.3">
      <c r="A74" s="59" t="s">
        <v>1581</v>
      </c>
      <c r="B74" s="59" t="s">
        <v>851</v>
      </c>
      <c r="C74" s="59" t="s">
        <v>1582</v>
      </c>
      <c r="D74" s="59" t="s">
        <v>1017</v>
      </c>
      <c r="E74" s="59" t="s">
        <v>775</v>
      </c>
      <c r="F74" s="60">
        <v>24355</v>
      </c>
      <c r="G74" s="59" t="s">
        <v>1583</v>
      </c>
      <c r="H74" s="59" t="s">
        <v>1584</v>
      </c>
      <c r="I74" s="60">
        <v>36359</v>
      </c>
      <c r="J74" s="61">
        <f t="shared" ca="1" si="4"/>
        <v>26</v>
      </c>
      <c r="K74" s="62">
        <f t="shared" si="5"/>
        <v>46270</v>
      </c>
      <c r="L74" s="59" t="s">
        <v>735</v>
      </c>
      <c r="M74" s="59" t="s">
        <v>1334</v>
      </c>
      <c r="N74" s="59" t="s">
        <v>779</v>
      </c>
      <c r="O74" s="63">
        <v>14</v>
      </c>
      <c r="P74" s="61">
        <f>IFERROR(SUMPRODUCT((LK_GradeDerivation!$A$4:$A$135=N74)*(IF(O74="",0,O74)&gt;=LK_GradeDerivation!$B$4:$B$135)*(IF(O74="",0,O74)&lt;=LK_GradeDerivation!$C$4:$C$135)*LK_GradeDerivation!$D$4:$D$135),1)</f>
        <v>2</v>
      </c>
      <c r="Q74" s="61">
        <f>IFERROR(SUMPRODUCT((LK_GradeDerivation!$A$4:$A$135=N74)*(IF(O74="",0,O74)&gt;=LK_GradeDerivation!$B$4:$B$135)*(IF(O74="",0,O74)&lt;=LK_GradeDerivation!$C$4:$C$135)*LK_GradeDerivation!$E$4:$E$135),1)</f>
        <v>8</v>
      </c>
      <c r="R74" s="59" t="s">
        <v>1585</v>
      </c>
      <c r="S74" s="59" t="s">
        <v>1586</v>
      </c>
      <c r="T74" s="59" t="s">
        <v>740</v>
      </c>
      <c r="U74" s="59" t="s">
        <v>1154</v>
      </c>
      <c r="V74" s="59" t="s">
        <v>763</v>
      </c>
      <c r="W74" s="59" t="s">
        <v>285</v>
      </c>
      <c r="X74" s="59" t="s">
        <v>429</v>
      </c>
      <c r="Y74" s="59" t="s">
        <v>433</v>
      </c>
      <c r="Z74" s="64" t="str">
        <f>IFERROR(VLOOKUP(T74,LK_OrgMaster!$B$4:$H$89,5,FALSE()),"Administration")</f>
        <v>Teacher</v>
      </c>
      <c r="AA74" s="65" t="str">
        <f>IFERROR(VLOOKUP(X74,LK_LocationMaster!$D$4:$G$157,4,FALSE()),"No")</f>
        <v>Yes</v>
      </c>
      <c r="AB74" s="65" t="str">
        <f t="shared" si="6"/>
        <v>No</v>
      </c>
      <c r="AC74" s="65" t="str">
        <f>IFERROR(VLOOKUP(X74,LK_LocationMaster!$D$4:$H$157,5,FALSE()),"No")</f>
        <v>Yes</v>
      </c>
      <c r="AD74" s="59" t="s">
        <v>1587</v>
      </c>
      <c r="AE74" s="59" t="s">
        <v>800</v>
      </c>
      <c r="AF74" s="59" t="s">
        <v>969</v>
      </c>
      <c r="AG74" s="59" t="s">
        <v>340</v>
      </c>
      <c r="AH74" s="59" t="s">
        <v>1588</v>
      </c>
      <c r="AI74" s="59" t="s">
        <v>285</v>
      </c>
      <c r="AJ74" s="59" t="s">
        <v>768</v>
      </c>
      <c r="AK74" s="59" t="s">
        <v>1589</v>
      </c>
      <c r="AL74" s="64" t="str">
        <f>IFERROR(INDEX(LK_BankMaster!$D$4:$D$23,MATCH(AJ74&amp;"|"&amp;AK74,LK_BankMaster!$H$4:$H$23,0)),"")</f>
        <v/>
      </c>
      <c r="AM74" s="59" t="s">
        <v>1590</v>
      </c>
      <c r="AN74" s="64" t="str">
        <f>IFERROR(VLOOKUP(AJ74,LK_BankMaster!$A$4:$E$23,5,FALSE()),"")</f>
        <v/>
      </c>
      <c r="AO74" s="59" t="s">
        <v>291</v>
      </c>
      <c r="AP74" s="66">
        <v>0</v>
      </c>
      <c r="AQ74" s="64" t="str">
        <f t="shared" si="7"/>
        <v>Position Allowance - General Staff</v>
      </c>
      <c r="AR74" s="65" t="str">
        <f>IFERROR(VLOOKUP(T74,LK_OrgMaster!$B$4:$G$89,6,FALSE()),"No")</f>
        <v>No</v>
      </c>
      <c r="AS74" s="64" t="str">
        <f>IFERROR(VLOOKUP(T74,LK_OrgMaster!$B$4:$H$89,7,FALSE()),"None")</f>
        <v>Teaching</v>
      </c>
      <c r="AT74" s="67">
        <v>36359</v>
      </c>
      <c r="AU74" s="67"/>
      <c r="AV74" s="67">
        <v>36359</v>
      </c>
      <c r="AW74" s="67">
        <v>46023</v>
      </c>
      <c r="AX74" s="68" t="s">
        <v>750</v>
      </c>
      <c r="AY74" s="69" t="s">
        <v>6260</v>
      </c>
    </row>
    <row r="75" spans="1:51" ht="15" customHeight="1" x14ac:dyDescent="0.3">
      <c r="A75" s="59" t="s">
        <v>1591</v>
      </c>
      <c r="B75" s="59" t="s">
        <v>772</v>
      </c>
      <c r="C75" s="59" t="s">
        <v>973</v>
      </c>
      <c r="D75" s="59" t="s">
        <v>1592</v>
      </c>
      <c r="E75" s="59" t="s">
        <v>775</v>
      </c>
      <c r="F75" s="60">
        <v>32502</v>
      </c>
      <c r="G75" s="59" t="s">
        <v>1593</v>
      </c>
      <c r="H75" s="59" t="s">
        <v>1594</v>
      </c>
      <c r="I75" s="60">
        <v>41612</v>
      </c>
      <c r="J75" s="61">
        <f t="shared" ca="1" si="4"/>
        <v>12</v>
      </c>
      <c r="K75" s="62">
        <f t="shared" si="5"/>
        <v>54417</v>
      </c>
      <c r="L75" s="59" t="s">
        <v>735</v>
      </c>
      <c r="M75" s="59" t="s">
        <v>910</v>
      </c>
      <c r="N75" s="59" t="s">
        <v>737</v>
      </c>
      <c r="O75" s="63">
        <v>2</v>
      </c>
      <c r="P75" s="61">
        <f>IFERROR(SUMPRODUCT((LK_GradeDerivation!$A$4:$A$135=N75)*(IF(O75="",0,O75)&gt;=LK_GradeDerivation!$B$4:$B$135)*(IF(O75="",0,O75)&lt;=LK_GradeDerivation!$C$4:$C$135)*LK_GradeDerivation!$D$4:$D$135),1)</f>
        <v>4</v>
      </c>
      <c r="Q75" s="61">
        <f>IFERROR(SUMPRODUCT((LK_GradeDerivation!$A$4:$A$135=N75)*(IF(O75="",0,O75)&gt;=LK_GradeDerivation!$B$4:$B$135)*(IF(O75="",0,O75)&lt;=LK_GradeDerivation!$C$4:$C$135)*LK_GradeDerivation!$E$4:$E$135),1)</f>
        <v>2</v>
      </c>
      <c r="R75" s="59" t="s">
        <v>1595</v>
      </c>
      <c r="S75" s="59" t="s">
        <v>1596</v>
      </c>
      <c r="T75" s="59" t="s">
        <v>1096</v>
      </c>
      <c r="U75" s="59" t="s">
        <v>1597</v>
      </c>
      <c r="V75" s="59" t="s">
        <v>1598</v>
      </c>
      <c r="W75" s="59" t="s">
        <v>285</v>
      </c>
      <c r="X75" s="59" t="s">
        <v>408</v>
      </c>
      <c r="Y75" s="59" t="s">
        <v>427</v>
      </c>
      <c r="Z75" s="64" t="str">
        <f>IFERROR(VLOOKUP(T75,LK_OrgMaster!$B$4:$H$89,5,FALSE()),"Administration")</f>
        <v>Administration</v>
      </c>
      <c r="AA75" s="65" t="str">
        <f>IFERROR(VLOOKUP(X75,LK_LocationMaster!$D$4:$G$157,4,FALSE()),"No")</f>
        <v>Yes</v>
      </c>
      <c r="AB75" s="65" t="str">
        <f t="shared" si="6"/>
        <v>No</v>
      </c>
      <c r="AC75" s="65" t="str">
        <f>IFERROR(VLOOKUP(X75,LK_LocationMaster!$D$4:$H$157,5,FALSE()),"No")</f>
        <v>No</v>
      </c>
      <c r="AD75" s="59" t="s">
        <v>1599</v>
      </c>
      <c r="AE75" s="59" t="s">
        <v>886</v>
      </c>
      <c r="AF75" s="59" t="s">
        <v>766</v>
      </c>
      <c r="AG75" s="59" t="s">
        <v>368</v>
      </c>
      <c r="AH75" s="59" t="s">
        <v>1600</v>
      </c>
      <c r="AI75" s="59" t="s">
        <v>285</v>
      </c>
      <c r="AJ75" s="59" t="s">
        <v>833</v>
      </c>
      <c r="AK75" s="59" t="s">
        <v>1013</v>
      </c>
      <c r="AL75" s="64" t="str">
        <f>IFERROR(INDEX(LK_BankMaster!$D$4:$D$23,MATCH(AJ75&amp;"|"&amp;AK75,LK_BankMaster!$H$4:$H$23,0)),"")</f>
        <v/>
      </c>
      <c r="AM75" s="59" t="s">
        <v>1601</v>
      </c>
      <c r="AN75" s="64" t="str">
        <f>IFERROR(VLOOKUP(AJ75,LK_BankMaster!$A$4:$E$23,5,FALSE()),"")</f>
        <v/>
      </c>
      <c r="AO75" s="59" t="s">
        <v>314</v>
      </c>
      <c r="AP75" s="66">
        <v>2</v>
      </c>
      <c r="AQ75" s="64" t="str">
        <f t="shared" si="7"/>
        <v>Position Allowance - Division Chief</v>
      </c>
      <c r="AR75" s="65" t="str">
        <f>IFERROR(VLOOKUP(T75,LK_OrgMaster!$B$4:$G$89,6,FALSE()),"No")</f>
        <v>No</v>
      </c>
      <c r="AS75" s="64" t="str">
        <f>IFERROR(VLOOKUP(T75,LK_OrgMaster!$B$4:$H$89,7,FALSE()),"None")</f>
        <v>None</v>
      </c>
      <c r="AT75" s="70">
        <v>41612</v>
      </c>
      <c r="AU75" s="70"/>
      <c r="AV75" s="70">
        <v>41612</v>
      </c>
      <c r="AW75" s="70">
        <v>46023</v>
      </c>
      <c r="AX75" s="71" t="s">
        <v>750</v>
      </c>
      <c r="AY75" s="72" t="s">
        <v>6260</v>
      </c>
    </row>
    <row r="76" spans="1:51" ht="15" customHeight="1" x14ac:dyDescent="0.3">
      <c r="A76" s="59" t="s">
        <v>1602</v>
      </c>
      <c r="B76" s="59" t="s">
        <v>752</v>
      </c>
      <c r="C76" s="59" t="s">
        <v>1603</v>
      </c>
      <c r="D76" s="59" t="s">
        <v>1604</v>
      </c>
      <c r="E76" s="59" t="s">
        <v>732</v>
      </c>
      <c r="F76" s="60">
        <v>27508</v>
      </c>
      <c r="G76" s="59" t="s">
        <v>1605</v>
      </c>
      <c r="H76" s="59" t="s">
        <v>1606</v>
      </c>
      <c r="I76" s="60">
        <v>45227</v>
      </c>
      <c r="J76" s="61">
        <f t="shared" ca="1" si="4"/>
        <v>2</v>
      </c>
      <c r="K76" s="62">
        <f t="shared" si="5"/>
        <v>49423</v>
      </c>
      <c r="L76" s="59" t="s">
        <v>735</v>
      </c>
      <c r="M76" s="59" t="s">
        <v>1607</v>
      </c>
      <c r="N76" s="59" t="s">
        <v>1081</v>
      </c>
      <c r="O76" s="63">
        <v>25</v>
      </c>
      <c r="P76" s="61">
        <f>IFERROR(SUMPRODUCT((LK_GradeDerivation!$A$4:$A$135=N76)*(IF(O76="",0,O76)&gt;=LK_GradeDerivation!$B$4:$B$135)*(IF(O76="",0,O76)&lt;=LK_GradeDerivation!$C$4:$C$135)*LK_GradeDerivation!$D$4:$D$135),1)</f>
        <v>3</v>
      </c>
      <c r="Q76" s="61">
        <f>IFERROR(SUMPRODUCT((LK_GradeDerivation!$A$4:$A$135=N76)*(IF(O76="",0,O76)&gt;=LK_GradeDerivation!$B$4:$B$135)*(IF(O76="",0,O76)&lt;=LK_GradeDerivation!$C$4:$C$135)*LK_GradeDerivation!$E$4:$E$135),1)</f>
        <v>13</v>
      </c>
      <c r="R76" s="59" t="s">
        <v>1608</v>
      </c>
      <c r="S76" s="59" t="s">
        <v>1609</v>
      </c>
      <c r="T76" s="59" t="s">
        <v>1058</v>
      </c>
      <c r="U76" s="59" t="s">
        <v>1410</v>
      </c>
      <c r="V76" s="59" t="s">
        <v>1547</v>
      </c>
      <c r="W76" s="59" t="s">
        <v>285</v>
      </c>
      <c r="X76" s="59" t="s">
        <v>429</v>
      </c>
      <c r="Y76" s="59" t="s">
        <v>439</v>
      </c>
      <c r="Z76" s="64" t="str">
        <f>IFERROR(VLOOKUP(T76,LK_OrgMaster!$B$4:$H$89,5,FALSE()),"Administration")</f>
        <v>Technical</v>
      </c>
      <c r="AA76" s="65" t="str">
        <f>IFERROR(VLOOKUP(X76,LK_LocationMaster!$D$4:$G$157,4,FALSE()),"No")</f>
        <v>Yes</v>
      </c>
      <c r="AB76" s="65" t="str">
        <f t="shared" si="6"/>
        <v>No</v>
      </c>
      <c r="AC76" s="65" t="str">
        <f>IFERROR(VLOOKUP(X76,LK_LocationMaster!$D$4:$H$157,5,FALSE()),"No")</f>
        <v>Yes</v>
      </c>
      <c r="AD76" s="59" t="s">
        <v>1610</v>
      </c>
      <c r="AE76" s="59" t="s">
        <v>886</v>
      </c>
      <c r="AF76" s="59" t="s">
        <v>745</v>
      </c>
      <c r="AG76" s="59" t="s">
        <v>340</v>
      </c>
      <c r="AH76" s="59" t="s">
        <v>1611</v>
      </c>
      <c r="AI76" s="59" t="s">
        <v>285</v>
      </c>
      <c r="AJ76" s="59" t="s">
        <v>747</v>
      </c>
      <c r="AK76" s="59" t="s">
        <v>748</v>
      </c>
      <c r="AL76" s="64" t="str">
        <f>IFERROR(INDEX(LK_BankMaster!$D$4:$D$23,MATCH(AJ76&amp;"|"&amp;AK76,LK_BankMaster!$H$4:$H$23,0)),"")</f>
        <v/>
      </c>
      <c r="AM76" s="59" t="s">
        <v>1612</v>
      </c>
      <c r="AN76" s="64" t="str">
        <f>IFERROR(VLOOKUP(AJ76,LK_BankMaster!$A$4:$E$23,5,FALSE()),"")</f>
        <v/>
      </c>
      <c r="AO76" s="59" t="s">
        <v>314</v>
      </c>
      <c r="AP76" s="66">
        <v>2</v>
      </c>
      <c r="AQ76" s="64" t="str">
        <f t="shared" si="7"/>
        <v>Position Allowance - General Staff</v>
      </c>
      <c r="AR76" s="65" t="str">
        <f>IFERROR(VLOOKUP(T76,LK_OrgMaster!$B$4:$G$89,6,FALSE()),"No")</f>
        <v>No</v>
      </c>
      <c r="AS76" s="64" t="str">
        <f>IFERROR(VLOOKUP(T76,LK_OrgMaster!$B$4:$H$89,7,FALSE()),"None")</f>
        <v>None</v>
      </c>
      <c r="AT76" s="67">
        <v>45227</v>
      </c>
      <c r="AU76" s="67"/>
      <c r="AV76" s="67">
        <v>45227</v>
      </c>
      <c r="AW76" s="67">
        <v>46023</v>
      </c>
      <c r="AX76" s="68" t="s">
        <v>750</v>
      </c>
      <c r="AY76" s="69" t="s">
        <v>6260</v>
      </c>
    </row>
    <row r="77" spans="1:51" ht="15" customHeight="1" x14ac:dyDescent="0.3">
      <c r="A77" s="59" t="s">
        <v>1613</v>
      </c>
      <c r="B77" s="59" t="s">
        <v>851</v>
      </c>
      <c r="C77" s="59" t="s">
        <v>1136</v>
      </c>
      <c r="D77" s="59" t="s">
        <v>1320</v>
      </c>
      <c r="E77" s="59" t="s">
        <v>775</v>
      </c>
      <c r="F77" s="60">
        <v>33118</v>
      </c>
      <c r="G77" s="59" t="s">
        <v>1614</v>
      </c>
      <c r="H77" s="59" t="s">
        <v>1615</v>
      </c>
      <c r="I77" s="60">
        <v>33544</v>
      </c>
      <c r="J77" s="61">
        <f t="shared" ca="1" si="4"/>
        <v>34</v>
      </c>
      <c r="K77" s="62">
        <f t="shared" si="5"/>
        <v>55033</v>
      </c>
      <c r="L77" s="59" t="s">
        <v>735</v>
      </c>
      <c r="M77" s="59" t="s">
        <v>1616</v>
      </c>
      <c r="N77" s="59" t="s">
        <v>758</v>
      </c>
      <c r="O77" s="63">
        <v>0</v>
      </c>
      <c r="P77" s="61">
        <f>IFERROR(SUMPRODUCT((LK_GradeDerivation!$A$4:$A$135=N77)*(IF(O77="",0,O77)&gt;=LK_GradeDerivation!$B$4:$B$135)*(IF(O77="",0,O77)&lt;=LK_GradeDerivation!$C$4:$C$135)*LK_GradeDerivation!$D$4:$D$135),1)</f>
        <v>5</v>
      </c>
      <c r="Q77" s="61">
        <f>IFERROR(SUMPRODUCT((LK_GradeDerivation!$A$4:$A$135=N77)*(IF(O77="",0,O77)&gt;=LK_GradeDerivation!$B$4:$B$135)*(IF(O77="",0,O77)&lt;=LK_GradeDerivation!$C$4:$C$135)*LK_GradeDerivation!$E$4:$E$135),1)</f>
        <v>1</v>
      </c>
      <c r="R77" s="59" t="s">
        <v>1617</v>
      </c>
      <c r="S77" s="59" t="s">
        <v>1618</v>
      </c>
      <c r="T77" s="59" t="s">
        <v>882</v>
      </c>
      <c r="U77" s="59" t="s">
        <v>1619</v>
      </c>
      <c r="V77" s="59" t="s">
        <v>763</v>
      </c>
      <c r="W77" s="59" t="s">
        <v>285</v>
      </c>
      <c r="X77" s="59" t="s">
        <v>329</v>
      </c>
      <c r="Y77" s="59" t="s">
        <v>329</v>
      </c>
      <c r="Z77" s="64" t="str">
        <f>IFERROR(VLOOKUP(T77,LK_OrgMaster!$B$4:$H$89,5,FALSE()),"Administration")</f>
        <v>Legal</v>
      </c>
      <c r="AA77" s="65" t="str">
        <f>IFERROR(VLOOKUP(X77,LK_LocationMaster!$D$4:$G$157,4,FALSE()),"No")</f>
        <v>Yes</v>
      </c>
      <c r="AB77" s="65" t="str">
        <f t="shared" si="6"/>
        <v>No</v>
      </c>
      <c r="AC77" s="65" t="str">
        <f>IFERROR(VLOOKUP(X77,LK_LocationMaster!$D$4:$H$157,5,FALSE()),"No")</f>
        <v>No</v>
      </c>
      <c r="AD77" s="59" t="s">
        <v>1620</v>
      </c>
      <c r="AE77" s="59" t="s">
        <v>1401</v>
      </c>
      <c r="AF77" s="59" t="s">
        <v>801</v>
      </c>
      <c r="AG77" s="59" t="s">
        <v>329</v>
      </c>
      <c r="AH77" s="59" t="s">
        <v>1621</v>
      </c>
      <c r="AI77" s="59" t="s">
        <v>285</v>
      </c>
      <c r="AJ77" s="59" t="s">
        <v>788</v>
      </c>
      <c r="AK77" s="59" t="s">
        <v>1221</v>
      </c>
      <c r="AL77" s="64" t="str">
        <f>IFERROR(INDEX(LK_BankMaster!$D$4:$D$23,MATCH(AJ77&amp;"|"&amp;AK77,LK_BankMaster!$H$4:$H$23,0)),"")</f>
        <v/>
      </c>
      <c r="AM77" s="59" t="s">
        <v>1622</v>
      </c>
      <c r="AN77" s="64" t="str">
        <f>IFERROR(VLOOKUP(AJ77,LK_BankMaster!$A$4:$E$23,5,FALSE()),"")</f>
        <v/>
      </c>
      <c r="AO77" s="59" t="s">
        <v>291</v>
      </c>
      <c r="AP77" s="66">
        <v>0</v>
      </c>
      <c r="AQ77" s="64" t="str">
        <f t="shared" si="7"/>
        <v>Position Allowance - General Staff</v>
      </c>
      <c r="AR77" s="65" t="str">
        <f>IFERROR(VLOOKUP(T77,LK_OrgMaster!$B$4:$G$89,6,FALSE()),"No")</f>
        <v>No</v>
      </c>
      <c r="AS77" s="64" t="str">
        <f>IFERROR(VLOOKUP(T77,LK_OrgMaster!$B$4:$H$89,7,FALSE()),"None")</f>
        <v>None</v>
      </c>
      <c r="AT77" s="70">
        <v>33544</v>
      </c>
      <c r="AU77" s="70"/>
      <c r="AV77" s="70">
        <v>33544</v>
      </c>
      <c r="AW77" s="70">
        <v>46023</v>
      </c>
      <c r="AX77" s="71" t="s">
        <v>750</v>
      </c>
      <c r="AY77" s="72" t="s">
        <v>6260</v>
      </c>
    </row>
    <row r="78" spans="1:51" ht="15" customHeight="1" x14ac:dyDescent="0.3">
      <c r="A78" s="59" t="s">
        <v>1623</v>
      </c>
      <c r="B78" s="59" t="s">
        <v>772</v>
      </c>
      <c r="C78" s="59" t="s">
        <v>1624</v>
      </c>
      <c r="D78" s="59" t="s">
        <v>823</v>
      </c>
      <c r="E78" s="59" t="s">
        <v>732</v>
      </c>
      <c r="F78" s="60">
        <v>37029</v>
      </c>
      <c r="G78" s="59" t="s">
        <v>1625</v>
      </c>
      <c r="H78" s="59" t="s">
        <v>1626</v>
      </c>
      <c r="I78" s="60">
        <v>45559</v>
      </c>
      <c r="J78" s="61">
        <f t="shared" ca="1" si="4"/>
        <v>1</v>
      </c>
      <c r="K78" s="62">
        <f t="shared" si="5"/>
        <v>58944</v>
      </c>
      <c r="L78" s="59" t="s">
        <v>735</v>
      </c>
      <c r="M78" s="59" t="s">
        <v>1483</v>
      </c>
      <c r="N78" s="59" t="s">
        <v>1081</v>
      </c>
      <c r="O78" s="63">
        <v>3</v>
      </c>
      <c r="P78" s="61">
        <f>IFERROR(SUMPRODUCT((LK_GradeDerivation!$A$4:$A$135=N78)*(IF(O78="",0,O78)&gt;=LK_GradeDerivation!$B$4:$B$135)*(IF(O78="",0,O78)&lt;=LK_GradeDerivation!$C$4:$C$135)*LK_GradeDerivation!$D$4:$D$135),1)</f>
        <v>3</v>
      </c>
      <c r="Q78" s="61">
        <f>IFERROR(SUMPRODUCT((LK_GradeDerivation!$A$4:$A$135=N78)*(IF(O78="",0,O78)&gt;=LK_GradeDerivation!$B$4:$B$135)*(IF(O78="",0,O78)&lt;=LK_GradeDerivation!$C$4:$C$135)*LK_GradeDerivation!$E$4:$E$135),1)</f>
        <v>2</v>
      </c>
      <c r="R78" s="59" t="s">
        <v>1627</v>
      </c>
      <c r="S78" s="59" t="s">
        <v>1628</v>
      </c>
      <c r="T78" s="59" t="s">
        <v>896</v>
      </c>
      <c r="U78" s="59" t="s">
        <v>1629</v>
      </c>
      <c r="V78" s="59" t="s">
        <v>763</v>
      </c>
      <c r="W78" s="59" t="s">
        <v>285</v>
      </c>
      <c r="X78" s="59" t="s">
        <v>288</v>
      </c>
      <c r="Y78" s="59" t="s">
        <v>302</v>
      </c>
      <c r="Z78" s="64" t="str">
        <f>IFERROR(VLOOKUP(T78,LK_OrgMaster!$B$4:$H$89,5,FALSE()),"Administration")</f>
        <v>Administration</v>
      </c>
      <c r="AA78" s="65" t="str">
        <f>IFERROR(VLOOKUP(X78,LK_LocationMaster!$D$4:$G$157,4,FALSE()),"No")</f>
        <v>No</v>
      </c>
      <c r="AB78" s="65" t="str">
        <f t="shared" si="6"/>
        <v>No</v>
      </c>
      <c r="AC78" s="65" t="str">
        <f>IFERROR(VLOOKUP(X78,LK_LocationMaster!$D$4:$H$157,5,FALSE()),"No")</f>
        <v>No</v>
      </c>
      <c r="AD78" s="59" t="s">
        <v>1630</v>
      </c>
      <c r="AE78" s="59" t="s">
        <v>765</v>
      </c>
      <c r="AF78" s="59" t="s">
        <v>915</v>
      </c>
      <c r="AG78" s="59" t="s">
        <v>312</v>
      </c>
      <c r="AH78" s="59" t="s">
        <v>1631</v>
      </c>
      <c r="AI78" s="59" t="s">
        <v>285</v>
      </c>
      <c r="AJ78" s="59" t="s">
        <v>788</v>
      </c>
      <c r="AK78" s="59" t="s">
        <v>1221</v>
      </c>
      <c r="AL78" s="64" t="str">
        <f>IFERROR(INDEX(LK_BankMaster!$D$4:$D$23,MATCH(AJ78&amp;"|"&amp;AK78,LK_BankMaster!$H$4:$H$23,0)),"")</f>
        <v/>
      </c>
      <c r="AM78" s="59" t="s">
        <v>1632</v>
      </c>
      <c r="AN78" s="64" t="str">
        <f>IFERROR(VLOOKUP(AJ78,LK_BankMaster!$A$4:$E$23,5,FALSE()),"")</f>
        <v/>
      </c>
      <c r="AO78" s="59" t="s">
        <v>291</v>
      </c>
      <c r="AP78" s="66">
        <v>0</v>
      </c>
      <c r="AQ78" s="64" t="str">
        <f t="shared" si="7"/>
        <v>Position Allowance - General Staff</v>
      </c>
      <c r="AR78" s="65" t="str">
        <f>IFERROR(VLOOKUP(T78,LK_OrgMaster!$B$4:$G$89,6,FALSE()),"No")</f>
        <v>No</v>
      </c>
      <c r="AS78" s="64" t="str">
        <f>IFERROR(VLOOKUP(T78,LK_OrgMaster!$B$4:$H$89,7,FALSE()),"None")</f>
        <v>None</v>
      </c>
      <c r="AT78" s="67">
        <v>45559</v>
      </c>
      <c r="AU78" s="67"/>
      <c r="AV78" s="67">
        <v>45559</v>
      </c>
      <c r="AW78" s="67">
        <v>46023</v>
      </c>
      <c r="AX78" s="68" t="s">
        <v>750</v>
      </c>
      <c r="AY78" s="69" t="s">
        <v>6260</v>
      </c>
    </row>
    <row r="79" spans="1:51" ht="15" customHeight="1" x14ac:dyDescent="0.3">
      <c r="A79" s="59" t="s">
        <v>1633</v>
      </c>
      <c r="B79" s="59" t="s">
        <v>729</v>
      </c>
      <c r="C79" s="59" t="s">
        <v>1634</v>
      </c>
      <c r="D79" s="59" t="s">
        <v>1256</v>
      </c>
      <c r="E79" s="59" t="s">
        <v>732</v>
      </c>
      <c r="F79" s="60">
        <v>31464</v>
      </c>
      <c r="G79" s="59" t="s">
        <v>1635</v>
      </c>
      <c r="H79" s="59" t="s">
        <v>1636</v>
      </c>
      <c r="I79" s="60">
        <v>40685</v>
      </c>
      <c r="J79" s="61">
        <f t="shared" ca="1" si="4"/>
        <v>14</v>
      </c>
      <c r="K79" s="62">
        <f t="shared" si="5"/>
        <v>53379</v>
      </c>
      <c r="L79" s="59" t="s">
        <v>735</v>
      </c>
      <c r="M79" s="59" t="s">
        <v>757</v>
      </c>
      <c r="N79" s="59" t="s">
        <v>758</v>
      </c>
      <c r="O79" s="63">
        <v>0</v>
      </c>
      <c r="P79" s="61">
        <f>IFERROR(SUMPRODUCT((LK_GradeDerivation!$A$4:$A$135=N79)*(IF(O79="",0,O79)&gt;=LK_GradeDerivation!$B$4:$B$135)*(IF(O79="",0,O79)&lt;=LK_GradeDerivation!$C$4:$C$135)*LK_GradeDerivation!$D$4:$D$135),1)</f>
        <v>5</v>
      </c>
      <c r="Q79" s="61">
        <f>IFERROR(SUMPRODUCT((LK_GradeDerivation!$A$4:$A$135=N79)*(IF(O79="",0,O79)&gt;=LK_GradeDerivation!$B$4:$B$135)*(IF(O79="",0,O79)&lt;=LK_GradeDerivation!$C$4:$C$135)*LK_GradeDerivation!$E$4:$E$135),1)</f>
        <v>1</v>
      </c>
      <c r="R79" s="59" t="s">
        <v>1637</v>
      </c>
      <c r="S79" s="59" t="s">
        <v>1638</v>
      </c>
      <c r="T79" s="59" t="s">
        <v>896</v>
      </c>
      <c r="U79" s="59" t="s">
        <v>1639</v>
      </c>
      <c r="V79" s="59" t="s">
        <v>1640</v>
      </c>
      <c r="W79" s="59" t="s">
        <v>285</v>
      </c>
      <c r="X79" s="59" t="s">
        <v>288</v>
      </c>
      <c r="Y79" s="59" t="s">
        <v>290</v>
      </c>
      <c r="Z79" s="64" t="str">
        <f>IFERROR(VLOOKUP(T79,LK_OrgMaster!$B$4:$H$89,5,FALSE()),"Administration")</f>
        <v>Administration</v>
      </c>
      <c r="AA79" s="65" t="str">
        <f>IFERROR(VLOOKUP(X79,LK_LocationMaster!$D$4:$G$157,4,FALSE()),"No")</f>
        <v>No</v>
      </c>
      <c r="AB79" s="65" t="str">
        <f t="shared" si="6"/>
        <v>No</v>
      </c>
      <c r="AC79" s="65" t="str">
        <f>IFERROR(VLOOKUP(X79,LK_LocationMaster!$D$4:$H$157,5,FALSE()),"No")</f>
        <v>No</v>
      </c>
      <c r="AD79" s="59" t="s">
        <v>1641</v>
      </c>
      <c r="AE79" s="59" t="s">
        <v>930</v>
      </c>
      <c r="AF79" s="59" t="s">
        <v>801</v>
      </c>
      <c r="AG79" s="59" t="s">
        <v>288</v>
      </c>
      <c r="AH79" s="59" t="s">
        <v>1642</v>
      </c>
      <c r="AI79" s="59" t="s">
        <v>285</v>
      </c>
      <c r="AJ79" s="59" t="s">
        <v>788</v>
      </c>
      <c r="AK79" s="59" t="s">
        <v>1221</v>
      </c>
      <c r="AL79" s="64" t="str">
        <f>IFERROR(INDEX(LK_BankMaster!$D$4:$D$23,MATCH(AJ79&amp;"|"&amp;AK79,LK_BankMaster!$H$4:$H$23,0)),"")</f>
        <v/>
      </c>
      <c r="AM79" s="59" t="s">
        <v>1643</v>
      </c>
      <c r="AN79" s="64" t="str">
        <f>IFERROR(VLOOKUP(AJ79,LK_BankMaster!$A$4:$E$23,5,FALSE()),"")</f>
        <v/>
      </c>
      <c r="AO79" s="59" t="s">
        <v>314</v>
      </c>
      <c r="AP79" s="66">
        <v>3</v>
      </c>
      <c r="AQ79" s="64" t="str">
        <f t="shared" si="7"/>
        <v>Position Allowance - General Staff</v>
      </c>
      <c r="AR79" s="65" t="str">
        <f>IFERROR(VLOOKUP(T79,LK_OrgMaster!$B$4:$G$89,6,FALSE()),"No")</f>
        <v>No</v>
      </c>
      <c r="AS79" s="64" t="str">
        <f>IFERROR(VLOOKUP(T79,LK_OrgMaster!$B$4:$H$89,7,FALSE()),"None")</f>
        <v>None</v>
      </c>
      <c r="AT79" s="70">
        <v>40685</v>
      </c>
      <c r="AU79" s="70"/>
      <c r="AV79" s="70">
        <v>40685</v>
      </c>
      <c r="AW79" s="70">
        <v>46023</v>
      </c>
      <c r="AX79" s="71" t="s">
        <v>750</v>
      </c>
      <c r="AY79" s="72" t="s">
        <v>6260</v>
      </c>
    </row>
    <row r="80" spans="1:51" ht="15" customHeight="1" x14ac:dyDescent="0.3">
      <c r="A80" s="59" t="s">
        <v>1644</v>
      </c>
      <c r="B80" s="59" t="s">
        <v>772</v>
      </c>
      <c r="C80" s="59" t="s">
        <v>1582</v>
      </c>
      <c r="D80" s="59" t="s">
        <v>1592</v>
      </c>
      <c r="E80" s="59" t="s">
        <v>775</v>
      </c>
      <c r="F80" s="60">
        <v>35736</v>
      </c>
      <c r="G80" s="59" t="s">
        <v>1645</v>
      </c>
      <c r="H80" s="59" t="s">
        <v>1646</v>
      </c>
      <c r="I80" s="60">
        <v>39710</v>
      </c>
      <c r="J80" s="61">
        <f t="shared" ca="1" si="4"/>
        <v>17</v>
      </c>
      <c r="K80" s="62">
        <f t="shared" si="5"/>
        <v>57651</v>
      </c>
      <c r="L80" s="59" t="s">
        <v>735</v>
      </c>
      <c r="M80" s="59" t="s">
        <v>910</v>
      </c>
      <c r="N80" s="59" t="s">
        <v>737</v>
      </c>
      <c r="O80" s="63">
        <v>0</v>
      </c>
      <c r="P80" s="61">
        <f>IFERROR(SUMPRODUCT((LK_GradeDerivation!$A$4:$A$135=N80)*(IF(O80="",0,O80)&gt;=LK_GradeDerivation!$B$4:$B$135)*(IF(O80="",0,O80)&lt;=LK_GradeDerivation!$C$4:$C$135)*LK_GradeDerivation!$D$4:$D$135),1)</f>
        <v>4</v>
      </c>
      <c r="Q80" s="61">
        <f>IFERROR(SUMPRODUCT((LK_GradeDerivation!$A$4:$A$135=N80)*(IF(O80="",0,O80)&gt;=LK_GradeDerivation!$B$4:$B$135)*(IF(O80="",0,O80)&lt;=LK_GradeDerivation!$C$4:$C$135)*LK_GradeDerivation!$E$4:$E$135),1)</f>
        <v>1</v>
      </c>
      <c r="R80" s="59" t="s">
        <v>1647</v>
      </c>
      <c r="S80" s="59" t="s">
        <v>1648</v>
      </c>
      <c r="T80" s="59" t="s">
        <v>1305</v>
      </c>
      <c r="U80" s="59" t="s">
        <v>1486</v>
      </c>
      <c r="V80" s="59" t="s">
        <v>1649</v>
      </c>
      <c r="W80" s="59" t="s">
        <v>285</v>
      </c>
      <c r="X80" s="59" t="s">
        <v>463</v>
      </c>
      <c r="Y80" s="59" t="s">
        <v>465</v>
      </c>
      <c r="Z80" s="64" t="str">
        <f>IFERROR(VLOOKUP(T80,LK_OrgMaster!$B$4:$H$89,5,FALSE()),"Administration")</f>
        <v>Administration</v>
      </c>
      <c r="AA80" s="65" t="str">
        <f>IFERROR(VLOOKUP(X80,LK_LocationMaster!$D$4:$G$157,4,FALSE()),"No")</f>
        <v>No</v>
      </c>
      <c r="AB80" s="65" t="str">
        <f t="shared" si="6"/>
        <v>No</v>
      </c>
      <c r="AC80" s="65" t="str">
        <f>IFERROR(VLOOKUP(X80,LK_LocationMaster!$D$4:$H$157,5,FALSE()),"No")</f>
        <v>No</v>
      </c>
      <c r="AD80" s="59" t="s">
        <v>1650</v>
      </c>
      <c r="AE80" s="59" t="s">
        <v>765</v>
      </c>
      <c r="AF80" s="59" t="s">
        <v>969</v>
      </c>
      <c r="AG80" s="59" t="s">
        <v>356</v>
      </c>
      <c r="AH80" s="59" t="s">
        <v>1651</v>
      </c>
      <c r="AI80" s="59" t="s">
        <v>285</v>
      </c>
      <c r="AJ80" s="59" t="s">
        <v>833</v>
      </c>
      <c r="AK80" s="59" t="s">
        <v>917</v>
      </c>
      <c r="AL80" s="64" t="str">
        <f>IFERROR(INDEX(LK_BankMaster!$D$4:$D$23,MATCH(AJ80&amp;"|"&amp;AK80,LK_BankMaster!$H$4:$H$23,0)),"")</f>
        <v/>
      </c>
      <c r="AM80" s="59" t="s">
        <v>1652</v>
      </c>
      <c r="AN80" s="64" t="str">
        <f>IFERROR(VLOOKUP(AJ80,LK_BankMaster!$A$4:$E$23,5,FALSE()),"")</f>
        <v/>
      </c>
      <c r="AO80" s="59" t="s">
        <v>291</v>
      </c>
      <c r="AP80" s="66">
        <v>0</v>
      </c>
      <c r="AQ80" s="64" t="str">
        <f t="shared" si="7"/>
        <v>Position Allowance - Division Chief</v>
      </c>
      <c r="AR80" s="65" t="str">
        <f>IFERROR(VLOOKUP(T80,LK_OrgMaster!$B$4:$G$89,6,FALSE()),"No")</f>
        <v>No</v>
      </c>
      <c r="AS80" s="64" t="str">
        <f>IFERROR(VLOOKUP(T80,LK_OrgMaster!$B$4:$H$89,7,FALSE()),"None")</f>
        <v>None</v>
      </c>
      <c r="AT80" s="67">
        <v>39710</v>
      </c>
      <c r="AU80" s="67"/>
      <c r="AV80" s="67">
        <v>39710</v>
      </c>
      <c r="AW80" s="67">
        <v>46023</v>
      </c>
      <c r="AX80" s="68" t="s">
        <v>750</v>
      </c>
      <c r="AY80" s="69" t="s">
        <v>6260</v>
      </c>
    </row>
    <row r="81" spans="1:51" ht="15" customHeight="1" x14ac:dyDescent="0.3">
      <c r="A81" s="59" t="s">
        <v>1653</v>
      </c>
      <c r="B81" s="59" t="s">
        <v>851</v>
      </c>
      <c r="C81" s="59" t="s">
        <v>1149</v>
      </c>
      <c r="D81" s="59" t="s">
        <v>731</v>
      </c>
      <c r="E81" s="59" t="s">
        <v>775</v>
      </c>
      <c r="F81" s="60">
        <v>35837</v>
      </c>
      <c r="G81" s="59" t="s">
        <v>1654</v>
      </c>
      <c r="H81" s="59" t="s">
        <v>1655</v>
      </c>
      <c r="I81" s="60">
        <v>43654</v>
      </c>
      <c r="J81" s="61">
        <f t="shared" ca="1" si="4"/>
        <v>6</v>
      </c>
      <c r="K81" s="62">
        <f t="shared" si="5"/>
        <v>57752</v>
      </c>
      <c r="L81" s="59" t="s">
        <v>735</v>
      </c>
      <c r="M81" s="59" t="s">
        <v>879</v>
      </c>
      <c r="N81" s="59" t="s">
        <v>758</v>
      </c>
      <c r="O81" s="63">
        <v>0</v>
      </c>
      <c r="P81" s="61">
        <f>IFERROR(SUMPRODUCT((LK_GradeDerivation!$A$4:$A$135=N81)*(IF(O81="",0,O81)&gt;=LK_GradeDerivation!$B$4:$B$135)*(IF(O81="",0,O81)&lt;=LK_GradeDerivation!$C$4:$C$135)*LK_GradeDerivation!$D$4:$D$135),1)</f>
        <v>5</v>
      </c>
      <c r="Q81" s="61">
        <f>IFERROR(SUMPRODUCT((LK_GradeDerivation!$A$4:$A$135=N81)*(IF(O81="",0,O81)&gt;=LK_GradeDerivation!$B$4:$B$135)*(IF(O81="",0,O81)&lt;=LK_GradeDerivation!$C$4:$C$135)*LK_GradeDerivation!$E$4:$E$135),1)</f>
        <v>1</v>
      </c>
      <c r="R81" s="59" t="s">
        <v>1656</v>
      </c>
      <c r="S81" s="59" t="s">
        <v>1657</v>
      </c>
      <c r="T81" s="59" t="s">
        <v>882</v>
      </c>
      <c r="U81" s="59" t="s">
        <v>1658</v>
      </c>
      <c r="V81" s="59" t="s">
        <v>763</v>
      </c>
      <c r="W81" s="59" t="s">
        <v>285</v>
      </c>
      <c r="X81" s="59" t="s">
        <v>500</v>
      </c>
      <c r="Y81" s="59" t="s">
        <v>525</v>
      </c>
      <c r="Z81" s="64" t="str">
        <f>IFERROR(VLOOKUP(T81,LK_OrgMaster!$B$4:$H$89,5,FALSE()),"Administration")</f>
        <v>Legal</v>
      </c>
      <c r="AA81" s="65" t="str">
        <f>IFERROR(VLOOKUP(X81,LK_LocationMaster!$D$4:$G$157,4,FALSE()),"No")</f>
        <v>No</v>
      </c>
      <c r="AB81" s="65" t="str">
        <f t="shared" si="6"/>
        <v>No</v>
      </c>
      <c r="AC81" s="65" t="str">
        <f>IFERROR(VLOOKUP(X81,LK_LocationMaster!$D$4:$H$157,5,FALSE()),"No")</f>
        <v>Yes</v>
      </c>
      <c r="AD81" s="59" t="s">
        <v>1659</v>
      </c>
      <c r="AE81" s="59" t="s">
        <v>800</v>
      </c>
      <c r="AF81" s="59" t="s">
        <v>786</v>
      </c>
      <c r="AG81" s="59" t="s">
        <v>368</v>
      </c>
      <c r="AH81" s="59" t="s">
        <v>1660</v>
      </c>
      <c r="AI81" s="59" t="s">
        <v>285</v>
      </c>
      <c r="AJ81" s="59" t="s">
        <v>768</v>
      </c>
      <c r="AK81" s="59" t="s">
        <v>1589</v>
      </c>
      <c r="AL81" s="64" t="str">
        <f>IFERROR(INDEX(LK_BankMaster!$D$4:$D$23,MATCH(AJ81&amp;"|"&amp;AK81,LK_BankMaster!$H$4:$H$23,0)),"")</f>
        <v/>
      </c>
      <c r="AM81" s="59" t="s">
        <v>1661</v>
      </c>
      <c r="AN81" s="64" t="str">
        <f>IFERROR(VLOOKUP(AJ81,LK_BankMaster!$A$4:$E$23,5,FALSE()),"")</f>
        <v/>
      </c>
      <c r="AO81" s="59" t="s">
        <v>314</v>
      </c>
      <c r="AP81" s="66">
        <v>3</v>
      </c>
      <c r="AQ81" s="64" t="str">
        <f t="shared" si="7"/>
        <v>Position Allowance - General Staff</v>
      </c>
      <c r="AR81" s="65" t="str">
        <f>IFERROR(VLOOKUP(T81,LK_OrgMaster!$B$4:$G$89,6,FALSE()),"No")</f>
        <v>No</v>
      </c>
      <c r="AS81" s="64" t="str">
        <f>IFERROR(VLOOKUP(T81,LK_OrgMaster!$B$4:$H$89,7,FALSE()),"None")</f>
        <v>None</v>
      </c>
      <c r="AT81" s="70">
        <v>43654</v>
      </c>
      <c r="AU81" s="70"/>
      <c r="AV81" s="70">
        <v>43654</v>
      </c>
      <c r="AW81" s="70">
        <v>46023</v>
      </c>
      <c r="AX81" s="71" t="s">
        <v>750</v>
      </c>
      <c r="AY81" s="72" t="s">
        <v>6260</v>
      </c>
    </row>
    <row r="82" spans="1:51" ht="15" customHeight="1" x14ac:dyDescent="0.3">
      <c r="A82" s="59" t="s">
        <v>1662</v>
      </c>
      <c r="B82" s="59" t="s">
        <v>851</v>
      </c>
      <c r="C82" s="59" t="s">
        <v>920</v>
      </c>
      <c r="D82" s="59" t="s">
        <v>1663</v>
      </c>
      <c r="E82" s="59" t="s">
        <v>775</v>
      </c>
      <c r="F82" s="60">
        <v>28288</v>
      </c>
      <c r="G82" s="59" t="s">
        <v>1664</v>
      </c>
      <c r="H82" s="59" t="s">
        <v>1665</v>
      </c>
      <c r="I82" s="60">
        <v>42717</v>
      </c>
      <c r="J82" s="61">
        <f t="shared" ca="1" si="4"/>
        <v>9</v>
      </c>
      <c r="K82" s="62">
        <f t="shared" si="5"/>
        <v>50203</v>
      </c>
      <c r="L82" s="59" t="s">
        <v>735</v>
      </c>
      <c r="M82" s="59" t="s">
        <v>1104</v>
      </c>
      <c r="N82" s="59" t="s">
        <v>779</v>
      </c>
      <c r="O82" s="63">
        <v>21</v>
      </c>
      <c r="P82" s="61">
        <f>IFERROR(SUMPRODUCT((LK_GradeDerivation!$A$4:$A$135=N82)*(IF(O82="",0,O82)&gt;=LK_GradeDerivation!$B$4:$B$135)*(IF(O82="",0,O82)&lt;=LK_GradeDerivation!$C$4:$C$135)*LK_GradeDerivation!$D$4:$D$135),1)</f>
        <v>2</v>
      </c>
      <c r="Q82" s="61">
        <f>IFERROR(SUMPRODUCT((LK_GradeDerivation!$A$4:$A$135=N82)*(IF(O82="",0,O82)&gt;=LK_GradeDerivation!$B$4:$B$135)*(IF(O82="",0,O82)&lt;=LK_GradeDerivation!$C$4:$C$135)*LK_GradeDerivation!$E$4:$E$135),1)</f>
        <v>11</v>
      </c>
      <c r="R82" s="59" t="s">
        <v>1666</v>
      </c>
      <c r="S82" s="59" t="s">
        <v>1667</v>
      </c>
      <c r="T82" s="59" t="s">
        <v>859</v>
      </c>
      <c r="U82" s="59" t="s">
        <v>860</v>
      </c>
      <c r="V82" s="59" t="s">
        <v>1668</v>
      </c>
      <c r="W82" s="59" t="s">
        <v>285</v>
      </c>
      <c r="X82" s="59" t="s">
        <v>312</v>
      </c>
      <c r="Y82" s="59" t="s">
        <v>319</v>
      </c>
      <c r="Z82" s="64" t="str">
        <f>IFERROR(VLOOKUP(T82,LK_OrgMaster!$B$4:$H$89,5,FALSE()),"Administration")</f>
        <v>Technical</v>
      </c>
      <c r="AA82" s="65" t="str">
        <f>IFERROR(VLOOKUP(X82,LK_LocationMaster!$D$4:$G$157,4,FALSE()),"No")</f>
        <v>Yes</v>
      </c>
      <c r="AB82" s="65" t="str">
        <f t="shared" si="6"/>
        <v>No</v>
      </c>
      <c r="AC82" s="65" t="str">
        <f>IFERROR(VLOOKUP(X82,LK_LocationMaster!$D$4:$H$157,5,FALSE()),"No")</f>
        <v>No</v>
      </c>
      <c r="AD82" s="59" t="s">
        <v>1669</v>
      </c>
      <c r="AE82" s="59" t="s">
        <v>900</v>
      </c>
      <c r="AF82" s="59" t="s">
        <v>766</v>
      </c>
      <c r="AG82" s="59" t="s">
        <v>391</v>
      </c>
      <c r="AH82" s="59" t="s">
        <v>1670</v>
      </c>
      <c r="AI82" s="59" t="s">
        <v>285</v>
      </c>
      <c r="AJ82" s="59" t="s">
        <v>818</v>
      </c>
      <c r="AK82" s="59" t="s">
        <v>944</v>
      </c>
      <c r="AL82" s="64" t="str">
        <f>IFERROR(INDEX(LK_BankMaster!$D$4:$D$23,MATCH(AJ82&amp;"|"&amp;AK82,LK_BankMaster!$H$4:$H$23,0)),"")</f>
        <v/>
      </c>
      <c r="AM82" s="59" t="s">
        <v>1671</v>
      </c>
      <c r="AN82" s="64" t="str">
        <f>IFERROR(VLOOKUP(AJ82,LK_BankMaster!$A$4:$E$23,5,FALSE()),"")</f>
        <v/>
      </c>
      <c r="AO82" s="59" t="s">
        <v>314</v>
      </c>
      <c r="AP82" s="66">
        <v>1</v>
      </c>
      <c r="AQ82" s="64" t="str">
        <f t="shared" si="7"/>
        <v>Position Allowance - General Staff</v>
      </c>
      <c r="AR82" s="65" t="str">
        <f>IFERROR(VLOOKUP(T82,LK_OrgMaster!$B$4:$G$89,6,FALSE()),"No")</f>
        <v>No</v>
      </c>
      <c r="AS82" s="64" t="str">
        <f>IFERROR(VLOOKUP(T82,LK_OrgMaster!$B$4:$H$89,7,FALSE()),"None")</f>
        <v>None</v>
      </c>
      <c r="AT82" s="67">
        <v>42717</v>
      </c>
      <c r="AU82" s="67"/>
      <c r="AV82" s="67">
        <v>42717</v>
      </c>
      <c r="AW82" s="67">
        <v>46023</v>
      </c>
      <c r="AX82" s="68" t="s">
        <v>750</v>
      </c>
      <c r="AY82" s="69" t="s">
        <v>6260</v>
      </c>
    </row>
    <row r="83" spans="1:51" ht="15" customHeight="1" x14ac:dyDescent="0.3">
      <c r="A83" s="59" t="s">
        <v>1672</v>
      </c>
      <c r="B83" s="59" t="s">
        <v>851</v>
      </c>
      <c r="C83" s="59" t="s">
        <v>1673</v>
      </c>
      <c r="D83" s="59" t="s">
        <v>1674</v>
      </c>
      <c r="E83" s="59" t="s">
        <v>775</v>
      </c>
      <c r="F83" s="60">
        <v>36946</v>
      </c>
      <c r="G83" s="59" t="s">
        <v>1675</v>
      </c>
      <c r="H83" s="59" t="s">
        <v>1676</v>
      </c>
      <c r="I83" s="60">
        <v>39276</v>
      </c>
      <c r="J83" s="61">
        <f t="shared" ca="1" si="4"/>
        <v>18</v>
      </c>
      <c r="K83" s="62">
        <f t="shared" si="5"/>
        <v>58861</v>
      </c>
      <c r="L83" s="59" t="s">
        <v>735</v>
      </c>
      <c r="M83" s="59" t="s">
        <v>1259</v>
      </c>
      <c r="N83" s="59" t="s">
        <v>1081</v>
      </c>
      <c r="O83" s="63">
        <v>0</v>
      </c>
      <c r="P83" s="61">
        <f>IFERROR(SUMPRODUCT((LK_GradeDerivation!$A$4:$A$135=N83)*(IF(O83="",0,O83)&gt;=LK_GradeDerivation!$B$4:$B$135)*(IF(O83="",0,O83)&lt;=LK_GradeDerivation!$C$4:$C$135)*LK_GradeDerivation!$D$4:$D$135),1)</f>
        <v>3</v>
      </c>
      <c r="Q83" s="61">
        <f>IFERROR(SUMPRODUCT((LK_GradeDerivation!$A$4:$A$135=N83)*(IF(O83="",0,O83)&gt;=LK_GradeDerivation!$B$4:$B$135)*(IF(O83="",0,O83)&lt;=LK_GradeDerivation!$C$4:$C$135)*LK_GradeDerivation!$E$4:$E$135),1)</f>
        <v>1</v>
      </c>
      <c r="R83" s="59" t="s">
        <v>1677</v>
      </c>
      <c r="S83" s="59" t="s">
        <v>1678</v>
      </c>
      <c r="T83" s="59" t="s">
        <v>740</v>
      </c>
      <c r="U83" s="59" t="s">
        <v>741</v>
      </c>
      <c r="V83" s="59" t="s">
        <v>742</v>
      </c>
      <c r="W83" s="59" t="s">
        <v>285</v>
      </c>
      <c r="X83" s="59" t="s">
        <v>408</v>
      </c>
      <c r="Y83" s="59" t="s">
        <v>427</v>
      </c>
      <c r="Z83" s="64" t="str">
        <f>IFERROR(VLOOKUP(T83,LK_OrgMaster!$B$4:$H$89,5,FALSE()),"Administration")</f>
        <v>Teacher</v>
      </c>
      <c r="AA83" s="65" t="str">
        <f>IFERROR(VLOOKUP(X83,LK_LocationMaster!$D$4:$G$157,4,FALSE()),"No")</f>
        <v>Yes</v>
      </c>
      <c r="AB83" s="65" t="str">
        <f t="shared" si="6"/>
        <v>No</v>
      </c>
      <c r="AC83" s="65" t="str">
        <f>IFERROR(VLOOKUP(X83,LK_LocationMaster!$D$4:$H$157,5,FALSE()),"No")</f>
        <v>No</v>
      </c>
      <c r="AD83" s="59" t="s">
        <v>1679</v>
      </c>
      <c r="AE83" s="59" t="s">
        <v>930</v>
      </c>
      <c r="AF83" s="59" t="s">
        <v>786</v>
      </c>
      <c r="AG83" s="59" t="s">
        <v>356</v>
      </c>
      <c r="AH83" s="59" t="s">
        <v>1680</v>
      </c>
      <c r="AI83" s="59" t="s">
        <v>285</v>
      </c>
      <c r="AJ83" s="59" t="s">
        <v>747</v>
      </c>
      <c r="AK83" s="59" t="s">
        <v>748</v>
      </c>
      <c r="AL83" s="64" t="str">
        <f>IFERROR(INDEX(LK_BankMaster!$D$4:$D$23,MATCH(AJ83&amp;"|"&amp;AK83,LK_BankMaster!$H$4:$H$23,0)),"")</f>
        <v/>
      </c>
      <c r="AM83" s="59" t="s">
        <v>1681</v>
      </c>
      <c r="AN83" s="64" t="str">
        <f>IFERROR(VLOOKUP(AJ83,LK_BankMaster!$A$4:$E$23,5,FALSE()),"")</f>
        <v/>
      </c>
      <c r="AO83" s="59" t="s">
        <v>314</v>
      </c>
      <c r="AP83" s="66">
        <v>1</v>
      </c>
      <c r="AQ83" s="64" t="str">
        <f t="shared" si="7"/>
        <v>Position Allowance - General Staff</v>
      </c>
      <c r="AR83" s="65" t="str">
        <f>IFERROR(VLOOKUP(T83,LK_OrgMaster!$B$4:$G$89,6,FALSE()),"No")</f>
        <v>No</v>
      </c>
      <c r="AS83" s="64" t="str">
        <f>IFERROR(VLOOKUP(T83,LK_OrgMaster!$B$4:$H$89,7,FALSE()),"None")</f>
        <v>Teaching</v>
      </c>
      <c r="AT83" s="70">
        <v>39276</v>
      </c>
      <c r="AU83" s="70"/>
      <c r="AV83" s="70">
        <v>39276</v>
      </c>
      <c r="AW83" s="70">
        <v>46023</v>
      </c>
      <c r="AX83" s="71" t="s">
        <v>750</v>
      </c>
      <c r="AY83" s="72" t="s">
        <v>6260</v>
      </c>
    </row>
    <row r="84" spans="1:51" ht="15" customHeight="1" x14ac:dyDescent="0.3">
      <c r="A84" s="59" t="s">
        <v>1682</v>
      </c>
      <c r="B84" s="59" t="s">
        <v>729</v>
      </c>
      <c r="C84" s="59" t="s">
        <v>822</v>
      </c>
      <c r="D84" s="59" t="s">
        <v>1663</v>
      </c>
      <c r="E84" s="59" t="s">
        <v>732</v>
      </c>
      <c r="F84" s="60">
        <v>25637</v>
      </c>
      <c r="G84" s="59" t="s">
        <v>1683</v>
      </c>
      <c r="H84" s="59" t="s">
        <v>1684</v>
      </c>
      <c r="I84" s="60">
        <v>41490</v>
      </c>
      <c r="J84" s="61">
        <f t="shared" ca="1" si="4"/>
        <v>12</v>
      </c>
      <c r="K84" s="62">
        <f t="shared" si="5"/>
        <v>47552</v>
      </c>
      <c r="L84" s="59" t="s">
        <v>735</v>
      </c>
      <c r="M84" s="59" t="s">
        <v>1080</v>
      </c>
      <c r="N84" s="59" t="s">
        <v>779</v>
      </c>
      <c r="O84" s="63">
        <v>25</v>
      </c>
      <c r="P84" s="61">
        <f>IFERROR(SUMPRODUCT((LK_GradeDerivation!$A$4:$A$135=N84)*(IF(O84="",0,O84)&gt;=LK_GradeDerivation!$B$4:$B$135)*(IF(O84="",0,O84)&lt;=LK_GradeDerivation!$C$4:$C$135)*LK_GradeDerivation!$D$4:$D$135),1)</f>
        <v>2</v>
      </c>
      <c r="Q84" s="61">
        <f>IFERROR(SUMPRODUCT((LK_GradeDerivation!$A$4:$A$135=N84)*(IF(O84="",0,O84)&gt;=LK_GradeDerivation!$B$4:$B$135)*(IF(O84="",0,O84)&lt;=LK_GradeDerivation!$C$4:$C$135)*LK_GradeDerivation!$E$4:$E$135),1)</f>
        <v>13</v>
      </c>
      <c r="R84" s="59" t="s">
        <v>1685</v>
      </c>
      <c r="S84" s="59" t="s">
        <v>1686</v>
      </c>
      <c r="T84" s="59" t="s">
        <v>1084</v>
      </c>
      <c r="U84" s="59" t="s">
        <v>1687</v>
      </c>
      <c r="V84" s="59" t="s">
        <v>763</v>
      </c>
      <c r="W84" s="59" t="s">
        <v>285</v>
      </c>
      <c r="X84" s="59" t="s">
        <v>544</v>
      </c>
      <c r="Y84" s="59" t="s">
        <v>550</v>
      </c>
      <c r="Z84" s="64" t="str">
        <f>IFERROR(VLOOKUP(T84,LK_OrgMaster!$B$4:$H$89,5,FALSE()),"Administration")</f>
        <v>Finance</v>
      </c>
      <c r="AA84" s="65" t="str">
        <f>IFERROR(VLOOKUP(X84,LK_LocationMaster!$D$4:$G$157,4,FALSE()),"No")</f>
        <v>Yes</v>
      </c>
      <c r="AB84" s="65" t="str">
        <f t="shared" si="6"/>
        <v>No</v>
      </c>
      <c r="AC84" s="65" t="str">
        <f>IFERROR(VLOOKUP(X84,LK_LocationMaster!$D$4:$H$157,5,FALSE()),"No")</f>
        <v>Yes</v>
      </c>
      <c r="AD84" s="59" t="s">
        <v>1688</v>
      </c>
      <c r="AE84" s="59" t="s">
        <v>1689</v>
      </c>
      <c r="AF84" s="59" t="s">
        <v>786</v>
      </c>
      <c r="AG84" s="59" t="s">
        <v>391</v>
      </c>
      <c r="AH84" s="59" t="s">
        <v>1690</v>
      </c>
      <c r="AI84" s="59" t="s">
        <v>285</v>
      </c>
      <c r="AJ84" s="59" t="s">
        <v>747</v>
      </c>
      <c r="AK84" s="59" t="s">
        <v>748</v>
      </c>
      <c r="AL84" s="64" t="str">
        <f>IFERROR(INDEX(LK_BankMaster!$D$4:$D$23,MATCH(AJ84&amp;"|"&amp;AK84,LK_BankMaster!$H$4:$H$23,0)),"")</f>
        <v/>
      </c>
      <c r="AM84" s="59" t="s">
        <v>1691</v>
      </c>
      <c r="AN84" s="64" t="str">
        <f>IFERROR(VLOOKUP(AJ84,LK_BankMaster!$A$4:$E$23,5,FALSE()),"")</f>
        <v/>
      </c>
      <c r="AO84" s="59" t="s">
        <v>291</v>
      </c>
      <c r="AP84" s="66">
        <v>0</v>
      </c>
      <c r="AQ84" s="64" t="str">
        <f t="shared" si="7"/>
        <v>Position Allowance - General Staff</v>
      </c>
      <c r="AR84" s="65" t="str">
        <f>IFERROR(VLOOKUP(T84,LK_OrgMaster!$B$4:$G$89,6,FALSE()),"No")</f>
        <v>No</v>
      </c>
      <c r="AS84" s="64" t="str">
        <f>IFERROR(VLOOKUP(T84,LK_OrgMaster!$B$4:$H$89,7,FALSE()),"None")</f>
        <v>None</v>
      </c>
      <c r="AT84" s="67">
        <v>41490</v>
      </c>
      <c r="AU84" s="67"/>
      <c r="AV84" s="67">
        <v>41490</v>
      </c>
      <c r="AW84" s="67">
        <v>46023</v>
      </c>
      <c r="AX84" s="68" t="s">
        <v>750</v>
      </c>
      <c r="AY84" s="69" t="s">
        <v>6260</v>
      </c>
    </row>
    <row r="85" spans="1:51" ht="15" customHeight="1" x14ac:dyDescent="0.3">
      <c r="A85" s="59" t="s">
        <v>1692</v>
      </c>
      <c r="B85" s="59" t="s">
        <v>729</v>
      </c>
      <c r="C85" s="59" t="s">
        <v>988</v>
      </c>
      <c r="D85" s="59" t="s">
        <v>947</v>
      </c>
      <c r="E85" s="59" t="s">
        <v>732</v>
      </c>
      <c r="F85" s="60">
        <v>25758</v>
      </c>
      <c r="G85" s="59" t="s">
        <v>1693</v>
      </c>
      <c r="H85" s="59" t="s">
        <v>1694</v>
      </c>
      <c r="I85" s="60">
        <v>32609</v>
      </c>
      <c r="J85" s="61">
        <f t="shared" ca="1" si="4"/>
        <v>36</v>
      </c>
      <c r="K85" s="62">
        <f t="shared" si="5"/>
        <v>47673</v>
      </c>
      <c r="L85" s="59" t="s">
        <v>735</v>
      </c>
      <c r="M85" s="59" t="s">
        <v>1695</v>
      </c>
      <c r="N85" s="59" t="s">
        <v>758</v>
      </c>
      <c r="O85" s="63">
        <v>0</v>
      </c>
      <c r="P85" s="61">
        <f>IFERROR(SUMPRODUCT((LK_GradeDerivation!$A$4:$A$135=N85)*(IF(O85="",0,O85)&gt;=LK_GradeDerivation!$B$4:$B$135)*(IF(O85="",0,O85)&lt;=LK_GradeDerivation!$C$4:$C$135)*LK_GradeDerivation!$D$4:$D$135),1)</f>
        <v>5</v>
      </c>
      <c r="Q85" s="61">
        <f>IFERROR(SUMPRODUCT((LK_GradeDerivation!$A$4:$A$135=N85)*(IF(O85="",0,O85)&gt;=LK_GradeDerivation!$B$4:$B$135)*(IF(O85="",0,O85)&lt;=LK_GradeDerivation!$C$4:$C$135)*LK_GradeDerivation!$E$4:$E$135),1)</f>
        <v>1</v>
      </c>
      <c r="R85" s="59" t="s">
        <v>1696</v>
      </c>
      <c r="S85" s="59" t="s">
        <v>1697</v>
      </c>
      <c r="T85" s="59" t="s">
        <v>1084</v>
      </c>
      <c r="U85" s="59" t="s">
        <v>1687</v>
      </c>
      <c r="V85" s="59" t="s">
        <v>1698</v>
      </c>
      <c r="W85" s="59" t="s">
        <v>285</v>
      </c>
      <c r="X85" s="59" t="s">
        <v>500</v>
      </c>
      <c r="Y85" s="59" t="s">
        <v>511</v>
      </c>
      <c r="Z85" s="64" t="str">
        <f>IFERROR(VLOOKUP(T85,LK_OrgMaster!$B$4:$H$89,5,FALSE()),"Administration")</f>
        <v>Finance</v>
      </c>
      <c r="AA85" s="65" t="str">
        <f>IFERROR(VLOOKUP(X85,LK_LocationMaster!$D$4:$G$157,4,FALSE()),"No")</f>
        <v>No</v>
      </c>
      <c r="AB85" s="65" t="str">
        <f t="shared" si="6"/>
        <v>No</v>
      </c>
      <c r="AC85" s="65" t="str">
        <f>IFERROR(VLOOKUP(X85,LK_LocationMaster!$D$4:$H$157,5,FALSE()),"No")</f>
        <v>Yes</v>
      </c>
      <c r="AD85" s="59" t="s">
        <v>1699</v>
      </c>
      <c r="AE85" s="59" t="s">
        <v>800</v>
      </c>
      <c r="AF85" s="59" t="s">
        <v>915</v>
      </c>
      <c r="AG85" s="59" t="s">
        <v>288</v>
      </c>
      <c r="AH85" s="59" t="s">
        <v>1700</v>
      </c>
      <c r="AI85" s="59" t="s">
        <v>285</v>
      </c>
      <c r="AJ85" s="59" t="s">
        <v>788</v>
      </c>
      <c r="AK85" s="59" t="s">
        <v>999</v>
      </c>
      <c r="AL85" s="64" t="str">
        <f>IFERROR(INDEX(LK_BankMaster!$D$4:$D$23,MATCH(AJ85&amp;"|"&amp;AK85,LK_BankMaster!$H$4:$H$23,0)),"")</f>
        <v/>
      </c>
      <c r="AM85" s="59" t="s">
        <v>1701</v>
      </c>
      <c r="AN85" s="64" t="str">
        <f>IFERROR(VLOOKUP(AJ85,LK_BankMaster!$A$4:$E$23,5,FALSE()),"")</f>
        <v/>
      </c>
      <c r="AO85" s="59" t="s">
        <v>291</v>
      </c>
      <c r="AP85" s="66">
        <v>0</v>
      </c>
      <c r="AQ85" s="64" t="str">
        <f t="shared" si="7"/>
        <v>Position Allowance - General Staff</v>
      </c>
      <c r="AR85" s="65" t="str">
        <f>IFERROR(VLOOKUP(T85,LK_OrgMaster!$B$4:$G$89,6,FALSE()),"No")</f>
        <v>No</v>
      </c>
      <c r="AS85" s="64" t="str">
        <f>IFERROR(VLOOKUP(T85,LK_OrgMaster!$B$4:$H$89,7,FALSE()),"None")</f>
        <v>None</v>
      </c>
      <c r="AT85" s="70">
        <v>32609</v>
      </c>
      <c r="AU85" s="70"/>
      <c r="AV85" s="70">
        <v>32609</v>
      </c>
      <c r="AW85" s="70">
        <v>46023</v>
      </c>
      <c r="AX85" s="71" t="s">
        <v>750</v>
      </c>
      <c r="AY85" s="72" t="s">
        <v>6260</v>
      </c>
    </row>
    <row r="86" spans="1:51" ht="15" customHeight="1" x14ac:dyDescent="0.3">
      <c r="A86" s="59" t="s">
        <v>1702</v>
      </c>
      <c r="B86" s="59" t="s">
        <v>752</v>
      </c>
      <c r="C86" s="59" t="s">
        <v>1703</v>
      </c>
      <c r="D86" s="59" t="s">
        <v>1704</v>
      </c>
      <c r="E86" s="59" t="s">
        <v>732</v>
      </c>
      <c r="F86" s="60">
        <v>31231</v>
      </c>
      <c r="G86" s="59" t="s">
        <v>1705</v>
      </c>
      <c r="H86" s="59" t="s">
        <v>1706</v>
      </c>
      <c r="I86" s="60">
        <v>42718</v>
      </c>
      <c r="J86" s="61">
        <f t="shared" ca="1" si="4"/>
        <v>9</v>
      </c>
      <c r="K86" s="62">
        <f t="shared" si="5"/>
        <v>53146</v>
      </c>
      <c r="L86" s="59" t="s">
        <v>735</v>
      </c>
      <c r="M86" s="59" t="s">
        <v>910</v>
      </c>
      <c r="N86" s="59" t="s">
        <v>737</v>
      </c>
      <c r="O86" s="63">
        <v>9</v>
      </c>
      <c r="P86" s="61">
        <f>IFERROR(SUMPRODUCT((LK_GradeDerivation!$A$4:$A$135=N86)*(IF(O86="",0,O86)&gt;=LK_GradeDerivation!$B$4:$B$135)*(IF(O86="",0,O86)&lt;=LK_GradeDerivation!$C$4:$C$135)*LK_GradeDerivation!$D$4:$D$135),1)</f>
        <v>4</v>
      </c>
      <c r="Q86" s="61">
        <f>IFERROR(SUMPRODUCT((LK_GradeDerivation!$A$4:$A$135=N86)*(IF(O86="",0,O86)&gt;=LK_GradeDerivation!$B$4:$B$135)*(IF(O86="",0,O86)&lt;=LK_GradeDerivation!$C$4:$C$135)*LK_GradeDerivation!$E$4:$E$135),1)</f>
        <v>5</v>
      </c>
      <c r="R86" s="59" t="s">
        <v>1707</v>
      </c>
      <c r="S86" s="59" t="s">
        <v>1708</v>
      </c>
      <c r="T86" s="59" t="s">
        <v>1035</v>
      </c>
      <c r="U86" s="59" t="s">
        <v>953</v>
      </c>
      <c r="V86" s="59" t="s">
        <v>954</v>
      </c>
      <c r="W86" s="59" t="s">
        <v>285</v>
      </c>
      <c r="X86" s="59" t="s">
        <v>554</v>
      </c>
      <c r="Y86" s="59" t="s">
        <v>573</v>
      </c>
      <c r="Z86" s="64" t="str">
        <f>IFERROR(VLOOKUP(T86,LK_OrgMaster!$B$4:$H$89,5,FALSE()),"Administration")</f>
        <v>Administration</v>
      </c>
      <c r="AA86" s="65" t="str">
        <f>IFERROR(VLOOKUP(X86,LK_LocationMaster!$D$4:$G$157,4,FALSE()),"No")</f>
        <v>No</v>
      </c>
      <c r="AB86" s="65" t="str">
        <f t="shared" si="6"/>
        <v>No</v>
      </c>
      <c r="AC86" s="65" t="str">
        <f>IFERROR(VLOOKUP(X86,LK_LocationMaster!$D$4:$H$157,5,FALSE()),"No")</f>
        <v>No</v>
      </c>
      <c r="AD86" s="59" t="s">
        <v>1709</v>
      </c>
      <c r="AE86" s="59" t="s">
        <v>886</v>
      </c>
      <c r="AF86" s="59" t="s">
        <v>786</v>
      </c>
      <c r="AG86" s="59" t="s">
        <v>340</v>
      </c>
      <c r="AH86" s="59" t="s">
        <v>1710</v>
      </c>
      <c r="AI86" s="59" t="s">
        <v>285</v>
      </c>
      <c r="AJ86" s="59" t="s">
        <v>818</v>
      </c>
      <c r="AK86" s="59" t="s">
        <v>944</v>
      </c>
      <c r="AL86" s="64" t="str">
        <f>IFERROR(INDEX(LK_BankMaster!$D$4:$D$23,MATCH(AJ86&amp;"|"&amp;AK86,LK_BankMaster!$H$4:$H$23,0)),"")</f>
        <v/>
      </c>
      <c r="AM86" s="59" t="s">
        <v>1711</v>
      </c>
      <c r="AN86" s="64" t="str">
        <f>IFERROR(VLOOKUP(AJ86,LK_BankMaster!$A$4:$E$23,5,FALSE()),"")</f>
        <v/>
      </c>
      <c r="AO86" s="59" t="s">
        <v>314</v>
      </c>
      <c r="AP86" s="66">
        <v>2</v>
      </c>
      <c r="AQ86" s="64" t="str">
        <f t="shared" si="7"/>
        <v>Position Allowance - Division Chief</v>
      </c>
      <c r="AR86" s="65" t="str">
        <f>IFERROR(VLOOKUP(T86,LK_OrgMaster!$B$4:$G$89,6,FALSE()),"No")</f>
        <v>No</v>
      </c>
      <c r="AS86" s="64" t="str">
        <f>IFERROR(VLOOKUP(T86,LK_OrgMaster!$B$4:$H$89,7,FALSE()),"None")</f>
        <v>None</v>
      </c>
      <c r="AT86" s="67">
        <v>42718</v>
      </c>
      <c r="AU86" s="67"/>
      <c r="AV86" s="67">
        <v>42718</v>
      </c>
      <c r="AW86" s="67">
        <v>46023</v>
      </c>
      <c r="AX86" s="68" t="s">
        <v>750</v>
      </c>
      <c r="AY86" s="69" t="s">
        <v>6260</v>
      </c>
    </row>
    <row r="87" spans="1:51" ht="15" customHeight="1" x14ac:dyDescent="0.3">
      <c r="A87" s="59" t="s">
        <v>1712</v>
      </c>
      <c r="B87" s="59" t="s">
        <v>752</v>
      </c>
      <c r="C87" s="59" t="s">
        <v>1713</v>
      </c>
      <c r="D87" s="59" t="s">
        <v>1112</v>
      </c>
      <c r="E87" s="59" t="s">
        <v>732</v>
      </c>
      <c r="F87" s="60">
        <v>32039</v>
      </c>
      <c r="G87" s="59" t="s">
        <v>1714</v>
      </c>
      <c r="H87" s="59" t="s">
        <v>1715</v>
      </c>
      <c r="I87" s="60">
        <v>34320</v>
      </c>
      <c r="J87" s="61">
        <f t="shared" ca="1" si="4"/>
        <v>32</v>
      </c>
      <c r="K87" s="62">
        <f t="shared" si="5"/>
        <v>53954</v>
      </c>
      <c r="L87" s="59" t="s">
        <v>735</v>
      </c>
      <c r="M87" s="59" t="s">
        <v>937</v>
      </c>
      <c r="N87" s="59" t="s">
        <v>758</v>
      </c>
      <c r="O87" s="63">
        <v>0</v>
      </c>
      <c r="P87" s="61">
        <f>IFERROR(SUMPRODUCT((LK_GradeDerivation!$A$4:$A$135=N87)*(IF(O87="",0,O87)&gt;=LK_GradeDerivation!$B$4:$B$135)*(IF(O87="",0,O87)&lt;=LK_GradeDerivation!$C$4:$C$135)*LK_GradeDerivation!$D$4:$D$135),1)</f>
        <v>5</v>
      </c>
      <c r="Q87" s="61">
        <f>IFERROR(SUMPRODUCT((LK_GradeDerivation!$A$4:$A$135=N87)*(IF(O87="",0,O87)&gt;=LK_GradeDerivation!$B$4:$B$135)*(IF(O87="",0,O87)&lt;=LK_GradeDerivation!$C$4:$C$135)*LK_GradeDerivation!$E$4:$E$135),1)</f>
        <v>1</v>
      </c>
      <c r="R87" s="59" t="s">
        <v>1716</v>
      </c>
      <c r="S87" s="59" t="s">
        <v>1717</v>
      </c>
      <c r="T87" s="59" t="s">
        <v>1023</v>
      </c>
      <c r="U87" s="59" t="s">
        <v>1130</v>
      </c>
      <c r="V87" s="59" t="s">
        <v>763</v>
      </c>
      <c r="W87" s="59" t="s">
        <v>285</v>
      </c>
      <c r="X87" s="59" t="s">
        <v>408</v>
      </c>
      <c r="Y87" s="59" t="s">
        <v>423</v>
      </c>
      <c r="Z87" s="64" t="str">
        <f>IFERROR(VLOOKUP(T87,LK_OrgMaster!$B$4:$H$89,5,FALSE()),"Administration")</f>
        <v>Technical</v>
      </c>
      <c r="AA87" s="65" t="str">
        <f>IFERROR(VLOOKUP(X87,LK_LocationMaster!$D$4:$G$157,4,FALSE()),"No")</f>
        <v>Yes</v>
      </c>
      <c r="AB87" s="65" t="str">
        <f t="shared" si="6"/>
        <v>No</v>
      </c>
      <c r="AC87" s="65" t="str">
        <f>IFERROR(VLOOKUP(X87,LK_LocationMaster!$D$4:$H$157,5,FALSE()),"No")</f>
        <v>No</v>
      </c>
      <c r="AD87" s="59" t="s">
        <v>1718</v>
      </c>
      <c r="AE87" s="59" t="s">
        <v>930</v>
      </c>
      <c r="AF87" s="59" t="s">
        <v>745</v>
      </c>
      <c r="AG87" s="59" t="s">
        <v>368</v>
      </c>
      <c r="AH87" s="59" t="s">
        <v>1719</v>
      </c>
      <c r="AI87" s="59" t="s">
        <v>285</v>
      </c>
      <c r="AJ87" s="59" t="s">
        <v>768</v>
      </c>
      <c r="AK87" s="59" t="s">
        <v>803</v>
      </c>
      <c r="AL87" s="64" t="str">
        <f>IFERROR(INDEX(LK_BankMaster!$D$4:$D$23,MATCH(AJ87&amp;"|"&amp;AK87,LK_BankMaster!$H$4:$H$23,0)),"")</f>
        <v/>
      </c>
      <c r="AM87" s="59" t="s">
        <v>1720</v>
      </c>
      <c r="AN87" s="64" t="str">
        <f>IFERROR(VLOOKUP(AJ87,LK_BankMaster!$A$4:$E$23,5,FALSE()),"")</f>
        <v/>
      </c>
      <c r="AO87" s="59" t="s">
        <v>291</v>
      </c>
      <c r="AP87" s="66">
        <v>0</v>
      </c>
      <c r="AQ87" s="64" t="str">
        <f t="shared" si="7"/>
        <v>Position Allowance - General Staff</v>
      </c>
      <c r="AR87" s="65" t="str">
        <f>IFERROR(VLOOKUP(T87,LK_OrgMaster!$B$4:$G$89,6,FALSE()),"No")</f>
        <v>No</v>
      </c>
      <c r="AS87" s="64" t="str">
        <f>IFERROR(VLOOKUP(T87,LK_OrgMaster!$B$4:$H$89,7,FALSE()),"None")</f>
        <v>None</v>
      </c>
      <c r="AT87" s="70">
        <v>34320</v>
      </c>
      <c r="AU87" s="70"/>
      <c r="AV87" s="70">
        <v>34320</v>
      </c>
      <c r="AW87" s="70">
        <v>46023</v>
      </c>
      <c r="AX87" s="71" t="s">
        <v>750</v>
      </c>
      <c r="AY87" s="72" t="s">
        <v>6260</v>
      </c>
    </row>
    <row r="88" spans="1:51" ht="15" customHeight="1" x14ac:dyDescent="0.3">
      <c r="A88" s="59" t="s">
        <v>1721</v>
      </c>
      <c r="B88" s="59" t="s">
        <v>772</v>
      </c>
      <c r="C88" s="59" t="s">
        <v>1673</v>
      </c>
      <c r="D88" s="59" t="s">
        <v>1017</v>
      </c>
      <c r="E88" s="59" t="s">
        <v>775</v>
      </c>
      <c r="F88" s="60">
        <v>24883</v>
      </c>
      <c r="G88" s="59" t="s">
        <v>1722</v>
      </c>
      <c r="H88" s="59" t="s">
        <v>1723</v>
      </c>
      <c r="I88" s="60">
        <v>34866</v>
      </c>
      <c r="J88" s="61">
        <f t="shared" ca="1" si="4"/>
        <v>30</v>
      </c>
      <c r="K88" s="62">
        <f t="shared" si="5"/>
        <v>46798</v>
      </c>
      <c r="L88" s="59" t="s">
        <v>735</v>
      </c>
      <c r="M88" s="59" t="s">
        <v>893</v>
      </c>
      <c r="N88" s="59" t="s">
        <v>779</v>
      </c>
      <c r="O88" s="63">
        <v>9</v>
      </c>
      <c r="P88" s="61">
        <f>IFERROR(SUMPRODUCT((LK_GradeDerivation!$A$4:$A$135=N88)*(IF(O88="",0,O88)&gt;=LK_GradeDerivation!$B$4:$B$135)*(IF(O88="",0,O88)&lt;=LK_GradeDerivation!$C$4:$C$135)*LK_GradeDerivation!$D$4:$D$135),1)</f>
        <v>2</v>
      </c>
      <c r="Q88" s="61">
        <f>IFERROR(SUMPRODUCT((LK_GradeDerivation!$A$4:$A$135=N88)*(IF(O88="",0,O88)&gt;=LK_GradeDerivation!$B$4:$B$135)*(IF(O88="",0,O88)&lt;=LK_GradeDerivation!$C$4:$C$135)*LK_GradeDerivation!$E$4:$E$135),1)</f>
        <v>5</v>
      </c>
      <c r="R88" s="59" t="s">
        <v>1724</v>
      </c>
      <c r="S88" s="59" t="s">
        <v>1725</v>
      </c>
      <c r="T88" s="59" t="s">
        <v>761</v>
      </c>
      <c r="U88" s="59" t="s">
        <v>1314</v>
      </c>
      <c r="V88" s="59" t="s">
        <v>1726</v>
      </c>
      <c r="W88" s="59" t="s">
        <v>285</v>
      </c>
      <c r="X88" s="59" t="s">
        <v>288</v>
      </c>
      <c r="Y88" s="59" t="s">
        <v>308</v>
      </c>
      <c r="Z88" s="64" t="str">
        <f>IFERROR(VLOOKUP(T88,LK_OrgMaster!$B$4:$H$89,5,FALSE()),"Administration")</f>
        <v>Administration</v>
      </c>
      <c r="AA88" s="65" t="str">
        <f>IFERROR(VLOOKUP(X88,LK_LocationMaster!$D$4:$G$157,4,FALSE()),"No")</f>
        <v>No</v>
      </c>
      <c r="AB88" s="65" t="str">
        <f t="shared" si="6"/>
        <v>No</v>
      </c>
      <c r="AC88" s="65" t="str">
        <f>IFERROR(VLOOKUP(X88,LK_LocationMaster!$D$4:$H$157,5,FALSE()),"No")</f>
        <v>No</v>
      </c>
      <c r="AD88" s="59" t="s">
        <v>1727</v>
      </c>
      <c r="AE88" s="59" t="s">
        <v>765</v>
      </c>
      <c r="AF88" s="59" t="s">
        <v>766</v>
      </c>
      <c r="AG88" s="59" t="s">
        <v>312</v>
      </c>
      <c r="AH88" s="59" t="s">
        <v>1728</v>
      </c>
      <c r="AI88" s="59" t="s">
        <v>285</v>
      </c>
      <c r="AJ88" s="59" t="s">
        <v>768</v>
      </c>
      <c r="AK88" s="59" t="s">
        <v>1589</v>
      </c>
      <c r="AL88" s="64" t="str">
        <f>IFERROR(INDEX(LK_BankMaster!$D$4:$D$23,MATCH(AJ88&amp;"|"&amp;AK88,LK_BankMaster!$H$4:$H$23,0)),"")</f>
        <v/>
      </c>
      <c r="AM88" s="59" t="s">
        <v>1729</v>
      </c>
      <c r="AN88" s="64" t="str">
        <f>IFERROR(VLOOKUP(AJ88,LK_BankMaster!$A$4:$E$23,5,FALSE()),"")</f>
        <v/>
      </c>
      <c r="AO88" s="59" t="s">
        <v>314</v>
      </c>
      <c r="AP88" s="66">
        <v>0</v>
      </c>
      <c r="AQ88" s="64" t="str">
        <f t="shared" si="7"/>
        <v>Position Allowance - General Staff</v>
      </c>
      <c r="AR88" s="65" t="str">
        <f>IFERROR(VLOOKUP(T88,LK_OrgMaster!$B$4:$G$89,6,FALSE()),"No")</f>
        <v>Yes</v>
      </c>
      <c r="AS88" s="64" t="str">
        <f>IFERROR(VLOOKUP(T88,LK_OrgMaster!$B$4:$H$89,7,FALSE()),"None")</f>
        <v>None</v>
      </c>
      <c r="AT88" s="67">
        <v>34866</v>
      </c>
      <c r="AU88" s="67"/>
      <c r="AV88" s="67">
        <v>34866</v>
      </c>
      <c r="AW88" s="67">
        <v>46023</v>
      </c>
      <c r="AX88" s="68" t="s">
        <v>750</v>
      </c>
      <c r="AY88" s="69" t="s">
        <v>6260</v>
      </c>
    </row>
    <row r="89" spans="1:51" ht="15" customHeight="1" x14ac:dyDescent="0.3">
      <c r="A89" s="59" t="s">
        <v>1730</v>
      </c>
      <c r="B89" s="59" t="s">
        <v>729</v>
      </c>
      <c r="C89" s="59" t="s">
        <v>875</v>
      </c>
      <c r="D89" s="59" t="s">
        <v>1003</v>
      </c>
      <c r="E89" s="59" t="s">
        <v>732</v>
      </c>
      <c r="F89" s="60">
        <v>27309</v>
      </c>
      <c r="G89" s="59" t="s">
        <v>1731</v>
      </c>
      <c r="H89" s="59" t="s">
        <v>1732</v>
      </c>
      <c r="I89" s="60">
        <v>36549</v>
      </c>
      <c r="J89" s="61">
        <f t="shared" ca="1" si="4"/>
        <v>26</v>
      </c>
      <c r="K89" s="62">
        <f t="shared" si="5"/>
        <v>49224</v>
      </c>
      <c r="L89" s="59" t="s">
        <v>735</v>
      </c>
      <c r="M89" s="59" t="s">
        <v>841</v>
      </c>
      <c r="N89" s="59" t="s">
        <v>737</v>
      </c>
      <c r="O89" s="63">
        <v>3</v>
      </c>
      <c r="P89" s="61">
        <f>IFERROR(SUMPRODUCT((LK_GradeDerivation!$A$4:$A$135=N89)*(IF(O89="",0,O89)&gt;=LK_GradeDerivation!$B$4:$B$135)*(IF(O89="",0,O89)&lt;=LK_GradeDerivation!$C$4:$C$135)*LK_GradeDerivation!$D$4:$D$135),1)</f>
        <v>4</v>
      </c>
      <c r="Q89" s="61">
        <f>IFERROR(SUMPRODUCT((LK_GradeDerivation!$A$4:$A$135=N89)*(IF(O89="",0,O89)&gt;=LK_GradeDerivation!$B$4:$B$135)*(IF(O89="",0,O89)&lt;=LK_GradeDerivation!$C$4:$C$135)*LK_GradeDerivation!$E$4:$E$135),1)</f>
        <v>2</v>
      </c>
      <c r="R89" s="59" t="s">
        <v>1733</v>
      </c>
      <c r="S89" s="59" t="s">
        <v>1734</v>
      </c>
      <c r="T89" s="59" t="s">
        <v>1035</v>
      </c>
      <c r="U89" s="59" t="s">
        <v>1229</v>
      </c>
      <c r="V89" s="59" t="s">
        <v>1735</v>
      </c>
      <c r="W89" s="59" t="s">
        <v>285</v>
      </c>
      <c r="X89" s="59" t="s">
        <v>527</v>
      </c>
      <c r="Y89" s="59" t="s">
        <v>540</v>
      </c>
      <c r="Z89" s="64" t="str">
        <f>IFERROR(VLOOKUP(T89,LK_OrgMaster!$B$4:$H$89,5,FALSE()),"Administration")</f>
        <v>Administration</v>
      </c>
      <c r="AA89" s="65" t="str">
        <f>IFERROR(VLOOKUP(X89,LK_LocationMaster!$D$4:$G$157,4,FALSE()),"No")</f>
        <v>No</v>
      </c>
      <c r="AB89" s="65" t="str">
        <f t="shared" si="6"/>
        <v>No</v>
      </c>
      <c r="AC89" s="65" t="str">
        <f>IFERROR(VLOOKUP(X89,LK_LocationMaster!$D$4:$H$157,5,FALSE()),"No")</f>
        <v>No</v>
      </c>
      <c r="AD89" s="59" t="s">
        <v>1736</v>
      </c>
      <c r="AE89" s="59" t="s">
        <v>765</v>
      </c>
      <c r="AF89" s="59" t="s">
        <v>801</v>
      </c>
      <c r="AG89" s="59" t="s">
        <v>329</v>
      </c>
      <c r="AH89" s="59" t="s">
        <v>1737</v>
      </c>
      <c r="AI89" s="59" t="s">
        <v>285</v>
      </c>
      <c r="AJ89" s="59" t="s">
        <v>788</v>
      </c>
      <c r="AK89" s="59" t="s">
        <v>999</v>
      </c>
      <c r="AL89" s="64" t="str">
        <f>IFERROR(INDEX(LK_BankMaster!$D$4:$D$23,MATCH(AJ89&amp;"|"&amp;AK89,LK_BankMaster!$H$4:$H$23,0)),"")</f>
        <v/>
      </c>
      <c r="AM89" s="59" t="s">
        <v>1738</v>
      </c>
      <c r="AN89" s="64" t="str">
        <f>IFERROR(VLOOKUP(AJ89,LK_BankMaster!$A$4:$E$23,5,FALSE()),"")</f>
        <v/>
      </c>
      <c r="AO89" s="59" t="s">
        <v>314</v>
      </c>
      <c r="AP89" s="66">
        <v>0</v>
      </c>
      <c r="AQ89" s="64" t="str">
        <f t="shared" si="7"/>
        <v>Position Allowance - Director</v>
      </c>
      <c r="AR89" s="65" t="str">
        <f>IFERROR(VLOOKUP(T89,LK_OrgMaster!$B$4:$G$89,6,FALSE()),"No")</f>
        <v>No</v>
      </c>
      <c r="AS89" s="64" t="str">
        <f>IFERROR(VLOOKUP(T89,LK_OrgMaster!$B$4:$H$89,7,FALSE()),"None")</f>
        <v>None</v>
      </c>
      <c r="AT89" s="70">
        <v>36549</v>
      </c>
      <c r="AU89" s="70"/>
      <c r="AV89" s="70">
        <v>36549</v>
      </c>
      <c r="AW89" s="70">
        <v>46023</v>
      </c>
      <c r="AX89" s="71" t="s">
        <v>750</v>
      </c>
      <c r="AY89" s="72" t="s">
        <v>6260</v>
      </c>
    </row>
    <row r="90" spans="1:51" ht="15" customHeight="1" x14ac:dyDescent="0.3">
      <c r="A90" s="59" t="s">
        <v>1739</v>
      </c>
      <c r="B90" s="59" t="s">
        <v>772</v>
      </c>
      <c r="C90" s="59" t="s">
        <v>1740</v>
      </c>
      <c r="D90" s="59" t="s">
        <v>1066</v>
      </c>
      <c r="E90" s="59" t="s">
        <v>732</v>
      </c>
      <c r="F90" s="60">
        <v>34566</v>
      </c>
      <c r="G90" s="59" t="s">
        <v>1741</v>
      </c>
      <c r="H90" s="59" t="s">
        <v>1742</v>
      </c>
      <c r="I90" s="60">
        <v>37800</v>
      </c>
      <c r="J90" s="61">
        <f t="shared" ca="1" si="4"/>
        <v>22</v>
      </c>
      <c r="K90" s="62">
        <f t="shared" si="5"/>
        <v>56481</v>
      </c>
      <c r="L90" s="59" t="s">
        <v>735</v>
      </c>
      <c r="M90" s="59" t="s">
        <v>1743</v>
      </c>
      <c r="N90" s="59" t="s">
        <v>737</v>
      </c>
      <c r="O90" s="63">
        <v>0</v>
      </c>
      <c r="P90" s="61">
        <f>IFERROR(SUMPRODUCT((LK_GradeDerivation!$A$4:$A$135=N90)*(IF(O90="",0,O90)&gt;=LK_GradeDerivation!$B$4:$B$135)*(IF(O90="",0,O90)&lt;=LK_GradeDerivation!$C$4:$C$135)*LK_GradeDerivation!$D$4:$D$135),1)</f>
        <v>4</v>
      </c>
      <c r="Q90" s="61">
        <f>IFERROR(SUMPRODUCT((LK_GradeDerivation!$A$4:$A$135=N90)*(IF(O90="",0,O90)&gt;=LK_GradeDerivation!$B$4:$B$135)*(IF(O90="",0,O90)&lt;=LK_GradeDerivation!$C$4:$C$135)*LK_GradeDerivation!$E$4:$E$135),1)</f>
        <v>1</v>
      </c>
      <c r="R90" s="59" t="s">
        <v>1744</v>
      </c>
      <c r="S90" s="59" t="s">
        <v>1745</v>
      </c>
      <c r="T90" s="59" t="s">
        <v>882</v>
      </c>
      <c r="U90" s="59" t="s">
        <v>1658</v>
      </c>
      <c r="V90" s="59" t="s">
        <v>763</v>
      </c>
      <c r="W90" s="59" t="s">
        <v>285</v>
      </c>
      <c r="X90" s="59" t="s">
        <v>443</v>
      </c>
      <c r="Y90" s="59" t="s">
        <v>447</v>
      </c>
      <c r="Z90" s="64" t="str">
        <f>IFERROR(VLOOKUP(T90,LK_OrgMaster!$B$4:$H$89,5,FALSE()),"Administration")</f>
        <v>Legal</v>
      </c>
      <c r="AA90" s="65" t="str">
        <f>IFERROR(VLOOKUP(X90,LK_LocationMaster!$D$4:$G$157,4,FALSE()),"No")</f>
        <v>No</v>
      </c>
      <c r="AB90" s="65" t="str">
        <f t="shared" si="6"/>
        <v>No</v>
      </c>
      <c r="AC90" s="65" t="str">
        <f>IFERROR(VLOOKUP(X90,LK_LocationMaster!$D$4:$H$157,5,FALSE()),"No")</f>
        <v>No</v>
      </c>
      <c r="AD90" s="59" t="s">
        <v>1746</v>
      </c>
      <c r="AE90" s="59" t="s">
        <v>800</v>
      </c>
      <c r="AF90" s="59" t="s">
        <v>969</v>
      </c>
      <c r="AG90" s="59" t="s">
        <v>329</v>
      </c>
      <c r="AH90" s="59" t="s">
        <v>1747</v>
      </c>
      <c r="AI90" s="59" t="s">
        <v>285</v>
      </c>
      <c r="AJ90" s="59" t="s">
        <v>833</v>
      </c>
      <c r="AK90" s="59" t="s">
        <v>834</v>
      </c>
      <c r="AL90" s="64" t="str">
        <f>IFERROR(INDEX(LK_BankMaster!$D$4:$D$23,MATCH(AJ90&amp;"|"&amp;AK90,LK_BankMaster!$H$4:$H$23,0)),"")</f>
        <v/>
      </c>
      <c r="AM90" s="59" t="s">
        <v>1748</v>
      </c>
      <c r="AN90" s="64" t="str">
        <f>IFERROR(VLOOKUP(AJ90,LK_BankMaster!$A$4:$E$23,5,FALSE()),"")</f>
        <v/>
      </c>
      <c r="AO90" s="59" t="s">
        <v>314</v>
      </c>
      <c r="AP90" s="66">
        <v>0</v>
      </c>
      <c r="AQ90" s="64" t="str">
        <f t="shared" si="7"/>
        <v>Position Allowance - General Staff</v>
      </c>
      <c r="AR90" s="65" t="str">
        <f>IFERROR(VLOOKUP(T90,LK_OrgMaster!$B$4:$G$89,6,FALSE()),"No")</f>
        <v>No</v>
      </c>
      <c r="AS90" s="64" t="str">
        <f>IFERROR(VLOOKUP(T90,LK_OrgMaster!$B$4:$H$89,7,FALSE()),"None")</f>
        <v>None</v>
      </c>
      <c r="AT90" s="67">
        <v>37800</v>
      </c>
      <c r="AU90" s="67"/>
      <c r="AV90" s="67">
        <v>37800</v>
      </c>
      <c r="AW90" s="67">
        <v>46023</v>
      </c>
      <c r="AX90" s="68" t="s">
        <v>750</v>
      </c>
      <c r="AY90" s="69" t="s">
        <v>6260</v>
      </c>
    </row>
    <row r="91" spans="1:51" ht="15" customHeight="1" x14ac:dyDescent="0.3">
      <c r="A91" s="59" t="s">
        <v>1749</v>
      </c>
      <c r="B91" s="59" t="s">
        <v>772</v>
      </c>
      <c r="C91" s="59" t="s">
        <v>1750</v>
      </c>
      <c r="D91" s="59" t="s">
        <v>1704</v>
      </c>
      <c r="E91" s="59" t="s">
        <v>732</v>
      </c>
      <c r="F91" s="60">
        <v>32998</v>
      </c>
      <c r="G91" s="59" t="s">
        <v>1751</v>
      </c>
      <c r="H91" s="59" t="s">
        <v>1752</v>
      </c>
      <c r="I91" s="60">
        <v>32948</v>
      </c>
      <c r="J91" s="61">
        <f t="shared" ca="1" si="4"/>
        <v>36</v>
      </c>
      <c r="K91" s="62">
        <f t="shared" si="5"/>
        <v>54913</v>
      </c>
      <c r="L91" s="59" t="s">
        <v>735</v>
      </c>
      <c r="M91" s="59" t="s">
        <v>992</v>
      </c>
      <c r="N91" s="59" t="s">
        <v>737</v>
      </c>
      <c r="O91" s="63">
        <v>0</v>
      </c>
      <c r="P91" s="61">
        <f>IFERROR(SUMPRODUCT((LK_GradeDerivation!$A$4:$A$135=N91)*(IF(O91="",0,O91)&gt;=LK_GradeDerivation!$B$4:$B$135)*(IF(O91="",0,O91)&lt;=LK_GradeDerivation!$C$4:$C$135)*LK_GradeDerivation!$D$4:$D$135),1)</f>
        <v>4</v>
      </c>
      <c r="Q91" s="61">
        <f>IFERROR(SUMPRODUCT((LK_GradeDerivation!$A$4:$A$135=N91)*(IF(O91="",0,O91)&gt;=LK_GradeDerivation!$B$4:$B$135)*(IF(O91="",0,O91)&lt;=LK_GradeDerivation!$C$4:$C$135)*LK_GradeDerivation!$E$4:$E$135),1)</f>
        <v>1</v>
      </c>
      <c r="R91" s="59" t="s">
        <v>1753</v>
      </c>
      <c r="S91" s="59" t="s">
        <v>1754</v>
      </c>
      <c r="T91" s="59" t="s">
        <v>740</v>
      </c>
      <c r="U91" s="59" t="s">
        <v>1154</v>
      </c>
      <c r="V91" s="59" t="s">
        <v>763</v>
      </c>
      <c r="W91" s="59" t="s">
        <v>285</v>
      </c>
      <c r="X91" s="59" t="s">
        <v>544</v>
      </c>
      <c r="Y91" s="59" t="s">
        <v>546</v>
      </c>
      <c r="Z91" s="64" t="str">
        <f>IFERROR(VLOOKUP(T91,LK_OrgMaster!$B$4:$H$89,5,FALSE()),"Administration")</f>
        <v>Teacher</v>
      </c>
      <c r="AA91" s="65" t="str">
        <f>IFERROR(VLOOKUP(X91,LK_LocationMaster!$D$4:$G$157,4,FALSE()),"No")</f>
        <v>Yes</v>
      </c>
      <c r="AB91" s="65" t="str">
        <f t="shared" si="6"/>
        <v>No</v>
      </c>
      <c r="AC91" s="65" t="str">
        <f>IFERROR(VLOOKUP(X91,LK_LocationMaster!$D$4:$H$157,5,FALSE()),"No")</f>
        <v>Yes</v>
      </c>
      <c r="AD91" s="59" t="s">
        <v>1578</v>
      </c>
      <c r="AE91" s="59" t="s">
        <v>800</v>
      </c>
      <c r="AF91" s="59" t="s">
        <v>816</v>
      </c>
      <c r="AG91" s="59" t="s">
        <v>408</v>
      </c>
      <c r="AH91" s="59" t="s">
        <v>1755</v>
      </c>
      <c r="AI91" s="59" t="s">
        <v>285</v>
      </c>
      <c r="AJ91" s="59" t="s">
        <v>768</v>
      </c>
      <c r="AK91" s="59" t="s">
        <v>1589</v>
      </c>
      <c r="AL91" s="64" t="str">
        <f>IFERROR(INDEX(LK_BankMaster!$D$4:$D$23,MATCH(AJ91&amp;"|"&amp;AK91,LK_BankMaster!$H$4:$H$23,0)),"")</f>
        <v/>
      </c>
      <c r="AM91" s="59" t="s">
        <v>1756</v>
      </c>
      <c r="AN91" s="64" t="str">
        <f>IFERROR(VLOOKUP(AJ91,LK_BankMaster!$A$4:$E$23,5,FALSE()),"")</f>
        <v/>
      </c>
      <c r="AO91" s="59" t="s">
        <v>314</v>
      </c>
      <c r="AP91" s="66">
        <v>3</v>
      </c>
      <c r="AQ91" s="64" t="str">
        <f t="shared" si="7"/>
        <v>Position Allowance - General Staff</v>
      </c>
      <c r="AR91" s="65" t="str">
        <f>IFERROR(VLOOKUP(T91,LK_OrgMaster!$B$4:$G$89,6,FALSE()),"No")</f>
        <v>No</v>
      </c>
      <c r="AS91" s="64" t="str">
        <f>IFERROR(VLOOKUP(T91,LK_OrgMaster!$B$4:$H$89,7,FALSE()),"None")</f>
        <v>Teaching</v>
      </c>
      <c r="AT91" s="70">
        <v>32948</v>
      </c>
      <c r="AU91" s="70"/>
      <c r="AV91" s="70">
        <v>32948</v>
      </c>
      <c r="AW91" s="70">
        <v>46023</v>
      </c>
      <c r="AX91" s="71" t="s">
        <v>750</v>
      </c>
      <c r="AY91" s="72" t="s">
        <v>6260</v>
      </c>
    </row>
    <row r="92" spans="1:51" ht="15" customHeight="1" x14ac:dyDescent="0.3">
      <c r="A92" s="59" t="s">
        <v>1757</v>
      </c>
      <c r="B92" s="59" t="s">
        <v>851</v>
      </c>
      <c r="C92" s="59" t="s">
        <v>1758</v>
      </c>
      <c r="D92" s="59" t="s">
        <v>1759</v>
      </c>
      <c r="E92" s="59" t="s">
        <v>775</v>
      </c>
      <c r="F92" s="60">
        <v>30766</v>
      </c>
      <c r="G92" s="59" t="s">
        <v>1760</v>
      </c>
      <c r="H92" s="59" t="s">
        <v>1761</v>
      </c>
      <c r="I92" s="60">
        <v>40796</v>
      </c>
      <c r="J92" s="61">
        <f t="shared" ca="1" si="4"/>
        <v>14</v>
      </c>
      <c r="K92" s="62">
        <f t="shared" si="5"/>
        <v>52681</v>
      </c>
      <c r="L92" s="59" t="s">
        <v>735</v>
      </c>
      <c r="M92" s="59" t="s">
        <v>910</v>
      </c>
      <c r="N92" s="59" t="s">
        <v>737</v>
      </c>
      <c r="O92" s="63">
        <v>5</v>
      </c>
      <c r="P92" s="61">
        <f>IFERROR(SUMPRODUCT((LK_GradeDerivation!$A$4:$A$135=N92)*(IF(O92="",0,O92)&gt;=LK_GradeDerivation!$B$4:$B$135)*(IF(O92="",0,O92)&lt;=LK_GradeDerivation!$C$4:$C$135)*LK_GradeDerivation!$D$4:$D$135),1)</f>
        <v>4</v>
      </c>
      <c r="Q92" s="61">
        <f>IFERROR(SUMPRODUCT((LK_GradeDerivation!$A$4:$A$135=N92)*(IF(O92="",0,O92)&gt;=LK_GradeDerivation!$B$4:$B$135)*(IF(O92="",0,O92)&lt;=LK_GradeDerivation!$C$4:$C$135)*LK_GradeDerivation!$E$4:$E$135),1)</f>
        <v>3</v>
      </c>
      <c r="R92" s="59" t="s">
        <v>1762</v>
      </c>
      <c r="S92" s="59" t="s">
        <v>1763</v>
      </c>
      <c r="T92" s="59" t="s">
        <v>1035</v>
      </c>
      <c r="U92" s="59" t="s">
        <v>1036</v>
      </c>
      <c r="V92" s="59" t="s">
        <v>1764</v>
      </c>
      <c r="W92" s="59" t="s">
        <v>285</v>
      </c>
      <c r="X92" s="59" t="s">
        <v>554</v>
      </c>
      <c r="Y92" s="59" t="s">
        <v>571</v>
      </c>
      <c r="Z92" s="64" t="str">
        <f>IFERROR(VLOOKUP(T92,LK_OrgMaster!$B$4:$H$89,5,FALSE()),"Administration")</f>
        <v>Administration</v>
      </c>
      <c r="AA92" s="65" t="str">
        <f>IFERROR(VLOOKUP(X92,LK_LocationMaster!$D$4:$G$157,4,FALSE()),"No")</f>
        <v>No</v>
      </c>
      <c r="AB92" s="65" t="str">
        <f t="shared" si="6"/>
        <v>No</v>
      </c>
      <c r="AC92" s="65" t="str">
        <f>IFERROR(VLOOKUP(X92,LK_LocationMaster!$D$4:$H$157,5,FALSE()),"No")</f>
        <v>No</v>
      </c>
      <c r="AD92" s="59" t="s">
        <v>1412</v>
      </c>
      <c r="AE92" s="59" t="s">
        <v>800</v>
      </c>
      <c r="AF92" s="59" t="s">
        <v>766</v>
      </c>
      <c r="AG92" s="59" t="s">
        <v>288</v>
      </c>
      <c r="AH92" s="59" t="s">
        <v>1765</v>
      </c>
      <c r="AI92" s="59" t="s">
        <v>285</v>
      </c>
      <c r="AJ92" s="59" t="s">
        <v>747</v>
      </c>
      <c r="AK92" s="59" t="s">
        <v>748</v>
      </c>
      <c r="AL92" s="64" t="str">
        <f>IFERROR(INDEX(LK_BankMaster!$D$4:$D$23,MATCH(AJ92&amp;"|"&amp;AK92,LK_BankMaster!$H$4:$H$23,0)),"")</f>
        <v/>
      </c>
      <c r="AM92" s="59" t="s">
        <v>1766</v>
      </c>
      <c r="AN92" s="64" t="str">
        <f>IFERROR(VLOOKUP(AJ92,LK_BankMaster!$A$4:$E$23,5,FALSE()),"")</f>
        <v/>
      </c>
      <c r="AO92" s="59" t="s">
        <v>314</v>
      </c>
      <c r="AP92" s="66">
        <v>3</v>
      </c>
      <c r="AQ92" s="64" t="str">
        <f t="shared" si="7"/>
        <v>Position Allowance - Division Chief</v>
      </c>
      <c r="AR92" s="65" t="str">
        <f>IFERROR(VLOOKUP(T92,LK_OrgMaster!$B$4:$G$89,6,FALSE()),"No")</f>
        <v>No</v>
      </c>
      <c r="AS92" s="64" t="str">
        <f>IFERROR(VLOOKUP(T92,LK_OrgMaster!$B$4:$H$89,7,FALSE()),"None")</f>
        <v>None</v>
      </c>
      <c r="AT92" s="67">
        <v>40796</v>
      </c>
      <c r="AU92" s="67"/>
      <c r="AV92" s="67">
        <v>40796</v>
      </c>
      <c r="AW92" s="67">
        <v>46023</v>
      </c>
      <c r="AX92" s="68" t="s">
        <v>750</v>
      </c>
      <c r="AY92" s="69" t="s">
        <v>6260</v>
      </c>
    </row>
    <row r="93" spans="1:51" ht="15" customHeight="1" x14ac:dyDescent="0.3">
      <c r="A93" s="59" t="s">
        <v>1767</v>
      </c>
      <c r="B93" s="59" t="s">
        <v>772</v>
      </c>
      <c r="C93" s="59" t="s">
        <v>959</v>
      </c>
      <c r="D93" s="59" t="s">
        <v>1042</v>
      </c>
      <c r="E93" s="59" t="s">
        <v>775</v>
      </c>
      <c r="F93" s="60">
        <v>35162</v>
      </c>
      <c r="G93" s="59" t="s">
        <v>1768</v>
      </c>
      <c r="H93" s="59" t="s">
        <v>1769</v>
      </c>
      <c r="I93" s="60">
        <v>35486</v>
      </c>
      <c r="J93" s="61">
        <f t="shared" ca="1" si="4"/>
        <v>29</v>
      </c>
      <c r="K93" s="62">
        <f t="shared" si="5"/>
        <v>57077</v>
      </c>
      <c r="L93" s="59" t="s">
        <v>735</v>
      </c>
      <c r="M93" s="59" t="s">
        <v>826</v>
      </c>
      <c r="N93" s="59" t="s">
        <v>758</v>
      </c>
      <c r="O93" s="63">
        <v>0</v>
      </c>
      <c r="P93" s="61">
        <f>IFERROR(SUMPRODUCT((LK_GradeDerivation!$A$4:$A$135=N93)*(IF(O93="",0,O93)&gt;=LK_GradeDerivation!$B$4:$B$135)*(IF(O93="",0,O93)&lt;=LK_GradeDerivation!$C$4:$C$135)*LK_GradeDerivation!$D$4:$D$135),1)</f>
        <v>5</v>
      </c>
      <c r="Q93" s="61">
        <f>IFERROR(SUMPRODUCT((LK_GradeDerivation!$A$4:$A$135=N93)*(IF(O93="",0,O93)&gt;=LK_GradeDerivation!$B$4:$B$135)*(IF(O93="",0,O93)&lt;=LK_GradeDerivation!$C$4:$C$135)*LK_GradeDerivation!$E$4:$E$135),1)</f>
        <v>1</v>
      </c>
      <c r="R93" s="59" t="s">
        <v>1770</v>
      </c>
      <c r="S93" s="59" t="s">
        <v>1771</v>
      </c>
      <c r="T93" s="59" t="s">
        <v>782</v>
      </c>
      <c r="U93" s="59" t="s">
        <v>1772</v>
      </c>
      <c r="V93" s="59" t="s">
        <v>1773</v>
      </c>
      <c r="W93" s="59" t="s">
        <v>285</v>
      </c>
      <c r="X93" s="59" t="s">
        <v>477</v>
      </c>
      <c r="Y93" s="59" t="s">
        <v>498</v>
      </c>
      <c r="Z93" s="64" t="str">
        <f>IFERROR(VLOOKUP(T93,LK_OrgMaster!$B$4:$H$89,5,FALSE()),"Administration")</f>
        <v>Medical</v>
      </c>
      <c r="AA93" s="65" t="str">
        <f>IFERROR(VLOOKUP(X93,LK_LocationMaster!$D$4:$G$157,4,FALSE()),"No")</f>
        <v>No</v>
      </c>
      <c r="AB93" s="65" t="str">
        <f t="shared" si="6"/>
        <v>No</v>
      </c>
      <c r="AC93" s="65" t="str">
        <f>IFERROR(VLOOKUP(X93,LK_LocationMaster!$D$4:$H$157,5,FALSE()),"No")</f>
        <v>Yes</v>
      </c>
      <c r="AD93" s="59" t="s">
        <v>1774</v>
      </c>
      <c r="AE93" s="59" t="s">
        <v>1775</v>
      </c>
      <c r="AF93" s="59" t="s">
        <v>766</v>
      </c>
      <c r="AG93" s="59" t="s">
        <v>368</v>
      </c>
      <c r="AH93" s="59" t="s">
        <v>1776</v>
      </c>
      <c r="AI93" s="59" t="s">
        <v>285</v>
      </c>
      <c r="AJ93" s="59" t="s">
        <v>818</v>
      </c>
      <c r="AK93" s="59" t="s">
        <v>819</v>
      </c>
      <c r="AL93" s="64" t="str">
        <f>IFERROR(INDEX(LK_BankMaster!$D$4:$D$23,MATCH(AJ93&amp;"|"&amp;AK93,LK_BankMaster!$H$4:$H$23,0)),"")</f>
        <v/>
      </c>
      <c r="AM93" s="59" t="s">
        <v>1777</v>
      </c>
      <c r="AN93" s="64" t="str">
        <f>IFERROR(VLOOKUP(AJ93,LK_BankMaster!$A$4:$E$23,5,FALSE()),"")</f>
        <v/>
      </c>
      <c r="AO93" s="59" t="s">
        <v>314</v>
      </c>
      <c r="AP93" s="66">
        <v>1</v>
      </c>
      <c r="AQ93" s="64" t="str">
        <f t="shared" si="7"/>
        <v>Position Allowance - General Staff</v>
      </c>
      <c r="AR93" s="65" t="str">
        <f>IFERROR(VLOOKUP(T93,LK_OrgMaster!$B$4:$G$89,6,FALSE()),"No")</f>
        <v>No</v>
      </c>
      <c r="AS93" s="64" t="str">
        <f>IFERROR(VLOOKUP(T93,LK_OrgMaster!$B$4:$H$89,7,FALSE()),"None")</f>
        <v>Medical</v>
      </c>
      <c r="AT93" s="70">
        <v>35486</v>
      </c>
      <c r="AU93" s="70"/>
      <c r="AV93" s="70">
        <v>35486</v>
      </c>
      <c r="AW93" s="70">
        <v>46023</v>
      </c>
      <c r="AX93" s="71" t="s">
        <v>750</v>
      </c>
      <c r="AY93" s="72" t="s">
        <v>6260</v>
      </c>
    </row>
    <row r="94" spans="1:51" ht="15" customHeight="1" x14ac:dyDescent="0.3">
      <c r="A94" s="59" t="s">
        <v>1778</v>
      </c>
      <c r="B94" s="59" t="s">
        <v>772</v>
      </c>
      <c r="C94" s="59" t="s">
        <v>1211</v>
      </c>
      <c r="D94" s="59" t="s">
        <v>1418</v>
      </c>
      <c r="E94" s="59" t="s">
        <v>732</v>
      </c>
      <c r="F94" s="60">
        <v>34278</v>
      </c>
      <c r="G94" s="59" t="s">
        <v>1779</v>
      </c>
      <c r="H94" s="59" t="s">
        <v>1780</v>
      </c>
      <c r="I94" s="60">
        <v>36169</v>
      </c>
      <c r="J94" s="61">
        <f t="shared" ca="1" si="4"/>
        <v>27</v>
      </c>
      <c r="K94" s="62">
        <f t="shared" si="5"/>
        <v>56193</v>
      </c>
      <c r="L94" s="59" t="s">
        <v>735</v>
      </c>
      <c r="M94" s="59" t="s">
        <v>1781</v>
      </c>
      <c r="N94" s="59" t="s">
        <v>779</v>
      </c>
      <c r="O94" s="63">
        <v>0</v>
      </c>
      <c r="P94" s="61">
        <f>IFERROR(SUMPRODUCT((LK_GradeDerivation!$A$4:$A$135=N94)*(IF(O94="",0,O94)&gt;=LK_GradeDerivation!$B$4:$B$135)*(IF(O94="",0,O94)&lt;=LK_GradeDerivation!$C$4:$C$135)*LK_GradeDerivation!$D$4:$D$135),1)</f>
        <v>2</v>
      </c>
      <c r="Q94" s="61">
        <f>IFERROR(SUMPRODUCT((LK_GradeDerivation!$A$4:$A$135=N94)*(IF(O94="",0,O94)&gt;=LK_GradeDerivation!$B$4:$B$135)*(IF(O94="",0,O94)&lt;=LK_GradeDerivation!$C$4:$C$135)*LK_GradeDerivation!$E$4:$E$135),1)</f>
        <v>1</v>
      </c>
      <c r="R94" s="59" t="s">
        <v>1782</v>
      </c>
      <c r="S94" s="59" t="s">
        <v>1783</v>
      </c>
      <c r="T94" s="59" t="s">
        <v>782</v>
      </c>
      <c r="U94" s="59" t="s">
        <v>1191</v>
      </c>
      <c r="V94" s="59" t="s">
        <v>1192</v>
      </c>
      <c r="W94" s="59" t="s">
        <v>285</v>
      </c>
      <c r="X94" s="59" t="s">
        <v>356</v>
      </c>
      <c r="Y94" s="59" t="s">
        <v>360</v>
      </c>
      <c r="Z94" s="64" t="str">
        <f>IFERROR(VLOOKUP(T94,LK_OrgMaster!$B$4:$H$89,5,FALSE()),"Administration")</f>
        <v>Medical</v>
      </c>
      <c r="AA94" s="65" t="str">
        <f>IFERROR(VLOOKUP(X94,LK_LocationMaster!$D$4:$G$157,4,FALSE()),"No")</f>
        <v>Yes</v>
      </c>
      <c r="AB94" s="65" t="str">
        <f t="shared" si="6"/>
        <v>No</v>
      </c>
      <c r="AC94" s="65" t="str">
        <f>IFERROR(VLOOKUP(X94,LK_LocationMaster!$D$4:$H$157,5,FALSE()),"No")</f>
        <v>No</v>
      </c>
      <c r="AD94" s="59" t="s">
        <v>1784</v>
      </c>
      <c r="AE94" s="59" t="s">
        <v>800</v>
      </c>
      <c r="AF94" s="59" t="s">
        <v>801</v>
      </c>
      <c r="AG94" s="59" t="s">
        <v>356</v>
      </c>
      <c r="AH94" s="59" t="s">
        <v>1785</v>
      </c>
      <c r="AI94" s="59" t="s">
        <v>285</v>
      </c>
      <c r="AJ94" s="59" t="s">
        <v>833</v>
      </c>
      <c r="AK94" s="59" t="s">
        <v>834</v>
      </c>
      <c r="AL94" s="64" t="str">
        <f>IFERROR(INDEX(LK_BankMaster!$D$4:$D$23,MATCH(AJ94&amp;"|"&amp;AK94,LK_BankMaster!$H$4:$H$23,0)),"")</f>
        <v/>
      </c>
      <c r="AM94" s="59" t="s">
        <v>1786</v>
      </c>
      <c r="AN94" s="64" t="str">
        <f>IFERROR(VLOOKUP(AJ94,LK_BankMaster!$A$4:$E$23,5,FALSE()),"")</f>
        <v/>
      </c>
      <c r="AO94" s="59" t="s">
        <v>314</v>
      </c>
      <c r="AP94" s="66">
        <v>3</v>
      </c>
      <c r="AQ94" s="64" t="str">
        <f t="shared" si="7"/>
        <v>Position Allowance - General Staff</v>
      </c>
      <c r="AR94" s="65" t="str">
        <f>IFERROR(VLOOKUP(T94,LK_OrgMaster!$B$4:$G$89,6,FALSE()),"No")</f>
        <v>No</v>
      </c>
      <c r="AS94" s="64" t="str">
        <f>IFERROR(VLOOKUP(T94,LK_OrgMaster!$B$4:$H$89,7,FALSE()),"None")</f>
        <v>Medical</v>
      </c>
      <c r="AT94" s="67">
        <v>36169</v>
      </c>
      <c r="AU94" s="67"/>
      <c r="AV94" s="67">
        <v>36169</v>
      </c>
      <c r="AW94" s="67">
        <v>46023</v>
      </c>
      <c r="AX94" s="68" t="s">
        <v>750</v>
      </c>
      <c r="AY94" s="69" t="s">
        <v>6260</v>
      </c>
    </row>
    <row r="95" spans="1:51" ht="15" customHeight="1" x14ac:dyDescent="0.3">
      <c r="A95" s="59" t="s">
        <v>1787</v>
      </c>
      <c r="B95" s="59" t="s">
        <v>729</v>
      </c>
      <c r="C95" s="59" t="s">
        <v>906</v>
      </c>
      <c r="D95" s="59" t="s">
        <v>1522</v>
      </c>
      <c r="E95" s="59" t="s">
        <v>732</v>
      </c>
      <c r="F95" s="60">
        <v>37217</v>
      </c>
      <c r="G95" s="59" t="s">
        <v>1788</v>
      </c>
      <c r="H95" s="59" t="s">
        <v>1789</v>
      </c>
      <c r="I95" s="60">
        <v>44180</v>
      </c>
      <c r="J95" s="61">
        <f t="shared" ca="1" si="4"/>
        <v>5</v>
      </c>
      <c r="K95" s="62">
        <f t="shared" si="5"/>
        <v>59132</v>
      </c>
      <c r="L95" s="59" t="s">
        <v>735</v>
      </c>
      <c r="M95" s="59" t="s">
        <v>893</v>
      </c>
      <c r="N95" s="59" t="s">
        <v>1081</v>
      </c>
      <c r="O95" s="63">
        <v>0</v>
      </c>
      <c r="P95" s="61">
        <f>IFERROR(SUMPRODUCT((LK_GradeDerivation!$A$4:$A$135=N95)*(IF(O95="",0,O95)&gt;=LK_GradeDerivation!$B$4:$B$135)*(IF(O95="",0,O95)&lt;=LK_GradeDerivation!$C$4:$C$135)*LK_GradeDerivation!$D$4:$D$135),1)</f>
        <v>3</v>
      </c>
      <c r="Q95" s="61">
        <f>IFERROR(SUMPRODUCT((LK_GradeDerivation!$A$4:$A$135=N95)*(IF(O95="",0,O95)&gt;=LK_GradeDerivation!$B$4:$B$135)*(IF(O95="",0,O95)&lt;=LK_GradeDerivation!$C$4:$C$135)*LK_GradeDerivation!$E$4:$E$135),1)</f>
        <v>1</v>
      </c>
      <c r="R95" s="59" t="s">
        <v>1790</v>
      </c>
      <c r="S95" s="59" t="s">
        <v>1791</v>
      </c>
      <c r="T95" s="59" t="s">
        <v>1305</v>
      </c>
      <c r="U95" s="59" t="s">
        <v>1792</v>
      </c>
      <c r="V95" s="59" t="s">
        <v>763</v>
      </c>
      <c r="W95" s="59" t="s">
        <v>285</v>
      </c>
      <c r="X95" s="59" t="s">
        <v>329</v>
      </c>
      <c r="Y95" s="59" t="s">
        <v>338</v>
      </c>
      <c r="Z95" s="64" t="str">
        <f>IFERROR(VLOOKUP(T95,LK_OrgMaster!$B$4:$H$89,5,FALSE()),"Administration")</f>
        <v>Administration</v>
      </c>
      <c r="AA95" s="65" t="str">
        <f>IFERROR(VLOOKUP(X95,LK_LocationMaster!$D$4:$G$157,4,FALSE()),"No")</f>
        <v>Yes</v>
      </c>
      <c r="AB95" s="65" t="str">
        <f t="shared" si="6"/>
        <v>No</v>
      </c>
      <c r="AC95" s="65" t="str">
        <f>IFERROR(VLOOKUP(X95,LK_LocationMaster!$D$4:$H$157,5,FALSE()),"No")</f>
        <v>No</v>
      </c>
      <c r="AD95" s="59" t="s">
        <v>1793</v>
      </c>
      <c r="AE95" s="59" t="s">
        <v>886</v>
      </c>
      <c r="AF95" s="59" t="s">
        <v>766</v>
      </c>
      <c r="AG95" s="59" t="s">
        <v>368</v>
      </c>
      <c r="AH95" s="59" t="s">
        <v>1794</v>
      </c>
      <c r="AI95" s="59" t="s">
        <v>285</v>
      </c>
      <c r="AJ95" s="59" t="s">
        <v>818</v>
      </c>
      <c r="AK95" s="59" t="s">
        <v>819</v>
      </c>
      <c r="AL95" s="64" t="str">
        <f>IFERROR(INDEX(LK_BankMaster!$D$4:$D$23,MATCH(AJ95&amp;"|"&amp;AK95,LK_BankMaster!$H$4:$H$23,0)),"")</f>
        <v/>
      </c>
      <c r="AM95" s="59" t="s">
        <v>1795</v>
      </c>
      <c r="AN95" s="64" t="str">
        <f>IFERROR(VLOOKUP(AJ95,LK_BankMaster!$A$4:$E$23,5,FALSE()),"")</f>
        <v/>
      </c>
      <c r="AO95" s="59" t="s">
        <v>291</v>
      </c>
      <c r="AP95" s="66">
        <v>0</v>
      </c>
      <c r="AQ95" s="64" t="str">
        <f t="shared" si="7"/>
        <v>Position Allowance - General Staff</v>
      </c>
      <c r="AR95" s="65" t="str">
        <f>IFERROR(VLOOKUP(T95,LK_OrgMaster!$B$4:$G$89,6,FALSE()),"No")</f>
        <v>No</v>
      </c>
      <c r="AS95" s="64" t="str">
        <f>IFERROR(VLOOKUP(T95,LK_OrgMaster!$B$4:$H$89,7,FALSE()),"None")</f>
        <v>None</v>
      </c>
      <c r="AT95" s="70">
        <v>44180</v>
      </c>
      <c r="AU95" s="70"/>
      <c r="AV95" s="70">
        <v>44180</v>
      </c>
      <c r="AW95" s="70">
        <v>46023</v>
      </c>
      <c r="AX95" s="71" t="s">
        <v>750</v>
      </c>
      <c r="AY95" s="72" t="s">
        <v>6260</v>
      </c>
    </row>
    <row r="96" spans="1:51" ht="15" customHeight="1" x14ac:dyDescent="0.3">
      <c r="A96" s="59" t="s">
        <v>1796</v>
      </c>
      <c r="B96" s="59" t="s">
        <v>752</v>
      </c>
      <c r="C96" s="59" t="s">
        <v>1703</v>
      </c>
      <c r="D96" s="59" t="s">
        <v>1289</v>
      </c>
      <c r="E96" s="59" t="s">
        <v>732</v>
      </c>
      <c r="F96" s="60">
        <v>26373</v>
      </c>
      <c r="G96" s="59" t="s">
        <v>1797</v>
      </c>
      <c r="H96" s="59" t="s">
        <v>1798</v>
      </c>
      <c r="I96" s="60">
        <v>45350</v>
      </c>
      <c r="J96" s="61">
        <f t="shared" ca="1" si="4"/>
        <v>2</v>
      </c>
      <c r="K96" s="62">
        <f t="shared" si="5"/>
        <v>48288</v>
      </c>
      <c r="L96" s="59" t="s">
        <v>735</v>
      </c>
      <c r="M96" s="59" t="s">
        <v>1201</v>
      </c>
      <c r="N96" s="59" t="s">
        <v>779</v>
      </c>
      <c r="O96" s="63">
        <v>25</v>
      </c>
      <c r="P96" s="61">
        <f>IFERROR(SUMPRODUCT((LK_GradeDerivation!$A$4:$A$135=N96)*(IF(O96="",0,O96)&gt;=LK_GradeDerivation!$B$4:$B$135)*(IF(O96="",0,O96)&lt;=LK_GradeDerivation!$C$4:$C$135)*LK_GradeDerivation!$D$4:$D$135),1)</f>
        <v>2</v>
      </c>
      <c r="Q96" s="61">
        <f>IFERROR(SUMPRODUCT((LK_GradeDerivation!$A$4:$A$135=N96)*(IF(O96="",0,O96)&gt;=LK_GradeDerivation!$B$4:$B$135)*(IF(O96="",0,O96)&lt;=LK_GradeDerivation!$C$4:$C$135)*LK_GradeDerivation!$E$4:$E$135),1)</f>
        <v>13</v>
      </c>
      <c r="R96" s="59" t="s">
        <v>1799</v>
      </c>
      <c r="S96" s="59" t="s">
        <v>1800</v>
      </c>
      <c r="T96" s="59" t="s">
        <v>1204</v>
      </c>
      <c r="U96" s="59" t="s">
        <v>1801</v>
      </c>
      <c r="V96" s="59" t="s">
        <v>763</v>
      </c>
      <c r="W96" s="59" t="s">
        <v>285</v>
      </c>
      <c r="X96" s="59" t="s">
        <v>527</v>
      </c>
      <c r="Y96" s="59" t="s">
        <v>534</v>
      </c>
      <c r="Z96" s="64" t="str">
        <f>IFERROR(VLOOKUP(T96,LK_OrgMaster!$B$4:$H$89,5,FALSE()),"Administration")</f>
        <v>Administration</v>
      </c>
      <c r="AA96" s="65" t="str">
        <f>IFERROR(VLOOKUP(X96,LK_LocationMaster!$D$4:$G$157,4,FALSE()),"No")</f>
        <v>No</v>
      </c>
      <c r="AB96" s="65" t="str">
        <f t="shared" si="6"/>
        <v>No</v>
      </c>
      <c r="AC96" s="65" t="str">
        <f>IFERROR(VLOOKUP(X96,LK_LocationMaster!$D$4:$H$157,5,FALSE()),"No")</f>
        <v>No</v>
      </c>
      <c r="AD96" s="59" t="s">
        <v>1802</v>
      </c>
      <c r="AE96" s="59" t="s">
        <v>886</v>
      </c>
      <c r="AF96" s="59" t="s">
        <v>786</v>
      </c>
      <c r="AG96" s="59" t="s">
        <v>368</v>
      </c>
      <c r="AH96" s="59" t="s">
        <v>1803</v>
      </c>
      <c r="AI96" s="59" t="s">
        <v>285</v>
      </c>
      <c r="AJ96" s="59" t="s">
        <v>833</v>
      </c>
      <c r="AK96" s="59" t="s">
        <v>834</v>
      </c>
      <c r="AL96" s="64" t="str">
        <f>IFERROR(INDEX(LK_BankMaster!$D$4:$D$23,MATCH(AJ96&amp;"|"&amp;AK96,LK_BankMaster!$H$4:$H$23,0)),"")</f>
        <v/>
      </c>
      <c r="AM96" s="59" t="s">
        <v>1804</v>
      </c>
      <c r="AN96" s="64" t="str">
        <f>IFERROR(VLOOKUP(AJ96,LK_BankMaster!$A$4:$E$23,5,FALSE()),"")</f>
        <v/>
      </c>
      <c r="AO96" s="59" t="s">
        <v>291</v>
      </c>
      <c r="AP96" s="66">
        <v>0</v>
      </c>
      <c r="AQ96" s="64" t="str">
        <f t="shared" si="7"/>
        <v>Position Allowance - General Staff</v>
      </c>
      <c r="AR96" s="65" t="str">
        <f>IFERROR(VLOOKUP(T96,LK_OrgMaster!$B$4:$G$89,6,FALSE()),"No")</f>
        <v>No</v>
      </c>
      <c r="AS96" s="64" t="str">
        <f>IFERROR(VLOOKUP(T96,LK_OrgMaster!$B$4:$H$89,7,FALSE()),"None")</f>
        <v>None</v>
      </c>
      <c r="AT96" s="67">
        <v>45350</v>
      </c>
      <c r="AU96" s="67"/>
      <c r="AV96" s="67">
        <v>45350</v>
      </c>
      <c r="AW96" s="67">
        <v>46023</v>
      </c>
      <c r="AX96" s="68" t="s">
        <v>750</v>
      </c>
      <c r="AY96" s="69" t="s">
        <v>6260</v>
      </c>
    </row>
    <row r="97" spans="1:51" ht="15" customHeight="1" x14ac:dyDescent="0.3">
      <c r="A97" s="59" t="s">
        <v>1805</v>
      </c>
      <c r="B97" s="59" t="s">
        <v>851</v>
      </c>
      <c r="C97" s="59" t="s">
        <v>1806</v>
      </c>
      <c r="D97" s="59" t="s">
        <v>838</v>
      </c>
      <c r="E97" s="59" t="s">
        <v>775</v>
      </c>
      <c r="F97" s="60">
        <v>32424</v>
      </c>
      <c r="G97" s="59" t="s">
        <v>1807</v>
      </c>
      <c r="H97" s="59" t="s">
        <v>1808</v>
      </c>
      <c r="I97" s="60">
        <v>34735</v>
      </c>
      <c r="J97" s="61">
        <f t="shared" ca="1" si="4"/>
        <v>31</v>
      </c>
      <c r="K97" s="62">
        <f t="shared" si="5"/>
        <v>54339</v>
      </c>
      <c r="L97" s="59" t="s">
        <v>735</v>
      </c>
      <c r="M97" s="59" t="s">
        <v>937</v>
      </c>
      <c r="N97" s="59" t="s">
        <v>737</v>
      </c>
      <c r="O97" s="63">
        <v>0</v>
      </c>
      <c r="P97" s="61">
        <f>IFERROR(SUMPRODUCT((LK_GradeDerivation!$A$4:$A$135=N97)*(IF(O97="",0,O97)&gt;=LK_GradeDerivation!$B$4:$B$135)*(IF(O97="",0,O97)&lt;=LK_GradeDerivation!$C$4:$C$135)*LK_GradeDerivation!$D$4:$D$135),1)</f>
        <v>4</v>
      </c>
      <c r="Q97" s="61">
        <f>IFERROR(SUMPRODUCT((LK_GradeDerivation!$A$4:$A$135=N97)*(IF(O97="",0,O97)&gt;=LK_GradeDerivation!$B$4:$B$135)*(IF(O97="",0,O97)&lt;=LK_GradeDerivation!$C$4:$C$135)*LK_GradeDerivation!$E$4:$E$135),1)</f>
        <v>1</v>
      </c>
      <c r="R97" s="59" t="s">
        <v>1809</v>
      </c>
      <c r="S97" s="59" t="s">
        <v>1810</v>
      </c>
      <c r="T97" s="59" t="s">
        <v>859</v>
      </c>
      <c r="U97" s="59" t="s">
        <v>940</v>
      </c>
      <c r="V97" s="59" t="s">
        <v>1811</v>
      </c>
      <c r="W97" s="59" t="s">
        <v>285</v>
      </c>
      <c r="X97" s="59" t="s">
        <v>544</v>
      </c>
      <c r="Y97" s="59" t="s">
        <v>546</v>
      </c>
      <c r="Z97" s="64" t="str">
        <f>IFERROR(VLOOKUP(T97,LK_OrgMaster!$B$4:$H$89,5,FALSE()),"Administration")</f>
        <v>Technical</v>
      </c>
      <c r="AA97" s="65" t="str">
        <f>IFERROR(VLOOKUP(X97,LK_LocationMaster!$D$4:$G$157,4,FALSE()),"No")</f>
        <v>Yes</v>
      </c>
      <c r="AB97" s="65" t="str">
        <f t="shared" si="6"/>
        <v>No</v>
      </c>
      <c r="AC97" s="65" t="str">
        <f>IFERROR(VLOOKUP(X97,LK_LocationMaster!$D$4:$H$157,5,FALSE()),"No")</f>
        <v>Yes</v>
      </c>
      <c r="AD97" s="59" t="s">
        <v>967</v>
      </c>
      <c r="AE97" s="59" t="s">
        <v>930</v>
      </c>
      <c r="AF97" s="59" t="s">
        <v>847</v>
      </c>
      <c r="AG97" s="59" t="s">
        <v>312</v>
      </c>
      <c r="AH97" s="59" t="s">
        <v>1812</v>
      </c>
      <c r="AI97" s="59" t="s">
        <v>285</v>
      </c>
      <c r="AJ97" s="59" t="s">
        <v>788</v>
      </c>
      <c r="AK97" s="59" t="s">
        <v>1460</v>
      </c>
      <c r="AL97" s="64" t="str">
        <f>IFERROR(INDEX(LK_BankMaster!$D$4:$D$23,MATCH(AJ97&amp;"|"&amp;AK97,LK_BankMaster!$H$4:$H$23,0)),"")</f>
        <v/>
      </c>
      <c r="AM97" s="59" t="s">
        <v>1813</v>
      </c>
      <c r="AN97" s="64" t="str">
        <f>IFERROR(VLOOKUP(AJ97,LK_BankMaster!$A$4:$E$23,5,FALSE()),"")</f>
        <v/>
      </c>
      <c r="AO97" s="59" t="s">
        <v>314</v>
      </c>
      <c r="AP97" s="66">
        <v>3</v>
      </c>
      <c r="AQ97" s="64" t="str">
        <f t="shared" si="7"/>
        <v>Position Allowance - General Staff</v>
      </c>
      <c r="AR97" s="65" t="str">
        <f>IFERROR(VLOOKUP(T97,LK_OrgMaster!$B$4:$G$89,6,FALSE()),"No")</f>
        <v>No</v>
      </c>
      <c r="AS97" s="64" t="str">
        <f>IFERROR(VLOOKUP(T97,LK_OrgMaster!$B$4:$H$89,7,FALSE()),"None")</f>
        <v>None</v>
      </c>
      <c r="AT97" s="70">
        <v>34735</v>
      </c>
      <c r="AU97" s="70"/>
      <c r="AV97" s="70">
        <v>34735</v>
      </c>
      <c r="AW97" s="70">
        <v>46023</v>
      </c>
      <c r="AX97" s="71" t="s">
        <v>750</v>
      </c>
      <c r="AY97" s="72" t="s">
        <v>6260</v>
      </c>
    </row>
    <row r="98" spans="1:51" ht="15" customHeight="1" x14ac:dyDescent="0.3">
      <c r="A98" s="59" t="s">
        <v>1814</v>
      </c>
      <c r="B98" s="59" t="s">
        <v>752</v>
      </c>
      <c r="C98" s="59" t="s">
        <v>1542</v>
      </c>
      <c r="D98" s="59" t="s">
        <v>1066</v>
      </c>
      <c r="E98" s="59" t="s">
        <v>732</v>
      </c>
      <c r="F98" s="60">
        <v>25148</v>
      </c>
      <c r="G98" s="59" t="s">
        <v>1815</v>
      </c>
      <c r="H98" s="59" t="s">
        <v>1816</v>
      </c>
      <c r="I98" s="60">
        <v>32528</v>
      </c>
      <c r="J98" s="61">
        <f t="shared" ca="1" si="4"/>
        <v>37</v>
      </c>
      <c r="K98" s="62">
        <f t="shared" si="5"/>
        <v>47063</v>
      </c>
      <c r="L98" s="59" t="s">
        <v>735</v>
      </c>
      <c r="M98" s="59" t="s">
        <v>841</v>
      </c>
      <c r="N98" s="59" t="s">
        <v>737</v>
      </c>
      <c r="O98" s="63">
        <v>0</v>
      </c>
      <c r="P98" s="61">
        <f>IFERROR(SUMPRODUCT((LK_GradeDerivation!$A$4:$A$135=N98)*(IF(O98="",0,O98)&gt;=LK_GradeDerivation!$B$4:$B$135)*(IF(O98="",0,O98)&lt;=LK_GradeDerivation!$C$4:$C$135)*LK_GradeDerivation!$D$4:$D$135),1)</f>
        <v>4</v>
      </c>
      <c r="Q98" s="61">
        <f>IFERROR(SUMPRODUCT((LK_GradeDerivation!$A$4:$A$135=N98)*(IF(O98="",0,O98)&gt;=LK_GradeDerivation!$B$4:$B$135)*(IF(O98="",0,O98)&lt;=LK_GradeDerivation!$C$4:$C$135)*LK_GradeDerivation!$E$4:$E$135),1)</f>
        <v>1</v>
      </c>
      <c r="R98" s="59" t="s">
        <v>1817</v>
      </c>
      <c r="S98" s="59" t="s">
        <v>1818</v>
      </c>
      <c r="T98" s="59" t="s">
        <v>1305</v>
      </c>
      <c r="U98" s="59" t="s">
        <v>1486</v>
      </c>
      <c r="V98" s="59" t="s">
        <v>1487</v>
      </c>
      <c r="W98" s="59" t="s">
        <v>285</v>
      </c>
      <c r="X98" s="59" t="s">
        <v>391</v>
      </c>
      <c r="Y98" s="59" t="s">
        <v>404</v>
      </c>
      <c r="Z98" s="64" t="str">
        <f>IFERROR(VLOOKUP(T98,LK_OrgMaster!$B$4:$H$89,5,FALSE()),"Administration")</f>
        <v>Administration</v>
      </c>
      <c r="AA98" s="65" t="str">
        <f>IFERROR(VLOOKUP(X98,LK_LocationMaster!$D$4:$G$157,4,FALSE()),"No")</f>
        <v>Yes</v>
      </c>
      <c r="AB98" s="65" t="str">
        <f t="shared" si="6"/>
        <v>No</v>
      </c>
      <c r="AC98" s="65" t="str">
        <f>IFERROR(VLOOKUP(X98,LK_LocationMaster!$D$4:$H$157,5,FALSE()),"No")</f>
        <v>Yes</v>
      </c>
      <c r="AD98" s="59" t="s">
        <v>1819</v>
      </c>
      <c r="AE98" s="59" t="s">
        <v>930</v>
      </c>
      <c r="AF98" s="59" t="s">
        <v>969</v>
      </c>
      <c r="AG98" s="59" t="s">
        <v>312</v>
      </c>
      <c r="AH98" s="59" t="s">
        <v>1820</v>
      </c>
      <c r="AI98" s="59" t="s">
        <v>285</v>
      </c>
      <c r="AJ98" s="59" t="s">
        <v>833</v>
      </c>
      <c r="AK98" s="59" t="s">
        <v>1013</v>
      </c>
      <c r="AL98" s="64" t="str">
        <f>IFERROR(INDEX(LK_BankMaster!$D$4:$D$23,MATCH(AJ98&amp;"|"&amp;AK98,LK_BankMaster!$H$4:$H$23,0)),"")</f>
        <v/>
      </c>
      <c r="AM98" s="59" t="s">
        <v>1821</v>
      </c>
      <c r="AN98" s="64" t="str">
        <f>IFERROR(VLOOKUP(AJ98,LK_BankMaster!$A$4:$E$23,5,FALSE()),"")</f>
        <v/>
      </c>
      <c r="AO98" s="59" t="s">
        <v>291</v>
      </c>
      <c r="AP98" s="66">
        <v>0</v>
      </c>
      <c r="AQ98" s="64" t="str">
        <f t="shared" si="7"/>
        <v>Position Allowance - Director</v>
      </c>
      <c r="AR98" s="65" t="str">
        <f>IFERROR(VLOOKUP(T98,LK_OrgMaster!$B$4:$G$89,6,FALSE()),"No")</f>
        <v>No</v>
      </c>
      <c r="AS98" s="64" t="str">
        <f>IFERROR(VLOOKUP(T98,LK_OrgMaster!$B$4:$H$89,7,FALSE()),"None")</f>
        <v>None</v>
      </c>
      <c r="AT98" s="67">
        <v>32528</v>
      </c>
      <c r="AU98" s="67"/>
      <c r="AV98" s="67">
        <v>32528</v>
      </c>
      <c r="AW98" s="67">
        <v>46023</v>
      </c>
      <c r="AX98" s="68" t="s">
        <v>750</v>
      </c>
      <c r="AY98" s="69" t="s">
        <v>6260</v>
      </c>
    </row>
    <row r="99" spans="1:51" ht="15" customHeight="1" x14ac:dyDescent="0.3">
      <c r="A99" s="59" t="s">
        <v>1822</v>
      </c>
      <c r="B99" s="59" t="s">
        <v>729</v>
      </c>
      <c r="C99" s="59" t="s">
        <v>1542</v>
      </c>
      <c r="D99" s="59" t="s">
        <v>807</v>
      </c>
      <c r="E99" s="59" t="s">
        <v>732</v>
      </c>
      <c r="F99" s="60">
        <v>24421</v>
      </c>
      <c r="G99" s="59" t="s">
        <v>1823</v>
      </c>
      <c r="H99" s="59" t="s">
        <v>1824</v>
      </c>
      <c r="I99" s="60">
        <v>39417</v>
      </c>
      <c r="J99" s="61">
        <f t="shared" ca="1" si="4"/>
        <v>18</v>
      </c>
      <c r="K99" s="62">
        <f t="shared" si="5"/>
        <v>46336</v>
      </c>
      <c r="L99" s="59" t="s">
        <v>735</v>
      </c>
      <c r="M99" s="59" t="s">
        <v>1163</v>
      </c>
      <c r="N99" s="59" t="s">
        <v>779</v>
      </c>
      <c r="O99" s="63">
        <v>23</v>
      </c>
      <c r="P99" s="61">
        <f>IFERROR(SUMPRODUCT((LK_GradeDerivation!$A$4:$A$135=N99)*(IF(O99="",0,O99)&gt;=LK_GradeDerivation!$B$4:$B$135)*(IF(O99="",0,O99)&lt;=LK_GradeDerivation!$C$4:$C$135)*LK_GradeDerivation!$D$4:$D$135),1)</f>
        <v>2</v>
      </c>
      <c r="Q99" s="61">
        <f>IFERROR(SUMPRODUCT((LK_GradeDerivation!$A$4:$A$135=N99)*(IF(O99="",0,O99)&gt;=LK_GradeDerivation!$B$4:$B$135)*(IF(O99="",0,O99)&lt;=LK_GradeDerivation!$C$4:$C$135)*LK_GradeDerivation!$E$4:$E$135),1)</f>
        <v>12</v>
      </c>
      <c r="R99" s="59" t="s">
        <v>1825</v>
      </c>
      <c r="S99" s="59" t="s">
        <v>1826</v>
      </c>
      <c r="T99" s="59" t="s">
        <v>740</v>
      </c>
      <c r="U99" s="59" t="s">
        <v>1262</v>
      </c>
      <c r="V99" s="59" t="s">
        <v>763</v>
      </c>
      <c r="W99" s="59" t="s">
        <v>285</v>
      </c>
      <c r="X99" s="59" t="s">
        <v>575</v>
      </c>
      <c r="Y99" s="59" t="s">
        <v>579</v>
      </c>
      <c r="Z99" s="64" t="str">
        <f>IFERROR(VLOOKUP(T99,LK_OrgMaster!$B$4:$H$89,5,FALSE()),"Administration")</f>
        <v>Teacher</v>
      </c>
      <c r="AA99" s="65" t="str">
        <f>IFERROR(VLOOKUP(X99,LK_LocationMaster!$D$4:$G$157,4,FALSE()),"No")</f>
        <v>Yes</v>
      </c>
      <c r="AB99" s="65" t="str">
        <f t="shared" si="6"/>
        <v>No</v>
      </c>
      <c r="AC99" s="65" t="str">
        <f>IFERROR(VLOOKUP(X99,LK_LocationMaster!$D$4:$H$157,5,FALSE()),"No")</f>
        <v>Yes</v>
      </c>
      <c r="AD99" s="59" t="s">
        <v>1827</v>
      </c>
      <c r="AE99" s="59" t="s">
        <v>1828</v>
      </c>
      <c r="AF99" s="59" t="s">
        <v>847</v>
      </c>
      <c r="AG99" s="59" t="s">
        <v>312</v>
      </c>
      <c r="AH99" s="59" t="s">
        <v>1829</v>
      </c>
      <c r="AI99" s="59" t="s">
        <v>285</v>
      </c>
      <c r="AJ99" s="59" t="s">
        <v>818</v>
      </c>
      <c r="AK99" s="59" t="s">
        <v>944</v>
      </c>
      <c r="AL99" s="64" t="str">
        <f>IFERROR(INDEX(LK_BankMaster!$D$4:$D$23,MATCH(AJ99&amp;"|"&amp;AK99,LK_BankMaster!$H$4:$H$23,0)),"")</f>
        <v/>
      </c>
      <c r="AM99" s="59" t="s">
        <v>1830</v>
      </c>
      <c r="AN99" s="64" t="str">
        <f>IFERROR(VLOOKUP(AJ99,LK_BankMaster!$A$4:$E$23,5,FALSE()),"")</f>
        <v/>
      </c>
      <c r="AO99" s="59" t="s">
        <v>314</v>
      </c>
      <c r="AP99" s="66">
        <v>1</v>
      </c>
      <c r="AQ99" s="64" t="str">
        <f t="shared" si="7"/>
        <v>Position Allowance - General Staff</v>
      </c>
      <c r="AR99" s="65" t="str">
        <f>IFERROR(VLOOKUP(T99,LK_OrgMaster!$B$4:$G$89,6,FALSE()),"No")</f>
        <v>No</v>
      </c>
      <c r="AS99" s="64" t="str">
        <f>IFERROR(VLOOKUP(T99,LK_OrgMaster!$B$4:$H$89,7,FALSE()),"None")</f>
        <v>Teaching</v>
      </c>
      <c r="AT99" s="70">
        <v>39417</v>
      </c>
      <c r="AU99" s="70"/>
      <c r="AV99" s="70">
        <v>39417</v>
      </c>
      <c r="AW99" s="70">
        <v>46023</v>
      </c>
      <c r="AX99" s="71" t="s">
        <v>750</v>
      </c>
      <c r="AY99" s="72" t="s">
        <v>6260</v>
      </c>
    </row>
    <row r="100" spans="1:51" ht="15" customHeight="1" x14ac:dyDescent="0.3">
      <c r="A100" s="59" t="s">
        <v>1831</v>
      </c>
      <c r="B100" s="59" t="s">
        <v>772</v>
      </c>
      <c r="C100" s="59" t="s">
        <v>1542</v>
      </c>
      <c r="D100" s="59" t="s">
        <v>1066</v>
      </c>
      <c r="E100" s="59" t="s">
        <v>732</v>
      </c>
      <c r="F100" s="60">
        <v>24504</v>
      </c>
      <c r="G100" s="59" t="s">
        <v>1815</v>
      </c>
      <c r="H100" s="59" t="s">
        <v>1832</v>
      </c>
      <c r="I100" s="60">
        <v>41876</v>
      </c>
      <c r="J100" s="61">
        <f t="shared" ca="1" si="4"/>
        <v>11</v>
      </c>
      <c r="K100" s="62">
        <f t="shared" si="5"/>
        <v>46419</v>
      </c>
      <c r="L100" s="59" t="s">
        <v>735</v>
      </c>
      <c r="M100" s="59" t="s">
        <v>736</v>
      </c>
      <c r="N100" s="59" t="s">
        <v>1081</v>
      </c>
      <c r="O100" s="63">
        <v>25</v>
      </c>
      <c r="P100" s="61">
        <f>IFERROR(SUMPRODUCT((LK_GradeDerivation!$A$4:$A$135=N100)*(IF(O100="",0,O100)&gt;=LK_GradeDerivation!$B$4:$B$135)*(IF(O100="",0,O100)&lt;=LK_GradeDerivation!$C$4:$C$135)*LK_GradeDerivation!$D$4:$D$135),1)</f>
        <v>3</v>
      </c>
      <c r="Q100" s="61">
        <f>IFERROR(SUMPRODUCT((LK_GradeDerivation!$A$4:$A$135=N100)*(IF(O100="",0,O100)&gt;=LK_GradeDerivation!$B$4:$B$135)*(IF(O100="",0,O100)&lt;=LK_GradeDerivation!$C$4:$C$135)*LK_GradeDerivation!$E$4:$E$135),1)</f>
        <v>13</v>
      </c>
      <c r="R100" s="59" t="s">
        <v>1833</v>
      </c>
      <c r="S100" s="59" t="s">
        <v>1834</v>
      </c>
      <c r="T100" s="59" t="s">
        <v>740</v>
      </c>
      <c r="U100" s="59" t="s">
        <v>741</v>
      </c>
      <c r="V100" s="59" t="s">
        <v>995</v>
      </c>
      <c r="W100" s="59" t="s">
        <v>285</v>
      </c>
      <c r="X100" s="59" t="s">
        <v>288</v>
      </c>
      <c r="Y100" s="59" t="s">
        <v>302</v>
      </c>
      <c r="Z100" s="64" t="str">
        <f>IFERROR(VLOOKUP(T100,LK_OrgMaster!$B$4:$H$89,5,FALSE()),"Administration")</f>
        <v>Teacher</v>
      </c>
      <c r="AA100" s="65" t="str">
        <f>IFERROR(VLOOKUP(X100,LK_LocationMaster!$D$4:$G$157,4,FALSE()),"No")</f>
        <v>No</v>
      </c>
      <c r="AB100" s="65" t="str">
        <f t="shared" si="6"/>
        <v>No</v>
      </c>
      <c r="AC100" s="65" t="str">
        <f>IFERROR(VLOOKUP(X100,LK_LocationMaster!$D$4:$H$157,5,FALSE()),"No")</f>
        <v>No</v>
      </c>
      <c r="AD100" s="59" t="s">
        <v>1835</v>
      </c>
      <c r="AE100" s="59" t="s">
        <v>1836</v>
      </c>
      <c r="AF100" s="59" t="s">
        <v>816</v>
      </c>
      <c r="AG100" s="59" t="s">
        <v>356</v>
      </c>
      <c r="AH100" s="59" t="s">
        <v>1837</v>
      </c>
      <c r="AI100" s="59" t="s">
        <v>285</v>
      </c>
      <c r="AJ100" s="59" t="s">
        <v>833</v>
      </c>
      <c r="AK100" s="59" t="s">
        <v>1550</v>
      </c>
      <c r="AL100" s="64" t="str">
        <f>IFERROR(INDEX(LK_BankMaster!$D$4:$D$23,MATCH(AJ100&amp;"|"&amp;AK100,LK_BankMaster!$H$4:$H$23,0)),"")</f>
        <v/>
      </c>
      <c r="AM100" s="59" t="s">
        <v>1838</v>
      </c>
      <c r="AN100" s="64" t="str">
        <f>IFERROR(VLOOKUP(AJ100,LK_BankMaster!$A$4:$E$23,5,FALSE()),"")</f>
        <v/>
      </c>
      <c r="AO100" s="59" t="s">
        <v>291</v>
      </c>
      <c r="AP100" s="66">
        <v>0</v>
      </c>
      <c r="AQ100" s="64" t="str">
        <f t="shared" si="7"/>
        <v>Position Allowance - General Staff</v>
      </c>
      <c r="AR100" s="65" t="str">
        <f>IFERROR(VLOOKUP(T100,LK_OrgMaster!$B$4:$G$89,6,FALSE()),"No")</f>
        <v>No</v>
      </c>
      <c r="AS100" s="64" t="str">
        <f>IFERROR(VLOOKUP(T100,LK_OrgMaster!$B$4:$H$89,7,FALSE()),"None")</f>
        <v>Teaching</v>
      </c>
      <c r="AT100" s="67">
        <v>41876</v>
      </c>
      <c r="AU100" s="67"/>
      <c r="AV100" s="67">
        <v>41876</v>
      </c>
      <c r="AW100" s="67">
        <v>46023</v>
      </c>
      <c r="AX100" s="68" t="s">
        <v>750</v>
      </c>
      <c r="AY100" s="69" t="s">
        <v>6260</v>
      </c>
    </row>
    <row r="101" spans="1:51" ht="15" customHeight="1" x14ac:dyDescent="0.3">
      <c r="A101" s="59" t="s">
        <v>1839</v>
      </c>
      <c r="B101" s="59" t="s">
        <v>772</v>
      </c>
      <c r="C101" s="59" t="s">
        <v>1840</v>
      </c>
      <c r="D101" s="59" t="s">
        <v>1256</v>
      </c>
      <c r="E101" s="59" t="s">
        <v>775</v>
      </c>
      <c r="F101" s="60">
        <v>33898</v>
      </c>
      <c r="G101" s="59" t="s">
        <v>1841</v>
      </c>
      <c r="H101" s="59" t="s">
        <v>1842</v>
      </c>
      <c r="I101" s="60">
        <v>33402</v>
      </c>
      <c r="J101" s="61">
        <f t="shared" ca="1" si="4"/>
        <v>34</v>
      </c>
      <c r="K101" s="62">
        <f t="shared" si="5"/>
        <v>55813</v>
      </c>
      <c r="L101" s="59" t="s">
        <v>735</v>
      </c>
      <c r="M101" s="59" t="s">
        <v>1045</v>
      </c>
      <c r="N101" s="59" t="s">
        <v>737</v>
      </c>
      <c r="O101" s="63">
        <v>0</v>
      </c>
      <c r="P101" s="61">
        <f>IFERROR(SUMPRODUCT((LK_GradeDerivation!$A$4:$A$135=N101)*(IF(O101="",0,O101)&gt;=LK_GradeDerivation!$B$4:$B$135)*(IF(O101="",0,O101)&lt;=LK_GradeDerivation!$C$4:$C$135)*LK_GradeDerivation!$D$4:$D$135),1)</f>
        <v>4</v>
      </c>
      <c r="Q101" s="61">
        <f>IFERROR(SUMPRODUCT((LK_GradeDerivation!$A$4:$A$135=N101)*(IF(O101="",0,O101)&gt;=LK_GradeDerivation!$B$4:$B$135)*(IF(O101="",0,O101)&lt;=LK_GradeDerivation!$C$4:$C$135)*LK_GradeDerivation!$E$4:$E$135),1)</f>
        <v>1</v>
      </c>
      <c r="R101" s="59" t="s">
        <v>1843</v>
      </c>
      <c r="S101" s="59" t="s">
        <v>1844</v>
      </c>
      <c r="T101" s="59" t="s">
        <v>896</v>
      </c>
      <c r="U101" s="59" t="s">
        <v>940</v>
      </c>
      <c r="V101" s="59" t="s">
        <v>1845</v>
      </c>
      <c r="W101" s="59" t="s">
        <v>285</v>
      </c>
      <c r="X101" s="59" t="s">
        <v>288</v>
      </c>
      <c r="Y101" s="59" t="s">
        <v>296</v>
      </c>
      <c r="Z101" s="64" t="str">
        <f>IFERROR(VLOOKUP(T101,LK_OrgMaster!$B$4:$H$89,5,FALSE()),"Administration")</f>
        <v>Administration</v>
      </c>
      <c r="AA101" s="65" t="str">
        <f>IFERROR(VLOOKUP(X101,LK_LocationMaster!$D$4:$G$157,4,FALSE()),"No")</f>
        <v>No</v>
      </c>
      <c r="AB101" s="65" t="str">
        <f t="shared" si="6"/>
        <v>No</v>
      </c>
      <c r="AC101" s="65" t="str">
        <f>IFERROR(VLOOKUP(X101,LK_LocationMaster!$D$4:$H$157,5,FALSE()),"No")</f>
        <v>No</v>
      </c>
      <c r="AD101" s="59" t="s">
        <v>1846</v>
      </c>
      <c r="AE101" s="59" t="s">
        <v>930</v>
      </c>
      <c r="AF101" s="59" t="s">
        <v>801</v>
      </c>
      <c r="AG101" s="59" t="s">
        <v>340</v>
      </c>
      <c r="AH101" s="59" t="s">
        <v>1847</v>
      </c>
      <c r="AI101" s="59" t="s">
        <v>285</v>
      </c>
      <c r="AJ101" s="59" t="s">
        <v>768</v>
      </c>
      <c r="AK101" s="59" t="s">
        <v>803</v>
      </c>
      <c r="AL101" s="64" t="str">
        <f>IFERROR(INDEX(LK_BankMaster!$D$4:$D$23,MATCH(AJ101&amp;"|"&amp;AK101,LK_BankMaster!$H$4:$H$23,0)),"")</f>
        <v/>
      </c>
      <c r="AM101" s="59" t="s">
        <v>1848</v>
      </c>
      <c r="AN101" s="64" t="str">
        <f>IFERROR(VLOOKUP(AJ101,LK_BankMaster!$A$4:$E$23,5,FALSE()),"")</f>
        <v/>
      </c>
      <c r="AO101" s="59" t="s">
        <v>291</v>
      </c>
      <c r="AP101" s="66">
        <v>0</v>
      </c>
      <c r="AQ101" s="64" t="str">
        <f t="shared" si="7"/>
        <v>Position Allowance - General Staff</v>
      </c>
      <c r="AR101" s="65" t="str">
        <f>IFERROR(VLOOKUP(T101,LK_OrgMaster!$B$4:$G$89,6,FALSE()),"No")</f>
        <v>No</v>
      </c>
      <c r="AS101" s="64" t="str">
        <f>IFERROR(VLOOKUP(T101,LK_OrgMaster!$B$4:$H$89,7,FALSE()),"None")</f>
        <v>None</v>
      </c>
      <c r="AT101" s="70">
        <v>33402</v>
      </c>
      <c r="AU101" s="70"/>
      <c r="AV101" s="70">
        <v>33402</v>
      </c>
      <c r="AW101" s="70">
        <v>46023</v>
      </c>
      <c r="AX101" s="71" t="s">
        <v>750</v>
      </c>
      <c r="AY101" s="72" t="s">
        <v>6260</v>
      </c>
    </row>
    <row r="102" spans="1:51" ht="15" customHeight="1" x14ac:dyDescent="0.3">
      <c r="A102" s="59" t="s">
        <v>1849</v>
      </c>
      <c r="B102" s="59" t="s">
        <v>851</v>
      </c>
      <c r="C102" s="59" t="s">
        <v>1511</v>
      </c>
      <c r="D102" s="59" t="s">
        <v>1373</v>
      </c>
      <c r="E102" s="59" t="s">
        <v>775</v>
      </c>
      <c r="F102" s="60">
        <v>25911</v>
      </c>
      <c r="G102" s="59" t="s">
        <v>1850</v>
      </c>
      <c r="H102" s="59" t="s">
        <v>1851</v>
      </c>
      <c r="I102" s="60">
        <v>37881</v>
      </c>
      <c r="J102" s="61">
        <f t="shared" ca="1" si="4"/>
        <v>22</v>
      </c>
      <c r="K102" s="62">
        <f t="shared" si="5"/>
        <v>47826</v>
      </c>
      <c r="L102" s="59" t="s">
        <v>735</v>
      </c>
      <c r="M102" s="59" t="s">
        <v>1201</v>
      </c>
      <c r="N102" s="59" t="s">
        <v>779</v>
      </c>
      <c r="O102" s="63">
        <v>14</v>
      </c>
      <c r="P102" s="61">
        <f>IFERROR(SUMPRODUCT((LK_GradeDerivation!$A$4:$A$135=N102)*(IF(O102="",0,O102)&gt;=LK_GradeDerivation!$B$4:$B$135)*(IF(O102="",0,O102)&lt;=LK_GradeDerivation!$C$4:$C$135)*LK_GradeDerivation!$D$4:$D$135),1)</f>
        <v>2</v>
      </c>
      <c r="Q102" s="61">
        <f>IFERROR(SUMPRODUCT((LK_GradeDerivation!$A$4:$A$135=N102)*(IF(O102="",0,O102)&gt;=LK_GradeDerivation!$B$4:$B$135)*(IF(O102="",0,O102)&lt;=LK_GradeDerivation!$C$4:$C$135)*LK_GradeDerivation!$E$4:$E$135),1)</f>
        <v>8</v>
      </c>
      <c r="R102" s="59" t="s">
        <v>1852</v>
      </c>
      <c r="S102" s="59" t="s">
        <v>1853</v>
      </c>
      <c r="T102" s="59" t="s">
        <v>761</v>
      </c>
      <c r="U102" s="59" t="s">
        <v>762</v>
      </c>
      <c r="V102" s="59" t="s">
        <v>1854</v>
      </c>
      <c r="W102" s="59" t="s">
        <v>285</v>
      </c>
      <c r="X102" s="59" t="s">
        <v>288</v>
      </c>
      <c r="Y102" s="59" t="s">
        <v>298</v>
      </c>
      <c r="Z102" s="64" t="str">
        <f>IFERROR(VLOOKUP(T102,LK_OrgMaster!$B$4:$H$89,5,FALSE()),"Administration")</f>
        <v>Administration</v>
      </c>
      <c r="AA102" s="65" t="str">
        <f>IFERROR(VLOOKUP(X102,LK_LocationMaster!$D$4:$G$157,4,FALSE()),"No")</f>
        <v>No</v>
      </c>
      <c r="AB102" s="65" t="str">
        <f t="shared" si="6"/>
        <v>No</v>
      </c>
      <c r="AC102" s="65" t="str">
        <f>IFERROR(VLOOKUP(X102,LK_LocationMaster!$D$4:$H$157,5,FALSE()),"No")</f>
        <v>No</v>
      </c>
      <c r="AD102" s="59" t="s">
        <v>1855</v>
      </c>
      <c r="AE102" s="59" t="s">
        <v>886</v>
      </c>
      <c r="AF102" s="59" t="s">
        <v>816</v>
      </c>
      <c r="AG102" s="59" t="s">
        <v>312</v>
      </c>
      <c r="AH102" s="59" t="s">
        <v>1856</v>
      </c>
      <c r="AI102" s="59" t="s">
        <v>285</v>
      </c>
      <c r="AJ102" s="59" t="s">
        <v>768</v>
      </c>
      <c r="AK102" s="59" t="s">
        <v>1122</v>
      </c>
      <c r="AL102" s="64" t="str">
        <f>IFERROR(INDEX(LK_BankMaster!$D$4:$D$23,MATCH(AJ102&amp;"|"&amp;AK102,LK_BankMaster!$H$4:$H$23,0)),"")</f>
        <v/>
      </c>
      <c r="AM102" s="59" t="s">
        <v>1857</v>
      </c>
      <c r="AN102" s="64" t="str">
        <f>IFERROR(VLOOKUP(AJ102,LK_BankMaster!$A$4:$E$23,5,FALSE()),"")</f>
        <v/>
      </c>
      <c r="AO102" s="59" t="s">
        <v>291</v>
      </c>
      <c r="AP102" s="66">
        <v>0</v>
      </c>
      <c r="AQ102" s="64" t="str">
        <f t="shared" si="7"/>
        <v>Position Allowance - General Staff</v>
      </c>
      <c r="AR102" s="65" t="str">
        <f>IFERROR(VLOOKUP(T102,LK_OrgMaster!$B$4:$G$89,6,FALSE()),"No")</f>
        <v>Yes</v>
      </c>
      <c r="AS102" s="64" t="str">
        <f>IFERROR(VLOOKUP(T102,LK_OrgMaster!$B$4:$H$89,7,FALSE()),"None")</f>
        <v>None</v>
      </c>
      <c r="AT102" s="67">
        <v>37881</v>
      </c>
      <c r="AU102" s="67"/>
      <c r="AV102" s="67">
        <v>37881</v>
      </c>
      <c r="AW102" s="67">
        <v>46023</v>
      </c>
      <c r="AX102" s="68" t="s">
        <v>750</v>
      </c>
      <c r="AY102" s="69" t="s">
        <v>6260</v>
      </c>
    </row>
    <row r="103" spans="1:51" ht="15" customHeight="1" x14ac:dyDescent="0.3">
      <c r="A103" s="59" t="s">
        <v>1858</v>
      </c>
      <c r="B103" s="59" t="s">
        <v>772</v>
      </c>
      <c r="C103" s="59" t="s">
        <v>1859</v>
      </c>
      <c r="D103" s="59" t="s">
        <v>1186</v>
      </c>
      <c r="E103" s="59" t="s">
        <v>732</v>
      </c>
      <c r="F103" s="60">
        <v>26539</v>
      </c>
      <c r="G103" s="59" t="s">
        <v>1860</v>
      </c>
      <c r="H103" s="59" t="s">
        <v>1861</v>
      </c>
      <c r="I103" s="60">
        <v>34122</v>
      </c>
      <c r="J103" s="61">
        <f t="shared" ca="1" si="4"/>
        <v>32</v>
      </c>
      <c r="K103" s="62">
        <f t="shared" si="5"/>
        <v>48454</v>
      </c>
      <c r="L103" s="59" t="s">
        <v>735</v>
      </c>
      <c r="M103" s="59" t="s">
        <v>1163</v>
      </c>
      <c r="N103" s="59" t="s">
        <v>1081</v>
      </c>
      <c r="O103" s="63">
        <v>0</v>
      </c>
      <c r="P103" s="61">
        <f>IFERROR(SUMPRODUCT((LK_GradeDerivation!$A$4:$A$135=N103)*(IF(O103="",0,O103)&gt;=LK_GradeDerivation!$B$4:$B$135)*(IF(O103="",0,O103)&lt;=LK_GradeDerivation!$C$4:$C$135)*LK_GradeDerivation!$D$4:$D$135),1)</f>
        <v>3</v>
      </c>
      <c r="Q103" s="61">
        <f>IFERROR(SUMPRODUCT((LK_GradeDerivation!$A$4:$A$135=N103)*(IF(O103="",0,O103)&gt;=LK_GradeDerivation!$B$4:$B$135)*(IF(O103="",0,O103)&lt;=LK_GradeDerivation!$C$4:$C$135)*LK_GradeDerivation!$E$4:$E$135),1)</f>
        <v>1</v>
      </c>
      <c r="R103" s="59" t="s">
        <v>1862</v>
      </c>
      <c r="S103" s="59" t="s">
        <v>1863</v>
      </c>
      <c r="T103" s="59" t="s">
        <v>740</v>
      </c>
      <c r="U103" s="59" t="s">
        <v>1154</v>
      </c>
      <c r="V103" s="59" t="s">
        <v>1864</v>
      </c>
      <c r="W103" s="59" t="s">
        <v>285</v>
      </c>
      <c r="X103" s="59" t="s">
        <v>477</v>
      </c>
      <c r="Y103" s="59" t="s">
        <v>484</v>
      </c>
      <c r="Z103" s="64" t="str">
        <f>IFERROR(VLOOKUP(T103,LK_OrgMaster!$B$4:$H$89,5,FALSE()),"Administration")</f>
        <v>Teacher</v>
      </c>
      <c r="AA103" s="65" t="str">
        <f>IFERROR(VLOOKUP(X103,LK_LocationMaster!$D$4:$G$157,4,FALSE()),"No")</f>
        <v>No</v>
      </c>
      <c r="AB103" s="65" t="str">
        <f t="shared" si="6"/>
        <v>No</v>
      </c>
      <c r="AC103" s="65" t="str">
        <f>IFERROR(VLOOKUP(X103,LK_LocationMaster!$D$4:$H$157,5,FALSE()),"No")</f>
        <v>Yes</v>
      </c>
      <c r="AD103" s="59" t="s">
        <v>1865</v>
      </c>
      <c r="AE103" s="59" t="s">
        <v>765</v>
      </c>
      <c r="AF103" s="59" t="s">
        <v>984</v>
      </c>
      <c r="AG103" s="59" t="s">
        <v>288</v>
      </c>
      <c r="AH103" s="59" t="s">
        <v>1866</v>
      </c>
      <c r="AI103" s="59" t="s">
        <v>285</v>
      </c>
      <c r="AJ103" s="59" t="s">
        <v>768</v>
      </c>
      <c r="AK103" s="59" t="s">
        <v>1589</v>
      </c>
      <c r="AL103" s="64" t="str">
        <f>IFERROR(INDEX(LK_BankMaster!$D$4:$D$23,MATCH(AJ103&amp;"|"&amp;AK103,LK_BankMaster!$H$4:$H$23,0)),"")</f>
        <v/>
      </c>
      <c r="AM103" s="59" t="s">
        <v>1867</v>
      </c>
      <c r="AN103" s="64" t="str">
        <f>IFERROR(VLOOKUP(AJ103,LK_BankMaster!$A$4:$E$23,5,FALSE()),"")</f>
        <v/>
      </c>
      <c r="AO103" s="59" t="s">
        <v>291</v>
      </c>
      <c r="AP103" s="66">
        <v>0</v>
      </c>
      <c r="AQ103" s="64" t="str">
        <f t="shared" si="7"/>
        <v>Position Allowance - General Staff</v>
      </c>
      <c r="AR103" s="65" t="str">
        <f>IFERROR(VLOOKUP(T103,LK_OrgMaster!$B$4:$G$89,6,FALSE()),"No")</f>
        <v>No</v>
      </c>
      <c r="AS103" s="64" t="str">
        <f>IFERROR(VLOOKUP(T103,LK_OrgMaster!$B$4:$H$89,7,FALSE()),"None")</f>
        <v>Teaching</v>
      </c>
      <c r="AT103" s="70">
        <v>34122</v>
      </c>
      <c r="AU103" s="70"/>
      <c r="AV103" s="70">
        <v>34122</v>
      </c>
      <c r="AW103" s="70">
        <v>46023</v>
      </c>
      <c r="AX103" s="71" t="s">
        <v>750</v>
      </c>
      <c r="AY103" s="72" t="s">
        <v>6260</v>
      </c>
    </row>
    <row r="104" spans="1:51" ht="15" customHeight="1" x14ac:dyDescent="0.3">
      <c r="A104" s="59" t="s">
        <v>1868</v>
      </c>
      <c r="B104" s="59" t="s">
        <v>772</v>
      </c>
      <c r="C104" s="59" t="s">
        <v>792</v>
      </c>
      <c r="D104" s="59" t="s">
        <v>1042</v>
      </c>
      <c r="E104" s="59" t="s">
        <v>775</v>
      </c>
      <c r="F104" s="60">
        <v>31559</v>
      </c>
      <c r="G104" s="59" t="s">
        <v>1869</v>
      </c>
      <c r="H104" s="59" t="s">
        <v>1870</v>
      </c>
      <c r="I104" s="60">
        <v>36505</v>
      </c>
      <c r="J104" s="61">
        <f t="shared" ca="1" si="4"/>
        <v>26</v>
      </c>
      <c r="K104" s="62">
        <f t="shared" si="5"/>
        <v>53474</v>
      </c>
      <c r="L104" s="59" t="s">
        <v>735</v>
      </c>
      <c r="M104" s="59" t="s">
        <v>1871</v>
      </c>
      <c r="N104" s="59" t="s">
        <v>758</v>
      </c>
      <c r="O104" s="63">
        <v>0</v>
      </c>
      <c r="P104" s="61">
        <f>IFERROR(SUMPRODUCT((LK_GradeDerivation!$A$4:$A$135=N104)*(IF(O104="",0,O104)&gt;=LK_GradeDerivation!$B$4:$B$135)*(IF(O104="",0,O104)&lt;=LK_GradeDerivation!$C$4:$C$135)*LK_GradeDerivation!$D$4:$D$135),1)</f>
        <v>5</v>
      </c>
      <c r="Q104" s="61">
        <f>IFERROR(SUMPRODUCT((LK_GradeDerivation!$A$4:$A$135=N104)*(IF(O104="",0,O104)&gt;=LK_GradeDerivation!$B$4:$B$135)*(IF(O104="",0,O104)&lt;=LK_GradeDerivation!$C$4:$C$135)*LK_GradeDerivation!$E$4:$E$135),1)</f>
        <v>1</v>
      </c>
      <c r="R104" s="59" t="s">
        <v>1872</v>
      </c>
      <c r="S104" s="59" t="s">
        <v>1873</v>
      </c>
      <c r="T104" s="59" t="s">
        <v>1118</v>
      </c>
      <c r="U104" s="59" t="s">
        <v>1874</v>
      </c>
      <c r="V104" s="59" t="s">
        <v>763</v>
      </c>
      <c r="W104" s="59" t="s">
        <v>598</v>
      </c>
      <c r="X104" s="59" t="s">
        <v>646</v>
      </c>
      <c r="Y104" s="59" t="s">
        <v>1180</v>
      </c>
      <c r="Z104" s="64" t="str">
        <f>IFERROR(VLOOKUP(T104,LK_OrgMaster!$B$4:$H$89,5,FALSE()),"Administration")</f>
        <v>Diplomatic</v>
      </c>
      <c r="AA104" s="65" t="str">
        <f>IFERROR(VLOOKUP(X104,LK_LocationMaster!$D$4:$G$157,4,FALSE()),"No")</f>
        <v>No</v>
      </c>
      <c r="AB104" s="65" t="str">
        <f t="shared" si="6"/>
        <v>Yes</v>
      </c>
      <c r="AC104" s="65" t="str">
        <f>IFERROR(VLOOKUP(X104,LK_LocationMaster!$D$4:$H$157,5,FALSE()),"No")</f>
        <v>No</v>
      </c>
      <c r="AD104" s="59" t="s">
        <v>1875</v>
      </c>
      <c r="AE104" s="59" t="s">
        <v>886</v>
      </c>
      <c r="AF104" s="59" t="s">
        <v>745</v>
      </c>
      <c r="AG104" s="59" t="s">
        <v>312</v>
      </c>
      <c r="AH104" s="59" t="s">
        <v>1876</v>
      </c>
      <c r="AI104" s="59" t="s">
        <v>285</v>
      </c>
      <c r="AJ104" s="59" t="s">
        <v>788</v>
      </c>
      <c r="AK104" s="59" t="s">
        <v>1877</v>
      </c>
      <c r="AL104" s="64" t="str">
        <f>IFERROR(INDEX(LK_BankMaster!$D$4:$D$23,MATCH(AJ104&amp;"|"&amp;AK104,LK_BankMaster!$H$4:$H$23,0)),"")</f>
        <v/>
      </c>
      <c r="AM104" s="59" t="s">
        <v>1878</v>
      </c>
      <c r="AN104" s="64" t="str">
        <f>IFERROR(VLOOKUP(AJ104,LK_BankMaster!$A$4:$E$23,5,FALSE()),"")</f>
        <v/>
      </c>
      <c r="AO104" s="59" t="s">
        <v>314</v>
      </c>
      <c r="AP104" s="66">
        <v>3</v>
      </c>
      <c r="AQ104" s="64" t="str">
        <f t="shared" si="7"/>
        <v>Position Allowance - General Staff</v>
      </c>
      <c r="AR104" s="65" t="str">
        <f>IFERROR(VLOOKUP(T104,LK_OrgMaster!$B$4:$G$89,6,FALSE()),"No")</f>
        <v>No</v>
      </c>
      <c r="AS104" s="64" t="str">
        <f>IFERROR(VLOOKUP(T104,LK_OrgMaster!$B$4:$H$89,7,FALSE()),"None")</f>
        <v>None</v>
      </c>
      <c r="AT104" s="67">
        <v>36505</v>
      </c>
      <c r="AU104" s="67"/>
      <c r="AV104" s="67">
        <v>36505</v>
      </c>
      <c r="AW104" s="67">
        <v>46023</v>
      </c>
      <c r="AX104" s="68" t="s">
        <v>750</v>
      </c>
      <c r="AY104" s="69" t="s">
        <v>6260</v>
      </c>
    </row>
    <row r="105" spans="1:51" ht="15" customHeight="1" x14ac:dyDescent="0.3">
      <c r="A105" s="59" t="s">
        <v>1879</v>
      </c>
      <c r="B105" s="59" t="s">
        <v>772</v>
      </c>
      <c r="C105" s="59" t="s">
        <v>1111</v>
      </c>
      <c r="D105" s="59" t="s">
        <v>1880</v>
      </c>
      <c r="E105" s="59" t="s">
        <v>775</v>
      </c>
      <c r="F105" s="60">
        <v>31649</v>
      </c>
      <c r="G105" s="59" t="s">
        <v>1881</v>
      </c>
      <c r="H105" s="59" t="s">
        <v>1882</v>
      </c>
      <c r="I105" s="60">
        <v>35235</v>
      </c>
      <c r="J105" s="61">
        <f t="shared" ca="1" si="4"/>
        <v>29</v>
      </c>
      <c r="K105" s="62">
        <f t="shared" si="5"/>
        <v>53564</v>
      </c>
      <c r="L105" s="59" t="s">
        <v>735</v>
      </c>
      <c r="M105" s="59" t="s">
        <v>1069</v>
      </c>
      <c r="N105" s="59" t="s">
        <v>758</v>
      </c>
      <c r="O105" s="63">
        <v>0</v>
      </c>
      <c r="P105" s="61">
        <f>IFERROR(SUMPRODUCT((LK_GradeDerivation!$A$4:$A$135=N105)*(IF(O105="",0,O105)&gt;=LK_GradeDerivation!$B$4:$B$135)*(IF(O105="",0,O105)&lt;=LK_GradeDerivation!$C$4:$C$135)*LK_GradeDerivation!$D$4:$D$135),1)</f>
        <v>5</v>
      </c>
      <c r="Q105" s="61">
        <f>IFERROR(SUMPRODUCT((LK_GradeDerivation!$A$4:$A$135=N105)*(IF(O105="",0,O105)&gt;=LK_GradeDerivation!$B$4:$B$135)*(IF(O105="",0,O105)&lt;=LK_GradeDerivation!$C$4:$C$135)*LK_GradeDerivation!$E$4:$E$135),1)</f>
        <v>1</v>
      </c>
      <c r="R105" s="59" t="s">
        <v>1883</v>
      </c>
      <c r="S105" s="59" t="s">
        <v>1884</v>
      </c>
      <c r="T105" s="59" t="s">
        <v>979</v>
      </c>
      <c r="U105" s="59" t="s">
        <v>1166</v>
      </c>
      <c r="V105" s="59" t="s">
        <v>763</v>
      </c>
      <c r="W105" s="59" t="s">
        <v>285</v>
      </c>
      <c r="X105" s="59" t="s">
        <v>587</v>
      </c>
      <c r="Y105" s="59" t="s">
        <v>591</v>
      </c>
      <c r="Z105" s="64" t="str">
        <f>IFERROR(VLOOKUP(T105,LK_OrgMaster!$B$4:$H$89,5,FALSE()),"Administration")</f>
        <v>Administration</v>
      </c>
      <c r="AA105" s="65" t="str">
        <f>IFERROR(VLOOKUP(X105,LK_LocationMaster!$D$4:$G$157,4,FALSE()),"No")</f>
        <v>Yes</v>
      </c>
      <c r="AB105" s="65" t="str">
        <f t="shared" si="6"/>
        <v>No</v>
      </c>
      <c r="AC105" s="65" t="str">
        <f>IFERROR(VLOOKUP(X105,LK_LocationMaster!$D$4:$H$157,5,FALSE()),"No")</f>
        <v>Yes</v>
      </c>
      <c r="AD105" s="59" t="s">
        <v>1885</v>
      </c>
      <c r="AE105" s="59" t="s">
        <v>930</v>
      </c>
      <c r="AF105" s="59" t="s">
        <v>816</v>
      </c>
      <c r="AG105" s="59" t="s">
        <v>288</v>
      </c>
      <c r="AH105" s="59" t="s">
        <v>1886</v>
      </c>
      <c r="AI105" s="59" t="s">
        <v>285</v>
      </c>
      <c r="AJ105" s="59" t="s">
        <v>833</v>
      </c>
      <c r="AK105" s="59" t="s">
        <v>1550</v>
      </c>
      <c r="AL105" s="64" t="str">
        <f>IFERROR(INDEX(LK_BankMaster!$D$4:$D$23,MATCH(AJ105&amp;"|"&amp;AK105,LK_BankMaster!$H$4:$H$23,0)),"")</f>
        <v/>
      </c>
      <c r="AM105" s="59" t="s">
        <v>1887</v>
      </c>
      <c r="AN105" s="64" t="str">
        <f>IFERROR(VLOOKUP(AJ105,LK_BankMaster!$A$4:$E$23,5,FALSE()),"")</f>
        <v/>
      </c>
      <c r="AO105" s="59" t="s">
        <v>314</v>
      </c>
      <c r="AP105" s="66">
        <v>3</v>
      </c>
      <c r="AQ105" s="64" t="str">
        <f t="shared" si="7"/>
        <v>Position Allowance - General Staff</v>
      </c>
      <c r="AR105" s="65" t="str">
        <f>IFERROR(VLOOKUP(T105,LK_OrgMaster!$B$4:$G$89,6,FALSE()),"No")</f>
        <v>No</v>
      </c>
      <c r="AS105" s="64" t="str">
        <f>IFERROR(VLOOKUP(T105,LK_OrgMaster!$B$4:$H$89,7,FALSE()),"None")</f>
        <v>None</v>
      </c>
      <c r="AT105" s="70">
        <v>35235</v>
      </c>
      <c r="AU105" s="70"/>
      <c r="AV105" s="70">
        <v>35235</v>
      </c>
      <c r="AW105" s="70">
        <v>46023</v>
      </c>
      <c r="AX105" s="71" t="s">
        <v>750</v>
      </c>
      <c r="AY105" s="72" t="s">
        <v>6260</v>
      </c>
    </row>
    <row r="106" spans="1:51" ht="15" customHeight="1" x14ac:dyDescent="0.3">
      <c r="A106" s="59" t="s">
        <v>1888</v>
      </c>
      <c r="B106" s="59" t="s">
        <v>851</v>
      </c>
      <c r="C106" s="59" t="s">
        <v>1501</v>
      </c>
      <c r="D106" s="59" t="s">
        <v>1704</v>
      </c>
      <c r="E106" s="59" t="s">
        <v>775</v>
      </c>
      <c r="F106" s="60">
        <v>35322</v>
      </c>
      <c r="G106" s="59" t="s">
        <v>1889</v>
      </c>
      <c r="H106" s="59" t="s">
        <v>1890</v>
      </c>
      <c r="I106" s="60">
        <v>45044</v>
      </c>
      <c r="J106" s="61">
        <f t="shared" ca="1" si="4"/>
        <v>2</v>
      </c>
      <c r="K106" s="62">
        <f t="shared" si="5"/>
        <v>57237</v>
      </c>
      <c r="L106" s="59" t="s">
        <v>735</v>
      </c>
      <c r="M106" s="59" t="s">
        <v>1891</v>
      </c>
      <c r="N106" s="59" t="s">
        <v>758</v>
      </c>
      <c r="O106" s="63">
        <v>1</v>
      </c>
      <c r="P106" s="61">
        <f>IFERROR(SUMPRODUCT((LK_GradeDerivation!$A$4:$A$135=N106)*(IF(O106="",0,O106)&gt;=LK_GradeDerivation!$B$4:$B$135)*(IF(O106="",0,O106)&lt;=LK_GradeDerivation!$C$4:$C$135)*LK_GradeDerivation!$D$4:$D$135),1)</f>
        <v>5</v>
      </c>
      <c r="Q106" s="61">
        <f>IFERROR(SUMPRODUCT((LK_GradeDerivation!$A$4:$A$135=N106)*(IF(O106="",0,O106)&gt;=LK_GradeDerivation!$B$4:$B$135)*(IF(O106="",0,O106)&lt;=LK_GradeDerivation!$C$4:$C$135)*LK_GradeDerivation!$E$4:$E$135),1)</f>
        <v>1</v>
      </c>
      <c r="R106" s="59" t="s">
        <v>1892</v>
      </c>
      <c r="S106" s="59" t="s">
        <v>1893</v>
      </c>
      <c r="T106" s="59" t="s">
        <v>1118</v>
      </c>
      <c r="U106" s="59" t="s">
        <v>1894</v>
      </c>
      <c r="V106" s="59" t="s">
        <v>1895</v>
      </c>
      <c r="W106" s="59" t="s">
        <v>285</v>
      </c>
      <c r="X106" s="59" t="s">
        <v>329</v>
      </c>
      <c r="Y106" s="59" t="s">
        <v>338</v>
      </c>
      <c r="Z106" s="64" t="str">
        <f>IFERROR(VLOOKUP(T106,LK_OrgMaster!$B$4:$H$89,5,FALSE()),"Administration")</f>
        <v>Diplomatic</v>
      </c>
      <c r="AA106" s="65" t="str">
        <f>IFERROR(VLOOKUP(X106,LK_LocationMaster!$D$4:$G$157,4,FALSE()),"No")</f>
        <v>Yes</v>
      </c>
      <c r="AB106" s="65" t="str">
        <f t="shared" si="6"/>
        <v>No</v>
      </c>
      <c r="AC106" s="65" t="str">
        <f>IFERROR(VLOOKUP(X106,LK_LocationMaster!$D$4:$H$157,5,FALSE()),"No")</f>
        <v>No</v>
      </c>
      <c r="AD106" s="59" t="s">
        <v>1896</v>
      </c>
      <c r="AE106" s="59" t="s">
        <v>765</v>
      </c>
      <c r="AF106" s="59" t="s">
        <v>915</v>
      </c>
      <c r="AG106" s="59" t="s">
        <v>288</v>
      </c>
      <c r="AH106" s="59" t="s">
        <v>1897</v>
      </c>
      <c r="AI106" s="59" t="s">
        <v>285</v>
      </c>
      <c r="AJ106" s="59" t="s">
        <v>788</v>
      </c>
      <c r="AK106" s="59" t="s">
        <v>1370</v>
      </c>
      <c r="AL106" s="64" t="str">
        <f>IFERROR(INDEX(LK_BankMaster!$D$4:$D$23,MATCH(AJ106&amp;"|"&amp;AK106,LK_BankMaster!$H$4:$H$23,0)),"")</f>
        <v/>
      </c>
      <c r="AM106" s="59" t="s">
        <v>1898</v>
      </c>
      <c r="AN106" s="64" t="str">
        <f>IFERROR(VLOOKUP(AJ106,LK_BankMaster!$A$4:$E$23,5,FALSE()),"")</f>
        <v/>
      </c>
      <c r="AO106" s="59" t="s">
        <v>291</v>
      </c>
      <c r="AP106" s="66">
        <v>0</v>
      </c>
      <c r="AQ106" s="64" t="str">
        <f t="shared" si="7"/>
        <v>Position Allowance - General Staff</v>
      </c>
      <c r="AR106" s="65" t="str">
        <f>IFERROR(VLOOKUP(T106,LK_OrgMaster!$B$4:$G$89,6,FALSE()),"No")</f>
        <v>No</v>
      </c>
      <c r="AS106" s="64" t="str">
        <f>IFERROR(VLOOKUP(T106,LK_OrgMaster!$B$4:$H$89,7,FALSE()),"None")</f>
        <v>None</v>
      </c>
      <c r="AT106" s="67">
        <v>45044</v>
      </c>
      <c r="AU106" s="67"/>
      <c r="AV106" s="67">
        <v>45044</v>
      </c>
      <c r="AW106" s="67">
        <v>46023</v>
      </c>
      <c r="AX106" s="68" t="s">
        <v>750</v>
      </c>
      <c r="AY106" s="69" t="s">
        <v>6260</v>
      </c>
    </row>
    <row r="107" spans="1:51" ht="15" customHeight="1" x14ac:dyDescent="0.3">
      <c r="A107" s="59" t="s">
        <v>1899</v>
      </c>
      <c r="B107" s="59" t="s">
        <v>729</v>
      </c>
      <c r="C107" s="59" t="s">
        <v>906</v>
      </c>
      <c r="D107" s="59" t="s">
        <v>1512</v>
      </c>
      <c r="E107" s="59" t="s">
        <v>732</v>
      </c>
      <c r="F107" s="60">
        <v>30766</v>
      </c>
      <c r="G107" s="59" t="s">
        <v>1900</v>
      </c>
      <c r="H107" s="59" t="s">
        <v>1901</v>
      </c>
      <c r="I107" s="60">
        <v>40581</v>
      </c>
      <c r="J107" s="61">
        <f t="shared" ca="1" si="4"/>
        <v>15</v>
      </c>
      <c r="K107" s="62">
        <f t="shared" si="5"/>
        <v>52681</v>
      </c>
      <c r="L107" s="59" t="s">
        <v>735</v>
      </c>
      <c r="M107" s="59" t="s">
        <v>1020</v>
      </c>
      <c r="N107" s="59" t="s">
        <v>758</v>
      </c>
      <c r="O107" s="63">
        <v>1</v>
      </c>
      <c r="P107" s="61">
        <f>IFERROR(SUMPRODUCT((LK_GradeDerivation!$A$4:$A$135=N107)*(IF(O107="",0,O107)&gt;=LK_GradeDerivation!$B$4:$B$135)*(IF(O107="",0,O107)&lt;=LK_GradeDerivation!$C$4:$C$135)*LK_GradeDerivation!$D$4:$D$135),1)</f>
        <v>5</v>
      </c>
      <c r="Q107" s="61">
        <f>IFERROR(SUMPRODUCT((LK_GradeDerivation!$A$4:$A$135=N107)*(IF(O107="",0,O107)&gt;=LK_GradeDerivation!$B$4:$B$135)*(IF(O107="",0,O107)&lt;=LK_GradeDerivation!$C$4:$C$135)*LK_GradeDerivation!$E$4:$E$135),1)</f>
        <v>1</v>
      </c>
      <c r="R107" s="59" t="s">
        <v>1902</v>
      </c>
      <c r="S107" s="59" t="s">
        <v>1903</v>
      </c>
      <c r="T107" s="59" t="s">
        <v>979</v>
      </c>
      <c r="U107" s="59" t="s">
        <v>980</v>
      </c>
      <c r="V107" s="59" t="s">
        <v>1904</v>
      </c>
      <c r="W107" s="59" t="s">
        <v>285</v>
      </c>
      <c r="X107" s="59" t="s">
        <v>340</v>
      </c>
      <c r="Y107" s="59" t="s">
        <v>344</v>
      </c>
      <c r="Z107" s="64" t="str">
        <f>IFERROR(VLOOKUP(T107,LK_OrgMaster!$B$4:$H$89,5,FALSE()),"Administration")</f>
        <v>Administration</v>
      </c>
      <c r="AA107" s="65" t="str">
        <f>IFERROR(VLOOKUP(X107,LK_LocationMaster!$D$4:$G$157,4,FALSE()),"No")</f>
        <v>No</v>
      </c>
      <c r="AB107" s="65" t="str">
        <f t="shared" si="6"/>
        <v>No</v>
      </c>
      <c r="AC107" s="65" t="str">
        <f>IFERROR(VLOOKUP(X107,LK_LocationMaster!$D$4:$H$157,5,FALSE()),"No")</f>
        <v>No</v>
      </c>
      <c r="AD107" s="59" t="s">
        <v>1905</v>
      </c>
      <c r="AE107" s="59" t="s">
        <v>765</v>
      </c>
      <c r="AF107" s="59" t="s">
        <v>801</v>
      </c>
      <c r="AG107" s="59" t="s">
        <v>368</v>
      </c>
      <c r="AH107" s="59" t="s">
        <v>1906</v>
      </c>
      <c r="AI107" s="59" t="s">
        <v>285</v>
      </c>
      <c r="AJ107" s="59" t="s">
        <v>788</v>
      </c>
      <c r="AK107" s="59" t="s">
        <v>1370</v>
      </c>
      <c r="AL107" s="64" t="str">
        <f>IFERROR(INDEX(LK_BankMaster!$D$4:$D$23,MATCH(AJ107&amp;"|"&amp;AK107,LK_BankMaster!$H$4:$H$23,0)),"")</f>
        <v/>
      </c>
      <c r="AM107" s="59" t="s">
        <v>1907</v>
      </c>
      <c r="AN107" s="64" t="str">
        <f>IFERROR(VLOOKUP(AJ107,LK_BankMaster!$A$4:$E$23,5,FALSE()),"")</f>
        <v/>
      </c>
      <c r="AO107" s="59" t="s">
        <v>314</v>
      </c>
      <c r="AP107" s="66">
        <v>3</v>
      </c>
      <c r="AQ107" s="64" t="str">
        <f t="shared" si="7"/>
        <v>Position Allowance - Section Chief</v>
      </c>
      <c r="AR107" s="65" t="str">
        <f>IFERROR(VLOOKUP(T107,LK_OrgMaster!$B$4:$G$89,6,FALSE()),"No")</f>
        <v>No</v>
      </c>
      <c r="AS107" s="64" t="str">
        <f>IFERROR(VLOOKUP(T107,LK_OrgMaster!$B$4:$H$89,7,FALSE()),"None")</f>
        <v>None</v>
      </c>
      <c r="AT107" s="70">
        <v>40581</v>
      </c>
      <c r="AU107" s="70"/>
      <c r="AV107" s="70">
        <v>40581</v>
      </c>
      <c r="AW107" s="70">
        <v>46023</v>
      </c>
      <c r="AX107" s="71" t="s">
        <v>750</v>
      </c>
      <c r="AY107" s="72" t="s">
        <v>6260</v>
      </c>
    </row>
    <row r="108" spans="1:51" ht="15" customHeight="1" x14ac:dyDescent="0.3">
      <c r="A108" s="59" t="s">
        <v>1908</v>
      </c>
      <c r="B108" s="59" t="s">
        <v>772</v>
      </c>
      <c r="C108" s="59" t="s">
        <v>837</v>
      </c>
      <c r="D108" s="59" t="s">
        <v>1909</v>
      </c>
      <c r="E108" s="59" t="s">
        <v>775</v>
      </c>
      <c r="F108" s="60">
        <v>36214</v>
      </c>
      <c r="G108" s="59" t="s">
        <v>1910</v>
      </c>
      <c r="H108" s="59" t="s">
        <v>1911</v>
      </c>
      <c r="I108" s="60">
        <v>41065</v>
      </c>
      <c r="J108" s="61">
        <f t="shared" ca="1" si="4"/>
        <v>13</v>
      </c>
      <c r="K108" s="62">
        <f t="shared" si="5"/>
        <v>58129</v>
      </c>
      <c r="L108" s="59" t="s">
        <v>735</v>
      </c>
      <c r="M108" s="59" t="s">
        <v>1912</v>
      </c>
      <c r="N108" s="59" t="s">
        <v>737</v>
      </c>
      <c r="O108" s="63">
        <v>0</v>
      </c>
      <c r="P108" s="61">
        <f>IFERROR(SUMPRODUCT((LK_GradeDerivation!$A$4:$A$135=N108)*(IF(O108="",0,O108)&gt;=LK_GradeDerivation!$B$4:$B$135)*(IF(O108="",0,O108)&lt;=LK_GradeDerivation!$C$4:$C$135)*LK_GradeDerivation!$D$4:$D$135),1)</f>
        <v>4</v>
      </c>
      <c r="Q108" s="61">
        <f>IFERROR(SUMPRODUCT((LK_GradeDerivation!$A$4:$A$135=N108)*(IF(O108="",0,O108)&gt;=LK_GradeDerivation!$B$4:$B$135)*(IF(O108="",0,O108)&lt;=LK_GradeDerivation!$C$4:$C$135)*LK_GradeDerivation!$E$4:$E$135),1)</f>
        <v>1</v>
      </c>
      <c r="R108" s="59" t="s">
        <v>1913</v>
      </c>
      <c r="S108" s="59" t="s">
        <v>1914</v>
      </c>
      <c r="T108" s="59" t="s">
        <v>782</v>
      </c>
      <c r="U108" s="59" t="s">
        <v>1772</v>
      </c>
      <c r="V108" s="59" t="s">
        <v>1915</v>
      </c>
      <c r="W108" s="59" t="s">
        <v>285</v>
      </c>
      <c r="X108" s="59" t="s">
        <v>477</v>
      </c>
      <c r="Y108" s="59" t="s">
        <v>492</v>
      </c>
      <c r="Z108" s="64" t="str">
        <f>IFERROR(VLOOKUP(T108,LK_OrgMaster!$B$4:$H$89,5,FALSE()),"Administration")</f>
        <v>Medical</v>
      </c>
      <c r="AA108" s="65" t="str">
        <f>IFERROR(VLOOKUP(X108,LK_LocationMaster!$D$4:$G$157,4,FALSE()),"No")</f>
        <v>No</v>
      </c>
      <c r="AB108" s="65" t="str">
        <f t="shared" si="6"/>
        <v>No</v>
      </c>
      <c r="AC108" s="65" t="str">
        <f>IFERROR(VLOOKUP(X108,LK_LocationMaster!$D$4:$H$157,5,FALSE()),"No")</f>
        <v>Yes</v>
      </c>
      <c r="AD108" s="59" t="s">
        <v>1916</v>
      </c>
      <c r="AE108" s="59" t="s">
        <v>1917</v>
      </c>
      <c r="AF108" s="59" t="s">
        <v>915</v>
      </c>
      <c r="AG108" s="59" t="s">
        <v>408</v>
      </c>
      <c r="AH108" s="59" t="s">
        <v>1918</v>
      </c>
      <c r="AI108" s="59" t="s">
        <v>285</v>
      </c>
      <c r="AJ108" s="59" t="s">
        <v>747</v>
      </c>
      <c r="AK108" s="59" t="s">
        <v>748</v>
      </c>
      <c r="AL108" s="64" t="str">
        <f>IFERROR(INDEX(LK_BankMaster!$D$4:$D$23,MATCH(AJ108&amp;"|"&amp;AK108,LK_BankMaster!$H$4:$H$23,0)),"")</f>
        <v/>
      </c>
      <c r="AM108" s="59" t="s">
        <v>1919</v>
      </c>
      <c r="AN108" s="64" t="str">
        <f>IFERROR(VLOOKUP(AJ108,LK_BankMaster!$A$4:$E$23,5,FALSE()),"")</f>
        <v/>
      </c>
      <c r="AO108" s="59" t="s">
        <v>314</v>
      </c>
      <c r="AP108" s="66">
        <v>1</v>
      </c>
      <c r="AQ108" s="64" t="str">
        <f t="shared" si="7"/>
        <v>Position Allowance - General Staff</v>
      </c>
      <c r="AR108" s="65" t="str">
        <f>IFERROR(VLOOKUP(T108,LK_OrgMaster!$B$4:$G$89,6,FALSE()),"No")</f>
        <v>No</v>
      </c>
      <c r="AS108" s="64" t="str">
        <f>IFERROR(VLOOKUP(T108,LK_OrgMaster!$B$4:$H$89,7,FALSE()),"None")</f>
        <v>Medical</v>
      </c>
      <c r="AT108" s="67">
        <v>41065</v>
      </c>
      <c r="AU108" s="67"/>
      <c r="AV108" s="67">
        <v>41065</v>
      </c>
      <c r="AW108" s="67">
        <v>46023</v>
      </c>
      <c r="AX108" s="68" t="s">
        <v>750</v>
      </c>
      <c r="AY108" s="69" t="s">
        <v>6260</v>
      </c>
    </row>
    <row r="109" spans="1:51" ht="15" customHeight="1" x14ac:dyDescent="0.3">
      <c r="A109" s="59" t="s">
        <v>1920</v>
      </c>
      <c r="B109" s="59" t="s">
        <v>851</v>
      </c>
      <c r="C109" s="59" t="s">
        <v>1921</v>
      </c>
      <c r="D109" s="59" t="s">
        <v>823</v>
      </c>
      <c r="E109" s="59" t="s">
        <v>775</v>
      </c>
      <c r="F109" s="60">
        <v>32833</v>
      </c>
      <c r="G109" s="59" t="s">
        <v>1922</v>
      </c>
      <c r="H109" s="59" t="s">
        <v>1923</v>
      </c>
      <c r="I109" s="60">
        <v>36699</v>
      </c>
      <c r="J109" s="61">
        <f t="shared" ca="1" si="4"/>
        <v>25</v>
      </c>
      <c r="K109" s="62">
        <f t="shared" si="5"/>
        <v>54748</v>
      </c>
      <c r="L109" s="59" t="s">
        <v>735</v>
      </c>
      <c r="M109" s="59" t="s">
        <v>1574</v>
      </c>
      <c r="N109" s="59" t="s">
        <v>737</v>
      </c>
      <c r="O109" s="63">
        <v>0</v>
      </c>
      <c r="P109" s="61">
        <f>IFERROR(SUMPRODUCT((LK_GradeDerivation!$A$4:$A$135=N109)*(IF(O109="",0,O109)&gt;=LK_GradeDerivation!$B$4:$B$135)*(IF(O109="",0,O109)&lt;=LK_GradeDerivation!$C$4:$C$135)*LK_GradeDerivation!$D$4:$D$135),1)</f>
        <v>4</v>
      </c>
      <c r="Q109" s="61">
        <f>IFERROR(SUMPRODUCT((LK_GradeDerivation!$A$4:$A$135=N109)*(IF(O109="",0,O109)&gt;=LK_GradeDerivation!$B$4:$B$135)*(IF(O109="",0,O109)&lt;=LK_GradeDerivation!$C$4:$C$135)*LK_GradeDerivation!$E$4:$E$135),1)</f>
        <v>1</v>
      </c>
      <c r="R109" s="59" t="s">
        <v>1924</v>
      </c>
      <c r="S109" s="59" t="s">
        <v>1925</v>
      </c>
      <c r="T109" s="59" t="s">
        <v>844</v>
      </c>
      <c r="U109" s="59" t="s">
        <v>1048</v>
      </c>
      <c r="V109" s="59" t="s">
        <v>1926</v>
      </c>
      <c r="W109" s="59" t="s">
        <v>285</v>
      </c>
      <c r="X109" s="59" t="s">
        <v>408</v>
      </c>
      <c r="Y109" s="59" t="s">
        <v>411</v>
      </c>
      <c r="Z109" s="64" t="str">
        <f>IFERROR(VLOOKUP(T109,LK_OrgMaster!$B$4:$H$89,5,FALSE()),"Administration")</f>
        <v>Administration</v>
      </c>
      <c r="AA109" s="65" t="str">
        <f>IFERROR(VLOOKUP(X109,LK_LocationMaster!$D$4:$G$157,4,FALSE()),"No")</f>
        <v>Yes</v>
      </c>
      <c r="AB109" s="65" t="str">
        <f t="shared" si="6"/>
        <v>No</v>
      </c>
      <c r="AC109" s="65" t="str">
        <f>IFERROR(VLOOKUP(X109,LK_LocationMaster!$D$4:$H$157,5,FALSE()),"No")</f>
        <v>No</v>
      </c>
      <c r="AD109" s="59" t="s">
        <v>1927</v>
      </c>
      <c r="AE109" s="59" t="s">
        <v>930</v>
      </c>
      <c r="AF109" s="59" t="s">
        <v>984</v>
      </c>
      <c r="AG109" s="59" t="s">
        <v>312</v>
      </c>
      <c r="AH109" s="59" t="s">
        <v>1928</v>
      </c>
      <c r="AI109" s="59" t="s">
        <v>285</v>
      </c>
      <c r="AJ109" s="59" t="s">
        <v>788</v>
      </c>
      <c r="AK109" s="59" t="s">
        <v>1146</v>
      </c>
      <c r="AL109" s="64" t="str">
        <f>IFERROR(INDEX(LK_BankMaster!$D$4:$D$23,MATCH(AJ109&amp;"|"&amp;AK109,LK_BankMaster!$H$4:$H$23,0)),"")</f>
        <v/>
      </c>
      <c r="AM109" s="59" t="s">
        <v>1929</v>
      </c>
      <c r="AN109" s="64" t="str">
        <f>IFERROR(VLOOKUP(AJ109,LK_BankMaster!$A$4:$E$23,5,FALSE()),"")</f>
        <v/>
      </c>
      <c r="AO109" s="59" t="s">
        <v>291</v>
      </c>
      <c r="AP109" s="66">
        <v>0</v>
      </c>
      <c r="AQ109" s="64" t="str">
        <f t="shared" si="7"/>
        <v>Position Allowance - Deputy Director</v>
      </c>
      <c r="AR109" s="65" t="str">
        <f>IFERROR(VLOOKUP(T109,LK_OrgMaster!$B$4:$G$89,6,FALSE()),"No")</f>
        <v>No</v>
      </c>
      <c r="AS109" s="64" t="str">
        <f>IFERROR(VLOOKUP(T109,LK_OrgMaster!$B$4:$H$89,7,FALSE()),"None")</f>
        <v>None</v>
      </c>
      <c r="AT109" s="70">
        <v>36699</v>
      </c>
      <c r="AU109" s="70"/>
      <c r="AV109" s="70">
        <v>36699</v>
      </c>
      <c r="AW109" s="70">
        <v>46023</v>
      </c>
      <c r="AX109" s="71" t="s">
        <v>750</v>
      </c>
      <c r="AY109" s="72" t="s">
        <v>6260</v>
      </c>
    </row>
    <row r="110" spans="1:51" ht="15" customHeight="1" x14ac:dyDescent="0.3">
      <c r="A110" s="59" t="s">
        <v>1930</v>
      </c>
      <c r="B110" s="59" t="s">
        <v>729</v>
      </c>
      <c r="C110" s="59" t="s">
        <v>1016</v>
      </c>
      <c r="D110" s="59" t="s">
        <v>1331</v>
      </c>
      <c r="E110" s="59" t="s">
        <v>732</v>
      </c>
      <c r="F110" s="60">
        <v>27097</v>
      </c>
      <c r="G110" s="59" t="s">
        <v>1931</v>
      </c>
      <c r="H110" s="59" t="s">
        <v>1932</v>
      </c>
      <c r="I110" s="60">
        <v>41797</v>
      </c>
      <c r="J110" s="61">
        <f t="shared" ca="1" si="4"/>
        <v>11</v>
      </c>
      <c r="K110" s="62">
        <f t="shared" si="5"/>
        <v>49012</v>
      </c>
      <c r="L110" s="59" t="s">
        <v>735</v>
      </c>
      <c r="M110" s="59" t="s">
        <v>1201</v>
      </c>
      <c r="N110" s="59" t="s">
        <v>1081</v>
      </c>
      <c r="O110" s="63">
        <v>20</v>
      </c>
      <c r="P110" s="61">
        <f>IFERROR(SUMPRODUCT((LK_GradeDerivation!$A$4:$A$135=N110)*(IF(O110="",0,O110)&gt;=LK_GradeDerivation!$B$4:$B$135)*(IF(O110="",0,O110)&lt;=LK_GradeDerivation!$C$4:$C$135)*LK_GradeDerivation!$D$4:$D$135),1)</f>
        <v>3</v>
      </c>
      <c r="Q110" s="61">
        <f>IFERROR(SUMPRODUCT((LK_GradeDerivation!$A$4:$A$135=N110)*(IF(O110="",0,O110)&gt;=LK_GradeDerivation!$B$4:$B$135)*(IF(O110="",0,O110)&lt;=LK_GradeDerivation!$C$4:$C$135)*LK_GradeDerivation!$E$4:$E$135),1)</f>
        <v>11</v>
      </c>
      <c r="R110" s="59" t="s">
        <v>1933</v>
      </c>
      <c r="S110" s="59" t="s">
        <v>1934</v>
      </c>
      <c r="T110" s="59" t="s">
        <v>1305</v>
      </c>
      <c r="U110" s="59" t="s">
        <v>1792</v>
      </c>
      <c r="V110" s="59" t="s">
        <v>830</v>
      </c>
      <c r="W110" s="59" t="s">
        <v>285</v>
      </c>
      <c r="X110" s="59" t="s">
        <v>356</v>
      </c>
      <c r="Y110" s="59" t="s">
        <v>358</v>
      </c>
      <c r="Z110" s="64" t="str">
        <f>IFERROR(VLOOKUP(T110,LK_OrgMaster!$B$4:$H$89,5,FALSE()),"Administration")</f>
        <v>Administration</v>
      </c>
      <c r="AA110" s="65" t="str">
        <f>IFERROR(VLOOKUP(X110,LK_LocationMaster!$D$4:$G$157,4,FALSE()),"No")</f>
        <v>Yes</v>
      </c>
      <c r="AB110" s="65" t="str">
        <f t="shared" si="6"/>
        <v>No</v>
      </c>
      <c r="AC110" s="65" t="str">
        <f>IFERROR(VLOOKUP(X110,LK_LocationMaster!$D$4:$H$157,5,FALSE()),"No")</f>
        <v>No</v>
      </c>
      <c r="AD110" s="59" t="s">
        <v>885</v>
      </c>
      <c r="AE110" s="59" t="s">
        <v>765</v>
      </c>
      <c r="AF110" s="59" t="s">
        <v>816</v>
      </c>
      <c r="AG110" s="59" t="s">
        <v>312</v>
      </c>
      <c r="AH110" s="59" t="s">
        <v>1935</v>
      </c>
      <c r="AI110" s="59" t="s">
        <v>285</v>
      </c>
      <c r="AJ110" s="59" t="s">
        <v>747</v>
      </c>
      <c r="AK110" s="59" t="s">
        <v>748</v>
      </c>
      <c r="AL110" s="64" t="str">
        <f>IFERROR(INDEX(LK_BankMaster!$D$4:$D$23,MATCH(AJ110&amp;"|"&amp;AK110,LK_BankMaster!$H$4:$H$23,0)),"")</f>
        <v/>
      </c>
      <c r="AM110" s="59" t="s">
        <v>1936</v>
      </c>
      <c r="AN110" s="64" t="str">
        <f>IFERROR(VLOOKUP(AJ110,LK_BankMaster!$A$4:$E$23,5,FALSE()),"")</f>
        <v/>
      </c>
      <c r="AO110" s="59" t="s">
        <v>314</v>
      </c>
      <c r="AP110" s="66">
        <v>3</v>
      </c>
      <c r="AQ110" s="64" t="str">
        <f t="shared" si="7"/>
        <v>Position Allowance - General Staff</v>
      </c>
      <c r="AR110" s="65" t="str">
        <f>IFERROR(VLOOKUP(T110,LK_OrgMaster!$B$4:$G$89,6,FALSE()),"No")</f>
        <v>No</v>
      </c>
      <c r="AS110" s="64" t="str">
        <f>IFERROR(VLOOKUP(T110,LK_OrgMaster!$B$4:$H$89,7,FALSE()),"None")</f>
        <v>None</v>
      </c>
      <c r="AT110" s="67">
        <v>41797</v>
      </c>
      <c r="AU110" s="67"/>
      <c r="AV110" s="67">
        <v>41797</v>
      </c>
      <c r="AW110" s="67">
        <v>46023</v>
      </c>
      <c r="AX110" s="68" t="s">
        <v>750</v>
      </c>
      <c r="AY110" s="69" t="s">
        <v>6260</v>
      </c>
    </row>
    <row r="111" spans="1:51" ht="15" customHeight="1" x14ac:dyDescent="0.3">
      <c r="A111" s="59" t="s">
        <v>1937</v>
      </c>
      <c r="B111" s="59" t="s">
        <v>772</v>
      </c>
      <c r="C111" s="59" t="s">
        <v>1440</v>
      </c>
      <c r="D111" s="59" t="s">
        <v>1373</v>
      </c>
      <c r="E111" s="59" t="s">
        <v>775</v>
      </c>
      <c r="F111" s="60">
        <v>25732</v>
      </c>
      <c r="G111" s="59" t="s">
        <v>1938</v>
      </c>
      <c r="H111" s="59" t="s">
        <v>1939</v>
      </c>
      <c r="I111" s="60">
        <v>37911</v>
      </c>
      <c r="J111" s="61">
        <f t="shared" ca="1" si="4"/>
        <v>22</v>
      </c>
      <c r="K111" s="62">
        <f t="shared" si="5"/>
        <v>47647</v>
      </c>
      <c r="L111" s="59" t="s">
        <v>735</v>
      </c>
      <c r="M111" s="59" t="s">
        <v>893</v>
      </c>
      <c r="N111" s="59" t="s">
        <v>737</v>
      </c>
      <c r="O111" s="63">
        <v>11</v>
      </c>
      <c r="P111" s="61">
        <f>IFERROR(SUMPRODUCT((LK_GradeDerivation!$A$4:$A$135=N111)*(IF(O111="",0,O111)&gt;=LK_GradeDerivation!$B$4:$B$135)*(IF(O111="",0,O111)&lt;=LK_GradeDerivation!$C$4:$C$135)*LK_GradeDerivation!$D$4:$D$135),1)</f>
        <v>4</v>
      </c>
      <c r="Q111" s="61">
        <f>IFERROR(SUMPRODUCT((LK_GradeDerivation!$A$4:$A$135=N111)*(IF(O111="",0,O111)&gt;=LK_GradeDerivation!$B$4:$B$135)*(IF(O111="",0,O111)&lt;=LK_GradeDerivation!$C$4:$C$135)*LK_GradeDerivation!$E$4:$E$135),1)</f>
        <v>6</v>
      </c>
      <c r="R111" s="59" t="s">
        <v>1940</v>
      </c>
      <c r="S111" s="59" t="s">
        <v>1941</v>
      </c>
      <c r="T111" s="59" t="s">
        <v>761</v>
      </c>
      <c r="U111" s="59" t="s">
        <v>1942</v>
      </c>
      <c r="V111" s="59" t="s">
        <v>1167</v>
      </c>
      <c r="W111" s="59" t="s">
        <v>285</v>
      </c>
      <c r="X111" s="59" t="s">
        <v>288</v>
      </c>
      <c r="Y111" s="59" t="s">
        <v>302</v>
      </c>
      <c r="Z111" s="64" t="str">
        <f>IFERROR(VLOOKUP(T111,LK_OrgMaster!$B$4:$H$89,5,FALSE()),"Administration")</f>
        <v>Administration</v>
      </c>
      <c r="AA111" s="65" t="str">
        <f>IFERROR(VLOOKUP(X111,LK_LocationMaster!$D$4:$G$157,4,FALSE()),"No")</f>
        <v>No</v>
      </c>
      <c r="AB111" s="65" t="str">
        <f t="shared" si="6"/>
        <v>No</v>
      </c>
      <c r="AC111" s="65" t="str">
        <f>IFERROR(VLOOKUP(X111,LK_LocationMaster!$D$4:$H$157,5,FALSE()),"No")</f>
        <v>No</v>
      </c>
      <c r="AD111" s="59" t="s">
        <v>1943</v>
      </c>
      <c r="AE111" s="59" t="s">
        <v>1944</v>
      </c>
      <c r="AF111" s="59" t="s">
        <v>915</v>
      </c>
      <c r="AG111" s="59" t="s">
        <v>408</v>
      </c>
      <c r="AH111" s="59" t="s">
        <v>1945</v>
      </c>
      <c r="AI111" s="59" t="s">
        <v>285</v>
      </c>
      <c r="AJ111" s="59" t="s">
        <v>833</v>
      </c>
      <c r="AK111" s="59" t="s">
        <v>1550</v>
      </c>
      <c r="AL111" s="64" t="str">
        <f>IFERROR(INDEX(LK_BankMaster!$D$4:$D$23,MATCH(AJ111&amp;"|"&amp;AK111,LK_BankMaster!$H$4:$H$23,0)),"")</f>
        <v/>
      </c>
      <c r="AM111" s="59" t="s">
        <v>1946</v>
      </c>
      <c r="AN111" s="64" t="str">
        <f>IFERROR(VLOOKUP(AJ111,LK_BankMaster!$A$4:$E$23,5,FALSE()),"")</f>
        <v/>
      </c>
      <c r="AO111" s="59" t="s">
        <v>314</v>
      </c>
      <c r="AP111" s="66">
        <v>0</v>
      </c>
      <c r="AQ111" s="64" t="str">
        <f t="shared" si="7"/>
        <v>Position Allowance - General Staff</v>
      </c>
      <c r="AR111" s="65" t="str">
        <f>IFERROR(VLOOKUP(T111,LK_OrgMaster!$B$4:$G$89,6,FALSE()),"No")</f>
        <v>Yes</v>
      </c>
      <c r="AS111" s="64" t="str">
        <f>IFERROR(VLOOKUP(T111,LK_OrgMaster!$B$4:$H$89,7,FALSE()),"None")</f>
        <v>None</v>
      </c>
      <c r="AT111" s="70">
        <v>37911</v>
      </c>
      <c r="AU111" s="70"/>
      <c r="AV111" s="70">
        <v>37911</v>
      </c>
      <c r="AW111" s="70">
        <v>46023</v>
      </c>
      <c r="AX111" s="71" t="s">
        <v>750</v>
      </c>
      <c r="AY111" s="72" t="s">
        <v>6260</v>
      </c>
    </row>
    <row r="112" spans="1:51" ht="15" customHeight="1" x14ac:dyDescent="0.3">
      <c r="A112" s="59" t="s">
        <v>1947</v>
      </c>
      <c r="B112" s="59" t="s">
        <v>851</v>
      </c>
      <c r="C112" s="59" t="s">
        <v>1840</v>
      </c>
      <c r="D112" s="59" t="s">
        <v>921</v>
      </c>
      <c r="E112" s="59" t="s">
        <v>775</v>
      </c>
      <c r="F112" s="60">
        <v>29139</v>
      </c>
      <c r="G112" s="59" t="s">
        <v>1948</v>
      </c>
      <c r="H112" s="59" t="s">
        <v>1949</v>
      </c>
      <c r="I112" s="60">
        <v>41706</v>
      </c>
      <c r="J112" s="61">
        <f t="shared" ca="1" si="4"/>
        <v>12</v>
      </c>
      <c r="K112" s="62">
        <f t="shared" si="5"/>
        <v>51054</v>
      </c>
      <c r="L112" s="59" t="s">
        <v>735</v>
      </c>
      <c r="M112" s="59" t="s">
        <v>1950</v>
      </c>
      <c r="N112" s="59" t="s">
        <v>758</v>
      </c>
      <c r="O112" s="63">
        <v>9</v>
      </c>
      <c r="P112" s="61">
        <f>IFERROR(SUMPRODUCT((LK_GradeDerivation!$A$4:$A$135=N112)*(IF(O112="",0,O112)&gt;=LK_GradeDerivation!$B$4:$B$135)*(IF(O112="",0,O112)&lt;=LK_GradeDerivation!$C$4:$C$135)*LK_GradeDerivation!$D$4:$D$135),1)</f>
        <v>5</v>
      </c>
      <c r="Q112" s="61">
        <f>IFERROR(SUMPRODUCT((LK_GradeDerivation!$A$4:$A$135=N112)*(IF(O112="",0,O112)&gt;=LK_GradeDerivation!$B$4:$B$135)*(IF(O112="",0,O112)&lt;=LK_GradeDerivation!$C$4:$C$135)*LK_GradeDerivation!$E$4:$E$135),1)</f>
        <v>5</v>
      </c>
      <c r="R112" s="59" t="s">
        <v>1951</v>
      </c>
      <c r="S112" s="59" t="s">
        <v>1952</v>
      </c>
      <c r="T112" s="59" t="s">
        <v>740</v>
      </c>
      <c r="U112" s="59" t="s">
        <v>741</v>
      </c>
      <c r="V112" s="59" t="s">
        <v>1367</v>
      </c>
      <c r="W112" s="59" t="s">
        <v>285</v>
      </c>
      <c r="X112" s="59" t="s">
        <v>477</v>
      </c>
      <c r="Y112" s="59" t="s">
        <v>498</v>
      </c>
      <c r="Z112" s="64" t="str">
        <f>IFERROR(VLOOKUP(T112,LK_OrgMaster!$B$4:$H$89,5,FALSE()),"Administration")</f>
        <v>Teacher</v>
      </c>
      <c r="AA112" s="65" t="str">
        <f>IFERROR(VLOOKUP(X112,LK_LocationMaster!$D$4:$G$157,4,FALSE()),"No")</f>
        <v>No</v>
      </c>
      <c r="AB112" s="65" t="str">
        <f t="shared" si="6"/>
        <v>No</v>
      </c>
      <c r="AC112" s="65" t="str">
        <f>IFERROR(VLOOKUP(X112,LK_LocationMaster!$D$4:$H$157,5,FALSE()),"No")</f>
        <v>Yes</v>
      </c>
      <c r="AD112" s="59" t="s">
        <v>1953</v>
      </c>
      <c r="AE112" s="59" t="s">
        <v>930</v>
      </c>
      <c r="AF112" s="59" t="s">
        <v>847</v>
      </c>
      <c r="AG112" s="59" t="s">
        <v>356</v>
      </c>
      <c r="AH112" s="59" t="s">
        <v>1954</v>
      </c>
      <c r="AI112" s="59" t="s">
        <v>285</v>
      </c>
      <c r="AJ112" s="59" t="s">
        <v>788</v>
      </c>
      <c r="AK112" s="59" t="s">
        <v>1460</v>
      </c>
      <c r="AL112" s="64" t="str">
        <f>IFERROR(INDEX(LK_BankMaster!$D$4:$D$23,MATCH(AJ112&amp;"|"&amp;AK112,LK_BankMaster!$H$4:$H$23,0)),"")</f>
        <v/>
      </c>
      <c r="AM112" s="59" t="s">
        <v>1955</v>
      </c>
      <c r="AN112" s="64" t="str">
        <f>IFERROR(VLOOKUP(AJ112,LK_BankMaster!$A$4:$E$23,5,FALSE()),"")</f>
        <v/>
      </c>
      <c r="AO112" s="59" t="s">
        <v>314</v>
      </c>
      <c r="AP112" s="66">
        <v>3</v>
      </c>
      <c r="AQ112" s="64" t="str">
        <f t="shared" si="7"/>
        <v>Position Allowance - General Staff</v>
      </c>
      <c r="AR112" s="65" t="str">
        <f>IFERROR(VLOOKUP(T112,LK_OrgMaster!$B$4:$G$89,6,FALSE()),"No")</f>
        <v>No</v>
      </c>
      <c r="AS112" s="64" t="str">
        <f>IFERROR(VLOOKUP(T112,LK_OrgMaster!$B$4:$H$89,7,FALSE()),"None")</f>
        <v>Teaching</v>
      </c>
      <c r="AT112" s="67">
        <v>41706</v>
      </c>
      <c r="AU112" s="67"/>
      <c r="AV112" s="67">
        <v>41706</v>
      </c>
      <c r="AW112" s="67">
        <v>46023</v>
      </c>
      <c r="AX112" s="68" t="s">
        <v>750</v>
      </c>
      <c r="AY112" s="69" t="s">
        <v>6260</v>
      </c>
    </row>
    <row r="113" spans="1:51" ht="15" customHeight="1" x14ac:dyDescent="0.3">
      <c r="A113" s="59" t="s">
        <v>1956</v>
      </c>
      <c r="B113" s="59" t="s">
        <v>851</v>
      </c>
      <c r="C113" s="59" t="s">
        <v>1224</v>
      </c>
      <c r="D113" s="59" t="s">
        <v>1300</v>
      </c>
      <c r="E113" s="59" t="s">
        <v>775</v>
      </c>
      <c r="F113" s="60">
        <v>34122</v>
      </c>
      <c r="G113" s="59" t="s">
        <v>1957</v>
      </c>
      <c r="H113" s="59" t="s">
        <v>1958</v>
      </c>
      <c r="I113" s="60">
        <v>38327</v>
      </c>
      <c r="J113" s="61">
        <f t="shared" ca="1" si="4"/>
        <v>21</v>
      </c>
      <c r="K113" s="62">
        <f t="shared" si="5"/>
        <v>56037</v>
      </c>
      <c r="L113" s="59" t="s">
        <v>735</v>
      </c>
      <c r="M113" s="59" t="s">
        <v>1020</v>
      </c>
      <c r="N113" s="59" t="s">
        <v>737</v>
      </c>
      <c r="O113" s="63">
        <v>0</v>
      </c>
      <c r="P113" s="61">
        <f>IFERROR(SUMPRODUCT((LK_GradeDerivation!$A$4:$A$135=N113)*(IF(O113="",0,O113)&gt;=LK_GradeDerivation!$B$4:$B$135)*(IF(O113="",0,O113)&lt;=LK_GradeDerivation!$C$4:$C$135)*LK_GradeDerivation!$D$4:$D$135),1)</f>
        <v>4</v>
      </c>
      <c r="Q113" s="61">
        <f>IFERROR(SUMPRODUCT((LK_GradeDerivation!$A$4:$A$135=N113)*(IF(O113="",0,O113)&gt;=LK_GradeDerivation!$B$4:$B$135)*(IF(O113="",0,O113)&lt;=LK_GradeDerivation!$C$4:$C$135)*LK_GradeDerivation!$E$4:$E$135),1)</f>
        <v>1</v>
      </c>
      <c r="R113" s="59" t="s">
        <v>1959</v>
      </c>
      <c r="S113" s="59" t="s">
        <v>1960</v>
      </c>
      <c r="T113" s="59" t="s">
        <v>844</v>
      </c>
      <c r="U113" s="59" t="s">
        <v>1961</v>
      </c>
      <c r="V113" s="59" t="s">
        <v>1962</v>
      </c>
      <c r="W113" s="59" t="s">
        <v>285</v>
      </c>
      <c r="X113" s="59" t="s">
        <v>356</v>
      </c>
      <c r="Y113" s="59" t="s">
        <v>358</v>
      </c>
      <c r="Z113" s="64" t="str">
        <f>IFERROR(VLOOKUP(T113,LK_OrgMaster!$B$4:$H$89,5,FALSE()),"Administration")</f>
        <v>Administration</v>
      </c>
      <c r="AA113" s="65" t="str">
        <f>IFERROR(VLOOKUP(X113,LK_LocationMaster!$D$4:$G$157,4,FALSE()),"No")</f>
        <v>Yes</v>
      </c>
      <c r="AB113" s="65" t="str">
        <f t="shared" si="6"/>
        <v>No</v>
      </c>
      <c r="AC113" s="65" t="str">
        <f>IFERROR(VLOOKUP(X113,LK_LocationMaster!$D$4:$H$157,5,FALSE()),"No")</f>
        <v>No</v>
      </c>
      <c r="AD113" s="59" t="s">
        <v>1390</v>
      </c>
      <c r="AE113" s="59" t="s">
        <v>765</v>
      </c>
      <c r="AF113" s="59" t="s">
        <v>816</v>
      </c>
      <c r="AG113" s="59" t="s">
        <v>356</v>
      </c>
      <c r="AH113" s="59" t="s">
        <v>1963</v>
      </c>
      <c r="AI113" s="59" t="s">
        <v>285</v>
      </c>
      <c r="AJ113" s="59" t="s">
        <v>747</v>
      </c>
      <c r="AK113" s="59" t="s">
        <v>748</v>
      </c>
      <c r="AL113" s="64" t="str">
        <f>IFERROR(INDEX(LK_BankMaster!$D$4:$D$23,MATCH(AJ113&amp;"|"&amp;AK113,LK_BankMaster!$H$4:$H$23,0)),"")</f>
        <v/>
      </c>
      <c r="AM113" s="59" t="s">
        <v>1964</v>
      </c>
      <c r="AN113" s="64" t="str">
        <f>IFERROR(VLOOKUP(AJ113,LK_BankMaster!$A$4:$E$23,5,FALSE()),"")</f>
        <v/>
      </c>
      <c r="AO113" s="59" t="s">
        <v>314</v>
      </c>
      <c r="AP113" s="66">
        <v>3</v>
      </c>
      <c r="AQ113" s="64" t="str">
        <f t="shared" si="7"/>
        <v>Position Allowance - Section Chief</v>
      </c>
      <c r="AR113" s="65" t="str">
        <f>IFERROR(VLOOKUP(T113,LK_OrgMaster!$B$4:$G$89,6,FALSE()),"No")</f>
        <v>No</v>
      </c>
      <c r="AS113" s="64" t="str">
        <f>IFERROR(VLOOKUP(T113,LK_OrgMaster!$B$4:$H$89,7,FALSE()),"None")</f>
        <v>None</v>
      </c>
      <c r="AT113" s="70">
        <v>38327</v>
      </c>
      <c r="AU113" s="70"/>
      <c r="AV113" s="70">
        <v>38327</v>
      </c>
      <c r="AW113" s="70">
        <v>46023</v>
      </c>
      <c r="AX113" s="71" t="s">
        <v>750</v>
      </c>
      <c r="AY113" s="72" t="s">
        <v>6260</v>
      </c>
    </row>
    <row r="114" spans="1:51" ht="15" customHeight="1" x14ac:dyDescent="0.3">
      <c r="A114" s="59" t="s">
        <v>1965</v>
      </c>
      <c r="B114" s="59" t="s">
        <v>772</v>
      </c>
      <c r="C114" s="59" t="s">
        <v>920</v>
      </c>
      <c r="D114" s="59" t="s">
        <v>1674</v>
      </c>
      <c r="E114" s="59" t="s">
        <v>775</v>
      </c>
      <c r="F114" s="60">
        <v>33217</v>
      </c>
      <c r="G114" s="59" t="s">
        <v>1966</v>
      </c>
      <c r="H114" s="59" t="s">
        <v>1967</v>
      </c>
      <c r="I114" s="60">
        <v>37035</v>
      </c>
      <c r="J114" s="61">
        <f t="shared" ca="1" si="4"/>
        <v>24</v>
      </c>
      <c r="K114" s="62">
        <f t="shared" si="5"/>
        <v>55132</v>
      </c>
      <c r="L114" s="59" t="s">
        <v>735</v>
      </c>
      <c r="M114" s="59" t="s">
        <v>1421</v>
      </c>
      <c r="N114" s="59" t="s">
        <v>737</v>
      </c>
      <c r="O114" s="63">
        <v>0</v>
      </c>
      <c r="P114" s="61">
        <f>IFERROR(SUMPRODUCT((LK_GradeDerivation!$A$4:$A$135=N114)*(IF(O114="",0,O114)&gt;=LK_GradeDerivation!$B$4:$B$135)*(IF(O114="",0,O114)&lt;=LK_GradeDerivation!$C$4:$C$135)*LK_GradeDerivation!$D$4:$D$135),1)</f>
        <v>4</v>
      </c>
      <c r="Q114" s="61">
        <f>IFERROR(SUMPRODUCT((LK_GradeDerivation!$A$4:$A$135=N114)*(IF(O114="",0,O114)&gt;=LK_GradeDerivation!$B$4:$B$135)*(IF(O114="",0,O114)&lt;=LK_GradeDerivation!$C$4:$C$135)*LK_GradeDerivation!$E$4:$E$135),1)</f>
        <v>1</v>
      </c>
      <c r="R114" s="59" t="s">
        <v>1968</v>
      </c>
      <c r="S114" s="59" t="s">
        <v>1969</v>
      </c>
      <c r="T114" s="59" t="s">
        <v>782</v>
      </c>
      <c r="U114" s="59" t="s">
        <v>783</v>
      </c>
      <c r="V114" s="59" t="s">
        <v>1970</v>
      </c>
      <c r="W114" s="59" t="s">
        <v>285</v>
      </c>
      <c r="X114" s="59" t="s">
        <v>288</v>
      </c>
      <c r="Y114" s="59" t="s">
        <v>306</v>
      </c>
      <c r="Z114" s="64" t="str">
        <f>IFERROR(VLOOKUP(T114,LK_OrgMaster!$B$4:$H$89,5,FALSE()),"Administration")</f>
        <v>Medical</v>
      </c>
      <c r="AA114" s="65" t="str">
        <f>IFERROR(VLOOKUP(X114,LK_LocationMaster!$D$4:$G$157,4,FALSE()),"No")</f>
        <v>No</v>
      </c>
      <c r="AB114" s="65" t="str">
        <f t="shared" si="6"/>
        <v>No</v>
      </c>
      <c r="AC114" s="65" t="str">
        <f>IFERROR(VLOOKUP(X114,LK_LocationMaster!$D$4:$H$157,5,FALSE()),"No")</f>
        <v>No</v>
      </c>
      <c r="AD114" s="59" t="s">
        <v>1971</v>
      </c>
      <c r="AE114" s="59" t="s">
        <v>765</v>
      </c>
      <c r="AF114" s="59" t="s">
        <v>901</v>
      </c>
      <c r="AG114" s="59" t="s">
        <v>312</v>
      </c>
      <c r="AH114" s="59" t="s">
        <v>1972</v>
      </c>
      <c r="AI114" s="59" t="s">
        <v>285</v>
      </c>
      <c r="AJ114" s="59" t="s">
        <v>747</v>
      </c>
      <c r="AK114" s="59" t="s">
        <v>748</v>
      </c>
      <c r="AL114" s="64" t="str">
        <f>IFERROR(INDEX(LK_BankMaster!$D$4:$D$23,MATCH(AJ114&amp;"|"&amp;AK114,LK_BankMaster!$H$4:$H$23,0)),"")</f>
        <v/>
      </c>
      <c r="AM114" s="59" t="s">
        <v>1973</v>
      </c>
      <c r="AN114" s="64" t="str">
        <f>IFERROR(VLOOKUP(AJ114,LK_BankMaster!$A$4:$E$23,5,FALSE()),"")</f>
        <v/>
      </c>
      <c r="AO114" s="59" t="s">
        <v>314</v>
      </c>
      <c r="AP114" s="66">
        <v>3</v>
      </c>
      <c r="AQ114" s="64" t="str">
        <f t="shared" si="7"/>
        <v>Position Allowance - General Staff</v>
      </c>
      <c r="AR114" s="65" t="str">
        <f>IFERROR(VLOOKUP(T114,LK_OrgMaster!$B$4:$G$89,6,FALSE()),"No")</f>
        <v>No</v>
      </c>
      <c r="AS114" s="64" t="str">
        <f>IFERROR(VLOOKUP(T114,LK_OrgMaster!$B$4:$H$89,7,FALSE()),"None")</f>
        <v>Medical</v>
      </c>
      <c r="AT114" s="67">
        <v>37035</v>
      </c>
      <c r="AU114" s="67"/>
      <c r="AV114" s="67">
        <v>37035</v>
      </c>
      <c r="AW114" s="67">
        <v>46023</v>
      </c>
      <c r="AX114" s="68" t="s">
        <v>750</v>
      </c>
      <c r="AY114" s="69" t="s">
        <v>6260</v>
      </c>
    </row>
    <row r="115" spans="1:51" ht="15" customHeight="1" x14ac:dyDescent="0.3">
      <c r="A115" s="59" t="s">
        <v>1974</v>
      </c>
      <c r="B115" s="59" t="s">
        <v>752</v>
      </c>
      <c r="C115" s="59" t="s">
        <v>1975</v>
      </c>
      <c r="D115" s="59" t="s">
        <v>1395</v>
      </c>
      <c r="E115" s="59" t="s">
        <v>732</v>
      </c>
      <c r="F115" s="60">
        <v>37228</v>
      </c>
      <c r="G115" s="59" t="s">
        <v>1976</v>
      </c>
      <c r="H115" s="59" t="s">
        <v>1977</v>
      </c>
      <c r="I115" s="60">
        <v>39911</v>
      </c>
      <c r="J115" s="61">
        <f t="shared" ca="1" si="4"/>
        <v>16</v>
      </c>
      <c r="K115" s="62">
        <f t="shared" si="5"/>
        <v>59143</v>
      </c>
      <c r="L115" s="59" t="s">
        <v>735</v>
      </c>
      <c r="M115" s="59" t="s">
        <v>1020</v>
      </c>
      <c r="N115" s="59" t="s">
        <v>758</v>
      </c>
      <c r="O115" s="63">
        <v>0</v>
      </c>
      <c r="P115" s="61">
        <f>IFERROR(SUMPRODUCT((LK_GradeDerivation!$A$4:$A$135=N115)*(IF(O115="",0,O115)&gt;=LK_GradeDerivation!$B$4:$B$135)*(IF(O115="",0,O115)&lt;=LK_GradeDerivation!$C$4:$C$135)*LK_GradeDerivation!$D$4:$D$135),1)</f>
        <v>5</v>
      </c>
      <c r="Q115" s="61">
        <f>IFERROR(SUMPRODUCT((LK_GradeDerivation!$A$4:$A$135=N115)*(IF(O115="",0,O115)&gt;=LK_GradeDerivation!$B$4:$B$135)*(IF(O115="",0,O115)&lt;=LK_GradeDerivation!$C$4:$C$135)*LK_GradeDerivation!$E$4:$E$135),1)</f>
        <v>1</v>
      </c>
      <c r="R115" s="59" t="s">
        <v>1978</v>
      </c>
      <c r="S115" s="59" t="s">
        <v>1979</v>
      </c>
      <c r="T115" s="59" t="s">
        <v>761</v>
      </c>
      <c r="U115" s="59" t="s">
        <v>1980</v>
      </c>
      <c r="V115" s="59" t="s">
        <v>1981</v>
      </c>
      <c r="W115" s="59" t="s">
        <v>285</v>
      </c>
      <c r="X115" s="59" t="s">
        <v>288</v>
      </c>
      <c r="Y115" s="59" t="s">
        <v>304</v>
      </c>
      <c r="Z115" s="64" t="str">
        <f>IFERROR(VLOOKUP(T115,LK_OrgMaster!$B$4:$H$89,5,FALSE()),"Administration")</f>
        <v>Administration</v>
      </c>
      <c r="AA115" s="65" t="str">
        <f>IFERROR(VLOOKUP(X115,LK_LocationMaster!$D$4:$G$157,4,FALSE()),"No")</f>
        <v>No</v>
      </c>
      <c r="AB115" s="65" t="str">
        <f t="shared" si="6"/>
        <v>No</v>
      </c>
      <c r="AC115" s="65" t="str">
        <f>IFERROR(VLOOKUP(X115,LK_LocationMaster!$D$4:$H$157,5,FALSE()),"No")</f>
        <v>No</v>
      </c>
      <c r="AD115" s="59" t="s">
        <v>1982</v>
      </c>
      <c r="AE115" s="59" t="s">
        <v>800</v>
      </c>
      <c r="AF115" s="59" t="s">
        <v>801</v>
      </c>
      <c r="AG115" s="59" t="s">
        <v>391</v>
      </c>
      <c r="AH115" s="59" t="s">
        <v>1983</v>
      </c>
      <c r="AI115" s="59" t="s">
        <v>285</v>
      </c>
      <c r="AJ115" s="59" t="s">
        <v>768</v>
      </c>
      <c r="AK115" s="59" t="s">
        <v>1589</v>
      </c>
      <c r="AL115" s="64" t="str">
        <f>IFERROR(INDEX(LK_BankMaster!$D$4:$D$23,MATCH(AJ115&amp;"|"&amp;AK115,LK_BankMaster!$H$4:$H$23,0)),"")</f>
        <v/>
      </c>
      <c r="AM115" s="59" t="s">
        <v>1984</v>
      </c>
      <c r="AN115" s="64" t="str">
        <f>IFERROR(VLOOKUP(AJ115,LK_BankMaster!$A$4:$E$23,5,FALSE()),"")</f>
        <v/>
      </c>
      <c r="AO115" s="59" t="s">
        <v>314</v>
      </c>
      <c r="AP115" s="66">
        <v>3</v>
      </c>
      <c r="AQ115" s="64" t="str">
        <f t="shared" si="7"/>
        <v>Position Allowance - Section Chief</v>
      </c>
      <c r="AR115" s="65" t="str">
        <f>IFERROR(VLOOKUP(T115,LK_OrgMaster!$B$4:$G$89,6,FALSE()),"No")</f>
        <v>Yes</v>
      </c>
      <c r="AS115" s="64" t="str">
        <f>IFERROR(VLOOKUP(T115,LK_OrgMaster!$B$4:$H$89,7,FALSE()),"None")</f>
        <v>None</v>
      </c>
      <c r="AT115" s="70">
        <v>39911</v>
      </c>
      <c r="AU115" s="70"/>
      <c r="AV115" s="70">
        <v>39911</v>
      </c>
      <c r="AW115" s="70">
        <v>46023</v>
      </c>
      <c r="AX115" s="71" t="s">
        <v>750</v>
      </c>
      <c r="AY115" s="72" t="s">
        <v>6260</v>
      </c>
    </row>
    <row r="116" spans="1:51" ht="15" customHeight="1" x14ac:dyDescent="0.3">
      <c r="A116" s="59" t="s">
        <v>1985</v>
      </c>
      <c r="B116" s="59" t="s">
        <v>851</v>
      </c>
      <c r="C116" s="59" t="s">
        <v>973</v>
      </c>
      <c r="D116" s="59" t="s">
        <v>1186</v>
      </c>
      <c r="E116" s="59" t="s">
        <v>775</v>
      </c>
      <c r="F116" s="60">
        <v>35590</v>
      </c>
      <c r="G116" s="59" t="s">
        <v>1986</v>
      </c>
      <c r="H116" s="59" t="s">
        <v>1987</v>
      </c>
      <c r="I116" s="60">
        <v>45047</v>
      </c>
      <c r="J116" s="61">
        <f t="shared" ca="1" si="4"/>
        <v>2</v>
      </c>
      <c r="K116" s="62">
        <f t="shared" si="5"/>
        <v>57505</v>
      </c>
      <c r="L116" s="59" t="s">
        <v>735</v>
      </c>
      <c r="M116" s="59" t="s">
        <v>1988</v>
      </c>
      <c r="N116" s="59" t="s">
        <v>1081</v>
      </c>
      <c r="O116" s="63">
        <v>5</v>
      </c>
      <c r="P116" s="61">
        <f>IFERROR(SUMPRODUCT((LK_GradeDerivation!$A$4:$A$135=N116)*(IF(O116="",0,O116)&gt;=LK_GradeDerivation!$B$4:$B$135)*(IF(O116="",0,O116)&lt;=LK_GradeDerivation!$C$4:$C$135)*LK_GradeDerivation!$D$4:$D$135),1)</f>
        <v>3</v>
      </c>
      <c r="Q116" s="61">
        <f>IFERROR(SUMPRODUCT((LK_GradeDerivation!$A$4:$A$135=N116)*(IF(O116="",0,O116)&gt;=LK_GradeDerivation!$B$4:$B$135)*(IF(O116="",0,O116)&lt;=LK_GradeDerivation!$C$4:$C$135)*LK_GradeDerivation!$E$4:$E$135),1)</f>
        <v>3</v>
      </c>
      <c r="R116" s="59" t="s">
        <v>1989</v>
      </c>
      <c r="S116" s="59" t="s">
        <v>1990</v>
      </c>
      <c r="T116" s="59" t="s">
        <v>782</v>
      </c>
      <c r="U116" s="59" t="s">
        <v>1191</v>
      </c>
      <c r="V116" s="59" t="s">
        <v>1991</v>
      </c>
      <c r="W116" s="59" t="s">
        <v>285</v>
      </c>
      <c r="X116" s="59" t="s">
        <v>329</v>
      </c>
      <c r="Y116" s="59" t="s">
        <v>334</v>
      </c>
      <c r="Z116" s="64" t="str">
        <f>IFERROR(VLOOKUP(T116,LK_OrgMaster!$B$4:$H$89,5,FALSE()),"Administration")</f>
        <v>Medical</v>
      </c>
      <c r="AA116" s="65" t="str">
        <f>IFERROR(VLOOKUP(X116,LK_LocationMaster!$D$4:$G$157,4,FALSE()),"No")</f>
        <v>Yes</v>
      </c>
      <c r="AB116" s="65" t="str">
        <f t="shared" si="6"/>
        <v>No</v>
      </c>
      <c r="AC116" s="65" t="str">
        <f>IFERROR(VLOOKUP(X116,LK_LocationMaster!$D$4:$H$157,5,FALSE()),"No")</f>
        <v>No</v>
      </c>
      <c r="AD116" s="59" t="s">
        <v>1477</v>
      </c>
      <c r="AE116" s="59" t="s">
        <v>800</v>
      </c>
      <c r="AF116" s="59" t="s">
        <v>786</v>
      </c>
      <c r="AG116" s="59" t="s">
        <v>408</v>
      </c>
      <c r="AH116" s="59" t="s">
        <v>1992</v>
      </c>
      <c r="AI116" s="59" t="s">
        <v>285</v>
      </c>
      <c r="AJ116" s="59" t="s">
        <v>833</v>
      </c>
      <c r="AK116" s="59" t="s">
        <v>1013</v>
      </c>
      <c r="AL116" s="64" t="str">
        <f>IFERROR(INDEX(LK_BankMaster!$D$4:$D$23,MATCH(AJ116&amp;"|"&amp;AK116,LK_BankMaster!$H$4:$H$23,0)),"")</f>
        <v/>
      </c>
      <c r="AM116" s="59" t="s">
        <v>1993</v>
      </c>
      <c r="AN116" s="64" t="str">
        <f>IFERROR(VLOOKUP(AJ116,LK_BankMaster!$A$4:$E$23,5,FALSE()),"")</f>
        <v/>
      </c>
      <c r="AO116" s="59" t="s">
        <v>291</v>
      </c>
      <c r="AP116" s="66">
        <v>0</v>
      </c>
      <c r="AQ116" s="64" t="str">
        <f t="shared" si="7"/>
        <v>Position Allowance - General Staff</v>
      </c>
      <c r="AR116" s="65" t="str">
        <f>IFERROR(VLOOKUP(T116,LK_OrgMaster!$B$4:$G$89,6,FALSE()),"No")</f>
        <v>No</v>
      </c>
      <c r="AS116" s="64" t="str">
        <f>IFERROR(VLOOKUP(T116,LK_OrgMaster!$B$4:$H$89,7,FALSE()),"None")</f>
        <v>Medical</v>
      </c>
      <c r="AT116" s="67">
        <v>45047</v>
      </c>
      <c r="AU116" s="67"/>
      <c r="AV116" s="67">
        <v>45047</v>
      </c>
      <c r="AW116" s="67">
        <v>46023</v>
      </c>
      <c r="AX116" s="68" t="s">
        <v>750</v>
      </c>
      <c r="AY116" s="69" t="s">
        <v>6260</v>
      </c>
    </row>
    <row r="117" spans="1:51" ht="15" customHeight="1" x14ac:dyDescent="0.3">
      <c r="A117" s="59" t="s">
        <v>1994</v>
      </c>
      <c r="B117" s="59" t="s">
        <v>851</v>
      </c>
      <c r="C117" s="59" t="s">
        <v>1255</v>
      </c>
      <c r="D117" s="59" t="s">
        <v>1592</v>
      </c>
      <c r="E117" s="59" t="s">
        <v>775</v>
      </c>
      <c r="F117" s="60">
        <v>24237</v>
      </c>
      <c r="G117" s="59" t="s">
        <v>1995</v>
      </c>
      <c r="H117" s="59" t="s">
        <v>1996</v>
      </c>
      <c r="I117" s="60">
        <v>33380</v>
      </c>
      <c r="J117" s="61">
        <f t="shared" ca="1" si="4"/>
        <v>34</v>
      </c>
      <c r="K117" s="62">
        <f t="shared" si="5"/>
        <v>46152</v>
      </c>
      <c r="L117" s="59" t="s">
        <v>735</v>
      </c>
      <c r="M117" s="59" t="s">
        <v>736</v>
      </c>
      <c r="N117" s="59" t="s">
        <v>737</v>
      </c>
      <c r="O117" s="63">
        <v>3</v>
      </c>
      <c r="P117" s="61">
        <f>IFERROR(SUMPRODUCT((LK_GradeDerivation!$A$4:$A$135=N117)*(IF(O117="",0,O117)&gt;=LK_GradeDerivation!$B$4:$B$135)*(IF(O117="",0,O117)&lt;=LK_GradeDerivation!$C$4:$C$135)*LK_GradeDerivation!$D$4:$D$135),1)</f>
        <v>4</v>
      </c>
      <c r="Q117" s="61">
        <f>IFERROR(SUMPRODUCT((LK_GradeDerivation!$A$4:$A$135=N117)*(IF(O117="",0,O117)&gt;=LK_GradeDerivation!$B$4:$B$135)*(IF(O117="",0,O117)&lt;=LK_GradeDerivation!$C$4:$C$135)*LK_GradeDerivation!$E$4:$E$135),1)</f>
        <v>2</v>
      </c>
      <c r="R117" s="59" t="s">
        <v>1997</v>
      </c>
      <c r="S117" s="59" t="s">
        <v>1998</v>
      </c>
      <c r="T117" s="59" t="s">
        <v>740</v>
      </c>
      <c r="U117" s="59" t="s">
        <v>927</v>
      </c>
      <c r="V117" s="59" t="s">
        <v>742</v>
      </c>
      <c r="W117" s="59" t="s">
        <v>285</v>
      </c>
      <c r="X117" s="59" t="s">
        <v>312</v>
      </c>
      <c r="Y117" s="59" t="s">
        <v>321</v>
      </c>
      <c r="Z117" s="64" t="str">
        <f>IFERROR(VLOOKUP(T117,LK_OrgMaster!$B$4:$H$89,5,FALSE()),"Administration")</f>
        <v>Teacher</v>
      </c>
      <c r="AA117" s="65" t="str">
        <f>IFERROR(VLOOKUP(X117,LK_LocationMaster!$D$4:$G$157,4,FALSE()),"No")</f>
        <v>Yes</v>
      </c>
      <c r="AB117" s="65" t="str">
        <f t="shared" si="6"/>
        <v>No</v>
      </c>
      <c r="AC117" s="65" t="str">
        <f>IFERROR(VLOOKUP(X117,LK_LocationMaster!$D$4:$H$157,5,FALSE()),"No")</f>
        <v>No</v>
      </c>
      <c r="AD117" s="59" t="s">
        <v>1560</v>
      </c>
      <c r="AE117" s="59" t="s">
        <v>1999</v>
      </c>
      <c r="AF117" s="59" t="s">
        <v>801</v>
      </c>
      <c r="AG117" s="59" t="s">
        <v>356</v>
      </c>
      <c r="AH117" s="59" t="s">
        <v>2000</v>
      </c>
      <c r="AI117" s="59" t="s">
        <v>285</v>
      </c>
      <c r="AJ117" s="59" t="s">
        <v>747</v>
      </c>
      <c r="AK117" s="59" t="s">
        <v>748</v>
      </c>
      <c r="AL117" s="64" t="str">
        <f>IFERROR(INDEX(LK_BankMaster!$D$4:$D$23,MATCH(AJ117&amp;"|"&amp;AK117,LK_BankMaster!$H$4:$H$23,0)),"")</f>
        <v/>
      </c>
      <c r="AM117" s="59" t="s">
        <v>2001</v>
      </c>
      <c r="AN117" s="64" t="str">
        <f>IFERROR(VLOOKUP(AJ117,LK_BankMaster!$A$4:$E$23,5,FALSE()),"")</f>
        <v/>
      </c>
      <c r="AO117" s="59" t="s">
        <v>314</v>
      </c>
      <c r="AP117" s="66">
        <v>0</v>
      </c>
      <c r="AQ117" s="64" t="str">
        <f t="shared" si="7"/>
        <v>Position Allowance - General Staff</v>
      </c>
      <c r="AR117" s="65" t="str">
        <f>IFERROR(VLOOKUP(T117,LK_OrgMaster!$B$4:$G$89,6,FALSE()),"No")</f>
        <v>No</v>
      </c>
      <c r="AS117" s="64" t="str">
        <f>IFERROR(VLOOKUP(T117,LK_OrgMaster!$B$4:$H$89,7,FALSE()),"None")</f>
        <v>Teaching</v>
      </c>
      <c r="AT117" s="70">
        <v>33380</v>
      </c>
      <c r="AU117" s="70"/>
      <c r="AV117" s="70">
        <v>33380</v>
      </c>
      <c r="AW117" s="70">
        <v>46023</v>
      </c>
      <c r="AX117" s="71" t="s">
        <v>750</v>
      </c>
      <c r="AY117" s="72" t="s">
        <v>6260</v>
      </c>
    </row>
    <row r="118" spans="1:51" ht="15" customHeight="1" x14ac:dyDescent="0.3">
      <c r="A118" s="59" t="s">
        <v>2002</v>
      </c>
      <c r="B118" s="59" t="s">
        <v>772</v>
      </c>
      <c r="C118" s="59" t="s">
        <v>2003</v>
      </c>
      <c r="D118" s="59" t="s">
        <v>1395</v>
      </c>
      <c r="E118" s="59" t="s">
        <v>775</v>
      </c>
      <c r="F118" s="60">
        <v>34568</v>
      </c>
      <c r="G118" s="59" t="s">
        <v>2004</v>
      </c>
      <c r="H118" s="59" t="s">
        <v>2005</v>
      </c>
      <c r="I118" s="60">
        <v>38914</v>
      </c>
      <c r="J118" s="61">
        <f t="shared" ca="1" si="4"/>
        <v>19</v>
      </c>
      <c r="K118" s="62">
        <f t="shared" si="5"/>
        <v>56483</v>
      </c>
      <c r="L118" s="59" t="s">
        <v>735</v>
      </c>
      <c r="M118" s="59" t="s">
        <v>2006</v>
      </c>
      <c r="N118" s="59" t="s">
        <v>1081</v>
      </c>
      <c r="O118" s="63">
        <v>0</v>
      </c>
      <c r="P118" s="61">
        <f>IFERROR(SUMPRODUCT((LK_GradeDerivation!$A$4:$A$135=N118)*(IF(O118="",0,O118)&gt;=LK_GradeDerivation!$B$4:$B$135)*(IF(O118="",0,O118)&lt;=LK_GradeDerivation!$C$4:$C$135)*LK_GradeDerivation!$D$4:$D$135),1)</f>
        <v>3</v>
      </c>
      <c r="Q118" s="61">
        <f>IFERROR(SUMPRODUCT((LK_GradeDerivation!$A$4:$A$135=N118)*(IF(O118="",0,O118)&gt;=LK_GradeDerivation!$B$4:$B$135)*(IF(O118="",0,O118)&lt;=LK_GradeDerivation!$C$4:$C$135)*LK_GradeDerivation!$E$4:$E$135),1)</f>
        <v>1</v>
      </c>
      <c r="R118" s="59" t="s">
        <v>2007</v>
      </c>
      <c r="S118" s="59" t="s">
        <v>2008</v>
      </c>
      <c r="T118" s="59" t="s">
        <v>882</v>
      </c>
      <c r="U118" s="59" t="s">
        <v>2009</v>
      </c>
      <c r="V118" s="59" t="s">
        <v>2010</v>
      </c>
      <c r="W118" s="59" t="s">
        <v>285</v>
      </c>
      <c r="X118" s="59" t="s">
        <v>587</v>
      </c>
      <c r="Y118" s="59" t="s">
        <v>595</v>
      </c>
      <c r="Z118" s="64" t="str">
        <f>IFERROR(VLOOKUP(T118,LK_OrgMaster!$B$4:$H$89,5,FALSE()),"Administration")</f>
        <v>Legal</v>
      </c>
      <c r="AA118" s="65" t="str">
        <f>IFERROR(VLOOKUP(X118,LK_LocationMaster!$D$4:$G$157,4,FALSE()),"No")</f>
        <v>Yes</v>
      </c>
      <c r="AB118" s="65" t="str">
        <f t="shared" si="6"/>
        <v>No</v>
      </c>
      <c r="AC118" s="65" t="str">
        <f>IFERROR(VLOOKUP(X118,LK_LocationMaster!$D$4:$H$157,5,FALSE()),"No")</f>
        <v>Yes</v>
      </c>
      <c r="AD118" s="59" t="s">
        <v>2011</v>
      </c>
      <c r="AE118" s="59" t="s">
        <v>765</v>
      </c>
      <c r="AF118" s="59" t="s">
        <v>745</v>
      </c>
      <c r="AG118" s="59" t="s">
        <v>408</v>
      </c>
      <c r="AH118" s="59" t="s">
        <v>2012</v>
      </c>
      <c r="AI118" s="59" t="s">
        <v>285</v>
      </c>
      <c r="AJ118" s="59" t="s">
        <v>833</v>
      </c>
      <c r="AK118" s="59" t="s">
        <v>834</v>
      </c>
      <c r="AL118" s="64" t="str">
        <f>IFERROR(INDEX(LK_BankMaster!$D$4:$D$23,MATCH(AJ118&amp;"|"&amp;AK118,LK_BankMaster!$H$4:$H$23,0)),"")</f>
        <v/>
      </c>
      <c r="AM118" s="59" t="s">
        <v>2013</v>
      </c>
      <c r="AN118" s="64" t="str">
        <f>IFERROR(VLOOKUP(AJ118,LK_BankMaster!$A$4:$E$23,5,FALSE()),"")</f>
        <v/>
      </c>
      <c r="AO118" s="59" t="s">
        <v>314</v>
      </c>
      <c r="AP118" s="66">
        <v>3</v>
      </c>
      <c r="AQ118" s="64" t="str">
        <f t="shared" si="7"/>
        <v>Position Allowance - General Staff</v>
      </c>
      <c r="AR118" s="65" t="str">
        <f>IFERROR(VLOOKUP(T118,LK_OrgMaster!$B$4:$G$89,6,FALSE()),"No")</f>
        <v>No</v>
      </c>
      <c r="AS118" s="64" t="str">
        <f>IFERROR(VLOOKUP(T118,LK_OrgMaster!$B$4:$H$89,7,FALSE()),"None")</f>
        <v>None</v>
      </c>
      <c r="AT118" s="67">
        <v>38914</v>
      </c>
      <c r="AU118" s="67"/>
      <c r="AV118" s="67">
        <v>38914</v>
      </c>
      <c r="AW118" s="67">
        <v>46023</v>
      </c>
      <c r="AX118" s="68" t="s">
        <v>750</v>
      </c>
      <c r="AY118" s="69" t="s">
        <v>6260</v>
      </c>
    </row>
    <row r="119" spans="1:51" ht="15" customHeight="1" x14ac:dyDescent="0.3">
      <c r="A119" s="59" t="s">
        <v>2014</v>
      </c>
      <c r="B119" s="59" t="s">
        <v>772</v>
      </c>
      <c r="C119" s="59" t="s">
        <v>2015</v>
      </c>
      <c r="D119" s="59" t="s">
        <v>1320</v>
      </c>
      <c r="E119" s="59" t="s">
        <v>775</v>
      </c>
      <c r="F119" s="60">
        <v>24364</v>
      </c>
      <c r="G119" s="59" t="s">
        <v>2016</v>
      </c>
      <c r="H119" s="59" t="s">
        <v>2017</v>
      </c>
      <c r="I119" s="60">
        <v>44769</v>
      </c>
      <c r="J119" s="61">
        <f t="shared" ca="1" si="4"/>
        <v>3</v>
      </c>
      <c r="K119" s="62">
        <f t="shared" si="5"/>
        <v>46279</v>
      </c>
      <c r="L119" s="59" t="s">
        <v>735</v>
      </c>
      <c r="M119" s="59" t="s">
        <v>1069</v>
      </c>
      <c r="N119" s="59" t="s">
        <v>737</v>
      </c>
      <c r="O119" s="63">
        <v>25</v>
      </c>
      <c r="P119" s="61">
        <f>IFERROR(SUMPRODUCT((LK_GradeDerivation!$A$4:$A$135=N119)*(IF(O119="",0,O119)&gt;=LK_GradeDerivation!$B$4:$B$135)*(IF(O119="",0,O119)&lt;=LK_GradeDerivation!$C$4:$C$135)*LK_GradeDerivation!$D$4:$D$135),1)</f>
        <v>4</v>
      </c>
      <c r="Q119" s="61">
        <f>IFERROR(SUMPRODUCT((LK_GradeDerivation!$A$4:$A$135=N119)*(IF(O119="",0,O119)&gt;=LK_GradeDerivation!$B$4:$B$135)*(IF(O119="",0,O119)&lt;=LK_GradeDerivation!$C$4:$C$135)*LK_GradeDerivation!$E$4:$E$135),1)</f>
        <v>13</v>
      </c>
      <c r="R119" s="59" t="s">
        <v>2018</v>
      </c>
      <c r="S119" s="59" t="s">
        <v>2019</v>
      </c>
      <c r="T119" s="59" t="s">
        <v>952</v>
      </c>
      <c r="U119" s="59" t="s">
        <v>1229</v>
      </c>
      <c r="V119" s="59" t="s">
        <v>1230</v>
      </c>
      <c r="W119" s="59" t="s">
        <v>285</v>
      </c>
      <c r="X119" s="59" t="s">
        <v>554</v>
      </c>
      <c r="Y119" s="59" t="s">
        <v>573</v>
      </c>
      <c r="Z119" s="64" t="str">
        <f>IFERROR(VLOOKUP(T119,LK_OrgMaster!$B$4:$H$89,5,FALSE()),"Administration")</f>
        <v>Administration</v>
      </c>
      <c r="AA119" s="65" t="str">
        <f>IFERROR(VLOOKUP(X119,LK_LocationMaster!$D$4:$G$157,4,FALSE()),"No")</f>
        <v>No</v>
      </c>
      <c r="AB119" s="65" t="str">
        <f t="shared" si="6"/>
        <v>No</v>
      </c>
      <c r="AC119" s="65" t="str">
        <f>IFERROR(VLOOKUP(X119,LK_LocationMaster!$D$4:$H$157,5,FALSE()),"No")</f>
        <v>No</v>
      </c>
      <c r="AD119" s="59" t="s">
        <v>2020</v>
      </c>
      <c r="AE119" s="59" t="s">
        <v>800</v>
      </c>
      <c r="AF119" s="59" t="s">
        <v>786</v>
      </c>
      <c r="AG119" s="59" t="s">
        <v>329</v>
      </c>
      <c r="AH119" s="59" t="s">
        <v>2021</v>
      </c>
      <c r="AI119" s="59" t="s">
        <v>285</v>
      </c>
      <c r="AJ119" s="59" t="s">
        <v>833</v>
      </c>
      <c r="AK119" s="59" t="s">
        <v>1013</v>
      </c>
      <c r="AL119" s="64" t="str">
        <f>IFERROR(INDEX(LK_BankMaster!$D$4:$D$23,MATCH(AJ119&amp;"|"&amp;AK119,LK_BankMaster!$H$4:$H$23,0)),"")</f>
        <v/>
      </c>
      <c r="AM119" s="59" t="s">
        <v>2022</v>
      </c>
      <c r="AN119" s="64" t="str">
        <f>IFERROR(VLOOKUP(AJ119,LK_BankMaster!$A$4:$E$23,5,FALSE()),"")</f>
        <v/>
      </c>
      <c r="AO119" s="59" t="s">
        <v>314</v>
      </c>
      <c r="AP119" s="66">
        <v>0</v>
      </c>
      <c r="AQ119" s="64" t="str">
        <f t="shared" si="7"/>
        <v>Position Allowance - General Staff</v>
      </c>
      <c r="AR119" s="65" t="str">
        <f>IFERROR(VLOOKUP(T119,LK_OrgMaster!$B$4:$G$89,6,FALSE()),"No")</f>
        <v>No</v>
      </c>
      <c r="AS119" s="64" t="str">
        <f>IFERROR(VLOOKUP(T119,LK_OrgMaster!$B$4:$H$89,7,FALSE()),"None")</f>
        <v>None</v>
      </c>
      <c r="AT119" s="70">
        <v>44769</v>
      </c>
      <c r="AU119" s="70"/>
      <c r="AV119" s="70">
        <v>44769</v>
      </c>
      <c r="AW119" s="70">
        <v>46023</v>
      </c>
      <c r="AX119" s="71" t="s">
        <v>750</v>
      </c>
      <c r="AY119" s="72" t="s">
        <v>6260</v>
      </c>
    </row>
    <row r="120" spans="1:51" ht="15" customHeight="1" x14ac:dyDescent="0.3">
      <c r="A120" s="59" t="s">
        <v>2023</v>
      </c>
      <c r="B120" s="59" t="s">
        <v>851</v>
      </c>
      <c r="C120" s="59" t="s">
        <v>2024</v>
      </c>
      <c r="D120" s="59" t="s">
        <v>876</v>
      </c>
      <c r="E120" s="59" t="s">
        <v>775</v>
      </c>
      <c r="F120" s="60">
        <v>33637</v>
      </c>
      <c r="G120" s="59" t="s">
        <v>2025</v>
      </c>
      <c r="H120" s="59" t="s">
        <v>2026</v>
      </c>
      <c r="I120" s="60">
        <v>39988</v>
      </c>
      <c r="J120" s="61">
        <f t="shared" ca="1" si="4"/>
        <v>16</v>
      </c>
      <c r="K120" s="62">
        <f t="shared" si="5"/>
        <v>55552</v>
      </c>
      <c r="L120" s="59" t="s">
        <v>735</v>
      </c>
      <c r="M120" s="59" t="s">
        <v>757</v>
      </c>
      <c r="N120" s="59" t="s">
        <v>737</v>
      </c>
      <c r="O120" s="63">
        <v>0</v>
      </c>
      <c r="P120" s="61">
        <f>IFERROR(SUMPRODUCT((LK_GradeDerivation!$A$4:$A$135=N120)*(IF(O120="",0,O120)&gt;=LK_GradeDerivation!$B$4:$B$135)*(IF(O120="",0,O120)&lt;=LK_GradeDerivation!$C$4:$C$135)*LK_GradeDerivation!$D$4:$D$135),1)</f>
        <v>4</v>
      </c>
      <c r="Q120" s="61">
        <f>IFERROR(SUMPRODUCT((LK_GradeDerivation!$A$4:$A$135=N120)*(IF(O120="",0,O120)&gt;=LK_GradeDerivation!$B$4:$B$135)*(IF(O120="",0,O120)&lt;=LK_GradeDerivation!$C$4:$C$135)*LK_GradeDerivation!$E$4:$E$135),1)</f>
        <v>1</v>
      </c>
      <c r="R120" s="59" t="s">
        <v>2027</v>
      </c>
      <c r="S120" s="59" t="s">
        <v>2028</v>
      </c>
      <c r="T120" s="59" t="s">
        <v>1035</v>
      </c>
      <c r="U120" s="59" t="s">
        <v>1229</v>
      </c>
      <c r="V120" s="59" t="s">
        <v>2029</v>
      </c>
      <c r="W120" s="59" t="s">
        <v>285</v>
      </c>
      <c r="X120" s="59" t="s">
        <v>500</v>
      </c>
      <c r="Y120" s="59" t="s">
        <v>517</v>
      </c>
      <c r="Z120" s="64" t="str">
        <f>IFERROR(VLOOKUP(T120,LK_OrgMaster!$B$4:$H$89,5,FALSE()),"Administration")</f>
        <v>Administration</v>
      </c>
      <c r="AA120" s="65" t="str">
        <f>IFERROR(VLOOKUP(X120,LK_LocationMaster!$D$4:$G$157,4,FALSE()),"No")</f>
        <v>No</v>
      </c>
      <c r="AB120" s="65" t="str">
        <f t="shared" si="6"/>
        <v>No</v>
      </c>
      <c r="AC120" s="65" t="str">
        <f>IFERROR(VLOOKUP(X120,LK_LocationMaster!$D$4:$H$157,5,FALSE()),"No")</f>
        <v>Yes</v>
      </c>
      <c r="AD120" s="59" t="s">
        <v>2030</v>
      </c>
      <c r="AE120" s="59" t="s">
        <v>765</v>
      </c>
      <c r="AF120" s="59" t="s">
        <v>969</v>
      </c>
      <c r="AG120" s="59" t="s">
        <v>312</v>
      </c>
      <c r="AH120" s="59" t="s">
        <v>2031</v>
      </c>
      <c r="AI120" s="59" t="s">
        <v>285</v>
      </c>
      <c r="AJ120" s="59" t="s">
        <v>768</v>
      </c>
      <c r="AK120" s="59" t="s">
        <v>769</v>
      </c>
      <c r="AL120" s="64" t="str">
        <f>IFERROR(INDEX(LK_BankMaster!$D$4:$D$23,MATCH(AJ120&amp;"|"&amp;AK120,LK_BankMaster!$H$4:$H$23,0)),"")</f>
        <v/>
      </c>
      <c r="AM120" s="59" t="s">
        <v>2032</v>
      </c>
      <c r="AN120" s="64" t="str">
        <f>IFERROR(VLOOKUP(AJ120,LK_BankMaster!$A$4:$E$23,5,FALSE()),"")</f>
        <v/>
      </c>
      <c r="AO120" s="59" t="s">
        <v>314</v>
      </c>
      <c r="AP120" s="66">
        <v>0</v>
      </c>
      <c r="AQ120" s="64" t="str">
        <f t="shared" si="7"/>
        <v>Position Allowance - General Staff</v>
      </c>
      <c r="AR120" s="65" t="str">
        <f>IFERROR(VLOOKUP(T120,LK_OrgMaster!$B$4:$G$89,6,FALSE()),"No")</f>
        <v>No</v>
      </c>
      <c r="AS120" s="64" t="str">
        <f>IFERROR(VLOOKUP(T120,LK_OrgMaster!$B$4:$H$89,7,FALSE()),"None")</f>
        <v>None</v>
      </c>
      <c r="AT120" s="67">
        <v>39988</v>
      </c>
      <c r="AU120" s="67"/>
      <c r="AV120" s="67">
        <v>39988</v>
      </c>
      <c r="AW120" s="67">
        <v>46023</v>
      </c>
      <c r="AX120" s="68" t="s">
        <v>750</v>
      </c>
      <c r="AY120" s="69" t="s">
        <v>6260</v>
      </c>
    </row>
    <row r="121" spans="1:51" ht="15" customHeight="1" x14ac:dyDescent="0.3">
      <c r="A121" s="59" t="s">
        <v>2033</v>
      </c>
      <c r="B121" s="59" t="s">
        <v>729</v>
      </c>
      <c r="C121" s="59" t="s">
        <v>1041</v>
      </c>
      <c r="D121" s="59" t="s">
        <v>1320</v>
      </c>
      <c r="E121" s="59" t="s">
        <v>732</v>
      </c>
      <c r="F121" s="60">
        <v>25574</v>
      </c>
      <c r="G121" s="59" t="s">
        <v>2034</v>
      </c>
      <c r="H121" s="59" t="s">
        <v>2035</v>
      </c>
      <c r="I121" s="60">
        <v>32797</v>
      </c>
      <c r="J121" s="61">
        <f t="shared" ca="1" si="4"/>
        <v>36</v>
      </c>
      <c r="K121" s="62">
        <f t="shared" si="5"/>
        <v>47489</v>
      </c>
      <c r="L121" s="59" t="s">
        <v>735</v>
      </c>
      <c r="M121" s="59" t="s">
        <v>924</v>
      </c>
      <c r="N121" s="59" t="s">
        <v>1292</v>
      </c>
      <c r="O121" s="63">
        <v>0</v>
      </c>
      <c r="P121" s="61">
        <f>IFERROR(SUMPRODUCT((LK_GradeDerivation!$A$4:$A$135=N121)*(IF(O121="",0,O121)&gt;=LK_GradeDerivation!$B$4:$B$135)*(IF(O121="",0,O121)&lt;=LK_GradeDerivation!$C$4:$C$135)*LK_GradeDerivation!$D$4:$D$135),1)</f>
        <v>5</v>
      </c>
      <c r="Q121" s="61">
        <f>IFERROR(SUMPRODUCT((LK_GradeDerivation!$A$4:$A$135=N121)*(IF(O121="",0,O121)&gt;=LK_GradeDerivation!$B$4:$B$135)*(IF(O121="",0,O121)&lt;=LK_GradeDerivation!$C$4:$C$135)*LK_GradeDerivation!$E$4:$E$135),1)</f>
        <v>6</v>
      </c>
      <c r="R121" s="59" t="s">
        <v>2036</v>
      </c>
      <c r="S121" s="59" t="s">
        <v>2037</v>
      </c>
      <c r="T121" s="59" t="s">
        <v>740</v>
      </c>
      <c r="U121" s="59" t="s">
        <v>741</v>
      </c>
      <c r="V121" s="59" t="s">
        <v>742</v>
      </c>
      <c r="W121" s="59" t="s">
        <v>285</v>
      </c>
      <c r="X121" s="59" t="s">
        <v>356</v>
      </c>
      <c r="Y121" s="59" t="s">
        <v>366</v>
      </c>
      <c r="Z121" s="64" t="str">
        <f>IFERROR(VLOOKUP(T121,LK_OrgMaster!$B$4:$H$89,5,FALSE()),"Administration")</f>
        <v>Teacher</v>
      </c>
      <c r="AA121" s="65" t="str">
        <f>IFERROR(VLOOKUP(X121,LK_LocationMaster!$D$4:$G$157,4,FALSE()),"No")</f>
        <v>Yes</v>
      </c>
      <c r="AB121" s="65" t="str">
        <f t="shared" si="6"/>
        <v>No</v>
      </c>
      <c r="AC121" s="65" t="str">
        <f>IFERROR(VLOOKUP(X121,LK_LocationMaster!$D$4:$H$157,5,FALSE()),"No")</f>
        <v>No</v>
      </c>
      <c r="AD121" s="59" t="s">
        <v>2038</v>
      </c>
      <c r="AE121" s="59" t="s">
        <v>886</v>
      </c>
      <c r="AF121" s="59" t="s">
        <v>984</v>
      </c>
      <c r="AG121" s="59" t="s">
        <v>408</v>
      </c>
      <c r="AH121" s="59" t="s">
        <v>2039</v>
      </c>
      <c r="AI121" s="59" t="s">
        <v>285</v>
      </c>
      <c r="AJ121" s="59" t="s">
        <v>747</v>
      </c>
      <c r="AK121" s="59" t="s">
        <v>748</v>
      </c>
      <c r="AL121" s="64" t="str">
        <f>IFERROR(INDEX(LK_BankMaster!$D$4:$D$23,MATCH(AJ121&amp;"|"&amp;AK121,LK_BankMaster!$H$4:$H$23,0)),"")</f>
        <v/>
      </c>
      <c r="AM121" s="59" t="s">
        <v>2040</v>
      </c>
      <c r="AN121" s="64" t="str">
        <f>IFERROR(VLOOKUP(AJ121,LK_BankMaster!$A$4:$E$23,5,FALSE()),"")</f>
        <v/>
      </c>
      <c r="AO121" s="59" t="s">
        <v>314</v>
      </c>
      <c r="AP121" s="66">
        <v>2</v>
      </c>
      <c r="AQ121" s="64" t="str">
        <f t="shared" si="7"/>
        <v>Position Allowance - General Staff</v>
      </c>
      <c r="AR121" s="65" t="str">
        <f>IFERROR(VLOOKUP(T121,LK_OrgMaster!$B$4:$G$89,6,FALSE()),"No")</f>
        <v>No</v>
      </c>
      <c r="AS121" s="64" t="str">
        <f>IFERROR(VLOOKUP(T121,LK_OrgMaster!$B$4:$H$89,7,FALSE()),"None")</f>
        <v>Teaching</v>
      </c>
      <c r="AT121" s="70">
        <v>32797</v>
      </c>
      <c r="AU121" s="70"/>
      <c r="AV121" s="70">
        <v>32797</v>
      </c>
      <c r="AW121" s="70">
        <v>46023</v>
      </c>
      <c r="AX121" s="71" t="s">
        <v>750</v>
      </c>
      <c r="AY121" s="72" t="s">
        <v>6260</v>
      </c>
    </row>
    <row r="122" spans="1:51" ht="15" customHeight="1" x14ac:dyDescent="0.3">
      <c r="A122" s="59" t="s">
        <v>2041</v>
      </c>
      <c r="B122" s="59" t="s">
        <v>772</v>
      </c>
      <c r="C122" s="59" t="s">
        <v>2042</v>
      </c>
      <c r="D122" s="59" t="s">
        <v>793</v>
      </c>
      <c r="E122" s="59" t="s">
        <v>732</v>
      </c>
      <c r="F122" s="60">
        <v>34129</v>
      </c>
      <c r="G122" s="59" t="s">
        <v>2043</v>
      </c>
      <c r="H122" s="59" t="s">
        <v>2044</v>
      </c>
      <c r="I122" s="60">
        <v>39066</v>
      </c>
      <c r="J122" s="61">
        <f t="shared" ca="1" si="4"/>
        <v>19</v>
      </c>
      <c r="K122" s="62">
        <f t="shared" si="5"/>
        <v>56044</v>
      </c>
      <c r="L122" s="59" t="s">
        <v>735</v>
      </c>
      <c r="M122" s="59" t="s">
        <v>778</v>
      </c>
      <c r="N122" s="59" t="s">
        <v>779</v>
      </c>
      <c r="O122" s="63">
        <v>0</v>
      </c>
      <c r="P122" s="61">
        <f>IFERROR(SUMPRODUCT((LK_GradeDerivation!$A$4:$A$135=N122)*(IF(O122="",0,O122)&gt;=LK_GradeDerivation!$B$4:$B$135)*(IF(O122="",0,O122)&lt;=LK_GradeDerivation!$C$4:$C$135)*LK_GradeDerivation!$D$4:$D$135),1)</f>
        <v>2</v>
      </c>
      <c r="Q122" s="61">
        <f>IFERROR(SUMPRODUCT((LK_GradeDerivation!$A$4:$A$135=N122)*(IF(O122="",0,O122)&gt;=LK_GradeDerivation!$B$4:$B$135)*(IF(O122="",0,O122)&lt;=LK_GradeDerivation!$C$4:$C$135)*LK_GradeDerivation!$E$4:$E$135),1)</f>
        <v>1</v>
      </c>
      <c r="R122" s="59" t="s">
        <v>2045</v>
      </c>
      <c r="S122" s="59" t="s">
        <v>2046</v>
      </c>
      <c r="T122" s="59" t="s">
        <v>782</v>
      </c>
      <c r="U122" s="59" t="s">
        <v>1191</v>
      </c>
      <c r="V122" s="59" t="s">
        <v>1192</v>
      </c>
      <c r="W122" s="59" t="s">
        <v>285</v>
      </c>
      <c r="X122" s="59" t="s">
        <v>329</v>
      </c>
      <c r="Y122" s="59" t="s">
        <v>332</v>
      </c>
      <c r="Z122" s="64" t="str">
        <f>IFERROR(VLOOKUP(T122,LK_OrgMaster!$B$4:$H$89,5,FALSE()),"Administration")</f>
        <v>Medical</v>
      </c>
      <c r="AA122" s="65" t="str">
        <f>IFERROR(VLOOKUP(X122,LK_LocationMaster!$D$4:$G$157,4,FALSE()),"No")</f>
        <v>Yes</v>
      </c>
      <c r="AB122" s="65" t="str">
        <f t="shared" si="6"/>
        <v>No</v>
      </c>
      <c r="AC122" s="65" t="str">
        <f>IFERROR(VLOOKUP(X122,LK_LocationMaster!$D$4:$H$157,5,FALSE()),"No")</f>
        <v>No</v>
      </c>
      <c r="AD122" s="59" t="s">
        <v>2047</v>
      </c>
      <c r="AE122" s="59" t="s">
        <v>930</v>
      </c>
      <c r="AF122" s="59" t="s">
        <v>745</v>
      </c>
      <c r="AG122" s="59" t="s">
        <v>288</v>
      </c>
      <c r="AH122" s="59" t="s">
        <v>2048</v>
      </c>
      <c r="AI122" s="59" t="s">
        <v>285</v>
      </c>
      <c r="AJ122" s="59" t="s">
        <v>818</v>
      </c>
      <c r="AK122" s="59" t="s">
        <v>819</v>
      </c>
      <c r="AL122" s="64" t="str">
        <f>IFERROR(INDEX(LK_BankMaster!$D$4:$D$23,MATCH(AJ122&amp;"|"&amp;AK122,LK_BankMaster!$H$4:$H$23,0)),"")</f>
        <v/>
      </c>
      <c r="AM122" s="59" t="s">
        <v>2049</v>
      </c>
      <c r="AN122" s="64" t="str">
        <f>IFERROR(VLOOKUP(AJ122,LK_BankMaster!$A$4:$E$23,5,FALSE()),"")</f>
        <v/>
      </c>
      <c r="AO122" s="59" t="s">
        <v>314</v>
      </c>
      <c r="AP122" s="66">
        <v>3</v>
      </c>
      <c r="AQ122" s="64" t="str">
        <f t="shared" si="7"/>
        <v>Position Allowance - General Staff</v>
      </c>
      <c r="AR122" s="65" t="str">
        <f>IFERROR(VLOOKUP(T122,LK_OrgMaster!$B$4:$G$89,6,FALSE()),"No")</f>
        <v>No</v>
      </c>
      <c r="AS122" s="64" t="str">
        <f>IFERROR(VLOOKUP(T122,LK_OrgMaster!$B$4:$H$89,7,FALSE()),"None")</f>
        <v>Medical</v>
      </c>
      <c r="AT122" s="67">
        <v>39066</v>
      </c>
      <c r="AU122" s="67"/>
      <c r="AV122" s="67">
        <v>39066</v>
      </c>
      <c r="AW122" s="67">
        <v>46023</v>
      </c>
      <c r="AX122" s="68" t="s">
        <v>750</v>
      </c>
      <c r="AY122" s="69" t="s">
        <v>6260</v>
      </c>
    </row>
    <row r="123" spans="1:51" ht="15" customHeight="1" x14ac:dyDescent="0.3">
      <c r="A123" s="59" t="s">
        <v>2050</v>
      </c>
      <c r="B123" s="59" t="s">
        <v>851</v>
      </c>
      <c r="C123" s="59" t="s">
        <v>792</v>
      </c>
      <c r="D123" s="59" t="s">
        <v>1880</v>
      </c>
      <c r="E123" s="59" t="s">
        <v>775</v>
      </c>
      <c r="F123" s="60">
        <v>36501</v>
      </c>
      <c r="G123" s="59" t="s">
        <v>2051</v>
      </c>
      <c r="H123" s="59" t="s">
        <v>2052</v>
      </c>
      <c r="I123" s="60">
        <v>35076</v>
      </c>
      <c r="J123" s="61">
        <f t="shared" ca="1" si="4"/>
        <v>30</v>
      </c>
      <c r="K123" s="62">
        <f t="shared" si="5"/>
        <v>58416</v>
      </c>
      <c r="L123" s="59" t="s">
        <v>735</v>
      </c>
      <c r="M123" s="59" t="s">
        <v>1433</v>
      </c>
      <c r="N123" s="59" t="s">
        <v>779</v>
      </c>
      <c r="O123" s="63">
        <v>0</v>
      </c>
      <c r="P123" s="61">
        <f>IFERROR(SUMPRODUCT((LK_GradeDerivation!$A$4:$A$135=N123)*(IF(O123="",0,O123)&gt;=LK_GradeDerivation!$B$4:$B$135)*(IF(O123="",0,O123)&lt;=LK_GradeDerivation!$C$4:$C$135)*LK_GradeDerivation!$D$4:$D$135),1)</f>
        <v>2</v>
      </c>
      <c r="Q123" s="61">
        <f>IFERROR(SUMPRODUCT((LK_GradeDerivation!$A$4:$A$135=N123)*(IF(O123="",0,O123)&gt;=LK_GradeDerivation!$B$4:$B$135)*(IF(O123="",0,O123)&lt;=LK_GradeDerivation!$C$4:$C$135)*LK_GradeDerivation!$E$4:$E$135),1)</f>
        <v>1</v>
      </c>
      <c r="R123" s="59" t="s">
        <v>2053</v>
      </c>
      <c r="S123" s="59" t="s">
        <v>2054</v>
      </c>
      <c r="T123" s="59" t="s">
        <v>1023</v>
      </c>
      <c r="U123" s="59" t="s">
        <v>2055</v>
      </c>
      <c r="V123" s="59" t="s">
        <v>2056</v>
      </c>
      <c r="W123" s="59" t="s">
        <v>285</v>
      </c>
      <c r="X123" s="59" t="s">
        <v>544</v>
      </c>
      <c r="Y123" s="59" t="s">
        <v>552</v>
      </c>
      <c r="Z123" s="64" t="str">
        <f>IFERROR(VLOOKUP(T123,LK_OrgMaster!$B$4:$H$89,5,FALSE()),"Administration")</f>
        <v>Technical</v>
      </c>
      <c r="AA123" s="65" t="str">
        <f>IFERROR(VLOOKUP(X123,LK_LocationMaster!$D$4:$G$157,4,FALSE()),"No")</f>
        <v>Yes</v>
      </c>
      <c r="AB123" s="65" t="str">
        <f t="shared" si="6"/>
        <v>No</v>
      </c>
      <c r="AC123" s="65" t="str">
        <f>IFERROR(VLOOKUP(X123,LK_LocationMaster!$D$4:$H$157,5,FALSE()),"No")</f>
        <v>Yes</v>
      </c>
      <c r="AD123" s="59" t="s">
        <v>1120</v>
      </c>
      <c r="AE123" s="59" t="s">
        <v>886</v>
      </c>
      <c r="AF123" s="59" t="s">
        <v>901</v>
      </c>
      <c r="AG123" s="59" t="s">
        <v>408</v>
      </c>
      <c r="AH123" s="59" t="s">
        <v>2057</v>
      </c>
      <c r="AI123" s="59" t="s">
        <v>285</v>
      </c>
      <c r="AJ123" s="59" t="s">
        <v>788</v>
      </c>
      <c r="AK123" s="59" t="s">
        <v>1877</v>
      </c>
      <c r="AL123" s="64" t="str">
        <f>IFERROR(INDEX(LK_BankMaster!$D$4:$D$23,MATCH(AJ123&amp;"|"&amp;AK123,LK_BankMaster!$H$4:$H$23,0)),"")</f>
        <v/>
      </c>
      <c r="AM123" s="59" t="s">
        <v>2058</v>
      </c>
      <c r="AN123" s="64" t="str">
        <f>IFERROR(VLOOKUP(AJ123,LK_BankMaster!$A$4:$E$23,5,FALSE()),"")</f>
        <v/>
      </c>
      <c r="AO123" s="59" t="s">
        <v>314</v>
      </c>
      <c r="AP123" s="66">
        <v>3</v>
      </c>
      <c r="AQ123" s="64" t="str">
        <f t="shared" si="7"/>
        <v>Position Allowance - General Staff</v>
      </c>
      <c r="AR123" s="65" t="str">
        <f>IFERROR(VLOOKUP(T123,LK_OrgMaster!$B$4:$G$89,6,FALSE()),"No")</f>
        <v>No</v>
      </c>
      <c r="AS123" s="64" t="str">
        <f>IFERROR(VLOOKUP(T123,LK_OrgMaster!$B$4:$H$89,7,FALSE()),"None")</f>
        <v>None</v>
      </c>
      <c r="AT123" s="70">
        <v>35076</v>
      </c>
      <c r="AU123" s="70"/>
      <c r="AV123" s="70">
        <v>35076</v>
      </c>
      <c r="AW123" s="70">
        <v>46023</v>
      </c>
      <c r="AX123" s="71" t="s">
        <v>750</v>
      </c>
      <c r="AY123" s="72" t="s">
        <v>6260</v>
      </c>
    </row>
    <row r="124" spans="1:51" ht="15" customHeight="1" x14ac:dyDescent="0.3">
      <c r="A124" s="59" t="s">
        <v>2059</v>
      </c>
      <c r="B124" s="59" t="s">
        <v>752</v>
      </c>
      <c r="C124" s="59" t="s">
        <v>1624</v>
      </c>
      <c r="D124" s="59" t="s">
        <v>1066</v>
      </c>
      <c r="E124" s="59" t="s">
        <v>732</v>
      </c>
      <c r="F124" s="60">
        <v>32454</v>
      </c>
      <c r="G124" s="59" t="s">
        <v>2060</v>
      </c>
      <c r="H124" s="59" t="s">
        <v>2061</v>
      </c>
      <c r="I124" s="60">
        <v>40855</v>
      </c>
      <c r="J124" s="61">
        <f t="shared" ca="1" si="4"/>
        <v>14</v>
      </c>
      <c r="K124" s="62">
        <f t="shared" si="5"/>
        <v>54369</v>
      </c>
      <c r="L124" s="59" t="s">
        <v>735</v>
      </c>
      <c r="M124" s="59" t="s">
        <v>2062</v>
      </c>
      <c r="N124" s="59" t="s">
        <v>737</v>
      </c>
      <c r="O124" s="63">
        <v>1</v>
      </c>
      <c r="P124" s="61">
        <f>IFERROR(SUMPRODUCT((LK_GradeDerivation!$A$4:$A$135=N124)*(IF(O124="",0,O124)&gt;=LK_GradeDerivation!$B$4:$B$135)*(IF(O124="",0,O124)&lt;=LK_GradeDerivation!$C$4:$C$135)*LK_GradeDerivation!$D$4:$D$135),1)</f>
        <v>4</v>
      </c>
      <c r="Q124" s="61">
        <f>IFERROR(SUMPRODUCT((LK_GradeDerivation!$A$4:$A$135=N124)*(IF(O124="",0,O124)&gt;=LK_GradeDerivation!$B$4:$B$135)*(IF(O124="",0,O124)&lt;=LK_GradeDerivation!$C$4:$C$135)*LK_GradeDerivation!$E$4:$E$135),1)</f>
        <v>1</v>
      </c>
      <c r="R124" s="59" t="s">
        <v>2063</v>
      </c>
      <c r="S124" s="59" t="s">
        <v>2064</v>
      </c>
      <c r="T124" s="59" t="s">
        <v>1084</v>
      </c>
      <c r="U124" s="59" t="s">
        <v>1687</v>
      </c>
      <c r="V124" s="59" t="s">
        <v>2065</v>
      </c>
      <c r="W124" s="59" t="s">
        <v>285</v>
      </c>
      <c r="X124" s="59" t="s">
        <v>527</v>
      </c>
      <c r="Y124" s="59" t="s">
        <v>527</v>
      </c>
      <c r="Z124" s="64" t="str">
        <f>IFERROR(VLOOKUP(T124,LK_OrgMaster!$B$4:$H$89,5,FALSE()),"Administration")</f>
        <v>Finance</v>
      </c>
      <c r="AA124" s="65" t="str">
        <f>IFERROR(VLOOKUP(X124,LK_LocationMaster!$D$4:$G$157,4,FALSE()),"No")</f>
        <v>No</v>
      </c>
      <c r="AB124" s="65" t="str">
        <f t="shared" si="6"/>
        <v>No</v>
      </c>
      <c r="AC124" s="65" t="str">
        <f>IFERROR(VLOOKUP(X124,LK_LocationMaster!$D$4:$H$157,5,FALSE()),"No")</f>
        <v>No</v>
      </c>
      <c r="AD124" s="59" t="s">
        <v>2066</v>
      </c>
      <c r="AE124" s="59" t="s">
        <v>886</v>
      </c>
      <c r="AF124" s="59" t="s">
        <v>816</v>
      </c>
      <c r="AG124" s="59" t="s">
        <v>356</v>
      </c>
      <c r="AH124" s="59" t="s">
        <v>2067</v>
      </c>
      <c r="AI124" s="59" t="s">
        <v>285</v>
      </c>
      <c r="AJ124" s="59" t="s">
        <v>788</v>
      </c>
      <c r="AK124" s="59" t="s">
        <v>789</v>
      </c>
      <c r="AL124" s="64" t="str">
        <f>IFERROR(INDEX(LK_BankMaster!$D$4:$D$23,MATCH(AJ124&amp;"|"&amp;AK124,LK_BankMaster!$H$4:$H$23,0)),"")</f>
        <v/>
      </c>
      <c r="AM124" s="59" t="s">
        <v>2068</v>
      </c>
      <c r="AN124" s="64" t="str">
        <f>IFERROR(VLOOKUP(AJ124,LK_BankMaster!$A$4:$E$23,5,FALSE()),"")</f>
        <v/>
      </c>
      <c r="AO124" s="59" t="s">
        <v>291</v>
      </c>
      <c r="AP124" s="66">
        <v>0</v>
      </c>
      <c r="AQ124" s="64" t="str">
        <f t="shared" si="7"/>
        <v>Position Allowance - General Staff</v>
      </c>
      <c r="AR124" s="65" t="str">
        <f>IFERROR(VLOOKUP(T124,LK_OrgMaster!$B$4:$G$89,6,FALSE()),"No")</f>
        <v>No</v>
      </c>
      <c r="AS124" s="64" t="str">
        <f>IFERROR(VLOOKUP(T124,LK_OrgMaster!$B$4:$H$89,7,FALSE()),"None")</f>
        <v>None</v>
      </c>
      <c r="AT124" s="67">
        <v>40855</v>
      </c>
      <c r="AU124" s="67"/>
      <c r="AV124" s="67">
        <v>40855</v>
      </c>
      <c r="AW124" s="67">
        <v>46023</v>
      </c>
      <c r="AX124" s="68" t="s">
        <v>750</v>
      </c>
      <c r="AY124" s="69" t="s">
        <v>6260</v>
      </c>
    </row>
    <row r="125" spans="1:51" ht="15" customHeight="1" x14ac:dyDescent="0.3">
      <c r="A125" s="59" t="s">
        <v>2069</v>
      </c>
      <c r="B125" s="59" t="s">
        <v>729</v>
      </c>
      <c r="C125" s="59" t="s">
        <v>2070</v>
      </c>
      <c r="D125" s="59" t="s">
        <v>907</v>
      </c>
      <c r="E125" s="59" t="s">
        <v>732</v>
      </c>
      <c r="F125" s="60">
        <v>28091</v>
      </c>
      <c r="G125" s="59" t="s">
        <v>2071</v>
      </c>
      <c r="H125" s="59" t="s">
        <v>2072</v>
      </c>
      <c r="I125" s="60">
        <v>43482</v>
      </c>
      <c r="J125" s="61">
        <f t="shared" ca="1" si="4"/>
        <v>7</v>
      </c>
      <c r="K125" s="62">
        <f t="shared" si="5"/>
        <v>50006</v>
      </c>
      <c r="L125" s="59" t="s">
        <v>735</v>
      </c>
      <c r="M125" s="59" t="s">
        <v>1483</v>
      </c>
      <c r="N125" s="59" t="s">
        <v>737</v>
      </c>
      <c r="O125" s="63">
        <v>20</v>
      </c>
      <c r="P125" s="61">
        <f>IFERROR(SUMPRODUCT((LK_GradeDerivation!$A$4:$A$135=N125)*(IF(O125="",0,O125)&gt;=LK_GradeDerivation!$B$4:$B$135)*(IF(O125="",0,O125)&lt;=LK_GradeDerivation!$C$4:$C$135)*LK_GradeDerivation!$D$4:$D$135),1)</f>
        <v>4</v>
      </c>
      <c r="Q125" s="61">
        <f>IFERROR(SUMPRODUCT((LK_GradeDerivation!$A$4:$A$135=N125)*(IF(O125="",0,O125)&gt;=LK_GradeDerivation!$B$4:$B$135)*(IF(O125="",0,O125)&lt;=LK_GradeDerivation!$C$4:$C$135)*LK_GradeDerivation!$E$4:$E$135),1)</f>
        <v>11</v>
      </c>
      <c r="R125" s="59" t="s">
        <v>2073</v>
      </c>
      <c r="S125" s="59" t="s">
        <v>2074</v>
      </c>
      <c r="T125" s="59" t="s">
        <v>1204</v>
      </c>
      <c r="U125" s="59" t="s">
        <v>1205</v>
      </c>
      <c r="V125" s="59" t="s">
        <v>763</v>
      </c>
      <c r="W125" s="59" t="s">
        <v>285</v>
      </c>
      <c r="X125" s="59" t="s">
        <v>587</v>
      </c>
      <c r="Y125" s="59" t="s">
        <v>597</v>
      </c>
      <c r="Z125" s="64" t="str">
        <f>IFERROR(VLOOKUP(T125,LK_OrgMaster!$B$4:$H$89,5,FALSE()),"Administration")</f>
        <v>Administration</v>
      </c>
      <c r="AA125" s="65" t="str">
        <f>IFERROR(VLOOKUP(X125,LK_LocationMaster!$D$4:$G$157,4,FALSE()),"No")</f>
        <v>Yes</v>
      </c>
      <c r="AB125" s="65" t="str">
        <f t="shared" si="6"/>
        <v>No</v>
      </c>
      <c r="AC125" s="65" t="str">
        <f>IFERROR(VLOOKUP(X125,LK_LocationMaster!$D$4:$H$157,5,FALSE()),"No")</f>
        <v>Yes</v>
      </c>
      <c r="AD125" s="59" t="s">
        <v>2075</v>
      </c>
      <c r="AE125" s="59" t="s">
        <v>886</v>
      </c>
      <c r="AF125" s="59" t="s">
        <v>745</v>
      </c>
      <c r="AG125" s="59" t="s">
        <v>368</v>
      </c>
      <c r="AH125" s="59" t="s">
        <v>2076</v>
      </c>
      <c r="AI125" s="59" t="s">
        <v>285</v>
      </c>
      <c r="AJ125" s="59" t="s">
        <v>747</v>
      </c>
      <c r="AK125" s="59" t="s">
        <v>748</v>
      </c>
      <c r="AL125" s="64" t="str">
        <f>IFERROR(INDEX(LK_BankMaster!$D$4:$D$23,MATCH(AJ125&amp;"|"&amp;AK125,LK_BankMaster!$H$4:$H$23,0)),"")</f>
        <v/>
      </c>
      <c r="AM125" s="59" t="s">
        <v>2077</v>
      </c>
      <c r="AN125" s="64" t="str">
        <f>IFERROR(VLOOKUP(AJ125,LK_BankMaster!$A$4:$E$23,5,FALSE()),"")</f>
        <v/>
      </c>
      <c r="AO125" s="59" t="s">
        <v>291</v>
      </c>
      <c r="AP125" s="66">
        <v>0</v>
      </c>
      <c r="AQ125" s="64" t="str">
        <f t="shared" si="7"/>
        <v>Position Allowance - General Staff</v>
      </c>
      <c r="AR125" s="65" t="str">
        <f>IFERROR(VLOOKUP(T125,LK_OrgMaster!$B$4:$G$89,6,FALSE()),"No")</f>
        <v>No</v>
      </c>
      <c r="AS125" s="64" t="str">
        <f>IFERROR(VLOOKUP(T125,LK_OrgMaster!$B$4:$H$89,7,FALSE()),"None")</f>
        <v>None</v>
      </c>
      <c r="AT125" s="70">
        <v>43482</v>
      </c>
      <c r="AU125" s="70"/>
      <c r="AV125" s="70">
        <v>43482</v>
      </c>
      <c r="AW125" s="70">
        <v>46023</v>
      </c>
      <c r="AX125" s="71" t="s">
        <v>750</v>
      </c>
      <c r="AY125" s="72" t="s">
        <v>6260</v>
      </c>
    </row>
    <row r="126" spans="1:51" ht="15" customHeight="1" x14ac:dyDescent="0.3">
      <c r="A126" s="59" t="s">
        <v>2078</v>
      </c>
      <c r="B126" s="59" t="s">
        <v>851</v>
      </c>
      <c r="C126" s="59" t="s">
        <v>1224</v>
      </c>
      <c r="D126" s="59" t="s">
        <v>1289</v>
      </c>
      <c r="E126" s="59" t="s">
        <v>775</v>
      </c>
      <c r="F126" s="60">
        <v>28095</v>
      </c>
      <c r="G126" s="59" t="s">
        <v>2079</v>
      </c>
      <c r="H126" s="59" t="s">
        <v>2080</v>
      </c>
      <c r="I126" s="60">
        <v>38661</v>
      </c>
      <c r="J126" s="61">
        <f t="shared" ca="1" si="4"/>
        <v>20</v>
      </c>
      <c r="K126" s="62">
        <f t="shared" si="5"/>
        <v>50010</v>
      </c>
      <c r="L126" s="59" t="s">
        <v>735</v>
      </c>
      <c r="M126" s="59" t="s">
        <v>1201</v>
      </c>
      <c r="N126" s="59" t="s">
        <v>737</v>
      </c>
      <c r="O126" s="63">
        <v>6</v>
      </c>
      <c r="P126" s="61">
        <f>IFERROR(SUMPRODUCT((LK_GradeDerivation!$A$4:$A$135=N126)*(IF(O126="",0,O126)&gt;=LK_GradeDerivation!$B$4:$B$135)*(IF(O126="",0,O126)&lt;=LK_GradeDerivation!$C$4:$C$135)*LK_GradeDerivation!$D$4:$D$135),1)</f>
        <v>4</v>
      </c>
      <c r="Q126" s="61">
        <f>IFERROR(SUMPRODUCT((LK_GradeDerivation!$A$4:$A$135=N126)*(IF(O126="",0,O126)&gt;=LK_GradeDerivation!$B$4:$B$135)*(IF(O126="",0,O126)&lt;=LK_GradeDerivation!$C$4:$C$135)*LK_GradeDerivation!$E$4:$E$135),1)</f>
        <v>4</v>
      </c>
      <c r="R126" s="59" t="s">
        <v>2081</v>
      </c>
      <c r="S126" s="59" t="s">
        <v>2082</v>
      </c>
      <c r="T126" s="59" t="s">
        <v>952</v>
      </c>
      <c r="U126" s="59" t="s">
        <v>953</v>
      </c>
      <c r="V126" s="59" t="s">
        <v>1577</v>
      </c>
      <c r="W126" s="59" t="s">
        <v>285</v>
      </c>
      <c r="X126" s="59" t="s">
        <v>443</v>
      </c>
      <c r="Y126" s="59" t="s">
        <v>453</v>
      </c>
      <c r="Z126" s="64" t="str">
        <f>IFERROR(VLOOKUP(T126,LK_OrgMaster!$B$4:$H$89,5,FALSE()),"Administration")</f>
        <v>Administration</v>
      </c>
      <c r="AA126" s="65" t="str">
        <f>IFERROR(VLOOKUP(X126,LK_LocationMaster!$D$4:$G$157,4,FALSE()),"No")</f>
        <v>No</v>
      </c>
      <c r="AB126" s="65" t="str">
        <f t="shared" si="6"/>
        <v>No</v>
      </c>
      <c r="AC126" s="65" t="str">
        <f>IFERROR(VLOOKUP(X126,LK_LocationMaster!$D$4:$H$157,5,FALSE()),"No")</f>
        <v>No</v>
      </c>
      <c r="AD126" s="59" t="s">
        <v>2083</v>
      </c>
      <c r="AE126" s="59" t="s">
        <v>800</v>
      </c>
      <c r="AF126" s="59" t="s">
        <v>901</v>
      </c>
      <c r="AG126" s="59" t="s">
        <v>340</v>
      </c>
      <c r="AH126" s="59" t="s">
        <v>2084</v>
      </c>
      <c r="AI126" s="59" t="s">
        <v>285</v>
      </c>
      <c r="AJ126" s="59" t="s">
        <v>818</v>
      </c>
      <c r="AK126" s="59" t="s">
        <v>944</v>
      </c>
      <c r="AL126" s="64" t="str">
        <f>IFERROR(INDEX(LK_BankMaster!$D$4:$D$23,MATCH(AJ126&amp;"|"&amp;AK126,LK_BankMaster!$H$4:$H$23,0)),"")</f>
        <v/>
      </c>
      <c r="AM126" s="59" t="s">
        <v>2085</v>
      </c>
      <c r="AN126" s="64" t="str">
        <f>IFERROR(VLOOKUP(AJ126,LK_BankMaster!$A$4:$E$23,5,FALSE()),"")</f>
        <v/>
      </c>
      <c r="AO126" s="59" t="s">
        <v>291</v>
      </c>
      <c r="AP126" s="66">
        <v>0</v>
      </c>
      <c r="AQ126" s="64" t="str">
        <f t="shared" si="7"/>
        <v>Position Allowance - General Staff</v>
      </c>
      <c r="AR126" s="65" t="str">
        <f>IFERROR(VLOOKUP(T126,LK_OrgMaster!$B$4:$G$89,6,FALSE()),"No")</f>
        <v>No</v>
      </c>
      <c r="AS126" s="64" t="str">
        <f>IFERROR(VLOOKUP(T126,LK_OrgMaster!$B$4:$H$89,7,FALSE()),"None")</f>
        <v>None</v>
      </c>
      <c r="AT126" s="67">
        <v>38661</v>
      </c>
      <c r="AU126" s="67"/>
      <c r="AV126" s="67">
        <v>38661</v>
      </c>
      <c r="AW126" s="67">
        <v>46023</v>
      </c>
      <c r="AX126" s="68" t="s">
        <v>750</v>
      </c>
      <c r="AY126" s="69" t="s">
        <v>6260</v>
      </c>
    </row>
    <row r="127" spans="1:51" ht="15" customHeight="1" x14ac:dyDescent="0.3">
      <c r="A127" s="59" t="s">
        <v>2086</v>
      </c>
      <c r="B127" s="59" t="s">
        <v>772</v>
      </c>
      <c r="C127" s="59" t="s">
        <v>773</v>
      </c>
      <c r="D127" s="59" t="s">
        <v>1112</v>
      </c>
      <c r="E127" s="59" t="s">
        <v>775</v>
      </c>
      <c r="F127" s="60">
        <v>24414</v>
      </c>
      <c r="G127" s="59" t="s">
        <v>2087</v>
      </c>
      <c r="H127" s="59" t="s">
        <v>2088</v>
      </c>
      <c r="I127" s="60">
        <v>41954</v>
      </c>
      <c r="J127" s="61">
        <f t="shared" ca="1" si="4"/>
        <v>11</v>
      </c>
      <c r="K127" s="62">
        <f t="shared" si="5"/>
        <v>46329</v>
      </c>
      <c r="L127" s="59" t="s">
        <v>735</v>
      </c>
      <c r="M127" s="59" t="s">
        <v>1891</v>
      </c>
      <c r="N127" s="59" t="s">
        <v>758</v>
      </c>
      <c r="O127" s="63">
        <v>23</v>
      </c>
      <c r="P127" s="61">
        <f>IFERROR(SUMPRODUCT((LK_GradeDerivation!$A$4:$A$135=N127)*(IF(O127="",0,O127)&gt;=LK_GradeDerivation!$B$4:$B$135)*(IF(O127="",0,O127)&lt;=LK_GradeDerivation!$C$4:$C$135)*LK_GradeDerivation!$D$4:$D$135),1)</f>
        <v>5</v>
      </c>
      <c r="Q127" s="61">
        <f>IFERROR(SUMPRODUCT((LK_GradeDerivation!$A$4:$A$135=N127)*(IF(O127="",0,O127)&gt;=LK_GradeDerivation!$B$4:$B$135)*(IF(O127="",0,O127)&lt;=LK_GradeDerivation!$C$4:$C$135)*LK_GradeDerivation!$E$4:$E$135),1)</f>
        <v>12</v>
      </c>
      <c r="R127" s="59" t="s">
        <v>2089</v>
      </c>
      <c r="S127" s="59" t="s">
        <v>2090</v>
      </c>
      <c r="T127" s="59" t="s">
        <v>1118</v>
      </c>
      <c r="U127" s="59" t="s">
        <v>1874</v>
      </c>
      <c r="V127" s="59" t="s">
        <v>2091</v>
      </c>
      <c r="W127" s="59" t="s">
        <v>598</v>
      </c>
      <c r="X127" s="59" t="s">
        <v>630</v>
      </c>
      <c r="Y127" s="59" t="s">
        <v>1180</v>
      </c>
      <c r="Z127" s="64" t="str">
        <f>IFERROR(VLOOKUP(T127,LK_OrgMaster!$B$4:$H$89,5,FALSE()),"Administration")</f>
        <v>Diplomatic</v>
      </c>
      <c r="AA127" s="65" t="str">
        <f>IFERROR(VLOOKUP(X127,LK_LocationMaster!$D$4:$G$157,4,FALSE()),"No")</f>
        <v>No</v>
      </c>
      <c r="AB127" s="65" t="str">
        <f t="shared" si="6"/>
        <v>Yes</v>
      </c>
      <c r="AC127" s="65" t="str">
        <f>IFERROR(VLOOKUP(X127,LK_LocationMaster!$D$4:$H$157,5,FALSE()),"No")</f>
        <v>No</v>
      </c>
      <c r="AD127" s="59" t="s">
        <v>2092</v>
      </c>
      <c r="AE127" s="59" t="s">
        <v>800</v>
      </c>
      <c r="AF127" s="59" t="s">
        <v>984</v>
      </c>
      <c r="AG127" s="59" t="s">
        <v>356</v>
      </c>
      <c r="AH127" s="59" t="s">
        <v>2093</v>
      </c>
      <c r="AI127" s="59" t="s">
        <v>285</v>
      </c>
      <c r="AJ127" s="59" t="s">
        <v>768</v>
      </c>
      <c r="AK127" s="59" t="s">
        <v>803</v>
      </c>
      <c r="AL127" s="64" t="str">
        <f>IFERROR(INDEX(LK_BankMaster!$D$4:$D$23,MATCH(AJ127&amp;"|"&amp;AK127,LK_BankMaster!$H$4:$H$23,0)),"")</f>
        <v/>
      </c>
      <c r="AM127" s="59" t="s">
        <v>2094</v>
      </c>
      <c r="AN127" s="64" t="str">
        <f>IFERROR(VLOOKUP(AJ127,LK_BankMaster!$A$4:$E$23,5,FALSE()),"")</f>
        <v/>
      </c>
      <c r="AO127" s="59" t="s">
        <v>291</v>
      </c>
      <c r="AP127" s="66">
        <v>0</v>
      </c>
      <c r="AQ127" s="64" t="str">
        <f t="shared" si="7"/>
        <v>Position Allowance - General Staff</v>
      </c>
      <c r="AR127" s="65" t="str">
        <f>IFERROR(VLOOKUP(T127,LK_OrgMaster!$B$4:$G$89,6,FALSE()),"No")</f>
        <v>No</v>
      </c>
      <c r="AS127" s="64" t="str">
        <f>IFERROR(VLOOKUP(T127,LK_OrgMaster!$B$4:$H$89,7,FALSE()),"None")</f>
        <v>None</v>
      </c>
      <c r="AT127" s="70">
        <v>41954</v>
      </c>
      <c r="AU127" s="70"/>
      <c r="AV127" s="70">
        <v>41954</v>
      </c>
      <c r="AW127" s="70">
        <v>46023</v>
      </c>
      <c r="AX127" s="71" t="s">
        <v>750</v>
      </c>
      <c r="AY127" s="72" t="s">
        <v>6260</v>
      </c>
    </row>
    <row r="128" spans="1:51" ht="15" customHeight="1" x14ac:dyDescent="0.3">
      <c r="A128" s="59" t="s">
        <v>2095</v>
      </c>
      <c r="B128" s="59" t="s">
        <v>772</v>
      </c>
      <c r="C128" s="59" t="s">
        <v>1534</v>
      </c>
      <c r="D128" s="59" t="s">
        <v>1066</v>
      </c>
      <c r="E128" s="59" t="s">
        <v>775</v>
      </c>
      <c r="F128" s="60">
        <v>33804</v>
      </c>
      <c r="G128" s="59" t="s">
        <v>2096</v>
      </c>
      <c r="H128" s="59" t="s">
        <v>2097</v>
      </c>
      <c r="I128" s="60">
        <v>42836</v>
      </c>
      <c r="J128" s="61">
        <f t="shared" ca="1" si="4"/>
        <v>8</v>
      </c>
      <c r="K128" s="62">
        <f t="shared" si="5"/>
        <v>55719</v>
      </c>
      <c r="L128" s="59" t="s">
        <v>735</v>
      </c>
      <c r="M128" s="59" t="s">
        <v>757</v>
      </c>
      <c r="N128" s="59" t="s">
        <v>737</v>
      </c>
      <c r="O128" s="63">
        <v>2</v>
      </c>
      <c r="P128" s="61">
        <f>IFERROR(SUMPRODUCT((LK_GradeDerivation!$A$4:$A$135=N128)*(IF(O128="",0,O128)&gt;=LK_GradeDerivation!$B$4:$B$135)*(IF(O128="",0,O128)&lt;=LK_GradeDerivation!$C$4:$C$135)*LK_GradeDerivation!$D$4:$D$135),1)</f>
        <v>4</v>
      </c>
      <c r="Q128" s="61">
        <f>IFERROR(SUMPRODUCT((LK_GradeDerivation!$A$4:$A$135=N128)*(IF(O128="",0,O128)&gt;=LK_GradeDerivation!$B$4:$B$135)*(IF(O128="",0,O128)&lt;=LK_GradeDerivation!$C$4:$C$135)*LK_GradeDerivation!$E$4:$E$135),1)</f>
        <v>2</v>
      </c>
      <c r="R128" s="59" t="s">
        <v>2098</v>
      </c>
      <c r="S128" s="59" t="s">
        <v>2099</v>
      </c>
      <c r="T128" s="59" t="s">
        <v>1204</v>
      </c>
      <c r="U128" s="59" t="s">
        <v>2100</v>
      </c>
      <c r="V128" s="59" t="s">
        <v>2101</v>
      </c>
      <c r="W128" s="59" t="s">
        <v>285</v>
      </c>
      <c r="X128" s="59" t="s">
        <v>544</v>
      </c>
      <c r="Y128" s="59" t="s">
        <v>548</v>
      </c>
      <c r="Z128" s="64" t="str">
        <f>IFERROR(VLOOKUP(T128,LK_OrgMaster!$B$4:$H$89,5,FALSE()),"Administration")</f>
        <v>Administration</v>
      </c>
      <c r="AA128" s="65" t="str">
        <f>IFERROR(VLOOKUP(X128,LK_LocationMaster!$D$4:$G$157,4,FALSE()),"No")</f>
        <v>Yes</v>
      </c>
      <c r="AB128" s="65" t="str">
        <f t="shared" si="6"/>
        <v>No</v>
      </c>
      <c r="AC128" s="65" t="str">
        <f>IFERROR(VLOOKUP(X128,LK_LocationMaster!$D$4:$H$157,5,FALSE()),"No")</f>
        <v>Yes</v>
      </c>
      <c r="AD128" s="59" t="s">
        <v>2102</v>
      </c>
      <c r="AE128" s="59" t="s">
        <v>886</v>
      </c>
      <c r="AF128" s="59" t="s">
        <v>915</v>
      </c>
      <c r="AG128" s="59" t="s">
        <v>288</v>
      </c>
      <c r="AH128" s="59" t="s">
        <v>2103</v>
      </c>
      <c r="AI128" s="59" t="s">
        <v>285</v>
      </c>
      <c r="AJ128" s="59" t="s">
        <v>768</v>
      </c>
      <c r="AK128" s="59" t="s">
        <v>1122</v>
      </c>
      <c r="AL128" s="64" t="str">
        <f>IFERROR(INDEX(LK_BankMaster!$D$4:$D$23,MATCH(AJ128&amp;"|"&amp;AK128,LK_BankMaster!$H$4:$H$23,0)),"")</f>
        <v/>
      </c>
      <c r="AM128" s="59" t="s">
        <v>2104</v>
      </c>
      <c r="AN128" s="64" t="str">
        <f>IFERROR(VLOOKUP(AJ128,LK_BankMaster!$A$4:$E$23,5,FALSE()),"")</f>
        <v/>
      </c>
      <c r="AO128" s="59" t="s">
        <v>314</v>
      </c>
      <c r="AP128" s="66">
        <v>2</v>
      </c>
      <c r="AQ128" s="64" t="str">
        <f t="shared" si="7"/>
        <v>Position Allowance - General Staff</v>
      </c>
      <c r="AR128" s="65" t="str">
        <f>IFERROR(VLOOKUP(T128,LK_OrgMaster!$B$4:$G$89,6,FALSE()),"No")</f>
        <v>No</v>
      </c>
      <c r="AS128" s="64" t="str">
        <f>IFERROR(VLOOKUP(T128,LK_OrgMaster!$B$4:$H$89,7,FALSE()),"None")</f>
        <v>None</v>
      </c>
      <c r="AT128" s="67">
        <v>42836</v>
      </c>
      <c r="AU128" s="67"/>
      <c r="AV128" s="67">
        <v>42836</v>
      </c>
      <c r="AW128" s="67">
        <v>46023</v>
      </c>
      <c r="AX128" s="68" t="s">
        <v>750</v>
      </c>
      <c r="AY128" s="69" t="s">
        <v>6260</v>
      </c>
    </row>
    <row r="129" spans="1:51" ht="15" customHeight="1" x14ac:dyDescent="0.3">
      <c r="A129" s="59" t="s">
        <v>2105</v>
      </c>
      <c r="B129" s="59" t="s">
        <v>752</v>
      </c>
      <c r="C129" s="59" t="s">
        <v>1603</v>
      </c>
      <c r="D129" s="59" t="s">
        <v>1172</v>
      </c>
      <c r="E129" s="59" t="s">
        <v>732</v>
      </c>
      <c r="F129" s="60">
        <v>27211</v>
      </c>
      <c r="G129" s="59" t="s">
        <v>2106</v>
      </c>
      <c r="H129" s="59" t="s">
        <v>2107</v>
      </c>
      <c r="I129" s="60">
        <v>36723</v>
      </c>
      <c r="J129" s="61">
        <f t="shared" ca="1" si="4"/>
        <v>25</v>
      </c>
      <c r="K129" s="62">
        <f t="shared" si="5"/>
        <v>49126</v>
      </c>
      <c r="L129" s="59" t="s">
        <v>735</v>
      </c>
      <c r="M129" s="59" t="s">
        <v>841</v>
      </c>
      <c r="N129" s="59" t="s">
        <v>758</v>
      </c>
      <c r="O129" s="63">
        <v>1</v>
      </c>
      <c r="P129" s="61">
        <f>IFERROR(SUMPRODUCT((LK_GradeDerivation!$A$4:$A$135=N129)*(IF(O129="",0,O129)&gt;=LK_GradeDerivation!$B$4:$B$135)*(IF(O129="",0,O129)&lt;=LK_GradeDerivation!$C$4:$C$135)*LK_GradeDerivation!$D$4:$D$135),1)</f>
        <v>5</v>
      </c>
      <c r="Q129" s="61">
        <f>IFERROR(SUMPRODUCT((LK_GradeDerivation!$A$4:$A$135=N129)*(IF(O129="",0,O129)&gt;=LK_GradeDerivation!$B$4:$B$135)*(IF(O129="",0,O129)&lt;=LK_GradeDerivation!$C$4:$C$135)*LK_GradeDerivation!$E$4:$E$135),1)</f>
        <v>1</v>
      </c>
      <c r="R129" s="59" t="s">
        <v>2108</v>
      </c>
      <c r="S129" s="59" t="s">
        <v>2109</v>
      </c>
      <c r="T129" s="59" t="s">
        <v>896</v>
      </c>
      <c r="U129" s="59" t="s">
        <v>897</v>
      </c>
      <c r="V129" s="59" t="s">
        <v>898</v>
      </c>
      <c r="W129" s="59" t="s">
        <v>285</v>
      </c>
      <c r="X129" s="59" t="s">
        <v>288</v>
      </c>
      <c r="Y129" s="59" t="s">
        <v>290</v>
      </c>
      <c r="Z129" s="64" t="str">
        <f>IFERROR(VLOOKUP(T129,LK_OrgMaster!$B$4:$H$89,5,FALSE()),"Administration")</f>
        <v>Administration</v>
      </c>
      <c r="AA129" s="65" t="str">
        <f>IFERROR(VLOOKUP(X129,LK_LocationMaster!$D$4:$G$157,4,FALSE()),"No")</f>
        <v>No</v>
      </c>
      <c r="AB129" s="65" t="str">
        <f t="shared" si="6"/>
        <v>No</v>
      </c>
      <c r="AC129" s="65" t="str">
        <f>IFERROR(VLOOKUP(X129,LK_LocationMaster!$D$4:$H$157,5,FALSE()),"No")</f>
        <v>No</v>
      </c>
      <c r="AD129" s="59" t="s">
        <v>2110</v>
      </c>
      <c r="AE129" s="59" t="s">
        <v>930</v>
      </c>
      <c r="AF129" s="59" t="s">
        <v>915</v>
      </c>
      <c r="AG129" s="59" t="s">
        <v>340</v>
      </c>
      <c r="AH129" s="59" t="s">
        <v>2111</v>
      </c>
      <c r="AI129" s="59" t="s">
        <v>285</v>
      </c>
      <c r="AJ129" s="59" t="s">
        <v>747</v>
      </c>
      <c r="AK129" s="59" t="s">
        <v>748</v>
      </c>
      <c r="AL129" s="64" t="str">
        <f>IFERROR(INDEX(LK_BankMaster!$D$4:$D$23,MATCH(AJ129&amp;"|"&amp;AK129,LK_BankMaster!$H$4:$H$23,0)),"")</f>
        <v/>
      </c>
      <c r="AM129" s="59" t="s">
        <v>2112</v>
      </c>
      <c r="AN129" s="64" t="str">
        <f>IFERROR(VLOOKUP(AJ129,LK_BankMaster!$A$4:$E$23,5,FALSE()),"")</f>
        <v/>
      </c>
      <c r="AO129" s="59" t="s">
        <v>314</v>
      </c>
      <c r="AP129" s="66">
        <v>0</v>
      </c>
      <c r="AQ129" s="64" t="str">
        <f t="shared" si="7"/>
        <v>Position Allowance - Director</v>
      </c>
      <c r="AR129" s="65" t="str">
        <f>IFERROR(VLOOKUP(T129,LK_OrgMaster!$B$4:$G$89,6,FALSE()),"No")</f>
        <v>No</v>
      </c>
      <c r="AS129" s="64" t="str">
        <f>IFERROR(VLOOKUP(T129,LK_OrgMaster!$B$4:$H$89,7,FALSE()),"None")</f>
        <v>None</v>
      </c>
      <c r="AT129" s="70">
        <v>36723</v>
      </c>
      <c r="AU129" s="70"/>
      <c r="AV129" s="70">
        <v>36723</v>
      </c>
      <c r="AW129" s="70">
        <v>46023</v>
      </c>
      <c r="AX129" s="71" t="s">
        <v>750</v>
      </c>
      <c r="AY129" s="72" t="s">
        <v>6260</v>
      </c>
    </row>
    <row r="130" spans="1:51" ht="15" customHeight="1" x14ac:dyDescent="0.3">
      <c r="A130" s="59" t="s">
        <v>2113</v>
      </c>
      <c r="B130" s="59" t="s">
        <v>772</v>
      </c>
      <c r="C130" s="59" t="s">
        <v>2114</v>
      </c>
      <c r="D130" s="59" t="s">
        <v>1066</v>
      </c>
      <c r="E130" s="59" t="s">
        <v>775</v>
      </c>
      <c r="F130" s="60">
        <v>36511</v>
      </c>
      <c r="G130" s="59" t="s">
        <v>2115</v>
      </c>
      <c r="H130" s="59" t="s">
        <v>2116</v>
      </c>
      <c r="I130" s="60">
        <v>38852</v>
      </c>
      <c r="J130" s="61">
        <f t="shared" ca="1" si="4"/>
        <v>19</v>
      </c>
      <c r="K130" s="62">
        <f t="shared" si="5"/>
        <v>58426</v>
      </c>
      <c r="L130" s="59" t="s">
        <v>735</v>
      </c>
      <c r="M130" s="59" t="s">
        <v>2117</v>
      </c>
      <c r="N130" s="59" t="s">
        <v>779</v>
      </c>
      <c r="O130" s="63">
        <v>0</v>
      </c>
      <c r="P130" s="61">
        <f>IFERROR(SUMPRODUCT((LK_GradeDerivation!$A$4:$A$135=N130)*(IF(O130="",0,O130)&gt;=LK_GradeDerivation!$B$4:$B$135)*(IF(O130="",0,O130)&lt;=LK_GradeDerivation!$C$4:$C$135)*LK_GradeDerivation!$D$4:$D$135),1)</f>
        <v>2</v>
      </c>
      <c r="Q130" s="61">
        <f>IFERROR(SUMPRODUCT((LK_GradeDerivation!$A$4:$A$135=N130)*(IF(O130="",0,O130)&gt;=LK_GradeDerivation!$B$4:$B$135)*(IF(O130="",0,O130)&lt;=LK_GradeDerivation!$C$4:$C$135)*LK_GradeDerivation!$E$4:$E$135),1)</f>
        <v>1</v>
      </c>
      <c r="R130" s="59" t="s">
        <v>2118</v>
      </c>
      <c r="S130" s="59" t="s">
        <v>2119</v>
      </c>
      <c r="T130" s="59" t="s">
        <v>1058</v>
      </c>
      <c r="U130" s="59" t="s">
        <v>1446</v>
      </c>
      <c r="V130" s="59" t="s">
        <v>1447</v>
      </c>
      <c r="W130" s="59" t="s">
        <v>285</v>
      </c>
      <c r="X130" s="59" t="s">
        <v>463</v>
      </c>
      <c r="Y130" s="59" t="s">
        <v>471</v>
      </c>
      <c r="Z130" s="64" t="str">
        <f>IFERROR(VLOOKUP(T130,LK_OrgMaster!$B$4:$H$89,5,FALSE()),"Administration")</f>
        <v>Technical</v>
      </c>
      <c r="AA130" s="65" t="str">
        <f>IFERROR(VLOOKUP(X130,LK_LocationMaster!$D$4:$G$157,4,FALSE()),"No")</f>
        <v>No</v>
      </c>
      <c r="AB130" s="65" t="str">
        <f t="shared" si="6"/>
        <v>No</v>
      </c>
      <c r="AC130" s="65" t="str">
        <f>IFERROR(VLOOKUP(X130,LK_LocationMaster!$D$4:$H$157,5,FALSE()),"No")</f>
        <v>No</v>
      </c>
      <c r="AD130" s="59" t="s">
        <v>2120</v>
      </c>
      <c r="AE130" s="59" t="s">
        <v>765</v>
      </c>
      <c r="AF130" s="59" t="s">
        <v>915</v>
      </c>
      <c r="AG130" s="59" t="s">
        <v>288</v>
      </c>
      <c r="AH130" s="59" t="s">
        <v>2121</v>
      </c>
      <c r="AI130" s="59" t="s">
        <v>285</v>
      </c>
      <c r="AJ130" s="59" t="s">
        <v>833</v>
      </c>
      <c r="AK130" s="59" t="s">
        <v>834</v>
      </c>
      <c r="AL130" s="64" t="str">
        <f>IFERROR(INDEX(LK_BankMaster!$D$4:$D$23,MATCH(AJ130&amp;"|"&amp;AK130,LK_BankMaster!$H$4:$H$23,0)),"")</f>
        <v/>
      </c>
      <c r="AM130" s="59" t="s">
        <v>2122</v>
      </c>
      <c r="AN130" s="64" t="str">
        <f>IFERROR(VLOOKUP(AJ130,LK_BankMaster!$A$4:$E$23,5,FALSE()),"")</f>
        <v/>
      </c>
      <c r="AO130" s="59" t="s">
        <v>314</v>
      </c>
      <c r="AP130" s="66">
        <v>1</v>
      </c>
      <c r="AQ130" s="64" t="str">
        <f t="shared" si="7"/>
        <v>Position Allowance - General Staff</v>
      </c>
      <c r="AR130" s="65" t="str">
        <f>IFERROR(VLOOKUP(T130,LK_OrgMaster!$B$4:$G$89,6,FALSE()),"No")</f>
        <v>No</v>
      </c>
      <c r="AS130" s="64" t="str">
        <f>IFERROR(VLOOKUP(T130,LK_OrgMaster!$B$4:$H$89,7,FALSE()),"None")</f>
        <v>None</v>
      </c>
      <c r="AT130" s="67">
        <v>38852</v>
      </c>
      <c r="AU130" s="67"/>
      <c r="AV130" s="67">
        <v>38852</v>
      </c>
      <c r="AW130" s="67">
        <v>46023</v>
      </c>
      <c r="AX130" s="68" t="s">
        <v>750</v>
      </c>
      <c r="AY130" s="69" t="s">
        <v>6260</v>
      </c>
    </row>
    <row r="131" spans="1:51" ht="15" customHeight="1" x14ac:dyDescent="0.3">
      <c r="A131" s="59" t="s">
        <v>2123</v>
      </c>
      <c r="B131" s="59" t="s">
        <v>851</v>
      </c>
      <c r="C131" s="59" t="s">
        <v>1111</v>
      </c>
      <c r="D131" s="59" t="s">
        <v>1373</v>
      </c>
      <c r="E131" s="59" t="s">
        <v>775</v>
      </c>
      <c r="F131" s="60">
        <v>31322</v>
      </c>
      <c r="G131" s="59" t="s">
        <v>2124</v>
      </c>
      <c r="H131" s="59" t="s">
        <v>2125</v>
      </c>
      <c r="I131" s="60">
        <v>33513</v>
      </c>
      <c r="J131" s="61">
        <f t="shared" ca="1" si="4"/>
        <v>34</v>
      </c>
      <c r="K131" s="62">
        <f t="shared" si="5"/>
        <v>53237</v>
      </c>
      <c r="L131" s="59" t="s">
        <v>735</v>
      </c>
      <c r="M131" s="59" t="s">
        <v>1407</v>
      </c>
      <c r="N131" s="59" t="s">
        <v>737</v>
      </c>
      <c r="O131" s="63">
        <v>0</v>
      </c>
      <c r="P131" s="61">
        <f>IFERROR(SUMPRODUCT((LK_GradeDerivation!$A$4:$A$135=N131)*(IF(O131="",0,O131)&gt;=LK_GradeDerivation!$B$4:$B$135)*(IF(O131="",0,O131)&lt;=LK_GradeDerivation!$C$4:$C$135)*LK_GradeDerivation!$D$4:$D$135),1)</f>
        <v>4</v>
      </c>
      <c r="Q131" s="61">
        <f>IFERROR(SUMPRODUCT((LK_GradeDerivation!$A$4:$A$135=N131)*(IF(O131="",0,O131)&gt;=LK_GradeDerivation!$B$4:$B$135)*(IF(O131="",0,O131)&lt;=LK_GradeDerivation!$C$4:$C$135)*LK_GradeDerivation!$E$4:$E$135),1)</f>
        <v>1</v>
      </c>
      <c r="R131" s="59" t="s">
        <v>2126</v>
      </c>
      <c r="S131" s="59" t="s">
        <v>2127</v>
      </c>
      <c r="T131" s="59" t="s">
        <v>859</v>
      </c>
      <c r="U131" s="59" t="s">
        <v>2128</v>
      </c>
      <c r="V131" s="59" t="s">
        <v>2129</v>
      </c>
      <c r="W131" s="59" t="s">
        <v>285</v>
      </c>
      <c r="X131" s="59" t="s">
        <v>288</v>
      </c>
      <c r="Y131" s="59" t="s">
        <v>290</v>
      </c>
      <c r="Z131" s="64" t="str">
        <f>IFERROR(VLOOKUP(T131,LK_OrgMaster!$B$4:$H$89,5,FALSE()),"Administration")</f>
        <v>Technical</v>
      </c>
      <c r="AA131" s="65" t="str">
        <f>IFERROR(VLOOKUP(X131,LK_LocationMaster!$D$4:$G$157,4,FALSE()),"No")</f>
        <v>No</v>
      </c>
      <c r="AB131" s="65" t="str">
        <f t="shared" si="6"/>
        <v>No</v>
      </c>
      <c r="AC131" s="65" t="str">
        <f>IFERROR(VLOOKUP(X131,LK_LocationMaster!$D$4:$H$157,5,FALSE()),"No")</f>
        <v>No</v>
      </c>
      <c r="AD131" s="59" t="s">
        <v>2130</v>
      </c>
      <c r="AE131" s="59" t="s">
        <v>930</v>
      </c>
      <c r="AF131" s="59" t="s">
        <v>745</v>
      </c>
      <c r="AG131" s="59" t="s">
        <v>329</v>
      </c>
      <c r="AH131" s="59" t="s">
        <v>2131</v>
      </c>
      <c r="AI131" s="59" t="s">
        <v>285</v>
      </c>
      <c r="AJ131" s="59" t="s">
        <v>788</v>
      </c>
      <c r="AK131" s="59" t="s">
        <v>1221</v>
      </c>
      <c r="AL131" s="64" t="str">
        <f>IFERROR(INDEX(LK_BankMaster!$D$4:$D$23,MATCH(AJ131&amp;"|"&amp;AK131,LK_BankMaster!$H$4:$H$23,0)),"")</f>
        <v/>
      </c>
      <c r="AM131" s="59" t="s">
        <v>2132</v>
      </c>
      <c r="AN131" s="64" t="str">
        <f>IFERROR(VLOOKUP(AJ131,LK_BankMaster!$A$4:$E$23,5,FALSE()),"")</f>
        <v/>
      </c>
      <c r="AO131" s="59" t="s">
        <v>314</v>
      </c>
      <c r="AP131" s="66">
        <v>3</v>
      </c>
      <c r="AQ131" s="64" t="str">
        <f t="shared" si="7"/>
        <v>Position Allowance - General Staff</v>
      </c>
      <c r="AR131" s="65" t="str">
        <f>IFERROR(VLOOKUP(T131,LK_OrgMaster!$B$4:$G$89,6,FALSE()),"No")</f>
        <v>No</v>
      </c>
      <c r="AS131" s="64" t="str">
        <f>IFERROR(VLOOKUP(T131,LK_OrgMaster!$B$4:$H$89,7,FALSE()),"None")</f>
        <v>None</v>
      </c>
      <c r="AT131" s="70">
        <v>33513</v>
      </c>
      <c r="AU131" s="70"/>
      <c r="AV131" s="70">
        <v>33513</v>
      </c>
      <c r="AW131" s="70">
        <v>46023</v>
      </c>
      <c r="AX131" s="71" t="s">
        <v>750</v>
      </c>
      <c r="AY131" s="72" t="s">
        <v>6260</v>
      </c>
    </row>
    <row r="132" spans="1:51" ht="15" customHeight="1" x14ac:dyDescent="0.3">
      <c r="A132" s="59" t="s">
        <v>2133</v>
      </c>
      <c r="B132" s="59" t="s">
        <v>772</v>
      </c>
      <c r="C132" s="59" t="s">
        <v>2134</v>
      </c>
      <c r="D132" s="59" t="s">
        <v>960</v>
      </c>
      <c r="E132" s="59" t="s">
        <v>732</v>
      </c>
      <c r="F132" s="60">
        <v>34740</v>
      </c>
      <c r="G132" s="59" t="s">
        <v>2135</v>
      </c>
      <c r="H132" s="59" t="s">
        <v>2136</v>
      </c>
      <c r="I132" s="60">
        <v>34323</v>
      </c>
      <c r="J132" s="61">
        <f t="shared" ref="J132:J195" ca="1" si="8">IFERROR(DATEDIF(I132,TODAY(),"Y"),0)</f>
        <v>32</v>
      </c>
      <c r="K132" s="62">
        <f t="shared" ref="K132:K195" si="9">IFERROR(DATE(YEAR(F132)+60,MONTH(F132),DAY(F132)),"")</f>
        <v>56655</v>
      </c>
      <c r="L132" s="59" t="s">
        <v>735</v>
      </c>
      <c r="M132" s="59" t="s">
        <v>1454</v>
      </c>
      <c r="N132" s="59" t="s">
        <v>758</v>
      </c>
      <c r="O132" s="63">
        <v>0</v>
      </c>
      <c r="P132" s="61">
        <f>IFERROR(SUMPRODUCT((LK_GradeDerivation!$A$4:$A$135=N132)*(IF(O132="",0,O132)&gt;=LK_GradeDerivation!$B$4:$B$135)*(IF(O132="",0,O132)&lt;=LK_GradeDerivation!$C$4:$C$135)*LK_GradeDerivation!$D$4:$D$135),1)</f>
        <v>5</v>
      </c>
      <c r="Q132" s="61">
        <f>IFERROR(SUMPRODUCT((LK_GradeDerivation!$A$4:$A$135=N132)*(IF(O132="",0,O132)&gt;=LK_GradeDerivation!$B$4:$B$135)*(IF(O132="",0,O132)&lt;=LK_GradeDerivation!$C$4:$C$135)*LK_GradeDerivation!$E$4:$E$135),1)</f>
        <v>1</v>
      </c>
      <c r="R132" s="59" t="s">
        <v>2137</v>
      </c>
      <c r="S132" s="59" t="s">
        <v>2138</v>
      </c>
      <c r="T132" s="59" t="s">
        <v>740</v>
      </c>
      <c r="U132" s="59" t="s">
        <v>1166</v>
      </c>
      <c r="V132" s="59" t="s">
        <v>1295</v>
      </c>
      <c r="W132" s="59" t="s">
        <v>285</v>
      </c>
      <c r="X132" s="59" t="s">
        <v>329</v>
      </c>
      <c r="Y132" s="59" t="s">
        <v>336</v>
      </c>
      <c r="Z132" s="64" t="str">
        <f>IFERROR(VLOOKUP(T132,LK_OrgMaster!$B$4:$H$89,5,FALSE()),"Administration")</f>
        <v>Teacher</v>
      </c>
      <c r="AA132" s="65" t="str">
        <f>IFERROR(VLOOKUP(X132,LK_LocationMaster!$D$4:$G$157,4,FALSE()),"No")</f>
        <v>Yes</v>
      </c>
      <c r="AB132" s="65" t="str">
        <f t="shared" ref="AB132:AB195" si="10">IF(W132="Foreign / International","Yes","No")</f>
        <v>No</v>
      </c>
      <c r="AC132" s="65" t="str">
        <f>IFERROR(VLOOKUP(X132,LK_LocationMaster!$D$4:$H$157,5,FALSE()),"No")</f>
        <v>No</v>
      </c>
      <c r="AD132" s="59" t="s">
        <v>2139</v>
      </c>
      <c r="AE132" s="59" t="s">
        <v>930</v>
      </c>
      <c r="AF132" s="59" t="s">
        <v>766</v>
      </c>
      <c r="AG132" s="59" t="s">
        <v>391</v>
      </c>
      <c r="AH132" s="59" t="s">
        <v>2140</v>
      </c>
      <c r="AI132" s="59" t="s">
        <v>285</v>
      </c>
      <c r="AJ132" s="59" t="s">
        <v>833</v>
      </c>
      <c r="AK132" s="59" t="s">
        <v>917</v>
      </c>
      <c r="AL132" s="64" t="str">
        <f>IFERROR(INDEX(LK_BankMaster!$D$4:$D$23,MATCH(AJ132&amp;"|"&amp;AK132,LK_BankMaster!$H$4:$H$23,0)),"")</f>
        <v/>
      </c>
      <c r="AM132" s="59" t="s">
        <v>2141</v>
      </c>
      <c r="AN132" s="64" t="str">
        <f>IFERROR(VLOOKUP(AJ132,LK_BankMaster!$A$4:$E$23,5,FALSE()),"")</f>
        <v/>
      </c>
      <c r="AO132" s="59" t="s">
        <v>314</v>
      </c>
      <c r="AP132" s="66">
        <v>3</v>
      </c>
      <c r="AQ132" s="64" t="str">
        <f t="shared" ref="AQ132:AQ195" si="11">IF(ISNUMBER(SEARCH("Deputy Minister",M132)),"Position Allowance - Deputy Minister",IF(AND(ISNUMBER(SEARCH("Minister",M132)),NOT(ISNUMBER(SEARCH("Deputy",M132)))),"Position Allowance - Minister",IF(ISNUMBER(SEARCH("Deputy Director",M132)),"Position Allowance - Deputy Director",IF(AND(ISNUMBER(SEARCH("Director",M132)),NOT(ISNUMBER(SEARCH("Deputy",M132)))),"Position Allowance - Director",IF(ISNUMBER(SEARCH("Division Chief",M132)),"Position Allowance - Division Chief",IF(ISNUMBER(SEARCH("Section Chief",M132)),"Position Allowance - Section Chief","Position Allowance - General Staff"))))))</f>
        <v>Position Allowance - General Staff</v>
      </c>
      <c r="AR132" s="65" t="str">
        <f>IFERROR(VLOOKUP(T132,LK_OrgMaster!$B$4:$G$89,6,FALSE()),"No")</f>
        <v>No</v>
      </c>
      <c r="AS132" s="64" t="str">
        <f>IFERROR(VLOOKUP(T132,LK_OrgMaster!$B$4:$H$89,7,FALSE()),"None")</f>
        <v>Teaching</v>
      </c>
      <c r="AT132" s="67">
        <v>34323</v>
      </c>
      <c r="AU132" s="67"/>
      <c r="AV132" s="67">
        <v>34323</v>
      </c>
      <c r="AW132" s="67">
        <v>46023</v>
      </c>
      <c r="AX132" s="68" t="s">
        <v>750</v>
      </c>
      <c r="AY132" s="69" t="s">
        <v>6260</v>
      </c>
    </row>
    <row r="133" spans="1:51" ht="15" customHeight="1" x14ac:dyDescent="0.3">
      <c r="A133" s="59" t="s">
        <v>2142</v>
      </c>
      <c r="B133" s="59" t="s">
        <v>752</v>
      </c>
      <c r="C133" s="59" t="s">
        <v>2143</v>
      </c>
      <c r="D133" s="59" t="s">
        <v>823</v>
      </c>
      <c r="E133" s="59" t="s">
        <v>732</v>
      </c>
      <c r="F133" s="60">
        <v>25814</v>
      </c>
      <c r="G133" s="59" t="s">
        <v>2144</v>
      </c>
      <c r="H133" s="59" t="s">
        <v>2145</v>
      </c>
      <c r="I133" s="60">
        <v>42425</v>
      </c>
      <c r="J133" s="61">
        <f t="shared" ca="1" si="8"/>
        <v>10</v>
      </c>
      <c r="K133" s="62">
        <f t="shared" si="9"/>
        <v>47729</v>
      </c>
      <c r="L133" s="59" t="s">
        <v>735</v>
      </c>
      <c r="M133" s="59" t="s">
        <v>1045</v>
      </c>
      <c r="N133" s="59" t="s">
        <v>737</v>
      </c>
      <c r="O133" s="63">
        <v>23</v>
      </c>
      <c r="P133" s="61">
        <f>IFERROR(SUMPRODUCT((LK_GradeDerivation!$A$4:$A$135=N133)*(IF(O133="",0,O133)&gt;=LK_GradeDerivation!$B$4:$B$135)*(IF(O133="",0,O133)&lt;=LK_GradeDerivation!$C$4:$C$135)*LK_GradeDerivation!$D$4:$D$135),1)</f>
        <v>4</v>
      </c>
      <c r="Q133" s="61">
        <f>IFERROR(SUMPRODUCT((LK_GradeDerivation!$A$4:$A$135=N133)*(IF(O133="",0,O133)&gt;=LK_GradeDerivation!$B$4:$B$135)*(IF(O133="",0,O133)&lt;=LK_GradeDerivation!$C$4:$C$135)*LK_GradeDerivation!$E$4:$E$135),1)</f>
        <v>12</v>
      </c>
      <c r="R133" s="59" t="s">
        <v>2146</v>
      </c>
      <c r="S133" s="59" t="s">
        <v>2147</v>
      </c>
      <c r="T133" s="59" t="s">
        <v>844</v>
      </c>
      <c r="U133" s="59" t="s">
        <v>1961</v>
      </c>
      <c r="V133" s="59" t="s">
        <v>763</v>
      </c>
      <c r="W133" s="59" t="s">
        <v>285</v>
      </c>
      <c r="X133" s="59" t="s">
        <v>340</v>
      </c>
      <c r="Y133" s="59" t="s">
        <v>346</v>
      </c>
      <c r="Z133" s="64" t="str">
        <f>IFERROR(VLOOKUP(T133,LK_OrgMaster!$B$4:$H$89,5,FALSE()),"Administration")</f>
        <v>Administration</v>
      </c>
      <c r="AA133" s="65" t="str">
        <f>IFERROR(VLOOKUP(X133,LK_LocationMaster!$D$4:$G$157,4,FALSE()),"No")</f>
        <v>No</v>
      </c>
      <c r="AB133" s="65" t="str">
        <f t="shared" si="10"/>
        <v>No</v>
      </c>
      <c r="AC133" s="65" t="str">
        <f>IFERROR(VLOOKUP(X133,LK_LocationMaster!$D$4:$H$157,5,FALSE()),"No")</f>
        <v>No</v>
      </c>
      <c r="AD133" s="59" t="s">
        <v>2148</v>
      </c>
      <c r="AE133" s="59" t="s">
        <v>886</v>
      </c>
      <c r="AF133" s="59" t="s">
        <v>901</v>
      </c>
      <c r="AG133" s="59" t="s">
        <v>288</v>
      </c>
      <c r="AH133" s="59" t="s">
        <v>2149</v>
      </c>
      <c r="AI133" s="59" t="s">
        <v>285</v>
      </c>
      <c r="AJ133" s="59" t="s">
        <v>833</v>
      </c>
      <c r="AK133" s="59" t="s">
        <v>1013</v>
      </c>
      <c r="AL133" s="64" t="str">
        <f>IFERROR(INDEX(LK_BankMaster!$D$4:$D$23,MATCH(AJ133&amp;"|"&amp;AK133,LK_BankMaster!$H$4:$H$23,0)),"")</f>
        <v/>
      </c>
      <c r="AM133" s="59" t="s">
        <v>2150</v>
      </c>
      <c r="AN133" s="64" t="str">
        <f>IFERROR(VLOOKUP(AJ133,LK_BankMaster!$A$4:$E$23,5,FALSE()),"")</f>
        <v/>
      </c>
      <c r="AO133" s="59" t="s">
        <v>314</v>
      </c>
      <c r="AP133" s="66">
        <v>0</v>
      </c>
      <c r="AQ133" s="64" t="str">
        <f t="shared" si="11"/>
        <v>Position Allowance - General Staff</v>
      </c>
      <c r="AR133" s="65" t="str">
        <f>IFERROR(VLOOKUP(T133,LK_OrgMaster!$B$4:$G$89,6,FALSE()),"No")</f>
        <v>No</v>
      </c>
      <c r="AS133" s="64" t="str">
        <f>IFERROR(VLOOKUP(T133,LK_OrgMaster!$B$4:$H$89,7,FALSE()),"None")</f>
        <v>None</v>
      </c>
      <c r="AT133" s="70">
        <v>42425</v>
      </c>
      <c r="AU133" s="70"/>
      <c r="AV133" s="70">
        <v>42425</v>
      </c>
      <c r="AW133" s="70">
        <v>46023</v>
      </c>
      <c r="AX133" s="71" t="s">
        <v>750</v>
      </c>
      <c r="AY133" s="72" t="s">
        <v>6260</v>
      </c>
    </row>
    <row r="134" spans="1:51" ht="15" customHeight="1" x14ac:dyDescent="0.3">
      <c r="A134" s="59" t="s">
        <v>2151</v>
      </c>
      <c r="B134" s="59" t="s">
        <v>851</v>
      </c>
      <c r="C134" s="59" t="s">
        <v>1511</v>
      </c>
      <c r="D134" s="59" t="s">
        <v>754</v>
      </c>
      <c r="E134" s="59" t="s">
        <v>775</v>
      </c>
      <c r="F134" s="60">
        <v>26842</v>
      </c>
      <c r="G134" s="59" t="s">
        <v>2152</v>
      </c>
      <c r="H134" s="59" t="s">
        <v>2153</v>
      </c>
      <c r="I134" s="60">
        <v>39785</v>
      </c>
      <c r="J134" s="61">
        <f t="shared" ca="1" si="8"/>
        <v>17</v>
      </c>
      <c r="K134" s="62">
        <f t="shared" si="9"/>
        <v>48757</v>
      </c>
      <c r="L134" s="59" t="s">
        <v>735</v>
      </c>
      <c r="M134" s="59" t="s">
        <v>1020</v>
      </c>
      <c r="N134" s="59" t="s">
        <v>758</v>
      </c>
      <c r="O134" s="63">
        <v>10</v>
      </c>
      <c r="P134" s="61">
        <f>IFERROR(SUMPRODUCT((LK_GradeDerivation!$A$4:$A$135=N134)*(IF(O134="",0,O134)&gt;=LK_GradeDerivation!$B$4:$B$135)*(IF(O134="",0,O134)&lt;=LK_GradeDerivation!$C$4:$C$135)*LK_GradeDerivation!$D$4:$D$135),1)</f>
        <v>5</v>
      </c>
      <c r="Q134" s="61">
        <f>IFERROR(SUMPRODUCT((LK_GradeDerivation!$A$4:$A$135=N134)*(IF(O134="",0,O134)&gt;=LK_GradeDerivation!$B$4:$B$135)*(IF(O134="",0,O134)&lt;=LK_GradeDerivation!$C$4:$C$135)*LK_GradeDerivation!$E$4:$E$135),1)</f>
        <v>6</v>
      </c>
      <c r="R134" s="59" t="s">
        <v>2154</v>
      </c>
      <c r="S134" s="59" t="s">
        <v>2155</v>
      </c>
      <c r="T134" s="59" t="s">
        <v>844</v>
      </c>
      <c r="U134" s="59" t="s">
        <v>845</v>
      </c>
      <c r="V134" s="59" t="s">
        <v>2156</v>
      </c>
      <c r="W134" s="59" t="s">
        <v>285</v>
      </c>
      <c r="X134" s="59" t="s">
        <v>340</v>
      </c>
      <c r="Y134" s="59" t="s">
        <v>348</v>
      </c>
      <c r="Z134" s="64" t="str">
        <f>IFERROR(VLOOKUP(T134,LK_OrgMaster!$B$4:$H$89,5,FALSE()),"Administration")</f>
        <v>Administration</v>
      </c>
      <c r="AA134" s="65" t="str">
        <f>IFERROR(VLOOKUP(X134,LK_LocationMaster!$D$4:$G$157,4,FALSE()),"No")</f>
        <v>No</v>
      </c>
      <c r="AB134" s="65" t="str">
        <f t="shared" si="10"/>
        <v>No</v>
      </c>
      <c r="AC134" s="65" t="str">
        <f>IFERROR(VLOOKUP(X134,LK_LocationMaster!$D$4:$H$157,5,FALSE()),"No")</f>
        <v>No</v>
      </c>
      <c r="AD134" s="59" t="s">
        <v>2157</v>
      </c>
      <c r="AE134" s="59" t="s">
        <v>930</v>
      </c>
      <c r="AF134" s="59" t="s">
        <v>786</v>
      </c>
      <c r="AG134" s="59" t="s">
        <v>329</v>
      </c>
      <c r="AH134" s="59" t="s">
        <v>2158</v>
      </c>
      <c r="AI134" s="59" t="s">
        <v>285</v>
      </c>
      <c r="AJ134" s="59" t="s">
        <v>818</v>
      </c>
      <c r="AK134" s="59" t="s">
        <v>944</v>
      </c>
      <c r="AL134" s="64" t="str">
        <f>IFERROR(INDEX(LK_BankMaster!$D$4:$D$23,MATCH(AJ134&amp;"|"&amp;AK134,LK_BankMaster!$H$4:$H$23,0)),"")</f>
        <v/>
      </c>
      <c r="AM134" s="59" t="s">
        <v>2159</v>
      </c>
      <c r="AN134" s="64" t="str">
        <f>IFERROR(VLOOKUP(AJ134,LK_BankMaster!$A$4:$E$23,5,FALSE()),"")</f>
        <v/>
      </c>
      <c r="AO134" s="59" t="s">
        <v>291</v>
      </c>
      <c r="AP134" s="66">
        <v>0</v>
      </c>
      <c r="AQ134" s="64" t="str">
        <f t="shared" si="11"/>
        <v>Position Allowance - Section Chief</v>
      </c>
      <c r="AR134" s="65" t="str">
        <f>IFERROR(VLOOKUP(T134,LK_OrgMaster!$B$4:$G$89,6,FALSE()),"No")</f>
        <v>No</v>
      </c>
      <c r="AS134" s="64" t="str">
        <f>IFERROR(VLOOKUP(T134,LK_OrgMaster!$B$4:$H$89,7,FALSE()),"None")</f>
        <v>None</v>
      </c>
      <c r="AT134" s="67">
        <v>39785</v>
      </c>
      <c r="AU134" s="67"/>
      <c r="AV134" s="67">
        <v>39785</v>
      </c>
      <c r="AW134" s="67">
        <v>46023</v>
      </c>
      <c r="AX134" s="68" t="s">
        <v>750</v>
      </c>
      <c r="AY134" s="69" t="s">
        <v>6260</v>
      </c>
    </row>
    <row r="135" spans="1:51" ht="15" customHeight="1" x14ac:dyDescent="0.3">
      <c r="A135" s="59" t="s">
        <v>2160</v>
      </c>
      <c r="B135" s="59" t="s">
        <v>729</v>
      </c>
      <c r="C135" s="59" t="s">
        <v>1750</v>
      </c>
      <c r="D135" s="59" t="s">
        <v>853</v>
      </c>
      <c r="E135" s="59" t="s">
        <v>732</v>
      </c>
      <c r="F135" s="60">
        <v>34165</v>
      </c>
      <c r="G135" s="59" t="s">
        <v>2161</v>
      </c>
      <c r="H135" s="59" t="s">
        <v>2162</v>
      </c>
      <c r="I135" s="60">
        <v>34915</v>
      </c>
      <c r="J135" s="61">
        <f t="shared" ca="1" si="8"/>
        <v>30</v>
      </c>
      <c r="K135" s="62">
        <f t="shared" si="9"/>
        <v>56080</v>
      </c>
      <c r="L135" s="59" t="s">
        <v>735</v>
      </c>
      <c r="M135" s="59" t="s">
        <v>1695</v>
      </c>
      <c r="N135" s="59" t="s">
        <v>737</v>
      </c>
      <c r="O135" s="63">
        <v>0</v>
      </c>
      <c r="P135" s="61">
        <f>IFERROR(SUMPRODUCT((LK_GradeDerivation!$A$4:$A$135=N135)*(IF(O135="",0,O135)&gt;=LK_GradeDerivation!$B$4:$B$135)*(IF(O135="",0,O135)&lt;=LK_GradeDerivation!$C$4:$C$135)*LK_GradeDerivation!$D$4:$D$135),1)</f>
        <v>4</v>
      </c>
      <c r="Q135" s="61">
        <f>IFERROR(SUMPRODUCT((LK_GradeDerivation!$A$4:$A$135=N135)*(IF(O135="",0,O135)&gt;=LK_GradeDerivation!$B$4:$B$135)*(IF(O135="",0,O135)&lt;=LK_GradeDerivation!$C$4:$C$135)*LK_GradeDerivation!$E$4:$E$135),1)</f>
        <v>1</v>
      </c>
      <c r="R135" s="59" t="s">
        <v>2163</v>
      </c>
      <c r="S135" s="59" t="s">
        <v>2164</v>
      </c>
      <c r="T135" s="59" t="s">
        <v>1084</v>
      </c>
      <c r="U135" s="59" t="s">
        <v>1217</v>
      </c>
      <c r="V135" s="59" t="s">
        <v>2165</v>
      </c>
      <c r="W135" s="59" t="s">
        <v>285</v>
      </c>
      <c r="X135" s="59" t="s">
        <v>408</v>
      </c>
      <c r="Y135" s="59" t="s">
        <v>419</v>
      </c>
      <c r="Z135" s="64" t="str">
        <f>IFERROR(VLOOKUP(T135,LK_OrgMaster!$B$4:$H$89,5,FALSE()),"Administration")</f>
        <v>Finance</v>
      </c>
      <c r="AA135" s="65" t="str">
        <f>IFERROR(VLOOKUP(X135,LK_LocationMaster!$D$4:$G$157,4,FALSE()),"No")</f>
        <v>Yes</v>
      </c>
      <c r="AB135" s="65" t="str">
        <f t="shared" si="10"/>
        <v>No</v>
      </c>
      <c r="AC135" s="65" t="str">
        <f>IFERROR(VLOOKUP(X135,LK_LocationMaster!$D$4:$H$157,5,FALSE()),"No")</f>
        <v>No</v>
      </c>
      <c r="AD135" s="59" t="s">
        <v>2166</v>
      </c>
      <c r="AE135" s="59" t="s">
        <v>765</v>
      </c>
      <c r="AF135" s="59" t="s">
        <v>801</v>
      </c>
      <c r="AG135" s="59" t="s">
        <v>312</v>
      </c>
      <c r="AH135" s="59" t="s">
        <v>2167</v>
      </c>
      <c r="AI135" s="59" t="s">
        <v>285</v>
      </c>
      <c r="AJ135" s="59" t="s">
        <v>788</v>
      </c>
      <c r="AK135" s="59" t="s">
        <v>999</v>
      </c>
      <c r="AL135" s="64" t="str">
        <f>IFERROR(INDEX(LK_BankMaster!$D$4:$D$23,MATCH(AJ135&amp;"|"&amp;AK135,LK_BankMaster!$H$4:$H$23,0)),"")</f>
        <v/>
      </c>
      <c r="AM135" s="59" t="s">
        <v>2168</v>
      </c>
      <c r="AN135" s="64" t="str">
        <f>IFERROR(VLOOKUP(AJ135,LK_BankMaster!$A$4:$E$23,5,FALSE()),"")</f>
        <v/>
      </c>
      <c r="AO135" s="59" t="s">
        <v>291</v>
      </c>
      <c r="AP135" s="66">
        <v>0</v>
      </c>
      <c r="AQ135" s="64" t="str">
        <f t="shared" si="11"/>
        <v>Position Allowance - General Staff</v>
      </c>
      <c r="AR135" s="65" t="str">
        <f>IFERROR(VLOOKUP(T135,LK_OrgMaster!$B$4:$G$89,6,FALSE()),"No")</f>
        <v>No</v>
      </c>
      <c r="AS135" s="64" t="str">
        <f>IFERROR(VLOOKUP(T135,LK_OrgMaster!$B$4:$H$89,7,FALSE()),"None")</f>
        <v>None</v>
      </c>
      <c r="AT135" s="70">
        <v>34915</v>
      </c>
      <c r="AU135" s="70"/>
      <c r="AV135" s="70">
        <v>34915</v>
      </c>
      <c r="AW135" s="70">
        <v>46023</v>
      </c>
      <c r="AX135" s="71" t="s">
        <v>750</v>
      </c>
      <c r="AY135" s="72" t="s">
        <v>6260</v>
      </c>
    </row>
    <row r="136" spans="1:51" ht="15" customHeight="1" x14ac:dyDescent="0.3">
      <c r="A136" s="59" t="s">
        <v>2169</v>
      </c>
      <c r="B136" s="59" t="s">
        <v>851</v>
      </c>
      <c r="C136" s="59" t="s">
        <v>1159</v>
      </c>
      <c r="D136" s="59" t="s">
        <v>853</v>
      </c>
      <c r="E136" s="59" t="s">
        <v>775</v>
      </c>
      <c r="F136" s="60">
        <v>33478</v>
      </c>
      <c r="G136" s="59" t="s">
        <v>2170</v>
      </c>
      <c r="H136" s="59" t="s">
        <v>2171</v>
      </c>
      <c r="I136" s="60">
        <v>34209</v>
      </c>
      <c r="J136" s="61">
        <f t="shared" ca="1" si="8"/>
        <v>32</v>
      </c>
      <c r="K136" s="62">
        <f t="shared" si="9"/>
        <v>55393</v>
      </c>
      <c r="L136" s="59" t="s">
        <v>735</v>
      </c>
      <c r="M136" s="59" t="s">
        <v>2172</v>
      </c>
      <c r="N136" s="59" t="s">
        <v>737</v>
      </c>
      <c r="O136" s="63">
        <v>0</v>
      </c>
      <c r="P136" s="61">
        <f>IFERROR(SUMPRODUCT((LK_GradeDerivation!$A$4:$A$135=N136)*(IF(O136="",0,O136)&gt;=LK_GradeDerivation!$B$4:$B$135)*(IF(O136="",0,O136)&lt;=LK_GradeDerivation!$C$4:$C$135)*LK_GradeDerivation!$D$4:$D$135),1)</f>
        <v>4</v>
      </c>
      <c r="Q136" s="61">
        <f>IFERROR(SUMPRODUCT((LK_GradeDerivation!$A$4:$A$135=N136)*(IF(O136="",0,O136)&gt;=LK_GradeDerivation!$B$4:$B$135)*(IF(O136="",0,O136)&lt;=LK_GradeDerivation!$C$4:$C$135)*LK_GradeDerivation!$E$4:$E$135),1)</f>
        <v>1</v>
      </c>
      <c r="R136" s="59" t="s">
        <v>2173</v>
      </c>
      <c r="S136" s="59" t="s">
        <v>2174</v>
      </c>
      <c r="T136" s="59" t="s">
        <v>1084</v>
      </c>
      <c r="U136" s="59" t="s">
        <v>1085</v>
      </c>
      <c r="V136" s="59" t="s">
        <v>763</v>
      </c>
      <c r="W136" s="59" t="s">
        <v>285</v>
      </c>
      <c r="X136" s="59" t="s">
        <v>554</v>
      </c>
      <c r="Y136" s="59" t="s">
        <v>566</v>
      </c>
      <c r="Z136" s="64" t="str">
        <f>IFERROR(VLOOKUP(T136,LK_OrgMaster!$B$4:$H$89,5,FALSE()),"Administration")</f>
        <v>Finance</v>
      </c>
      <c r="AA136" s="65" t="str">
        <f>IFERROR(VLOOKUP(X136,LK_LocationMaster!$D$4:$G$157,4,FALSE()),"No")</f>
        <v>No</v>
      </c>
      <c r="AB136" s="65" t="str">
        <f t="shared" si="10"/>
        <v>No</v>
      </c>
      <c r="AC136" s="65" t="str">
        <f>IFERROR(VLOOKUP(X136,LK_LocationMaster!$D$4:$H$157,5,FALSE()),"No")</f>
        <v>No</v>
      </c>
      <c r="AD136" s="59" t="s">
        <v>2175</v>
      </c>
      <c r="AE136" s="59" t="s">
        <v>800</v>
      </c>
      <c r="AF136" s="59" t="s">
        <v>969</v>
      </c>
      <c r="AG136" s="59" t="s">
        <v>340</v>
      </c>
      <c r="AH136" s="59" t="s">
        <v>2176</v>
      </c>
      <c r="AI136" s="59" t="s">
        <v>285</v>
      </c>
      <c r="AJ136" s="59" t="s">
        <v>833</v>
      </c>
      <c r="AK136" s="59" t="s">
        <v>834</v>
      </c>
      <c r="AL136" s="64" t="str">
        <f>IFERROR(INDEX(LK_BankMaster!$D$4:$D$23,MATCH(AJ136&amp;"|"&amp;AK136,LK_BankMaster!$H$4:$H$23,0)),"")</f>
        <v/>
      </c>
      <c r="AM136" s="59" t="s">
        <v>2177</v>
      </c>
      <c r="AN136" s="64" t="str">
        <f>IFERROR(VLOOKUP(AJ136,LK_BankMaster!$A$4:$E$23,5,FALSE()),"")</f>
        <v/>
      </c>
      <c r="AO136" s="59" t="s">
        <v>314</v>
      </c>
      <c r="AP136" s="66">
        <v>1</v>
      </c>
      <c r="AQ136" s="64" t="str">
        <f t="shared" si="11"/>
        <v>Position Allowance - General Staff</v>
      </c>
      <c r="AR136" s="65" t="str">
        <f>IFERROR(VLOOKUP(T136,LK_OrgMaster!$B$4:$G$89,6,FALSE()),"No")</f>
        <v>No</v>
      </c>
      <c r="AS136" s="64" t="str">
        <f>IFERROR(VLOOKUP(T136,LK_OrgMaster!$B$4:$H$89,7,FALSE()),"None")</f>
        <v>None</v>
      </c>
      <c r="AT136" s="67">
        <v>34209</v>
      </c>
      <c r="AU136" s="67"/>
      <c r="AV136" s="67">
        <v>34209</v>
      </c>
      <c r="AW136" s="67">
        <v>46023</v>
      </c>
      <c r="AX136" s="68" t="s">
        <v>750</v>
      </c>
      <c r="AY136" s="69" t="s">
        <v>6260</v>
      </c>
    </row>
    <row r="137" spans="1:51" ht="15" customHeight="1" x14ac:dyDescent="0.3">
      <c r="A137" s="59" t="s">
        <v>2178</v>
      </c>
      <c r="B137" s="59" t="s">
        <v>729</v>
      </c>
      <c r="C137" s="59" t="s">
        <v>988</v>
      </c>
      <c r="D137" s="59" t="s">
        <v>989</v>
      </c>
      <c r="E137" s="59" t="s">
        <v>732</v>
      </c>
      <c r="F137" s="60">
        <v>28004</v>
      </c>
      <c r="G137" s="59" t="s">
        <v>990</v>
      </c>
      <c r="H137" s="59" t="s">
        <v>2179</v>
      </c>
      <c r="I137" s="60">
        <v>36178</v>
      </c>
      <c r="J137" s="61">
        <f t="shared" ca="1" si="8"/>
        <v>27</v>
      </c>
      <c r="K137" s="62">
        <f t="shared" si="9"/>
        <v>49919</v>
      </c>
      <c r="L137" s="59" t="s">
        <v>735</v>
      </c>
      <c r="M137" s="59" t="s">
        <v>1201</v>
      </c>
      <c r="N137" s="59" t="s">
        <v>779</v>
      </c>
      <c r="O137" s="63">
        <v>4</v>
      </c>
      <c r="P137" s="61">
        <f>IFERROR(SUMPRODUCT((LK_GradeDerivation!$A$4:$A$135=N137)*(IF(O137="",0,O137)&gt;=LK_GradeDerivation!$B$4:$B$135)*(IF(O137="",0,O137)&lt;=LK_GradeDerivation!$C$4:$C$135)*LK_GradeDerivation!$D$4:$D$135),1)</f>
        <v>2</v>
      </c>
      <c r="Q137" s="61">
        <f>IFERROR(SUMPRODUCT((LK_GradeDerivation!$A$4:$A$135=N137)*(IF(O137="",0,O137)&gt;=LK_GradeDerivation!$B$4:$B$135)*(IF(O137="",0,O137)&lt;=LK_GradeDerivation!$C$4:$C$135)*LK_GradeDerivation!$E$4:$E$135),1)</f>
        <v>3</v>
      </c>
      <c r="R137" s="59" t="s">
        <v>2180</v>
      </c>
      <c r="S137" s="59" t="s">
        <v>2181</v>
      </c>
      <c r="T137" s="59" t="s">
        <v>952</v>
      </c>
      <c r="U137" s="59" t="s">
        <v>1597</v>
      </c>
      <c r="V137" s="59" t="s">
        <v>763</v>
      </c>
      <c r="W137" s="59" t="s">
        <v>285</v>
      </c>
      <c r="X137" s="59" t="s">
        <v>443</v>
      </c>
      <c r="Y137" s="59" t="s">
        <v>461</v>
      </c>
      <c r="Z137" s="64" t="str">
        <f>IFERROR(VLOOKUP(T137,LK_OrgMaster!$B$4:$H$89,5,FALSE()),"Administration")</f>
        <v>Administration</v>
      </c>
      <c r="AA137" s="65" t="str">
        <f>IFERROR(VLOOKUP(X137,LK_LocationMaster!$D$4:$G$157,4,FALSE()),"No")</f>
        <v>No</v>
      </c>
      <c r="AB137" s="65" t="str">
        <f t="shared" si="10"/>
        <v>No</v>
      </c>
      <c r="AC137" s="65" t="str">
        <f>IFERROR(VLOOKUP(X137,LK_LocationMaster!$D$4:$H$157,5,FALSE()),"No")</f>
        <v>No</v>
      </c>
      <c r="AD137" s="59" t="s">
        <v>2182</v>
      </c>
      <c r="AE137" s="59" t="s">
        <v>800</v>
      </c>
      <c r="AF137" s="59" t="s">
        <v>901</v>
      </c>
      <c r="AG137" s="59" t="s">
        <v>288</v>
      </c>
      <c r="AH137" s="59" t="s">
        <v>2183</v>
      </c>
      <c r="AI137" s="59" t="s">
        <v>285</v>
      </c>
      <c r="AJ137" s="59" t="s">
        <v>747</v>
      </c>
      <c r="AK137" s="59" t="s">
        <v>748</v>
      </c>
      <c r="AL137" s="64" t="str">
        <f>IFERROR(INDEX(LK_BankMaster!$D$4:$D$23,MATCH(AJ137&amp;"|"&amp;AK137,LK_BankMaster!$H$4:$H$23,0)),"")</f>
        <v/>
      </c>
      <c r="AM137" s="59" t="s">
        <v>2184</v>
      </c>
      <c r="AN137" s="64" t="str">
        <f>IFERROR(VLOOKUP(AJ137,LK_BankMaster!$A$4:$E$23,5,FALSE()),"")</f>
        <v/>
      </c>
      <c r="AO137" s="59" t="s">
        <v>291</v>
      </c>
      <c r="AP137" s="66">
        <v>0</v>
      </c>
      <c r="AQ137" s="64" t="str">
        <f t="shared" si="11"/>
        <v>Position Allowance - General Staff</v>
      </c>
      <c r="AR137" s="65" t="str">
        <f>IFERROR(VLOOKUP(T137,LK_OrgMaster!$B$4:$G$89,6,FALSE()),"No")</f>
        <v>No</v>
      </c>
      <c r="AS137" s="64" t="str">
        <f>IFERROR(VLOOKUP(T137,LK_OrgMaster!$B$4:$H$89,7,FALSE()),"None")</f>
        <v>None</v>
      </c>
      <c r="AT137" s="70">
        <v>36178</v>
      </c>
      <c r="AU137" s="70"/>
      <c r="AV137" s="70">
        <v>36178</v>
      </c>
      <c r="AW137" s="70">
        <v>46023</v>
      </c>
      <c r="AX137" s="71" t="s">
        <v>750</v>
      </c>
      <c r="AY137" s="72" t="s">
        <v>6260</v>
      </c>
    </row>
    <row r="138" spans="1:51" ht="15" customHeight="1" x14ac:dyDescent="0.3">
      <c r="A138" s="59" t="s">
        <v>2185</v>
      </c>
      <c r="B138" s="59" t="s">
        <v>851</v>
      </c>
      <c r="C138" s="59" t="s">
        <v>2114</v>
      </c>
      <c r="D138" s="59" t="s">
        <v>1289</v>
      </c>
      <c r="E138" s="59" t="s">
        <v>775</v>
      </c>
      <c r="F138" s="60">
        <v>29029</v>
      </c>
      <c r="G138" s="59" t="s">
        <v>2186</v>
      </c>
      <c r="H138" s="59" t="s">
        <v>2187</v>
      </c>
      <c r="I138" s="60">
        <v>39342</v>
      </c>
      <c r="J138" s="61">
        <f t="shared" ca="1" si="8"/>
        <v>18</v>
      </c>
      <c r="K138" s="62">
        <f t="shared" si="9"/>
        <v>50944</v>
      </c>
      <c r="L138" s="59" t="s">
        <v>735</v>
      </c>
      <c r="M138" s="59" t="s">
        <v>1201</v>
      </c>
      <c r="N138" s="59" t="s">
        <v>1081</v>
      </c>
      <c r="O138" s="63">
        <v>8</v>
      </c>
      <c r="P138" s="61">
        <f>IFERROR(SUMPRODUCT((LK_GradeDerivation!$A$4:$A$135=N138)*(IF(O138="",0,O138)&gt;=LK_GradeDerivation!$B$4:$B$135)*(IF(O138="",0,O138)&lt;=LK_GradeDerivation!$C$4:$C$135)*LK_GradeDerivation!$D$4:$D$135),1)</f>
        <v>3</v>
      </c>
      <c r="Q138" s="61">
        <f>IFERROR(SUMPRODUCT((LK_GradeDerivation!$A$4:$A$135=N138)*(IF(O138="",0,O138)&gt;=LK_GradeDerivation!$B$4:$B$135)*(IF(O138="",0,O138)&lt;=LK_GradeDerivation!$C$4:$C$135)*LK_GradeDerivation!$E$4:$E$135),1)</f>
        <v>5</v>
      </c>
      <c r="R138" s="59" t="s">
        <v>2188</v>
      </c>
      <c r="S138" s="59" t="s">
        <v>2189</v>
      </c>
      <c r="T138" s="59" t="s">
        <v>1204</v>
      </c>
      <c r="U138" s="59" t="s">
        <v>1205</v>
      </c>
      <c r="V138" s="59" t="s">
        <v>763</v>
      </c>
      <c r="W138" s="59" t="s">
        <v>285</v>
      </c>
      <c r="X138" s="59" t="s">
        <v>356</v>
      </c>
      <c r="Y138" s="59" t="s">
        <v>364</v>
      </c>
      <c r="Z138" s="64" t="str">
        <f>IFERROR(VLOOKUP(T138,LK_OrgMaster!$B$4:$H$89,5,FALSE()),"Administration")</f>
        <v>Administration</v>
      </c>
      <c r="AA138" s="65" t="str">
        <f>IFERROR(VLOOKUP(X138,LK_LocationMaster!$D$4:$G$157,4,FALSE()),"No")</f>
        <v>Yes</v>
      </c>
      <c r="AB138" s="65" t="str">
        <f t="shared" si="10"/>
        <v>No</v>
      </c>
      <c r="AC138" s="65" t="str">
        <f>IFERROR(VLOOKUP(X138,LK_LocationMaster!$D$4:$H$157,5,FALSE()),"No")</f>
        <v>No</v>
      </c>
      <c r="AD138" s="59" t="s">
        <v>2190</v>
      </c>
      <c r="AE138" s="59" t="s">
        <v>765</v>
      </c>
      <c r="AF138" s="59" t="s">
        <v>901</v>
      </c>
      <c r="AG138" s="59" t="s">
        <v>391</v>
      </c>
      <c r="AH138" s="59" t="s">
        <v>2191</v>
      </c>
      <c r="AI138" s="59" t="s">
        <v>285</v>
      </c>
      <c r="AJ138" s="59" t="s">
        <v>833</v>
      </c>
      <c r="AK138" s="59" t="s">
        <v>1013</v>
      </c>
      <c r="AL138" s="64" t="str">
        <f>IFERROR(INDEX(LK_BankMaster!$D$4:$D$23,MATCH(AJ138&amp;"|"&amp;AK138,LK_BankMaster!$H$4:$H$23,0)),"")</f>
        <v/>
      </c>
      <c r="AM138" s="59" t="s">
        <v>2192</v>
      </c>
      <c r="AN138" s="64" t="str">
        <f>IFERROR(VLOOKUP(AJ138,LK_BankMaster!$A$4:$E$23,5,FALSE()),"")</f>
        <v/>
      </c>
      <c r="AO138" s="59" t="s">
        <v>314</v>
      </c>
      <c r="AP138" s="66">
        <v>1</v>
      </c>
      <c r="AQ138" s="64" t="str">
        <f t="shared" si="11"/>
        <v>Position Allowance - General Staff</v>
      </c>
      <c r="AR138" s="65" t="str">
        <f>IFERROR(VLOOKUP(T138,LK_OrgMaster!$B$4:$G$89,6,FALSE()),"No")</f>
        <v>No</v>
      </c>
      <c r="AS138" s="64" t="str">
        <f>IFERROR(VLOOKUP(T138,LK_OrgMaster!$B$4:$H$89,7,FALSE()),"None")</f>
        <v>None</v>
      </c>
      <c r="AT138" s="67">
        <v>39342</v>
      </c>
      <c r="AU138" s="67"/>
      <c r="AV138" s="67">
        <v>39342</v>
      </c>
      <c r="AW138" s="67">
        <v>46023</v>
      </c>
      <c r="AX138" s="68" t="s">
        <v>750</v>
      </c>
      <c r="AY138" s="69" t="s">
        <v>6260</v>
      </c>
    </row>
    <row r="139" spans="1:51" ht="15" customHeight="1" x14ac:dyDescent="0.3">
      <c r="A139" s="59" t="s">
        <v>2193</v>
      </c>
      <c r="B139" s="59" t="s">
        <v>772</v>
      </c>
      <c r="C139" s="59" t="s">
        <v>1278</v>
      </c>
      <c r="D139" s="59" t="s">
        <v>2194</v>
      </c>
      <c r="E139" s="59" t="s">
        <v>775</v>
      </c>
      <c r="F139" s="60">
        <v>25470</v>
      </c>
      <c r="G139" s="59" t="s">
        <v>2195</v>
      </c>
      <c r="H139" s="59" t="s">
        <v>2196</v>
      </c>
      <c r="I139" s="60">
        <v>42948</v>
      </c>
      <c r="J139" s="61">
        <f t="shared" ca="1" si="8"/>
        <v>8</v>
      </c>
      <c r="K139" s="62">
        <f t="shared" si="9"/>
        <v>47385</v>
      </c>
      <c r="L139" s="59" t="s">
        <v>735</v>
      </c>
      <c r="M139" s="59" t="s">
        <v>1781</v>
      </c>
      <c r="N139" s="59" t="s">
        <v>737</v>
      </c>
      <c r="O139" s="63">
        <v>25</v>
      </c>
      <c r="P139" s="61">
        <f>IFERROR(SUMPRODUCT((LK_GradeDerivation!$A$4:$A$135=N139)*(IF(O139="",0,O139)&gt;=LK_GradeDerivation!$B$4:$B$135)*(IF(O139="",0,O139)&lt;=LK_GradeDerivation!$C$4:$C$135)*LK_GradeDerivation!$D$4:$D$135),1)</f>
        <v>4</v>
      </c>
      <c r="Q139" s="61">
        <f>IFERROR(SUMPRODUCT((LK_GradeDerivation!$A$4:$A$135=N139)*(IF(O139="",0,O139)&gt;=LK_GradeDerivation!$B$4:$B$135)*(IF(O139="",0,O139)&lt;=LK_GradeDerivation!$C$4:$C$135)*LK_GradeDerivation!$E$4:$E$135),1)</f>
        <v>13</v>
      </c>
      <c r="R139" s="59" t="s">
        <v>2197</v>
      </c>
      <c r="S139" s="59" t="s">
        <v>2198</v>
      </c>
      <c r="T139" s="59" t="s">
        <v>782</v>
      </c>
      <c r="U139" s="59" t="s">
        <v>1772</v>
      </c>
      <c r="V139" s="59" t="s">
        <v>1773</v>
      </c>
      <c r="W139" s="59" t="s">
        <v>285</v>
      </c>
      <c r="X139" s="59" t="s">
        <v>544</v>
      </c>
      <c r="Y139" s="59" t="s">
        <v>552</v>
      </c>
      <c r="Z139" s="64" t="str">
        <f>IFERROR(VLOOKUP(T139,LK_OrgMaster!$B$4:$H$89,5,FALSE()),"Administration")</f>
        <v>Medical</v>
      </c>
      <c r="AA139" s="65" t="str">
        <f>IFERROR(VLOOKUP(X139,LK_LocationMaster!$D$4:$G$157,4,FALSE()),"No")</f>
        <v>Yes</v>
      </c>
      <c r="AB139" s="65" t="str">
        <f t="shared" si="10"/>
        <v>No</v>
      </c>
      <c r="AC139" s="65" t="str">
        <f>IFERROR(VLOOKUP(X139,LK_LocationMaster!$D$4:$H$157,5,FALSE()),"No")</f>
        <v>Yes</v>
      </c>
      <c r="AD139" s="59" t="s">
        <v>2199</v>
      </c>
      <c r="AE139" s="59" t="s">
        <v>800</v>
      </c>
      <c r="AF139" s="59" t="s">
        <v>969</v>
      </c>
      <c r="AG139" s="59" t="s">
        <v>368</v>
      </c>
      <c r="AH139" s="59" t="s">
        <v>2200</v>
      </c>
      <c r="AI139" s="59" t="s">
        <v>285</v>
      </c>
      <c r="AJ139" s="59" t="s">
        <v>747</v>
      </c>
      <c r="AK139" s="59" t="s">
        <v>748</v>
      </c>
      <c r="AL139" s="64" t="str">
        <f>IFERROR(INDEX(LK_BankMaster!$D$4:$D$23,MATCH(AJ139&amp;"|"&amp;AK139,LK_BankMaster!$H$4:$H$23,0)),"")</f>
        <v/>
      </c>
      <c r="AM139" s="59" t="s">
        <v>2201</v>
      </c>
      <c r="AN139" s="64" t="str">
        <f>IFERROR(VLOOKUP(AJ139,LK_BankMaster!$A$4:$E$23,5,FALSE()),"")</f>
        <v/>
      </c>
      <c r="AO139" s="59" t="s">
        <v>314</v>
      </c>
      <c r="AP139" s="66">
        <v>1</v>
      </c>
      <c r="AQ139" s="64" t="str">
        <f t="shared" si="11"/>
        <v>Position Allowance - General Staff</v>
      </c>
      <c r="AR139" s="65" t="str">
        <f>IFERROR(VLOOKUP(T139,LK_OrgMaster!$B$4:$G$89,6,FALSE()),"No")</f>
        <v>No</v>
      </c>
      <c r="AS139" s="64" t="str">
        <f>IFERROR(VLOOKUP(T139,LK_OrgMaster!$B$4:$H$89,7,FALSE()),"None")</f>
        <v>Medical</v>
      </c>
      <c r="AT139" s="70">
        <v>42948</v>
      </c>
      <c r="AU139" s="70"/>
      <c r="AV139" s="70">
        <v>42948</v>
      </c>
      <c r="AW139" s="70">
        <v>46023</v>
      </c>
      <c r="AX139" s="71" t="s">
        <v>750</v>
      </c>
      <c r="AY139" s="72" t="s">
        <v>6260</v>
      </c>
    </row>
    <row r="140" spans="1:51" ht="15" customHeight="1" x14ac:dyDescent="0.3">
      <c r="A140" s="59" t="s">
        <v>2202</v>
      </c>
      <c r="B140" s="59" t="s">
        <v>752</v>
      </c>
      <c r="C140" s="59" t="s">
        <v>2203</v>
      </c>
      <c r="D140" s="59" t="s">
        <v>2194</v>
      </c>
      <c r="E140" s="59" t="s">
        <v>732</v>
      </c>
      <c r="F140" s="60">
        <v>25377</v>
      </c>
      <c r="G140" s="59" t="s">
        <v>2204</v>
      </c>
      <c r="H140" s="59" t="s">
        <v>2205</v>
      </c>
      <c r="I140" s="60">
        <v>39069</v>
      </c>
      <c r="J140" s="61">
        <f t="shared" ca="1" si="8"/>
        <v>19</v>
      </c>
      <c r="K140" s="62">
        <f t="shared" si="9"/>
        <v>47292</v>
      </c>
      <c r="L140" s="59" t="s">
        <v>735</v>
      </c>
      <c r="M140" s="59" t="s">
        <v>2117</v>
      </c>
      <c r="N140" s="59" t="s">
        <v>1081</v>
      </c>
      <c r="O140" s="63">
        <v>17</v>
      </c>
      <c r="P140" s="61">
        <f>IFERROR(SUMPRODUCT((LK_GradeDerivation!$A$4:$A$135=N140)*(IF(O140="",0,O140)&gt;=LK_GradeDerivation!$B$4:$B$135)*(IF(O140="",0,O140)&lt;=LK_GradeDerivation!$C$4:$C$135)*LK_GradeDerivation!$D$4:$D$135),1)</f>
        <v>3</v>
      </c>
      <c r="Q140" s="61">
        <f>IFERROR(SUMPRODUCT((LK_GradeDerivation!$A$4:$A$135=N140)*(IF(O140="",0,O140)&gt;=LK_GradeDerivation!$B$4:$B$135)*(IF(O140="",0,O140)&lt;=LK_GradeDerivation!$C$4:$C$135)*LK_GradeDerivation!$E$4:$E$135),1)</f>
        <v>9</v>
      </c>
      <c r="R140" s="59" t="s">
        <v>2206</v>
      </c>
      <c r="S140" s="59" t="s">
        <v>2207</v>
      </c>
      <c r="T140" s="59" t="s">
        <v>1023</v>
      </c>
      <c r="U140" s="59" t="s">
        <v>1024</v>
      </c>
      <c r="V140" s="59" t="s">
        <v>763</v>
      </c>
      <c r="W140" s="59" t="s">
        <v>285</v>
      </c>
      <c r="X140" s="59" t="s">
        <v>587</v>
      </c>
      <c r="Y140" s="59" t="s">
        <v>591</v>
      </c>
      <c r="Z140" s="64" t="str">
        <f>IFERROR(VLOOKUP(T140,LK_OrgMaster!$B$4:$H$89,5,FALSE()),"Administration")</f>
        <v>Technical</v>
      </c>
      <c r="AA140" s="65" t="str">
        <f>IFERROR(VLOOKUP(X140,LK_LocationMaster!$D$4:$G$157,4,FALSE()),"No")</f>
        <v>Yes</v>
      </c>
      <c r="AB140" s="65" t="str">
        <f t="shared" si="10"/>
        <v>No</v>
      </c>
      <c r="AC140" s="65" t="str">
        <f>IFERROR(VLOOKUP(X140,LK_LocationMaster!$D$4:$H$157,5,FALSE()),"No")</f>
        <v>Yes</v>
      </c>
      <c r="AD140" s="59" t="s">
        <v>2208</v>
      </c>
      <c r="AE140" s="59" t="s">
        <v>765</v>
      </c>
      <c r="AF140" s="59" t="s">
        <v>766</v>
      </c>
      <c r="AG140" s="59" t="s">
        <v>329</v>
      </c>
      <c r="AH140" s="59" t="s">
        <v>2209</v>
      </c>
      <c r="AI140" s="59" t="s">
        <v>285</v>
      </c>
      <c r="AJ140" s="59" t="s">
        <v>833</v>
      </c>
      <c r="AK140" s="59" t="s">
        <v>917</v>
      </c>
      <c r="AL140" s="64" t="str">
        <f>IFERROR(INDEX(LK_BankMaster!$D$4:$D$23,MATCH(AJ140&amp;"|"&amp;AK140,LK_BankMaster!$H$4:$H$23,0)),"")</f>
        <v/>
      </c>
      <c r="AM140" s="59" t="s">
        <v>2210</v>
      </c>
      <c r="AN140" s="64" t="str">
        <f>IFERROR(VLOOKUP(AJ140,LK_BankMaster!$A$4:$E$23,5,FALSE()),"")</f>
        <v/>
      </c>
      <c r="AO140" s="59" t="s">
        <v>291</v>
      </c>
      <c r="AP140" s="66">
        <v>0</v>
      </c>
      <c r="AQ140" s="64" t="str">
        <f t="shared" si="11"/>
        <v>Position Allowance - General Staff</v>
      </c>
      <c r="AR140" s="65" t="str">
        <f>IFERROR(VLOOKUP(T140,LK_OrgMaster!$B$4:$G$89,6,FALSE()),"No")</f>
        <v>No</v>
      </c>
      <c r="AS140" s="64" t="str">
        <f>IFERROR(VLOOKUP(T140,LK_OrgMaster!$B$4:$H$89,7,FALSE()),"None")</f>
        <v>None</v>
      </c>
      <c r="AT140" s="67">
        <v>39069</v>
      </c>
      <c r="AU140" s="67"/>
      <c r="AV140" s="67">
        <v>39069</v>
      </c>
      <c r="AW140" s="67">
        <v>46023</v>
      </c>
      <c r="AX140" s="68" t="s">
        <v>750</v>
      </c>
      <c r="AY140" s="69" t="s">
        <v>6260</v>
      </c>
    </row>
    <row r="141" spans="1:51" ht="15" customHeight="1" x14ac:dyDescent="0.3">
      <c r="A141" s="59" t="s">
        <v>2211</v>
      </c>
      <c r="B141" s="59" t="s">
        <v>772</v>
      </c>
      <c r="C141" s="59" t="s">
        <v>753</v>
      </c>
      <c r="D141" s="59" t="s">
        <v>1300</v>
      </c>
      <c r="E141" s="59" t="s">
        <v>732</v>
      </c>
      <c r="F141" s="60">
        <v>24489</v>
      </c>
      <c r="G141" s="59" t="s">
        <v>2212</v>
      </c>
      <c r="H141" s="59" t="s">
        <v>2213</v>
      </c>
      <c r="I141" s="60">
        <v>39289</v>
      </c>
      <c r="J141" s="61">
        <f t="shared" ca="1" si="8"/>
        <v>18</v>
      </c>
      <c r="K141" s="62">
        <f t="shared" si="9"/>
        <v>46404</v>
      </c>
      <c r="L141" s="59" t="s">
        <v>735</v>
      </c>
      <c r="M141" s="59" t="s">
        <v>1069</v>
      </c>
      <c r="N141" s="59" t="s">
        <v>758</v>
      </c>
      <c r="O141" s="63">
        <v>15</v>
      </c>
      <c r="P141" s="61">
        <f>IFERROR(SUMPRODUCT((LK_GradeDerivation!$A$4:$A$135=N141)*(IF(O141="",0,O141)&gt;=LK_GradeDerivation!$B$4:$B$135)*(IF(O141="",0,O141)&lt;=LK_GradeDerivation!$C$4:$C$135)*LK_GradeDerivation!$D$4:$D$135),1)</f>
        <v>5</v>
      </c>
      <c r="Q141" s="61">
        <f>IFERROR(SUMPRODUCT((LK_GradeDerivation!$A$4:$A$135=N141)*(IF(O141="",0,O141)&gt;=LK_GradeDerivation!$B$4:$B$135)*(IF(O141="",0,O141)&lt;=LK_GradeDerivation!$C$4:$C$135)*LK_GradeDerivation!$E$4:$E$135),1)</f>
        <v>8</v>
      </c>
      <c r="R141" s="59" t="s">
        <v>2214</v>
      </c>
      <c r="S141" s="59" t="s">
        <v>2215</v>
      </c>
      <c r="T141" s="59" t="s">
        <v>844</v>
      </c>
      <c r="U141" s="59" t="s">
        <v>1345</v>
      </c>
      <c r="V141" s="59" t="s">
        <v>1346</v>
      </c>
      <c r="W141" s="59" t="s">
        <v>285</v>
      </c>
      <c r="X141" s="59" t="s">
        <v>544</v>
      </c>
      <c r="Y141" s="59" t="s">
        <v>548</v>
      </c>
      <c r="Z141" s="64" t="str">
        <f>IFERROR(VLOOKUP(T141,LK_OrgMaster!$B$4:$H$89,5,FALSE()),"Administration")</f>
        <v>Administration</v>
      </c>
      <c r="AA141" s="65" t="str">
        <f>IFERROR(VLOOKUP(X141,LK_LocationMaster!$D$4:$G$157,4,FALSE()),"No")</f>
        <v>Yes</v>
      </c>
      <c r="AB141" s="65" t="str">
        <f t="shared" si="10"/>
        <v>No</v>
      </c>
      <c r="AC141" s="65" t="str">
        <f>IFERROR(VLOOKUP(X141,LK_LocationMaster!$D$4:$H$157,5,FALSE()),"No")</f>
        <v>Yes</v>
      </c>
      <c r="AD141" s="59" t="s">
        <v>2216</v>
      </c>
      <c r="AE141" s="59" t="s">
        <v>886</v>
      </c>
      <c r="AF141" s="59" t="s">
        <v>915</v>
      </c>
      <c r="AG141" s="59" t="s">
        <v>356</v>
      </c>
      <c r="AH141" s="59" t="s">
        <v>2217</v>
      </c>
      <c r="AI141" s="59" t="s">
        <v>285</v>
      </c>
      <c r="AJ141" s="59" t="s">
        <v>788</v>
      </c>
      <c r="AK141" s="59" t="s">
        <v>1877</v>
      </c>
      <c r="AL141" s="64" t="str">
        <f>IFERROR(INDEX(LK_BankMaster!$D$4:$D$23,MATCH(AJ141&amp;"|"&amp;AK141,LK_BankMaster!$H$4:$H$23,0)),"")</f>
        <v/>
      </c>
      <c r="AM141" s="59" t="s">
        <v>2218</v>
      </c>
      <c r="AN141" s="64" t="str">
        <f>IFERROR(VLOOKUP(AJ141,LK_BankMaster!$A$4:$E$23,5,FALSE()),"")</f>
        <v/>
      </c>
      <c r="AO141" s="59" t="s">
        <v>314</v>
      </c>
      <c r="AP141" s="66">
        <v>1</v>
      </c>
      <c r="AQ141" s="64" t="str">
        <f t="shared" si="11"/>
        <v>Position Allowance - General Staff</v>
      </c>
      <c r="AR141" s="65" t="str">
        <f>IFERROR(VLOOKUP(T141,LK_OrgMaster!$B$4:$G$89,6,FALSE()),"No")</f>
        <v>No</v>
      </c>
      <c r="AS141" s="64" t="str">
        <f>IFERROR(VLOOKUP(T141,LK_OrgMaster!$B$4:$H$89,7,FALSE()),"None")</f>
        <v>None</v>
      </c>
      <c r="AT141" s="70">
        <v>39289</v>
      </c>
      <c r="AU141" s="70"/>
      <c r="AV141" s="70">
        <v>39289</v>
      </c>
      <c r="AW141" s="70">
        <v>46023</v>
      </c>
      <c r="AX141" s="71" t="s">
        <v>750</v>
      </c>
      <c r="AY141" s="72" t="s">
        <v>6260</v>
      </c>
    </row>
    <row r="142" spans="1:51" ht="15" customHeight="1" x14ac:dyDescent="0.3">
      <c r="A142" s="59" t="s">
        <v>2219</v>
      </c>
      <c r="B142" s="59" t="s">
        <v>772</v>
      </c>
      <c r="C142" s="59" t="s">
        <v>2220</v>
      </c>
      <c r="D142" s="59" t="s">
        <v>853</v>
      </c>
      <c r="E142" s="59" t="s">
        <v>732</v>
      </c>
      <c r="F142" s="60">
        <v>24451</v>
      </c>
      <c r="G142" s="59" t="s">
        <v>2221</v>
      </c>
      <c r="H142" s="59" t="s">
        <v>2222</v>
      </c>
      <c r="I142" s="60">
        <v>36998</v>
      </c>
      <c r="J142" s="61">
        <f t="shared" ca="1" si="8"/>
        <v>24</v>
      </c>
      <c r="K142" s="62">
        <f t="shared" si="9"/>
        <v>46366</v>
      </c>
      <c r="L142" s="59" t="s">
        <v>735</v>
      </c>
      <c r="M142" s="59" t="s">
        <v>1020</v>
      </c>
      <c r="N142" s="59" t="s">
        <v>737</v>
      </c>
      <c r="O142" s="63">
        <v>12</v>
      </c>
      <c r="P142" s="61">
        <f>IFERROR(SUMPRODUCT((LK_GradeDerivation!$A$4:$A$135=N142)*(IF(O142="",0,O142)&gt;=LK_GradeDerivation!$B$4:$B$135)*(IF(O142="",0,O142)&lt;=LK_GradeDerivation!$C$4:$C$135)*LK_GradeDerivation!$D$4:$D$135),1)</f>
        <v>4</v>
      </c>
      <c r="Q142" s="61">
        <f>IFERROR(SUMPRODUCT((LK_GradeDerivation!$A$4:$A$135=N142)*(IF(O142="",0,O142)&gt;=LK_GradeDerivation!$B$4:$B$135)*(IF(O142="",0,O142)&lt;=LK_GradeDerivation!$C$4:$C$135)*LK_GradeDerivation!$E$4:$E$135),1)</f>
        <v>7</v>
      </c>
      <c r="R142" s="59" t="s">
        <v>2223</v>
      </c>
      <c r="S142" s="59" t="s">
        <v>2224</v>
      </c>
      <c r="T142" s="59" t="s">
        <v>882</v>
      </c>
      <c r="U142" s="59" t="s">
        <v>2009</v>
      </c>
      <c r="V142" s="59" t="s">
        <v>2225</v>
      </c>
      <c r="W142" s="59" t="s">
        <v>285</v>
      </c>
      <c r="X142" s="59" t="s">
        <v>312</v>
      </c>
      <c r="Y142" s="59" t="s">
        <v>321</v>
      </c>
      <c r="Z142" s="64" t="str">
        <f>IFERROR(VLOOKUP(T142,LK_OrgMaster!$B$4:$H$89,5,FALSE()),"Administration")</f>
        <v>Legal</v>
      </c>
      <c r="AA142" s="65" t="str">
        <f>IFERROR(VLOOKUP(X142,LK_LocationMaster!$D$4:$G$157,4,FALSE()),"No")</f>
        <v>Yes</v>
      </c>
      <c r="AB142" s="65" t="str">
        <f t="shared" si="10"/>
        <v>No</v>
      </c>
      <c r="AC142" s="65" t="str">
        <f>IFERROR(VLOOKUP(X142,LK_LocationMaster!$D$4:$H$157,5,FALSE()),"No")</f>
        <v>No</v>
      </c>
      <c r="AD142" s="59" t="s">
        <v>2226</v>
      </c>
      <c r="AE142" s="59" t="s">
        <v>886</v>
      </c>
      <c r="AF142" s="59" t="s">
        <v>915</v>
      </c>
      <c r="AG142" s="59" t="s">
        <v>288</v>
      </c>
      <c r="AH142" s="59" t="s">
        <v>2227</v>
      </c>
      <c r="AI142" s="59" t="s">
        <v>285</v>
      </c>
      <c r="AJ142" s="59" t="s">
        <v>818</v>
      </c>
      <c r="AK142" s="59" t="s">
        <v>944</v>
      </c>
      <c r="AL142" s="64" t="str">
        <f>IFERROR(INDEX(LK_BankMaster!$D$4:$D$23,MATCH(AJ142&amp;"|"&amp;AK142,LK_BankMaster!$H$4:$H$23,0)),"")</f>
        <v/>
      </c>
      <c r="AM142" s="59" t="s">
        <v>2228</v>
      </c>
      <c r="AN142" s="64" t="str">
        <f>IFERROR(VLOOKUP(AJ142,LK_BankMaster!$A$4:$E$23,5,FALSE()),"")</f>
        <v/>
      </c>
      <c r="AO142" s="59" t="s">
        <v>291</v>
      </c>
      <c r="AP142" s="66">
        <v>0</v>
      </c>
      <c r="AQ142" s="64" t="str">
        <f t="shared" si="11"/>
        <v>Position Allowance - Section Chief</v>
      </c>
      <c r="AR142" s="65" t="str">
        <f>IFERROR(VLOOKUP(T142,LK_OrgMaster!$B$4:$G$89,6,FALSE()),"No")</f>
        <v>No</v>
      </c>
      <c r="AS142" s="64" t="str">
        <f>IFERROR(VLOOKUP(T142,LK_OrgMaster!$B$4:$H$89,7,FALSE()),"None")</f>
        <v>None</v>
      </c>
      <c r="AT142" s="67">
        <v>36998</v>
      </c>
      <c r="AU142" s="67"/>
      <c r="AV142" s="67">
        <v>36998</v>
      </c>
      <c r="AW142" s="67">
        <v>46023</v>
      </c>
      <c r="AX142" s="68" t="s">
        <v>750</v>
      </c>
      <c r="AY142" s="69" t="s">
        <v>6260</v>
      </c>
    </row>
    <row r="143" spans="1:51" ht="15" customHeight="1" x14ac:dyDescent="0.3">
      <c r="A143" s="59" t="s">
        <v>2229</v>
      </c>
      <c r="B143" s="59" t="s">
        <v>851</v>
      </c>
      <c r="C143" s="59" t="s">
        <v>1278</v>
      </c>
      <c r="D143" s="59" t="s">
        <v>731</v>
      </c>
      <c r="E143" s="59" t="s">
        <v>775</v>
      </c>
      <c r="F143" s="60">
        <v>33224</v>
      </c>
      <c r="G143" s="59" t="s">
        <v>2230</v>
      </c>
      <c r="H143" s="59" t="s">
        <v>2231</v>
      </c>
      <c r="I143" s="60">
        <v>44261</v>
      </c>
      <c r="J143" s="61">
        <f t="shared" ca="1" si="8"/>
        <v>5</v>
      </c>
      <c r="K143" s="62">
        <f t="shared" si="9"/>
        <v>55139</v>
      </c>
      <c r="L143" s="59" t="s">
        <v>735</v>
      </c>
      <c r="M143" s="59" t="s">
        <v>910</v>
      </c>
      <c r="N143" s="59" t="s">
        <v>758</v>
      </c>
      <c r="O143" s="63">
        <v>5</v>
      </c>
      <c r="P143" s="61">
        <f>IFERROR(SUMPRODUCT((LK_GradeDerivation!$A$4:$A$135=N143)*(IF(O143="",0,O143)&gt;=LK_GradeDerivation!$B$4:$B$135)*(IF(O143="",0,O143)&lt;=LK_GradeDerivation!$C$4:$C$135)*LK_GradeDerivation!$D$4:$D$135),1)</f>
        <v>5</v>
      </c>
      <c r="Q143" s="61">
        <f>IFERROR(SUMPRODUCT((LK_GradeDerivation!$A$4:$A$135=N143)*(IF(O143="",0,O143)&gt;=LK_GradeDerivation!$B$4:$B$135)*(IF(O143="",0,O143)&lt;=LK_GradeDerivation!$C$4:$C$135)*LK_GradeDerivation!$E$4:$E$135),1)</f>
        <v>3</v>
      </c>
      <c r="R143" s="59" t="s">
        <v>2232</v>
      </c>
      <c r="S143" s="59" t="s">
        <v>2233</v>
      </c>
      <c r="T143" s="59" t="s">
        <v>952</v>
      </c>
      <c r="U143" s="59" t="s">
        <v>1229</v>
      </c>
      <c r="V143" s="59" t="s">
        <v>2234</v>
      </c>
      <c r="W143" s="59" t="s">
        <v>285</v>
      </c>
      <c r="X143" s="59" t="s">
        <v>312</v>
      </c>
      <c r="Y143" s="59" t="s">
        <v>321</v>
      </c>
      <c r="Z143" s="64" t="str">
        <f>IFERROR(VLOOKUP(T143,LK_OrgMaster!$B$4:$H$89,5,FALSE()),"Administration")</f>
        <v>Administration</v>
      </c>
      <c r="AA143" s="65" t="str">
        <f>IFERROR(VLOOKUP(X143,LK_LocationMaster!$D$4:$G$157,4,FALSE()),"No")</f>
        <v>Yes</v>
      </c>
      <c r="AB143" s="65" t="str">
        <f t="shared" si="10"/>
        <v>No</v>
      </c>
      <c r="AC143" s="65" t="str">
        <f>IFERROR(VLOOKUP(X143,LK_LocationMaster!$D$4:$H$157,5,FALSE()),"No")</f>
        <v>No</v>
      </c>
      <c r="AD143" s="59" t="s">
        <v>2235</v>
      </c>
      <c r="AE143" s="59" t="s">
        <v>765</v>
      </c>
      <c r="AF143" s="59" t="s">
        <v>984</v>
      </c>
      <c r="AG143" s="59" t="s">
        <v>368</v>
      </c>
      <c r="AH143" s="59" t="s">
        <v>2236</v>
      </c>
      <c r="AI143" s="59" t="s">
        <v>285</v>
      </c>
      <c r="AJ143" s="59" t="s">
        <v>768</v>
      </c>
      <c r="AK143" s="59" t="s">
        <v>1063</v>
      </c>
      <c r="AL143" s="64" t="str">
        <f>IFERROR(INDEX(LK_BankMaster!$D$4:$D$23,MATCH(AJ143&amp;"|"&amp;AK143,LK_BankMaster!$H$4:$H$23,0)),"")</f>
        <v/>
      </c>
      <c r="AM143" s="59" t="s">
        <v>2237</v>
      </c>
      <c r="AN143" s="64" t="str">
        <f>IFERROR(VLOOKUP(AJ143,LK_BankMaster!$A$4:$E$23,5,FALSE()),"")</f>
        <v/>
      </c>
      <c r="AO143" s="59" t="s">
        <v>314</v>
      </c>
      <c r="AP143" s="66">
        <v>3</v>
      </c>
      <c r="AQ143" s="64" t="str">
        <f t="shared" si="11"/>
        <v>Position Allowance - Division Chief</v>
      </c>
      <c r="AR143" s="65" t="str">
        <f>IFERROR(VLOOKUP(T143,LK_OrgMaster!$B$4:$G$89,6,FALSE()),"No")</f>
        <v>No</v>
      </c>
      <c r="AS143" s="64" t="str">
        <f>IFERROR(VLOOKUP(T143,LK_OrgMaster!$B$4:$H$89,7,FALSE()),"None")</f>
        <v>None</v>
      </c>
      <c r="AT143" s="70">
        <v>44261</v>
      </c>
      <c r="AU143" s="70"/>
      <c r="AV143" s="70">
        <v>44261</v>
      </c>
      <c r="AW143" s="70">
        <v>46023</v>
      </c>
      <c r="AX143" s="71" t="s">
        <v>750</v>
      </c>
      <c r="AY143" s="72" t="s">
        <v>6260</v>
      </c>
    </row>
    <row r="144" spans="1:51" ht="15" customHeight="1" x14ac:dyDescent="0.3">
      <c r="A144" s="59" t="s">
        <v>2238</v>
      </c>
      <c r="B144" s="59" t="s">
        <v>772</v>
      </c>
      <c r="C144" s="59" t="s">
        <v>2042</v>
      </c>
      <c r="D144" s="59" t="s">
        <v>1186</v>
      </c>
      <c r="E144" s="59" t="s">
        <v>732</v>
      </c>
      <c r="F144" s="60">
        <v>29832</v>
      </c>
      <c r="G144" s="59" t="s">
        <v>2239</v>
      </c>
      <c r="H144" s="59" t="s">
        <v>2240</v>
      </c>
      <c r="I144" s="60">
        <v>33700</v>
      </c>
      <c r="J144" s="61">
        <f t="shared" ca="1" si="8"/>
        <v>33</v>
      </c>
      <c r="K144" s="62">
        <f t="shared" si="9"/>
        <v>51747</v>
      </c>
      <c r="L144" s="59" t="s">
        <v>735</v>
      </c>
      <c r="M144" s="59" t="s">
        <v>1259</v>
      </c>
      <c r="N144" s="59" t="s">
        <v>779</v>
      </c>
      <c r="O144" s="63">
        <v>0</v>
      </c>
      <c r="P144" s="61">
        <f>IFERROR(SUMPRODUCT((LK_GradeDerivation!$A$4:$A$135=N144)*(IF(O144="",0,O144)&gt;=LK_GradeDerivation!$B$4:$B$135)*(IF(O144="",0,O144)&lt;=LK_GradeDerivation!$C$4:$C$135)*LK_GradeDerivation!$D$4:$D$135),1)</f>
        <v>2</v>
      </c>
      <c r="Q144" s="61">
        <f>IFERROR(SUMPRODUCT((LK_GradeDerivation!$A$4:$A$135=N144)*(IF(O144="",0,O144)&gt;=LK_GradeDerivation!$B$4:$B$135)*(IF(O144="",0,O144)&lt;=LK_GradeDerivation!$C$4:$C$135)*LK_GradeDerivation!$E$4:$E$135),1)</f>
        <v>1</v>
      </c>
      <c r="R144" s="59" t="s">
        <v>2241</v>
      </c>
      <c r="S144" s="59" t="s">
        <v>2242</v>
      </c>
      <c r="T144" s="59" t="s">
        <v>740</v>
      </c>
      <c r="U144" s="59" t="s">
        <v>1262</v>
      </c>
      <c r="V144" s="59" t="s">
        <v>1325</v>
      </c>
      <c r="W144" s="59" t="s">
        <v>285</v>
      </c>
      <c r="X144" s="59" t="s">
        <v>368</v>
      </c>
      <c r="Y144" s="59" t="s">
        <v>381</v>
      </c>
      <c r="Z144" s="64" t="str">
        <f>IFERROR(VLOOKUP(T144,LK_OrgMaster!$B$4:$H$89,5,FALSE()),"Administration")</f>
        <v>Teacher</v>
      </c>
      <c r="AA144" s="65" t="str">
        <f>IFERROR(VLOOKUP(X144,LK_LocationMaster!$D$4:$G$157,4,FALSE()),"No")</f>
        <v>No</v>
      </c>
      <c r="AB144" s="65" t="str">
        <f t="shared" si="10"/>
        <v>No</v>
      </c>
      <c r="AC144" s="65" t="str">
        <f>IFERROR(VLOOKUP(X144,LK_LocationMaster!$D$4:$H$157,5,FALSE()),"No")</f>
        <v>No</v>
      </c>
      <c r="AD144" s="59" t="s">
        <v>2243</v>
      </c>
      <c r="AE144" s="59" t="s">
        <v>1401</v>
      </c>
      <c r="AF144" s="59" t="s">
        <v>766</v>
      </c>
      <c r="AG144" s="59" t="s">
        <v>368</v>
      </c>
      <c r="AH144" s="59" t="s">
        <v>2244</v>
      </c>
      <c r="AI144" s="59" t="s">
        <v>285</v>
      </c>
      <c r="AJ144" s="59" t="s">
        <v>747</v>
      </c>
      <c r="AK144" s="59" t="s">
        <v>748</v>
      </c>
      <c r="AL144" s="64" t="str">
        <f>IFERROR(INDEX(LK_BankMaster!$D$4:$D$23,MATCH(AJ144&amp;"|"&amp;AK144,LK_BankMaster!$H$4:$H$23,0)),"")</f>
        <v/>
      </c>
      <c r="AM144" s="59" t="s">
        <v>2245</v>
      </c>
      <c r="AN144" s="64" t="str">
        <f>IFERROR(VLOOKUP(AJ144,LK_BankMaster!$A$4:$E$23,5,FALSE()),"")</f>
        <v/>
      </c>
      <c r="AO144" s="59" t="s">
        <v>314</v>
      </c>
      <c r="AP144" s="66">
        <v>1</v>
      </c>
      <c r="AQ144" s="64" t="str">
        <f t="shared" si="11"/>
        <v>Position Allowance - General Staff</v>
      </c>
      <c r="AR144" s="65" t="str">
        <f>IFERROR(VLOOKUP(T144,LK_OrgMaster!$B$4:$G$89,6,FALSE()),"No")</f>
        <v>No</v>
      </c>
      <c r="AS144" s="64" t="str">
        <f>IFERROR(VLOOKUP(T144,LK_OrgMaster!$B$4:$H$89,7,FALSE()),"None")</f>
        <v>Teaching</v>
      </c>
      <c r="AT144" s="67">
        <v>33700</v>
      </c>
      <c r="AU144" s="67"/>
      <c r="AV144" s="67">
        <v>33700</v>
      </c>
      <c r="AW144" s="67">
        <v>46023</v>
      </c>
      <c r="AX144" s="68" t="s">
        <v>750</v>
      </c>
      <c r="AY144" s="69" t="s">
        <v>6260</v>
      </c>
    </row>
    <row r="145" spans="1:51" ht="15" customHeight="1" x14ac:dyDescent="0.3">
      <c r="A145" s="59" t="s">
        <v>2246</v>
      </c>
      <c r="B145" s="59" t="s">
        <v>772</v>
      </c>
      <c r="C145" s="59" t="s">
        <v>1553</v>
      </c>
      <c r="D145" s="59" t="s">
        <v>807</v>
      </c>
      <c r="E145" s="59" t="s">
        <v>732</v>
      </c>
      <c r="F145" s="60">
        <v>36204</v>
      </c>
      <c r="G145" s="59" t="s">
        <v>2247</v>
      </c>
      <c r="H145" s="59" t="s">
        <v>2248</v>
      </c>
      <c r="I145" s="60">
        <v>38559</v>
      </c>
      <c r="J145" s="61">
        <f t="shared" ca="1" si="8"/>
        <v>20</v>
      </c>
      <c r="K145" s="62">
        <f t="shared" si="9"/>
        <v>58119</v>
      </c>
      <c r="L145" s="59" t="s">
        <v>735</v>
      </c>
      <c r="M145" s="59" t="s">
        <v>1069</v>
      </c>
      <c r="N145" s="59" t="s">
        <v>737</v>
      </c>
      <c r="O145" s="63">
        <v>0</v>
      </c>
      <c r="P145" s="61">
        <f>IFERROR(SUMPRODUCT((LK_GradeDerivation!$A$4:$A$135=N145)*(IF(O145="",0,O145)&gt;=LK_GradeDerivation!$B$4:$B$135)*(IF(O145="",0,O145)&lt;=LK_GradeDerivation!$C$4:$C$135)*LK_GradeDerivation!$D$4:$D$135),1)</f>
        <v>4</v>
      </c>
      <c r="Q145" s="61">
        <f>IFERROR(SUMPRODUCT((LK_GradeDerivation!$A$4:$A$135=N145)*(IF(O145="",0,O145)&gt;=LK_GradeDerivation!$B$4:$B$135)*(IF(O145="",0,O145)&lt;=LK_GradeDerivation!$C$4:$C$135)*LK_GradeDerivation!$E$4:$E$135),1)</f>
        <v>1</v>
      </c>
      <c r="R145" s="59" t="s">
        <v>2249</v>
      </c>
      <c r="S145" s="59" t="s">
        <v>2250</v>
      </c>
      <c r="T145" s="59" t="s">
        <v>1096</v>
      </c>
      <c r="U145" s="59" t="s">
        <v>1597</v>
      </c>
      <c r="V145" s="59" t="s">
        <v>2251</v>
      </c>
      <c r="W145" s="59" t="s">
        <v>285</v>
      </c>
      <c r="X145" s="59" t="s">
        <v>443</v>
      </c>
      <c r="Y145" s="59" t="s">
        <v>445</v>
      </c>
      <c r="Z145" s="64" t="str">
        <f>IFERROR(VLOOKUP(T145,LK_OrgMaster!$B$4:$H$89,5,FALSE()),"Administration")</f>
        <v>Administration</v>
      </c>
      <c r="AA145" s="65" t="str">
        <f>IFERROR(VLOOKUP(X145,LK_LocationMaster!$D$4:$G$157,4,FALSE()),"No")</f>
        <v>No</v>
      </c>
      <c r="AB145" s="65" t="str">
        <f t="shared" si="10"/>
        <v>No</v>
      </c>
      <c r="AC145" s="65" t="str">
        <f>IFERROR(VLOOKUP(X145,LK_LocationMaster!$D$4:$H$157,5,FALSE()),"No")</f>
        <v>No</v>
      </c>
      <c r="AD145" s="59" t="s">
        <v>2252</v>
      </c>
      <c r="AE145" s="59" t="s">
        <v>765</v>
      </c>
      <c r="AF145" s="59" t="s">
        <v>901</v>
      </c>
      <c r="AG145" s="59" t="s">
        <v>288</v>
      </c>
      <c r="AH145" s="59" t="s">
        <v>2253</v>
      </c>
      <c r="AI145" s="59" t="s">
        <v>285</v>
      </c>
      <c r="AJ145" s="59" t="s">
        <v>747</v>
      </c>
      <c r="AK145" s="59" t="s">
        <v>748</v>
      </c>
      <c r="AL145" s="64" t="str">
        <f>IFERROR(INDEX(LK_BankMaster!$D$4:$D$23,MATCH(AJ145&amp;"|"&amp;AK145,LK_BankMaster!$H$4:$H$23,0)),"")</f>
        <v/>
      </c>
      <c r="AM145" s="59" t="s">
        <v>2254</v>
      </c>
      <c r="AN145" s="64" t="str">
        <f>IFERROR(VLOOKUP(AJ145,LK_BankMaster!$A$4:$E$23,5,FALSE()),"")</f>
        <v/>
      </c>
      <c r="AO145" s="59" t="s">
        <v>291</v>
      </c>
      <c r="AP145" s="66">
        <v>0</v>
      </c>
      <c r="AQ145" s="64" t="str">
        <f t="shared" si="11"/>
        <v>Position Allowance - General Staff</v>
      </c>
      <c r="AR145" s="65" t="str">
        <f>IFERROR(VLOOKUP(T145,LK_OrgMaster!$B$4:$G$89,6,FALSE()),"No")</f>
        <v>No</v>
      </c>
      <c r="AS145" s="64" t="str">
        <f>IFERROR(VLOOKUP(T145,LK_OrgMaster!$B$4:$H$89,7,FALSE()),"None")</f>
        <v>None</v>
      </c>
      <c r="AT145" s="70">
        <v>38559</v>
      </c>
      <c r="AU145" s="70"/>
      <c r="AV145" s="70">
        <v>38559</v>
      </c>
      <c r="AW145" s="70">
        <v>46023</v>
      </c>
      <c r="AX145" s="71" t="s">
        <v>750</v>
      </c>
      <c r="AY145" s="72" t="s">
        <v>6260</v>
      </c>
    </row>
    <row r="146" spans="1:51" ht="15" customHeight="1" x14ac:dyDescent="0.3">
      <c r="A146" s="59" t="s">
        <v>2255</v>
      </c>
      <c r="B146" s="59" t="s">
        <v>851</v>
      </c>
      <c r="C146" s="59" t="s">
        <v>1278</v>
      </c>
      <c r="D146" s="59" t="s">
        <v>921</v>
      </c>
      <c r="E146" s="59" t="s">
        <v>775</v>
      </c>
      <c r="F146" s="60">
        <v>32180</v>
      </c>
      <c r="G146" s="59" t="s">
        <v>1279</v>
      </c>
      <c r="H146" s="59" t="s">
        <v>2256</v>
      </c>
      <c r="I146" s="60">
        <v>41227</v>
      </c>
      <c r="J146" s="61">
        <f t="shared" ca="1" si="8"/>
        <v>13</v>
      </c>
      <c r="K146" s="62">
        <f t="shared" si="9"/>
        <v>54095</v>
      </c>
      <c r="L146" s="59" t="s">
        <v>735</v>
      </c>
      <c r="M146" s="59" t="s">
        <v>1781</v>
      </c>
      <c r="N146" s="59" t="s">
        <v>779</v>
      </c>
      <c r="O146" s="63">
        <v>6</v>
      </c>
      <c r="P146" s="61">
        <f>IFERROR(SUMPRODUCT((LK_GradeDerivation!$A$4:$A$135=N146)*(IF(O146="",0,O146)&gt;=LK_GradeDerivation!$B$4:$B$135)*(IF(O146="",0,O146)&lt;=LK_GradeDerivation!$C$4:$C$135)*LK_GradeDerivation!$D$4:$D$135),1)</f>
        <v>2</v>
      </c>
      <c r="Q146" s="61">
        <f>IFERROR(SUMPRODUCT((LK_GradeDerivation!$A$4:$A$135=N146)*(IF(O146="",0,O146)&gt;=LK_GradeDerivation!$B$4:$B$135)*(IF(O146="",0,O146)&lt;=LK_GradeDerivation!$C$4:$C$135)*LK_GradeDerivation!$E$4:$E$135),1)</f>
        <v>4</v>
      </c>
      <c r="R146" s="59" t="s">
        <v>2257</v>
      </c>
      <c r="S146" s="59" t="s">
        <v>2258</v>
      </c>
      <c r="T146" s="59" t="s">
        <v>782</v>
      </c>
      <c r="U146" s="59" t="s">
        <v>965</v>
      </c>
      <c r="V146" s="59" t="s">
        <v>966</v>
      </c>
      <c r="W146" s="59" t="s">
        <v>285</v>
      </c>
      <c r="X146" s="59" t="s">
        <v>527</v>
      </c>
      <c r="Y146" s="59" t="s">
        <v>530</v>
      </c>
      <c r="Z146" s="64" t="str">
        <f>IFERROR(VLOOKUP(T146,LK_OrgMaster!$B$4:$H$89,5,FALSE()),"Administration")</f>
        <v>Medical</v>
      </c>
      <c r="AA146" s="65" t="str">
        <f>IFERROR(VLOOKUP(X146,LK_LocationMaster!$D$4:$G$157,4,FALSE()),"No")</f>
        <v>No</v>
      </c>
      <c r="AB146" s="65" t="str">
        <f t="shared" si="10"/>
        <v>No</v>
      </c>
      <c r="AC146" s="65" t="str">
        <f>IFERROR(VLOOKUP(X146,LK_LocationMaster!$D$4:$H$157,5,FALSE()),"No")</f>
        <v>No</v>
      </c>
      <c r="AD146" s="59" t="s">
        <v>2259</v>
      </c>
      <c r="AE146" s="59" t="s">
        <v>886</v>
      </c>
      <c r="AF146" s="59" t="s">
        <v>766</v>
      </c>
      <c r="AG146" s="59" t="s">
        <v>312</v>
      </c>
      <c r="AH146" s="59" t="s">
        <v>2260</v>
      </c>
      <c r="AI146" s="59" t="s">
        <v>285</v>
      </c>
      <c r="AJ146" s="59" t="s">
        <v>833</v>
      </c>
      <c r="AK146" s="59" t="s">
        <v>1550</v>
      </c>
      <c r="AL146" s="64" t="str">
        <f>IFERROR(INDEX(LK_BankMaster!$D$4:$D$23,MATCH(AJ146&amp;"|"&amp;AK146,LK_BankMaster!$H$4:$H$23,0)),"")</f>
        <v/>
      </c>
      <c r="AM146" s="59" t="s">
        <v>2261</v>
      </c>
      <c r="AN146" s="64" t="str">
        <f>IFERROR(VLOOKUP(AJ146,LK_BankMaster!$A$4:$E$23,5,FALSE()),"")</f>
        <v/>
      </c>
      <c r="AO146" s="59" t="s">
        <v>291</v>
      </c>
      <c r="AP146" s="66">
        <v>0</v>
      </c>
      <c r="AQ146" s="64" t="str">
        <f t="shared" si="11"/>
        <v>Position Allowance - General Staff</v>
      </c>
      <c r="AR146" s="65" t="str">
        <f>IFERROR(VLOOKUP(T146,LK_OrgMaster!$B$4:$G$89,6,FALSE()),"No")</f>
        <v>No</v>
      </c>
      <c r="AS146" s="64" t="str">
        <f>IFERROR(VLOOKUP(T146,LK_OrgMaster!$B$4:$H$89,7,FALSE()),"None")</f>
        <v>Medical</v>
      </c>
      <c r="AT146" s="67">
        <v>41227</v>
      </c>
      <c r="AU146" s="67"/>
      <c r="AV146" s="67">
        <v>41227</v>
      </c>
      <c r="AW146" s="67">
        <v>46023</v>
      </c>
      <c r="AX146" s="68" t="s">
        <v>750</v>
      </c>
      <c r="AY146" s="69" t="s">
        <v>6260</v>
      </c>
    </row>
    <row r="147" spans="1:51" ht="15" customHeight="1" x14ac:dyDescent="0.3">
      <c r="A147" s="59" t="s">
        <v>2262</v>
      </c>
      <c r="B147" s="59" t="s">
        <v>729</v>
      </c>
      <c r="C147" s="59" t="s">
        <v>2263</v>
      </c>
      <c r="D147" s="59" t="s">
        <v>1066</v>
      </c>
      <c r="E147" s="59" t="s">
        <v>732</v>
      </c>
      <c r="F147" s="60">
        <v>29635</v>
      </c>
      <c r="G147" s="59" t="s">
        <v>2264</v>
      </c>
      <c r="H147" s="59" t="s">
        <v>2265</v>
      </c>
      <c r="I147" s="60">
        <v>45495</v>
      </c>
      <c r="J147" s="61">
        <f t="shared" ca="1" si="8"/>
        <v>1</v>
      </c>
      <c r="K147" s="62">
        <f t="shared" si="9"/>
        <v>51550</v>
      </c>
      <c r="L147" s="59" t="s">
        <v>735</v>
      </c>
      <c r="M147" s="59" t="s">
        <v>757</v>
      </c>
      <c r="N147" s="59" t="s">
        <v>758</v>
      </c>
      <c r="O147" s="63">
        <v>18</v>
      </c>
      <c r="P147" s="61">
        <f>IFERROR(SUMPRODUCT((LK_GradeDerivation!$A$4:$A$135=N147)*(IF(O147="",0,O147)&gt;=LK_GradeDerivation!$B$4:$B$135)*(IF(O147="",0,O147)&lt;=LK_GradeDerivation!$C$4:$C$135)*LK_GradeDerivation!$D$4:$D$135),1)</f>
        <v>5</v>
      </c>
      <c r="Q147" s="61">
        <f>IFERROR(SUMPRODUCT((LK_GradeDerivation!$A$4:$A$135=N147)*(IF(O147="",0,O147)&gt;=LK_GradeDerivation!$B$4:$B$135)*(IF(O147="",0,O147)&lt;=LK_GradeDerivation!$C$4:$C$135)*LK_GradeDerivation!$E$4:$E$135),1)</f>
        <v>10</v>
      </c>
      <c r="R147" s="59" t="s">
        <v>2266</v>
      </c>
      <c r="S147" s="59" t="s">
        <v>2267</v>
      </c>
      <c r="T147" s="59" t="s">
        <v>1305</v>
      </c>
      <c r="U147" s="59" t="s">
        <v>2268</v>
      </c>
      <c r="V147" s="59" t="s">
        <v>2269</v>
      </c>
      <c r="W147" s="59" t="s">
        <v>285</v>
      </c>
      <c r="X147" s="59" t="s">
        <v>329</v>
      </c>
      <c r="Y147" s="59" t="s">
        <v>338</v>
      </c>
      <c r="Z147" s="64" t="str">
        <f>IFERROR(VLOOKUP(T147,LK_OrgMaster!$B$4:$H$89,5,FALSE()),"Administration")</f>
        <v>Administration</v>
      </c>
      <c r="AA147" s="65" t="str">
        <f>IFERROR(VLOOKUP(X147,LK_LocationMaster!$D$4:$G$157,4,FALSE()),"No")</f>
        <v>Yes</v>
      </c>
      <c r="AB147" s="65" t="str">
        <f t="shared" si="10"/>
        <v>No</v>
      </c>
      <c r="AC147" s="65" t="str">
        <f>IFERROR(VLOOKUP(X147,LK_LocationMaster!$D$4:$H$157,5,FALSE()),"No")</f>
        <v>No</v>
      </c>
      <c r="AD147" s="59" t="s">
        <v>2270</v>
      </c>
      <c r="AE147" s="59" t="s">
        <v>886</v>
      </c>
      <c r="AF147" s="59" t="s">
        <v>801</v>
      </c>
      <c r="AG147" s="59" t="s">
        <v>356</v>
      </c>
      <c r="AH147" s="59" t="s">
        <v>2271</v>
      </c>
      <c r="AI147" s="59" t="s">
        <v>285</v>
      </c>
      <c r="AJ147" s="59" t="s">
        <v>788</v>
      </c>
      <c r="AK147" s="59" t="s">
        <v>1146</v>
      </c>
      <c r="AL147" s="64" t="str">
        <f>IFERROR(INDEX(LK_BankMaster!$D$4:$D$23,MATCH(AJ147&amp;"|"&amp;AK147,LK_BankMaster!$H$4:$H$23,0)),"")</f>
        <v/>
      </c>
      <c r="AM147" s="59" t="s">
        <v>2272</v>
      </c>
      <c r="AN147" s="64" t="str">
        <f>IFERROR(VLOOKUP(AJ147,LK_BankMaster!$A$4:$E$23,5,FALSE()),"")</f>
        <v/>
      </c>
      <c r="AO147" s="59" t="s">
        <v>291</v>
      </c>
      <c r="AP147" s="66">
        <v>0</v>
      </c>
      <c r="AQ147" s="64" t="str">
        <f t="shared" si="11"/>
        <v>Position Allowance - General Staff</v>
      </c>
      <c r="AR147" s="65" t="str">
        <f>IFERROR(VLOOKUP(T147,LK_OrgMaster!$B$4:$G$89,6,FALSE()),"No")</f>
        <v>No</v>
      </c>
      <c r="AS147" s="64" t="str">
        <f>IFERROR(VLOOKUP(T147,LK_OrgMaster!$B$4:$H$89,7,FALSE()),"None")</f>
        <v>None</v>
      </c>
      <c r="AT147" s="70">
        <v>45495</v>
      </c>
      <c r="AU147" s="70"/>
      <c r="AV147" s="70">
        <v>45495</v>
      </c>
      <c r="AW147" s="70">
        <v>46023</v>
      </c>
      <c r="AX147" s="71" t="s">
        <v>750</v>
      </c>
      <c r="AY147" s="72" t="s">
        <v>6260</v>
      </c>
    </row>
    <row r="148" spans="1:51" ht="15" customHeight="1" x14ac:dyDescent="0.3">
      <c r="A148" s="59" t="s">
        <v>2273</v>
      </c>
      <c r="B148" s="59" t="s">
        <v>752</v>
      </c>
      <c r="C148" s="59" t="s">
        <v>1975</v>
      </c>
      <c r="D148" s="59" t="s">
        <v>921</v>
      </c>
      <c r="E148" s="59" t="s">
        <v>732</v>
      </c>
      <c r="F148" s="60">
        <v>24614</v>
      </c>
      <c r="G148" s="59" t="s">
        <v>2274</v>
      </c>
      <c r="H148" s="59" t="s">
        <v>2275</v>
      </c>
      <c r="I148" s="60">
        <v>39391</v>
      </c>
      <c r="J148" s="61">
        <f t="shared" ca="1" si="8"/>
        <v>18</v>
      </c>
      <c r="K148" s="62">
        <f t="shared" si="9"/>
        <v>46529</v>
      </c>
      <c r="L148" s="59" t="s">
        <v>735</v>
      </c>
      <c r="M148" s="59" t="s">
        <v>1454</v>
      </c>
      <c r="N148" s="59" t="s">
        <v>758</v>
      </c>
      <c r="O148" s="63">
        <v>15</v>
      </c>
      <c r="P148" s="61">
        <f>IFERROR(SUMPRODUCT((LK_GradeDerivation!$A$4:$A$135=N148)*(IF(O148="",0,O148)&gt;=LK_GradeDerivation!$B$4:$B$135)*(IF(O148="",0,O148)&lt;=LK_GradeDerivation!$C$4:$C$135)*LK_GradeDerivation!$D$4:$D$135),1)</f>
        <v>5</v>
      </c>
      <c r="Q148" s="61">
        <f>IFERROR(SUMPRODUCT((LK_GradeDerivation!$A$4:$A$135=N148)*(IF(O148="",0,O148)&gt;=LK_GradeDerivation!$B$4:$B$135)*(IF(O148="",0,O148)&lt;=LK_GradeDerivation!$C$4:$C$135)*LK_GradeDerivation!$E$4:$E$135),1)</f>
        <v>8</v>
      </c>
      <c r="R148" s="59" t="s">
        <v>2276</v>
      </c>
      <c r="S148" s="59" t="s">
        <v>2277</v>
      </c>
      <c r="T148" s="59" t="s">
        <v>740</v>
      </c>
      <c r="U148" s="59" t="s">
        <v>1388</v>
      </c>
      <c r="V148" s="59" t="s">
        <v>1389</v>
      </c>
      <c r="W148" s="59" t="s">
        <v>285</v>
      </c>
      <c r="X148" s="59" t="s">
        <v>477</v>
      </c>
      <c r="Y148" s="59" t="s">
        <v>479</v>
      </c>
      <c r="Z148" s="64" t="str">
        <f>IFERROR(VLOOKUP(T148,LK_OrgMaster!$B$4:$H$89,5,FALSE()),"Administration")</f>
        <v>Teacher</v>
      </c>
      <c r="AA148" s="65" t="str">
        <f>IFERROR(VLOOKUP(X148,LK_LocationMaster!$D$4:$G$157,4,FALSE()),"No")</f>
        <v>No</v>
      </c>
      <c r="AB148" s="65" t="str">
        <f t="shared" si="10"/>
        <v>No</v>
      </c>
      <c r="AC148" s="65" t="str">
        <f>IFERROR(VLOOKUP(X148,LK_LocationMaster!$D$4:$H$157,5,FALSE()),"No")</f>
        <v>Yes</v>
      </c>
      <c r="AD148" s="59" t="s">
        <v>2278</v>
      </c>
      <c r="AE148" s="59" t="s">
        <v>886</v>
      </c>
      <c r="AF148" s="59" t="s">
        <v>915</v>
      </c>
      <c r="AG148" s="59" t="s">
        <v>312</v>
      </c>
      <c r="AH148" s="59" t="s">
        <v>2279</v>
      </c>
      <c r="AI148" s="59" t="s">
        <v>285</v>
      </c>
      <c r="AJ148" s="59" t="s">
        <v>747</v>
      </c>
      <c r="AK148" s="59" t="s">
        <v>748</v>
      </c>
      <c r="AL148" s="64" t="str">
        <f>IFERROR(INDEX(LK_BankMaster!$D$4:$D$23,MATCH(AJ148&amp;"|"&amp;AK148,LK_BankMaster!$H$4:$H$23,0)),"")</f>
        <v/>
      </c>
      <c r="AM148" s="59" t="s">
        <v>2280</v>
      </c>
      <c r="AN148" s="64" t="str">
        <f>IFERROR(VLOOKUP(AJ148,LK_BankMaster!$A$4:$E$23,5,FALSE()),"")</f>
        <v/>
      </c>
      <c r="AO148" s="59" t="s">
        <v>314</v>
      </c>
      <c r="AP148" s="66">
        <v>3</v>
      </c>
      <c r="AQ148" s="64" t="str">
        <f t="shared" si="11"/>
        <v>Position Allowance - General Staff</v>
      </c>
      <c r="AR148" s="65" t="str">
        <f>IFERROR(VLOOKUP(T148,LK_OrgMaster!$B$4:$G$89,6,FALSE()),"No")</f>
        <v>No</v>
      </c>
      <c r="AS148" s="64" t="str">
        <f>IFERROR(VLOOKUP(T148,LK_OrgMaster!$B$4:$H$89,7,FALSE()),"None")</f>
        <v>Teaching</v>
      </c>
      <c r="AT148" s="67">
        <v>39391</v>
      </c>
      <c r="AU148" s="67"/>
      <c r="AV148" s="67">
        <v>39391</v>
      </c>
      <c r="AW148" s="67">
        <v>46023</v>
      </c>
      <c r="AX148" s="68" t="s">
        <v>750</v>
      </c>
      <c r="AY148" s="69" t="s">
        <v>6260</v>
      </c>
    </row>
    <row r="149" spans="1:51" ht="15" customHeight="1" x14ac:dyDescent="0.3">
      <c r="A149" s="59" t="s">
        <v>2281</v>
      </c>
      <c r="B149" s="59" t="s">
        <v>772</v>
      </c>
      <c r="C149" s="59" t="s">
        <v>792</v>
      </c>
      <c r="D149" s="59" t="s">
        <v>1003</v>
      </c>
      <c r="E149" s="59" t="s">
        <v>775</v>
      </c>
      <c r="F149" s="60">
        <v>33131</v>
      </c>
      <c r="G149" s="59" t="s">
        <v>2282</v>
      </c>
      <c r="H149" s="59" t="s">
        <v>2283</v>
      </c>
      <c r="I149" s="60">
        <v>32536</v>
      </c>
      <c r="J149" s="61">
        <f t="shared" ca="1" si="8"/>
        <v>37</v>
      </c>
      <c r="K149" s="62">
        <f t="shared" si="9"/>
        <v>55046</v>
      </c>
      <c r="L149" s="59" t="s">
        <v>735</v>
      </c>
      <c r="M149" s="59" t="s">
        <v>1950</v>
      </c>
      <c r="N149" s="59" t="s">
        <v>737</v>
      </c>
      <c r="O149" s="63">
        <v>0</v>
      </c>
      <c r="P149" s="61">
        <f>IFERROR(SUMPRODUCT((LK_GradeDerivation!$A$4:$A$135=N149)*(IF(O149="",0,O149)&gt;=LK_GradeDerivation!$B$4:$B$135)*(IF(O149="",0,O149)&lt;=LK_GradeDerivation!$C$4:$C$135)*LK_GradeDerivation!$D$4:$D$135),1)</f>
        <v>4</v>
      </c>
      <c r="Q149" s="61">
        <f>IFERROR(SUMPRODUCT((LK_GradeDerivation!$A$4:$A$135=N149)*(IF(O149="",0,O149)&gt;=LK_GradeDerivation!$B$4:$B$135)*(IF(O149="",0,O149)&lt;=LK_GradeDerivation!$C$4:$C$135)*LK_GradeDerivation!$E$4:$E$135),1)</f>
        <v>1</v>
      </c>
      <c r="R149" s="59" t="s">
        <v>2284</v>
      </c>
      <c r="S149" s="59" t="s">
        <v>2285</v>
      </c>
      <c r="T149" s="59" t="s">
        <v>740</v>
      </c>
      <c r="U149" s="59" t="s">
        <v>1166</v>
      </c>
      <c r="V149" s="59" t="s">
        <v>1970</v>
      </c>
      <c r="W149" s="59" t="s">
        <v>285</v>
      </c>
      <c r="X149" s="59" t="s">
        <v>329</v>
      </c>
      <c r="Y149" s="59" t="s">
        <v>334</v>
      </c>
      <c r="Z149" s="64" t="str">
        <f>IFERROR(VLOOKUP(T149,LK_OrgMaster!$B$4:$H$89,5,FALSE()),"Administration")</f>
        <v>Teacher</v>
      </c>
      <c r="AA149" s="65" t="str">
        <f>IFERROR(VLOOKUP(X149,LK_LocationMaster!$D$4:$G$157,4,FALSE()),"No")</f>
        <v>Yes</v>
      </c>
      <c r="AB149" s="65" t="str">
        <f t="shared" si="10"/>
        <v>No</v>
      </c>
      <c r="AC149" s="65" t="str">
        <f>IFERROR(VLOOKUP(X149,LK_LocationMaster!$D$4:$H$157,5,FALSE()),"No")</f>
        <v>No</v>
      </c>
      <c r="AD149" s="59" t="s">
        <v>2286</v>
      </c>
      <c r="AE149" s="59" t="s">
        <v>765</v>
      </c>
      <c r="AF149" s="59" t="s">
        <v>847</v>
      </c>
      <c r="AG149" s="59" t="s">
        <v>368</v>
      </c>
      <c r="AH149" s="59" t="s">
        <v>2287</v>
      </c>
      <c r="AI149" s="59" t="s">
        <v>285</v>
      </c>
      <c r="AJ149" s="59" t="s">
        <v>788</v>
      </c>
      <c r="AK149" s="59" t="s">
        <v>903</v>
      </c>
      <c r="AL149" s="64" t="str">
        <f>IFERROR(INDEX(LK_BankMaster!$D$4:$D$23,MATCH(AJ149&amp;"|"&amp;AK149,LK_BankMaster!$H$4:$H$23,0)),"")</f>
        <v/>
      </c>
      <c r="AM149" s="59" t="s">
        <v>2288</v>
      </c>
      <c r="AN149" s="64" t="str">
        <f>IFERROR(VLOOKUP(AJ149,LK_BankMaster!$A$4:$E$23,5,FALSE()),"")</f>
        <v/>
      </c>
      <c r="AO149" s="59" t="s">
        <v>314</v>
      </c>
      <c r="AP149" s="66">
        <v>3</v>
      </c>
      <c r="AQ149" s="64" t="str">
        <f t="shared" si="11"/>
        <v>Position Allowance - General Staff</v>
      </c>
      <c r="AR149" s="65" t="str">
        <f>IFERROR(VLOOKUP(T149,LK_OrgMaster!$B$4:$G$89,6,FALSE()),"No")</f>
        <v>No</v>
      </c>
      <c r="AS149" s="64" t="str">
        <f>IFERROR(VLOOKUP(T149,LK_OrgMaster!$B$4:$H$89,7,FALSE()),"None")</f>
        <v>Teaching</v>
      </c>
      <c r="AT149" s="70">
        <v>32536</v>
      </c>
      <c r="AU149" s="70"/>
      <c r="AV149" s="70">
        <v>32536</v>
      </c>
      <c r="AW149" s="70">
        <v>46023</v>
      </c>
      <c r="AX149" s="71" t="s">
        <v>750</v>
      </c>
      <c r="AY149" s="72" t="s">
        <v>6260</v>
      </c>
    </row>
    <row r="150" spans="1:51" ht="15" customHeight="1" x14ac:dyDescent="0.3">
      <c r="A150" s="59" t="s">
        <v>2289</v>
      </c>
      <c r="B150" s="59" t="s">
        <v>772</v>
      </c>
      <c r="C150" s="59" t="s">
        <v>1383</v>
      </c>
      <c r="D150" s="59" t="s">
        <v>1704</v>
      </c>
      <c r="E150" s="59" t="s">
        <v>775</v>
      </c>
      <c r="F150" s="60">
        <v>33769</v>
      </c>
      <c r="G150" s="59" t="s">
        <v>2290</v>
      </c>
      <c r="H150" s="59" t="s">
        <v>2291</v>
      </c>
      <c r="I150" s="60">
        <v>32793</v>
      </c>
      <c r="J150" s="61">
        <f t="shared" ca="1" si="8"/>
        <v>36</v>
      </c>
      <c r="K150" s="62">
        <f t="shared" si="9"/>
        <v>55684</v>
      </c>
      <c r="L150" s="59" t="s">
        <v>735</v>
      </c>
      <c r="M150" s="59" t="s">
        <v>1020</v>
      </c>
      <c r="N150" s="59" t="s">
        <v>758</v>
      </c>
      <c r="O150" s="63">
        <v>0</v>
      </c>
      <c r="P150" s="61">
        <f>IFERROR(SUMPRODUCT((LK_GradeDerivation!$A$4:$A$135=N150)*(IF(O150="",0,O150)&gt;=LK_GradeDerivation!$B$4:$B$135)*(IF(O150="",0,O150)&lt;=LK_GradeDerivation!$C$4:$C$135)*LK_GradeDerivation!$D$4:$D$135),1)</f>
        <v>5</v>
      </c>
      <c r="Q150" s="61">
        <f>IFERROR(SUMPRODUCT((LK_GradeDerivation!$A$4:$A$135=N150)*(IF(O150="",0,O150)&gt;=LK_GradeDerivation!$B$4:$B$135)*(IF(O150="",0,O150)&lt;=LK_GradeDerivation!$C$4:$C$135)*LK_GradeDerivation!$E$4:$E$135),1)</f>
        <v>1</v>
      </c>
      <c r="R150" s="59" t="s">
        <v>2292</v>
      </c>
      <c r="S150" s="59" t="s">
        <v>2293</v>
      </c>
      <c r="T150" s="59" t="s">
        <v>896</v>
      </c>
      <c r="U150" s="59" t="s">
        <v>897</v>
      </c>
      <c r="V150" s="59" t="s">
        <v>2294</v>
      </c>
      <c r="W150" s="59" t="s">
        <v>285</v>
      </c>
      <c r="X150" s="59" t="s">
        <v>288</v>
      </c>
      <c r="Y150" s="59" t="s">
        <v>298</v>
      </c>
      <c r="Z150" s="64" t="str">
        <f>IFERROR(VLOOKUP(T150,LK_OrgMaster!$B$4:$H$89,5,FALSE()),"Administration")</f>
        <v>Administration</v>
      </c>
      <c r="AA150" s="65" t="str">
        <f>IFERROR(VLOOKUP(X150,LK_LocationMaster!$D$4:$G$157,4,FALSE()),"No")</f>
        <v>No</v>
      </c>
      <c r="AB150" s="65" t="str">
        <f t="shared" si="10"/>
        <v>No</v>
      </c>
      <c r="AC150" s="65" t="str">
        <f>IFERROR(VLOOKUP(X150,LK_LocationMaster!$D$4:$H$157,5,FALSE()),"No")</f>
        <v>No</v>
      </c>
      <c r="AD150" s="59" t="s">
        <v>2295</v>
      </c>
      <c r="AE150" s="59" t="s">
        <v>886</v>
      </c>
      <c r="AF150" s="59" t="s">
        <v>801</v>
      </c>
      <c r="AG150" s="59" t="s">
        <v>368</v>
      </c>
      <c r="AH150" s="59" t="s">
        <v>2296</v>
      </c>
      <c r="AI150" s="59" t="s">
        <v>285</v>
      </c>
      <c r="AJ150" s="59" t="s">
        <v>788</v>
      </c>
      <c r="AK150" s="59" t="s">
        <v>1460</v>
      </c>
      <c r="AL150" s="64" t="str">
        <f>IFERROR(INDEX(LK_BankMaster!$D$4:$D$23,MATCH(AJ150&amp;"|"&amp;AK150,LK_BankMaster!$H$4:$H$23,0)),"")</f>
        <v/>
      </c>
      <c r="AM150" s="59" t="s">
        <v>2297</v>
      </c>
      <c r="AN150" s="64" t="str">
        <f>IFERROR(VLOOKUP(AJ150,LK_BankMaster!$A$4:$E$23,5,FALSE()),"")</f>
        <v/>
      </c>
      <c r="AO150" s="59" t="s">
        <v>291</v>
      </c>
      <c r="AP150" s="66">
        <v>0</v>
      </c>
      <c r="AQ150" s="64" t="str">
        <f t="shared" si="11"/>
        <v>Position Allowance - Section Chief</v>
      </c>
      <c r="AR150" s="65" t="str">
        <f>IFERROR(VLOOKUP(T150,LK_OrgMaster!$B$4:$G$89,6,FALSE()),"No")</f>
        <v>No</v>
      </c>
      <c r="AS150" s="64" t="str">
        <f>IFERROR(VLOOKUP(T150,LK_OrgMaster!$B$4:$H$89,7,FALSE()),"None")</f>
        <v>None</v>
      </c>
      <c r="AT150" s="67">
        <v>32793</v>
      </c>
      <c r="AU150" s="67"/>
      <c r="AV150" s="67">
        <v>32793</v>
      </c>
      <c r="AW150" s="67">
        <v>46023</v>
      </c>
      <c r="AX150" s="68" t="s">
        <v>750</v>
      </c>
      <c r="AY150" s="69" t="s">
        <v>6260</v>
      </c>
    </row>
    <row r="151" spans="1:51" ht="15" customHeight="1" x14ac:dyDescent="0.3">
      <c r="A151" s="59" t="s">
        <v>2298</v>
      </c>
      <c r="B151" s="59" t="s">
        <v>752</v>
      </c>
      <c r="C151" s="59" t="s">
        <v>2042</v>
      </c>
      <c r="D151" s="59" t="s">
        <v>1674</v>
      </c>
      <c r="E151" s="59" t="s">
        <v>732</v>
      </c>
      <c r="F151" s="60">
        <v>30826</v>
      </c>
      <c r="G151" s="59" t="s">
        <v>2299</v>
      </c>
      <c r="H151" s="59" t="s">
        <v>2300</v>
      </c>
      <c r="I151" s="60">
        <v>42985</v>
      </c>
      <c r="J151" s="61">
        <f t="shared" ca="1" si="8"/>
        <v>8</v>
      </c>
      <c r="K151" s="62">
        <f t="shared" si="9"/>
        <v>52741</v>
      </c>
      <c r="L151" s="59" t="s">
        <v>735</v>
      </c>
      <c r="M151" s="59" t="s">
        <v>841</v>
      </c>
      <c r="N151" s="59" t="s">
        <v>737</v>
      </c>
      <c r="O151" s="63">
        <v>11</v>
      </c>
      <c r="P151" s="61">
        <f>IFERROR(SUMPRODUCT((LK_GradeDerivation!$A$4:$A$135=N151)*(IF(O151="",0,O151)&gt;=LK_GradeDerivation!$B$4:$B$135)*(IF(O151="",0,O151)&lt;=LK_GradeDerivation!$C$4:$C$135)*LK_GradeDerivation!$D$4:$D$135),1)</f>
        <v>4</v>
      </c>
      <c r="Q151" s="61">
        <f>IFERROR(SUMPRODUCT((LK_GradeDerivation!$A$4:$A$135=N151)*(IF(O151="",0,O151)&gt;=LK_GradeDerivation!$B$4:$B$135)*(IF(O151="",0,O151)&lt;=LK_GradeDerivation!$C$4:$C$135)*LK_GradeDerivation!$E$4:$E$135),1)</f>
        <v>6</v>
      </c>
      <c r="R151" s="59" t="s">
        <v>2301</v>
      </c>
      <c r="S151" s="59" t="s">
        <v>2302</v>
      </c>
      <c r="T151" s="59" t="s">
        <v>1204</v>
      </c>
      <c r="U151" s="59" t="s">
        <v>2100</v>
      </c>
      <c r="V151" s="59" t="s">
        <v>2303</v>
      </c>
      <c r="W151" s="59" t="s">
        <v>285</v>
      </c>
      <c r="X151" s="59" t="s">
        <v>329</v>
      </c>
      <c r="Y151" s="59" t="s">
        <v>329</v>
      </c>
      <c r="Z151" s="64" t="str">
        <f>IFERROR(VLOOKUP(T151,LK_OrgMaster!$B$4:$H$89,5,FALSE()),"Administration")</f>
        <v>Administration</v>
      </c>
      <c r="AA151" s="65" t="str">
        <f>IFERROR(VLOOKUP(X151,LK_LocationMaster!$D$4:$G$157,4,FALSE()),"No")</f>
        <v>Yes</v>
      </c>
      <c r="AB151" s="65" t="str">
        <f t="shared" si="10"/>
        <v>No</v>
      </c>
      <c r="AC151" s="65" t="str">
        <f>IFERROR(VLOOKUP(X151,LK_LocationMaster!$D$4:$H$157,5,FALSE()),"No")</f>
        <v>No</v>
      </c>
      <c r="AD151" s="59" t="s">
        <v>2304</v>
      </c>
      <c r="AE151" s="59" t="s">
        <v>800</v>
      </c>
      <c r="AF151" s="59" t="s">
        <v>786</v>
      </c>
      <c r="AG151" s="59" t="s">
        <v>356</v>
      </c>
      <c r="AH151" s="59" t="s">
        <v>2305</v>
      </c>
      <c r="AI151" s="59" t="s">
        <v>285</v>
      </c>
      <c r="AJ151" s="59" t="s">
        <v>788</v>
      </c>
      <c r="AK151" s="59" t="s">
        <v>1877</v>
      </c>
      <c r="AL151" s="64" t="str">
        <f>IFERROR(INDEX(LK_BankMaster!$D$4:$D$23,MATCH(AJ151&amp;"|"&amp;AK151,LK_BankMaster!$H$4:$H$23,0)),"")</f>
        <v/>
      </c>
      <c r="AM151" s="59" t="s">
        <v>2306</v>
      </c>
      <c r="AN151" s="64" t="str">
        <f>IFERROR(VLOOKUP(AJ151,LK_BankMaster!$A$4:$E$23,5,FALSE()),"")</f>
        <v/>
      </c>
      <c r="AO151" s="59" t="s">
        <v>314</v>
      </c>
      <c r="AP151" s="66">
        <v>3</v>
      </c>
      <c r="AQ151" s="64" t="str">
        <f t="shared" si="11"/>
        <v>Position Allowance - Director</v>
      </c>
      <c r="AR151" s="65" t="str">
        <f>IFERROR(VLOOKUP(T151,LK_OrgMaster!$B$4:$G$89,6,FALSE()),"No")</f>
        <v>No</v>
      </c>
      <c r="AS151" s="64" t="str">
        <f>IFERROR(VLOOKUP(T151,LK_OrgMaster!$B$4:$H$89,7,FALSE()),"None")</f>
        <v>None</v>
      </c>
      <c r="AT151" s="70">
        <v>42985</v>
      </c>
      <c r="AU151" s="70"/>
      <c r="AV151" s="70">
        <v>42985</v>
      </c>
      <c r="AW151" s="70">
        <v>46023</v>
      </c>
      <c r="AX151" s="71" t="s">
        <v>750</v>
      </c>
      <c r="AY151" s="72" t="s">
        <v>6260</v>
      </c>
    </row>
    <row r="152" spans="1:51" ht="15" customHeight="1" x14ac:dyDescent="0.3">
      <c r="A152" s="59" t="s">
        <v>2307</v>
      </c>
      <c r="B152" s="59" t="s">
        <v>772</v>
      </c>
      <c r="C152" s="59" t="s">
        <v>1542</v>
      </c>
      <c r="D152" s="59" t="s">
        <v>907</v>
      </c>
      <c r="E152" s="59" t="s">
        <v>732</v>
      </c>
      <c r="F152" s="60">
        <v>28072</v>
      </c>
      <c r="G152" s="59" t="s">
        <v>2308</v>
      </c>
      <c r="H152" s="59" t="s">
        <v>2309</v>
      </c>
      <c r="I152" s="60">
        <v>37500</v>
      </c>
      <c r="J152" s="61">
        <f t="shared" ca="1" si="8"/>
        <v>23</v>
      </c>
      <c r="K152" s="62">
        <f t="shared" si="9"/>
        <v>49987</v>
      </c>
      <c r="L152" s="59" t="s">
        <v>735</v>
      </c>
      <c r="M152" s="59" t="s">
        <v>1483</v>
      </c>
      <c r="N152" s="59" t="s">
        <v>779</v>
      </c>
      <c r="O152" s="63">
        <v>7</v>
      </c>
      <c r="P152" s="61">
        <f>IFERROR(SUMPRODUCT((LK_GradeDerivation!$A$4:$A$135=N152)*(IF(O152="",0,O152)&gt;=LK_GradeDerivation!$B$4:$B$135)*(IF(O152="",0,O152)&lt;=LK_GradeDerivation!$C$4:$C$135)*LK_GradeDerivation!$D$4:$D$135),1)</f>
        <v>2</v>
      </c>
      <c r="Q152" s="61">
        <f>IFERROR(SUMPRODUCT((LK_GradeDerivation!$A$4:$A$135=N152)*(IF(O152="",0,O152)&gt;=LK_GradeDerivation!$B$4:$B$135)*(IF(O152="",0,O152)&lt;=LK_GradeDerivation!$C$4:$C$135)*LK_GradeDerivation!$E$4:$E$135),1)</f>
        <v>4</v>
      </c>
      <c r="R152" s="59" t="s">
        <v>2310</v>
      </c>
      <c r="S152" s="59" t="s">
        <v>2311</v>
      </c>
      <c r="T152" s="59" t="s">
        <v>1204</v>
      </c>
      <c r="U152" s="59" t="s">
        <v>2100</v>
      </c>
      <c r="V152" s="59" t="s">
        <v>2101</v>
      </c>
      <c r="W152" s="59" t="s">
        <v>285</v>
      </c>
      <c r="X152" s="59" t="s">
        <v>368</v>
      </c>
      <c r="Y152" s="59" t="s">
        <v>385</v>
      </c>
      <c r="Z152" s="64" t="str">
        <f>IFERROR(VLOOKUP(T152,LK_OrgMaster!$B$4:$H$89,5,FALSE()),"Administration")</f>
        <v>Administration</v>
      </c>
      <c r="AA152" s="65" t="str">
        <f>IFERROR(VLOOKUP(X152,LK_LocationMaster!$D$4:$G$157,4,FALSE()),"No")</f>
        <v>No</v>
      </c>
      <c r="AB152" s="65" t="str">
        <f t="shared" si="10"/>
        <v>No</v>
      </c>
      <c r="AC152" s="65" t="str">
        <f>IFERROR(VLOOKUP(X152,LK_LocationMaster!$D$4:$H$157,5,FALSE()),"No")</f>
        <v>No</v>
      </c>
      <c r="AD152" s="59" t="s">
        <v>1107</v>
      </c>
      <c r="AE152" s="59" t="s">
        <v>930</v>
      </c>
      <c r="AF152" s="59" t="s">
        <v>915</v>
      </c>
      <c r="AG152" s="59" t="s">
        <v>408</v>
      </c>
      <c r="AH152" s="59" t="s">
        <v>2312</v>
      </c>
      <c r="AI152" s="59" t="s">
        <v>285</v>
      </c>
      <c r="AJ152" s="59" t="s">
        <v>833</v>
      </c>
      <c r="AK152" s="59" t="s">
        <v>1013</v>
      </c>
      <c r="AL152" s="64" t="str">
        <f>IFERROR(INDEX(LK_BankMaster!$D$4:$D$23,MATCH(AJ152&amp;"|"&amp;AK152,LK_BankMaster!$H$4:$H$23,0)),"")</f>
        <v/>
      </c>
      <c r="AM152" s="59" t="s">
        <v>2313</v>
      </c>
      <c r="AN152" s="64" t="str">
        <f>IFERROR(VLOOKUP(AJ152,LK_BankMaster!$A$4:$E$23,5,FALSE()),"")</f>
        <v/>
      </c>
      <c r="AO152" s="59" t="s">
        <v>314</v>
      </c>
      <c r="AP152" s="66">
        <v>3</v>
      </c>
      <c r="AQ152" s="64" t="str">
        <f t="shared" si="11"/>
        <v>Position Allowance - General Staff</v>
      </c>
      <c r="AR152" s="65" t="str">
        <f>IFERROR(VLOOKUP(T152,LK_OrgMaster!$B$4:$G$89,6,FALSE()),"No")</f>
        <v>No</v>
      </c>
      <c r="AS152" s="64" t="str">
        <f>IFERROR(VLOOKUP(T152,LK_OrgMaster!$B$4:$H$89,7,FALSE()),"None")</f>
        <v>None</v>
      </c>
      <c r="AT152" s="67">
        <v>37500</v>
      </c>
      <c r="AU152" s="67"/>
      <c r="AV152" s="67">
        <v>37500</v>
      </c>
      <c r="AW152" s="67">
        <v>46023</v>
      </c>
      <c r="AX152" s="68" t="s">
        <v>750</v>
      </c>
      <c r="AY152" s="69" t="s">
        <v>6260</v>
      </c>
    </row>
    <row r="153" spans="1:51" ht="15" customHeight="1" x14ac:dyDescent="0.3">
      <c r="A153" s="59" t="s">
        <v>2314</v>
      </c>
      <c r="B153" s="59" t="s">
        <v>752</v>
      </c>
      <c r="C153" s="59" t="s">
        <v>2315</v>
      </c>
      <c r="D153" s="59" t="s">
        <v>1003</v>
      </c>
      <c r="E153" s="59" t="s">
        <v>732</v>
      </c>
      <c r="F153" s="60">
        <v>28146</v>
      </c>
      <c r="G153" s="59" t="s">
        <v>2316</v>
      </c>
      <c r="H153" s="59" t="s">
        <v>2317</v>
      </c>
      <c r="I153" s="60">
        <v>34913</v>
      </c>
      <c r="J153" s="61">
        <f t="shared" ca="1" si="8"/>
        <v>30</v>
      </c>
      <c r="K153" s="62">
        <f t="shared" si="9"/>
        <v>50061</v>
      </c>
      <c r="L153" s="59" t="s">
        <v>735</v>
      </c>
      <c r="M153" s="59" t="s">
        <v>1574</v>
      </c>
      <c r="N153" s="59" t="s">
        <v>758</v>
      </c>
      <c r="O153" s="63">
        <v>0</v>
      </c>
      <c r="P153" s="61">
        <f>IFERROR(SUMPRODUCT((LK_GradeDerivation!$A$4:$A$135=N153)*(IF(O153="",0,O153)&gt;=LK_GradeDerivation!$B$4:$B$135)*(IF(O153="",0,O153)&lt;=LK_GradeDerivation!$C$4:$C$135)*LK_GradeDerivation!$D$4:$D$135),1)</f>
        <v>5</v>
      </c>
      <c r="Q153" s="61">
        <f>IFERROR(SUMPRODUCT((LK_GradeDerivation!$A$4:$A$135=N153)*(IF(O153="",0,O153)&gt;=LK_GradeDerivation!$B$4:$B$135)*(IF(O153="",0,O153)&lt;=LK_GradeDerivation!$C$4:$C$135)*LK_GradeDerivation!$E$4:$E$135),1)</f>
        <v>1</v>
      </c>
      <c r="R153" s="59" t="s">
        <v>2318</v>
      </c>
      <c r="S153" s="59" t="s">
        <v>2319</v>
      </c>
      <c r="T153" s="59" t="s">
        <v>1096</v>
      </c>
      <c r="U153" s="59" t="s">
        <v>1229</v>
      </c>
      <c r="V153" s="59" t="s">
        <v>1230</v>
      </c>
      <c r="W153" s="59" t="s">
        <v>285</v>
      </c>
      <c r="X153" s="59" t="s">
        <v>575</v>
      </c>
      <c r="Y153" s="59" t="s">
        <v>581</v>
      </c>
      <c r="Z153" s="64" t="str">
        <f>IFERROR(VLOOKUP(T153,LK_OrgMaster!$B$4:$H$89,5,FALSE()),"Administration")</f>
        <v>Administration</v>
      </c>
      <c r="AA153" s="65" t="str">
        <f>IFERROR(VLOOKUP(X153,LK_LocationMaster!$D$4:$G$157,4,FALSE()),"No")</f>
        <v>Yes</v>
      </c>
      <c r="AB153" s="65" t="str">
        <f t="shared" si="10"/>
        <v>No</v>
      </c>
      <c r="AC153" s="65" t="str">
        <f>IFERROR(VLOOKUP(X153,LK_LocationMaster!$D$4:$H$157,5,FALSE()),"No")</f>
        <v>Yes</v>
      </c>
      <c r="AD153" s="59" t="s">
        <v>2320</v>
      </c>
      <c r="AE153" s="59" t="s">
        <v>800</v>
      </c>
      <c r="AF153" s="59" t="s">
        <v>915</v>
      </c>
      <c r="AG153" s="59" t="s">
        <v>312</v>
      </c>
      <c r="AH153" s="59" t="s">
        <v>2321</v>
      </c>
      <c r="AI153" s="59" t="s">
        <v>285</v>
      </c>
      <c r="AJ153" s="59" t="s">
        <v>768</v>
      </c>
      <c r="AK153" s="59" t="s">
        <v>1063</v>
      </c>
      <c r="AL153" s="64" t="str">
        <f>IFERROR(INDEX(LK_BankMaster!$D$4:$D$23,MATCH(AJ153&amp;"|"&amp;AK153,LK_BankMaster!$H$4:$H$23,0)),"")</f>
        <v/>
      </c>
      <c r="AM153" s="59" t="s">
        <v>2322</v>
      </c>
      <c r="AN153" s="64" t="str">
        <f>IFERROR(VLOOKUP(AJ153,LK_BankMaster!$A$4:$E$23,5,FALSE()),"")</f>
        <v/>
      </c>
      <c r="AO153" s="59" t="s">
        <v>314</v>
      </c>
      <c r="AP153" s="66">
        <v>3</v>
      </c>
      <c r="AQ153" s="64" t="str">
        <f t="shared" si="11"/>
        <v>Position Allowance - Deputy Director</v>
      </c>
      <c r="AR153" s="65" t="str">
        <f>IFERROR(VLOOKUP(T153,LK_OrgMaster!$B$4:$G$89,6,FALSE()),"No")</f>
        <v>No</v>
      </c>
      <c r="AS153" s="64" t="str">
        <f>IFERROR(VLOOKUP(T153,LK_OrgMaster!$B$4:$H$89,7,FALSE()),"None")</f>
        <v>None</v>
      </c>
      <c r="AT153" s="70">
        <v>34913</v>
      </c>
      <c r="AU153" s="70"/>
      <c r="AV153" s="70">
        <v>34913</v>
      </c>
      <c r="AW153" s="70">
        <v>46023</v>
      </c>
      <c r="AX153" s="71" t="s">
        <v>750</v>
      </c>
      <c r="AY153" s="72" t="s">
        <v>6260</v>
      </c>
    </row>
    <row r="154" spans="1:51" ht="15" customHeight="1" x14ac:dyDescent="0.3">
      <c r="A154" s="59" t="s">
        <v>2323</v>
      </c>
      <c r="B154" s="59" t="s">
        <v>772</v>
      </c>
      <c r="C154" s="59" t="s">
        <v>2042</v>
      </c>
      <c r="D154" s="59" t="s">
        <v>1300</v>
      </c>
      <c r="E154" s="59" t="s">
        <v>732</v>
      </c>
      <c r="F154" s="60">
        <v>34017</v>
      </c>
      <c r="G154" s="59" t="s">
        <v>2324</v>
      </c>
      <c r="H154" s="59" t="s">
        <v>2325</v>
      </c>
      <c r="I154" s="60">
        <v>35497</v>
      </c>
      <c r="J154" s="61">
        <f t="shared" ca="1" si="8"/>
        <v>29</v>
      </c>
      <c r="K154" s="62">
        <f t="shared" si="9"/>
        <v>55932</v>
      </c>
      <c r="L154" s="59" t="s">
        <v>735</v>
      </c>
      <c r="M154" s="59" t="s">
        <v>1433</v>
      </c>
      <c r="N154" s="59" t="s">
        <v>737</v>
      </c>
      <c r="O154" s="63">
        <v>0</v>
      </c>
      <c r="P154" s="61">
        <f>IFERROR(SUMPRODUCT((LK_GradeDerivation!$A$4:$A$135=N154)*(IF(O154="",0,O154)&gt;=LK_GradeDerivation!$B$4:$B$135)*(IF(O154="",0,O154)&lt;=LK_GradeDerivation!$C$4:$C$135)*LK_GradeDerivation!$D$4:$D$135),1)</f>
        <v>4</v>
      </c>
      <c r="Q154" s="61">
        <f>IFERROR(SUMPRODUCT((LK_GradeDerivation!$A$4:$A$135=N154)*(IF(O154="",0,O154)&gt;=LK_GradeDerivation!$B$4:$B$135)*(IF(O154="",0,O154)&lt;=LK_GradeDerivation!$C$4:$C$135)*LK_GradeDerivation!$E$4:$E$135),1)</f>
        <v>1</v>
      </c>
      <c r="R154" s="59" t="s">
        <v>2326</v>
      </c>
      <c r="S154" s="59" t="s">
        <v>2327</v>
      </c>
      <c r="T154" s="59" t="s">
        <v>859</v>
      </c>
      <c r="U154" s="59" t="s">
        <v>940</v>
      </c>
      <c r="V154" s="59" t="s">
        <v>1811</v>
      </c>
      <c r="W154" s="59" t="s">
        <v>285</v>
      </c>
      <c r="X154" s="59" t="s">
        <v>391</v>
      </c>
      <c r="Y154" s="59" t="s">
        <v>396</v>
      </c>
      <c r="Z154" s="64" t="str">
        <f>IFERROR(VLOOKUP(T154,LK_OrgMaster!$B$4:$H$89,5,FALSE()),"Administration")</f>
        <v>Technical</v>
      </c>
      <c r="AA154" s="65" t="str">
        <f>IFERROR(VLOOKUP(X154,LK_LocationMaster!$D$4:$G$157,4,FALSE()),"No")</f>
        <v>Yes</v>
      </c>
      <c r="AB154" s="65" t="str">
        <f t="shared" si="10"/>
        <v>No</v>
      </c>
      <c r="AC154" s="65" t="str">
        <f>IFERROR(VLOOKUP(X154,LK_LocationMaster!$D$4:$H$157,5,FALSE()),"No")</f>
        <v>Yes</v>
      </c>
      <c r="AD154" s="59" t="s">
        <v>743</v>
      </c>
      <c r="AE154" s="59" t="s">
        <v>800</v>
      </c>
      <c r="AF154" s="59" t="s">
        <v>801</v>
      </c>
      <c r="AG154" s="59" t="s">
        <v>368</v>
      </c>
      <c r="AH154" s="59" t="s">
        <v>2328</v>
      </c>
      <c r="AI154" s="59" t="s">
        <v>285</v>
      </c>
      <c r="AJ154" s="59" t="s">
        <v>833</v>
      </c>
      <c r="AK154" s="59" t="s">
        <v>917</v>
      </c>
      <c r="AL154" s="64" t="str">
        <f>IFERROR(INDEX(LK_BankMaster!$D$4:$D$23,MATCH(AJ154&amp;"|"&amp;AK154,LK_BankMaster!$H$4:$H$23,0)),"")</f>
        <v/>
      </c>
      <c r="AM154" s="59" t="s">
        <v>2329</v>
      </c>
      <c r="AN154" s="64" t="str">
        <f>IFERROR(VLOOKUP(AJ154,LK_BankMaster!$A$4:$E$23,5,FALSE()),"")</f>
        <v/>
      </c>
      <c r="AO154" s="59" t="s">
        <v>314</v>
      </c>
      <c r="AP154" s="66">
        <v>0</v>
      </c>
      <c r="AQ154" s="64" t="str">
        <f t="shared" si="11"/>
        <v>Position Allowance - General Staff</v>
      </c>
      <c r="AR154" s="65" t="str">
        <f>IFERROR(VLOOKUP(T154,LK_OrgMaster!$B$4:$G$89,6,FALSE()),"No")</f>
        <v>No</v>
      </c>
      <c r="AS154" s="64" t="str">
        <f>IFERROR(VLOOKUP(T154,LK_OrgMaster!$B$4:$H$89,7,FALSE()),"None")</f>
        <v>None</v>
      </c>
      <c r="AT154" s="67">
        <v>35497</v>
      </c>
      <c r="AU154" s="67"/>
      <c r="AV154" s="67">
        <v>35497</v>
      </c>
      <c r="AW154" s="67">
        <v>46023</v>
      </c>
      <c r="AX154" s="68" t="s">
        <v>750</v>
      </c>
      <c r="AY154" s="69" t="s">
        <v>6260</v>
      </c>
    </row>
    <row r="155" spans="1:51" ht="15" customHeight="1" x14ac:dyDescent="0.3">
      <c r="A155" s="59" t="s">
        <v>2330</v>
      </c>
      <c r="B155" s="59" t="s">
        <v>752</v>
      </c>
      <c r="C155" s="59" t="s">
        <v>1624</v>
      </c>
      <c r="D155" s="59" t="s">
        <v>807</v>
      </c>
      <c r="E155" s="59" t="s">
        <v>732</v>
      </c>
      <c r="F155" s="60">
        <v>34030</v>
      </c>
      <c r="G155" s="59" t="s">
        <v>2331</v>
      </c>
      <c r="H155" s="59" t="s">
        <v>2332</v>
      </c>
      <c r="I155" s="60">
        <v>33988</v>
      </c>
      <c r="J155" s="61">
        <f t="shared" ca="1" si="8"/>
        <v>33</v>
      </c>
      <c r="K155" s="62">
        <f t="shared" si="9"/>
        <v>55945</v>
      </c>
      <c r="L155" s="59" t="s">
        <v>735</v>
      </c>
      <c r="M155" s="59" t="s">
        <v>1454</v>
      </c>
      <c r="N155" s="59" t="s">
        <v>737</v>
      </c>
      <c r="O155" s="63">
        <v>0</v>
      </c>
      <c r="P155" s="61">
        <f>IFERROR(SUMPRODUCT((LK_GradeDerivation!$A$4:$A$135=N155)*(IF(O155="",0,O155)&gt;=LK_GradeDerivation!$B$4:$B$135)*(IF(O155="",0,O155)&lt;=LK_GradeDerivation!$C$4:$C$135)*LK_GradeDerivation!$D$4:$D$135),1)</f>
        <v>4</v>
      </c>
      <c r="Q155" s="61">
        <f>IFERROR(SUMPRODUCT((LK_GradeDerivation!$A$4:$A$135=N155)*(IF(O155="",0,O155)&gt;=LK_GradeDerivation!$B$4:$B$135)*(IF(O155="",0,O155)&lt;=LK_GradeDerivation!$C$4:$C$135)*LK_GradeDerivation!$E$4:$E$135),1)</f>
        <v>1</v>
      </c>
      <c r="R155" s="59" t="s">
        <v>2333</v>
      </c>
      <c r="S155" s="59" t="s">
        <v>2334</v>
      </c>
      <c r="T155" s="59" t="s">
        <v>740</v>
      </c>
      <c r="U155" s="59" t="s">
        <v>927</v>
      </c>
      <c r="V155" s="59" t="s">
        <v>2335</v>
      </c>
      <c r="W155" s="59" t="s">
        <v>285</v>
      </c>
      <c r="X155" s="59" t="s">
        <v>368</v>
      </c>
      <c r="Y155" s="59" t="s">
        <v>385</v>
      </c>
      <c r="Z155" s="64" t="str">
        <f>IFERROR(VLOOKUP(T155,LK_OrgMaster!$B$4:$H$89,5,FALSE()),"Administration")</f>
        <v>Teacher</v>
      </c>
      <c r="AA155" s="65" t="str">
        <f>IFERROR(VLOOKUP(X155,LK_LocationMaster!$D$4:$G$157,4,FALSE()),"No")</f>
        <v>No</v>
      </c>
      <c r="AB155" s="65" t="str">
        <f t="shared" si="10"/>
        <v>No</v>
      </c>
      <c r="AC155" s="65" t="str">
        <f>IFERROR(VLOOKUP(X155,LK_LocationMaster!$D$4:$H$157,5,FALSE()),"No")</f>
        <v>No</v>
      </c>
      <c r="AD155" s="59" t="s">
        <v>1669</v>
      </c>
      <c r="AE155" s="59" t="s">
        <v>800</v>
      </c>
      <c r="AF155" s="59" t="s">
        <v>801</v>
      </c>
      <c r="AG155" s="59" t="s">
        <v>340</v>
      </c>
      <c r="AH155" s="59" t="s">
        <v>2336</v>
      </c>
      <c r="AI155" s="59" t="s">
        <v>285</v>
      </c>
      <c r="AJ155" s="59" t="s">
        <v>818</v>
      </c>
      <c r="AK155" s="59" t="s">
        <v>819</v>
      </c>
      <c r="AL155" s="64" t="str">
        <f>IFERROR(INDEX(LK_BankMaster!$D$4:$D$23,MATCH(AJ155&amp;"|"&amp;AK155,LK_BankMaster!$H$4:$H$23,0)),"")</f>
        <v/>
      </c>
      <c r="AM155" s="59" t="s">
        <v>2337</v>
      </c>
      <c r="AN155" s="64" t="str">
        <f>IFERROR(VLOOKUP(AJ155,LK_BankMaster!$A$4:$E$23,5,FALSE()),"")</f>
        <v/>
      </c>
      <c r="AO155" s="59" t="s">
        <v>291</v>
      </c>
      <c r="AP155" s="66">
        <v>0</v>
      </c>
      <c r="AQ155" s="64" t="str">
        <f t="shared" si="11"/>
        <v>Position Allowance - General Staff</v>
      </c>
      <c r="AR155" s="65" t="str">
        <f>IFERROR(VLOOKUP(T155,LK_OrgMaster!$B$4:$G$89,6,FALSE()),"No")</f>
        <v>No</v>
      </c>
      <c r="AS155" s="64" t="str">
        <f>IFERROR(VLOOKUP(T155,LK_OrgMaster!$B$4:$H$89,7,FALSE()),"None")</f>
        <v>Teaching</v>
      </c>
      <c r="AT155" s="70">
        <v>33988</v>
      </c>
      <c r="AU155" s="70"/>
      <c r="AV155" s="70">
        <v>33988</v>
      </c>
      <c r="AW155" s="70">
        <v>46023</v>
      </c>
      <c r="AX155" s="71" t="s">
        <v>750</v>
      </c>
      <c r="AY155" s="72" t="s">
        <v>6260</v>
      </c>
    </row>
    <row r="156" spans="1:51" ht="15" customHeight="1" x14ac:dyDescent="0.3">
      <c r="A156" s="59" t="s">
        <v>2338</v>
      </c>
      <c r="B156" s="59" t="s">
        <v>851</v>
      </c>
      <c r="C156" s="59" t="s">
        <v>866</v>
      </c>
      <c r="D156" s="59" t="s">
        <v>1172</v>
      </c>
      <c r="E156" s="59" t="s">
        <v>775</v>
      </c>
      <c r="F156" s="60">
        <v>33514</v>
      </c>
      <c r="G156" s="59" t="s">
        <v>2339</v>
      </c>
      <c r="H156" s="59" t="s">
        <v>2340</v>
      </c>
      <c r="I156" s="60">
        <v>38219</v>
      </c>
      <c r="J156" s="61">
        <f t="shared" ca="1" si="8"/>
        <v>21</v>
      </c>
      <c r="K156" s="62">
        <f t="shared" si="9"/>
        <v>55429</v>
      </c>
      <c r="L156" s="59" t="s">
        <v>735</v>
      </c>
      <c r="M156" s="59" t="s">
        <v>1069</v>
      </c>
      <c r="N156" s="59" t="s">
        <v>758</v>
      </c>
      <c r="O156" s="63">
        <v>0</v>
      </c>
      <c r="P156" s="61">
        <f>IFERROR(SUMPRODUCT((LK_GradeDerivation!$A$4:$A$135=N156)*(IF(O156="",0,O156)&gt;=LK_GradeDerivation!$B$4:$B$135)*(IF(O156="",0,O156)&lt;=LK_GradeDerivation!$C$4:$C$135)*LK_GradeDerivation!$D$4:$D$135),1)</f>
        <v>5</v>
      </c>
      <c r="Q156" s="61">
        <f>IFERROR(SUMPRODUCT((LK_GradeDerivation!$A$4:$A$135=N156)*(IF(O156="",0,O156)&gt;=LK_GradeDerivation!$B$4:$B$135)*(IF(O156="",0,O156)&lt;=LK_GradeDerivation!$C$4:$C$135)*LK_GradeDerivation!$E$4:$E$135),1)</f>
        <v>1</v>
      </c>
      <c r="R156" s="59" t="s">
        <v>2341</v>
      </c>
      <c r="S156" s="59" t="s">
        <v>2342</v>
      </c>
      <c r="T156" s="59" t="s">
        <v>1035</v>
      </c>
      <c r="U156" s="59" t="s">
        <v>1229</v>
      </c>
      <c r="V156" s="59" t="s">
        <v>763</v>
      </c>
      <c r="W156" s="59" t="s">
        <v>285</v>
      </c>
      <c r="X156" s="59" t="s">
        <v>500</v>
      </c>
      <c r="Y156" s="59" t="s">
        <v>506</v>
      </c>
      <c r="Z156" s="64" t="str">
        <f>IFERROR(VLOOKUP(T156,LK_OrgMaster!$B$4:$H$89,5,FALSE()),"Administration")</f>
        <v>Administration</v>
      </c>
      <c r="AA156" s="65" t="str">
        <f>IFERROR(VLOOKUP(X156,LK_LocationMaster!$D$4:$G$157,4,FALSE()),"No")</f>
        <v>No</v>
      </c>
      <c r="AB156" s="65" t="str">
        <f t="shared" si="10"/>
        <v>No</v>
      </c>
      <c r="AC156" s="65" t="str">
        <f>IFERROR(VLOOKUP(X156,LK_LocationMaster!$D$4:$H$157,5,FALSE()),"No")</f>
        <v>Yes</v>
      </c>
      <c r="AD156" s="59" t="s">
        <v>2343</v>
      </c>
      <c r="AE156" s="59" t="s">
        <v>2344</v>
      </c>
      <c r="AF156" s="59" t="s">
        <v>969</v>
      </c>
      <c r="AG156" s="59" t="s">
        <v>312</v>
      </c>
      <c r="AH156" s="59" t="s">
        <v>2345</v>
      </c>
      <c r="AI156" s="59" t="s">
        <v>285</v>
      </c>
      <c r="AJ156" s="59" t="s">
        <v>788</v>
      </c>
      <c r="AK156" s="59" t="s">
        <v>1877</v>
      </c>
      <c r="AL156" s="64" t="str">
        <f>IFERROR(INDEX(LK_BankMaster!$D$4:$D$23,MATCH(AJ156&amp;"|"&amp;AK156,LK_BankMaster!$H$4:$H$23,0)),"")</f>
        <v/>
      </c>
      <c r="AM156" s="59" t="s">
        <v>2346</v>
      </c>
      <c r="AN156" s="64" t="str">
        <f>IFERROR(VLOOKUP(AJ156,LK_BankMaster!$A$4:$E$23,5,FALSE()),"")</f>
        <v/>
      </c>
      <c r="AO156" s="59" t="s">
        <v>314</v>
      </c>
      <c r="AP156" s="66">
        <v>3</v>
      </c>
      <c r="AQ156" s="64" t="str">
        <f t="shared" si="11"/>
        <v>Position Allowance - General Staff</v>
      </c>
      <c r="AR156" s="65" t="str">
        <f>IFERROR(VLOOKUP(T156,LK_OrgMaster!$B$4:$G$89,6,FALSE()),"No")</f>
        <v>No</v>
      </c>
      <c r="AS156" s="64" t="str">
        <f>IFERROR(VLOOKUP(T156,LK_OrgMaster!$B$4:$H$89,7,FALSE()),"None")</f>
        <v>None</v>
      </c>
      <c r="AT156" s="67">
        <v>38219</v>
      </c>
      <c r="AU156" s="67"/>
      <c r="AV156" s="67">
        <v>38219</v>
      </c>
      <c r="AW156" s="67">
        <v>46023</v>
      </c>
      <c r="AX156" s="68" t="s">
        <v>750</v>
      </c>
      <c r="AY156" s="69" t="s">
        <v>6260</v>
      </c>
    </row>
    <row r="157" spans="1:51" ht="15" customHeight="1" x14ac:dyDescent="0.3">
      <c r="A157" s="59" t="s">
        <v>2347</v>
      </c>
      <c r="B157" s="59" t="s">
        <v>851</v>
      </c>
      <c r="C157" s="59" t="s">
        <v>973</v>
      </c>
      <c r="D157" s="59" t="s">
        <v>1137</v>
      </c>
      <c r="E157" s="59" t="s">
        <v>775</v>
      </c>
      <c r="F157" s="60">
        <v>27052</v>
      </c>
      <c r="G157" s="59" t="s">
        <v>2348</v>
      </c>
      <c r="H157" s="59" t="s">
        <v>2349</v>
      </c>
      <c r="I157" s="60">
        <v>33797</v>
      </c>
      <c r="J157" s="61">
        <f t="shared" ca="1" si="8"/>
        <v>33</v>
      </c>
      <c r="K157" s="62">
        <f t="shared" si="9"/>
        <v>48967</v>
      </c>
      <c r="L157" s="59" t="s">
        <v>735</v>
      </c>
      <c r="M157" s="59" t="s">
        <v>1069</v>
      </c>
      <c r="N157" s="59" t="s">
        <v>737</v>
      </c>
      <c r="O157" s="63">
        <v>0</v>
      </c>
      <c r="P157" s="61">
        <f>IFERROR(SUMPRODUCT((LK_GradeDerivation!$A$4:$A$135=N157)*(IF(O157="",0,O157)&gt;=LK_GradeDerivation!$B$4:$B$135)*(IF(O157="",0,O157)&lt;=LK_GradeDerivation!$C$4:$C$135)*LK_GradeDerivation!$D$4:$D$135),1)</f>
        <v>4</v>
      </c>
      <c r="Q157" s="61">
        <f>IFERROR(SUMPRODUCT((LK_GradeDerivation!$A$4:$A$135=N157)*(IF(O157="",0,O157)&gt;=LK_GradeDerivation!$B$4:$B$135)*(IF(O157="",0,O157)&lt;=LK_GradeDerivation!$C$4:$C$135)*LK_GradeDerivation!$E$4:$E$135),1)</f>
        <v>1</v>
      </c>
      <c r="R157" s="59" t="s">
        <v>2350</v>
      </c>
      <c r="S157" s="59" t="s">
        <v>2351</v>
      </c>
      <c r="T157" s="59" t="s">
        <v>1204</v>
      </c>
      <c r="U157" s="59" t="s">
        <v>1801</v>
      </c>
      <c r="V157" s="59" t="s">
        <v>2352</v>
      </c>
      <c r="W157" s="59" t="s">
        <v>285</v>
      </c>
      <c r="X157" s="59" t="s">
        <v>408</v>
      </c>
      <c r="Y157" s="59" t="s">
        <v>423</v>
      </c>
      <c r="Z157" s="64" t="str">
        <f>IFERROR(VLOOKUP(T157,LK_OrgMaster!$B$4:$H$89,5,FALSE()),"Administration")</f>
        <v>Administration</v>
      </c>
      <c r="AA157" s="65" t="str">
        <f>IFERROR(VLOOKUP(X157,LK_LocationMaster!$D$4:$G$157,4,FALSE()),"No")</f>
        <v>Yes</v>
      </c>
      <c r="AB157" s="65" t="str">
        <f t="shared" si="10"/>
        <v>No</v>
      </c>
      <c r="AC157" s="65" t="str">
        <f>IFERROR(VLOOKUP(X157,LK_LocationMaster!$D$4:$H$157,5,FALSE()),"No")</f>
        <v>No</v>
      </c>
      <c r="AD157" s="59" t="s">
        <v>2353</v>
      </c>
      <c r="AE157" s="59" t="s">
        <v>765</v>
      </c>
      <c r="AF157" s="59" t="s">
        <v>847</v>
      </c>
      <c r="AG157" s="59" t="s">
        <v>329</v>
      </c>
      <c r="AH157" s="59" t="s">
        <v>2354</v>
      </c>
      <c r="AI157" s="59" t="s">
        <v>285</v>
      </c>
      <c r="AJ157" s="59" t="s">
        <v>818</v>
      </c>
      <c r="AK157" s="59" t="s">
        <v>944</v>
      </c>
      <c r="AL157" s="64" t="str">
        <f>IFERROR(INDEX(LK_BankMaster!$D$4:$D$23,MATCH(AJ157&amp;"|"&amp;AK157,LK_BankMaster!$H$4:$H$23,0)),"")</f>
        <v/>
      </c>
      <c r="AM157" s="59" t="s">
        <v>2355</v>
      </c>
      <c r="AN157" s="64" t="str">
        <f>IFERROR(VLOOKUP(AJ157,LK_BankMaster!$A$4:$E$23,5,FALSE()),"")</f>
        <v/>
      </c>
      <c r="AO157" s="59" t="s">
        <v>291</v>
      </c>
      <c r="AP157" s="66">
        <v>0</v>
      </c>
      <c r="AQ157" s="64" t="str">
        <f t="shared" si="11"/>
        <v>Position Allowance - General Staff</v>
      </c>
      <c r="AR157" s="65" t="str">
        <f>IFERROR(VLOOKUP(T157,LK_OrgMaster!$B$4:$G$89,6,FALSE()),"No")</f>
        <v>No</v>
      </c>
      <c r="AS157" s="64" t="str">
        <f>IFERROR(VLOOKUP(T157,LK_OrgMaster!$B$4:$H$89,7,FALSE()),"None")</f>
        <v>None</v>
      </c>
      <c r="AT157" s="70">
        <v>33797</v>
      </c>
      <c r="AU157" s="70"/>
      <c r="AV157" s="70">
        <v>33797</v>
      </c>
      <c r="AW157" s="70">
        <v>46023</v>
      </c>
      <c r="AX157" s="71" t="s">
        <v>750</v>
      </c>
      <c r="AY157" s="72" t="s">
        <v>6260</v>
      </c>
    </row>
    <row r="158" spans="1:51" ht="15" customHeight="1" x14ac:dyDescent="0.3">
      <c r="A158" s="59" t="s">
        <v>2356</v>
      </c>
      <c r="B158" s="59" t="s">
        <v>851</v>
      </c>
      <c r="C158" s="59" t="s">
        <v>1511</v>
      </c>
      <c r="D158" s="59" t="s">
        <v>1373</v>
      </c>
      <c r="E158" s="59" t="s">
        <v>775</v>
      </c>
      <c r="F158" s="60">
        <v>24951</v>
      </c>
      <c r="G158" s="59" t="s">
        <v>1850</v>
      </c>
      <c r="H158" s="59" t="s">
        <v>2357</v>
      </c>
      <c r="I158" s="60">
        <v>45859</v>
      </c>
      <c r="J158" s="61">
        <f t="shared" ca="1" si="8"/>
        <v>0</v>
      </c>
      <c r="K158" s="62">
        <f t="shared" si="9"/>
        <v>46866</v>
      </c>
      <c r="L158" s="59" t="s">
        <v>735</v>
      </c>
      <c r="M158" s="59" t="s">
        <v>879</v>
      </c>
      <c r="N158" s="59" t="s">
        <v>737</v>
      </c>
      <c r="O158" s="63">
        <v>25</v>
      </c>
      <c r="P158" s="61">
        <f>IFERROR(SUMPRODUCT((LK_GradeDerivation!$A$4:$A$135=N158)*(IF(O158="",0,O158)&gt;=LK_GradeDerivation!$B$4:$B$135)*(IF(O158="",0,O158)&lt;=LK_GradeDerivation!$C$4:$C$135)*LK_GradeDerivation!$D$4:$D$135),1)</f>
        <v>4</v>
      </c>
      <c r="Q158" s="61">
        <f>IFERROR(SUMPRODUCT((LK_GradeDerivation!$A$4:$A$135=N158)*(IF(O158="",0,O158)&gt;=LK_GradeDerivation!$B$4:$B$135)*(IF(O158="",0,O158)&lt;=LK_GradeDerivation!$C$4:$C$135)*LK_GradeDerivation!$E$4:$E$135),1)</f>
        <v>13</v>
      </c>
      <c r="R158" s="59" t="s">
        <v>2358</v>
      </c>
      <c r="S158" s="59" t="s">
        <v>2359</v>
      </c>
      <c r="T158" s="59" t="s">
        <v>882</v>
      </c>
      <c r="U158" s="59" t="s">
        <v>1619</v>
      </c>
      <c r="V158" s="59" t="s">
        <v>2360</v>
      </c>
      <c r="W158" s="59" t="s">
        <v>285</v>
      </c>
      <c r="X158" s="59" t="s">
        <v>340</v>
      </c>
      <c r="Y158" s="59" t="s">
        <v>344</v>
      </c>
      <c r="Z158" s="64" t="str">
        <f>IFERROR(VLOOKUP(T158,LK_OrgMaster!$B$4:$H$89,5,FALSE()),"Administration")</f>
        <v>Legal</v>
      </c>
      <c r="AA158" s="65" t="str">
        <f>IFERROR(VLOOKUP(X158,LK_LocationMaster!$D$4:$G$157,4,FALSE()),"No")</f>
        <v>No</v>
      </c>
      <c r="AB158" s="65" t="str">
        <f t="shared" si="10"/>
        <v>No</v>
      </c>
      <c r="AC158" s="65" t="str">
        <f>IFERROR(VLOOKUP(X158,LK_LocationMaster!$D$4:$H$157,5,FALSE()),"No")</f>
        <v>No</v>
      </c>
      <c r="AD158" s="59" t="s">
        <v>2361</v>
      </c>
      <c r="AE158" s="59" t="s">
        <v>800</v>
      </c>
      <c r="AF158" s="59" t="s">
        <v>915</v>
      </c>
      <c r="AG158" s="59" t="s">
        <v>368</v>
      </c>
      <c r="AH158" s="59" t="s">
        <v>2362</v>
      </c>
      <c r="AI158" s="59" t="s">
        <v>285</v>
      </c>
      <c r="AJ158" s="59" t="s">
        <v>818</v>
      </c>
      <c r="AK158" s="59" t="s">
        <v>944</v>
      </c>
      <c r="AL158" s="64" t="str">
        <f>IFERROR(INDEX(LK_BankMaster!$D$4:$D$23,MATCH(AJ158&amp;"|"&amp;AK158,LK_BankMaster!$H$4:$H$23,0)),"")</f>
        <v/>
      </c>
      <c r="AM158" s="59" t="s">
        <v>2363</v>
      </c>
      <c r="AN158" s="64" t="str">
        <f>IFERROR(VLOOKUP(AJ158,LK_BankMaster!$A$4:$E$23,5,FALSE()),"")</f>
        <v/>
      </c>
      <c r="AO158" s="59" t="s">
        <v>291</v>
      </c>
      <c r="AP158" s="66">
        <v>0</v>
      </c>
      <c r="AQ158" s="64" t="str">
        <f t="shared" si="11"/>
        <v>Position Allowance - General Staff</v>
      </c>
      <c r="AR158" s="65" t="str">
        <f>IFERROR(VLOOKUP(T158,LK_OrgMaster!$B$4:$G$89,6,FALSE()),"No")</f>
        <v>No</v>
      </c>
      <c r="AS158" s="64" t="str">
        <f>IFERROR(VLOOKUP(T158,LK_OrgMaster!$B$4:$H$89,7,FALSE()),"None")</f>
        <v>None</v>
      </c>
      <c r="AT158" s="67">
        <v>45859</v>
      </c>
      <c r="AU158" s="67"/>
      <c r="AV158" s="67">
        <v>45859</v>
      </c>
      <c r="AW158" s="67">
        <v>46023</v>
      </c>
      <c r="AX158" s="68" t="s">
        <v>750</v>
      </c>
      <c r="AY158" s="69" t="s">
        <v>6260</v>
      </c>
    </row>
    <row r="159" spans="1:51" ht="15" customHeight="1" x14ac:dyDescent="0.3">
      <c r="A159" s="59" t="s">
        <v>2364</v>
      </c>
      <c r="B159" s="59" t="s">
        <v>729</v>
      </c>
      <c r="C159" s="59" t="s">
        <v>753</v>
      </c>
      <c r="D159" s="59" t="s">
        <v>1674</v>
      </c>
      <c r="E159" s="59" t="s">
        <v>732</v>
      </c>
      <c r="F159" s="60">
        <v>29163</v>
      </c>
      <c r="G159" s="59" t="s">
        <v>2365</v>
      </c>
      <c r="H159" s="59" t="s">
        <v>2366</v>
      </c>
      <c r="I159" s="60">
        <v>36865</v>
      </c>
      <c r="J159" s="61">
        <f t="shared" ca="1" si="8"/>
        <v>25</v>
      </c>
      <c r="K159" s="62">
        <f t="shared" si="9"/>
        <v>51078</v>
      </c>
      <c r="L159" s="59" t="s">
        <v>735</v>
      </c>
      <c r="M159" s="59" t="s">
        <v>910</v>
      </c>
      <c r="N159" s="59" t="s">
        <v>758</v>
      </c>
      <c r="O159" s="63">
        <v>0</v>
      </c>
      <c r="P159" s="61">
        <f>IFERROR(SUMPRODUCT((LK_GradeDerivation!$A$4:$A$135=N159)*(IF(O159="",0,O159)&gt;=LK_GradeDerivation!$B$4:$B$135)*(IF(O159="",0,O159)&lt;=LK_GradeDerivation!$C$4:$C$135)*LK_GradeDerivation!$D$4:$D$135),1)</f>
        <v>5</v>
      </c>
      <c r="Q159" s="61">
        <f>IFERROR(SUMPRODUCT((LK_GradeDerivation!$A$4:$A$135=N159)*(IF(O159="",0,O159)&gt;=LK_GradeDerivation!$B$4:$B$135)*(IF(O159="",0,O159)&lt;=LK_GradeDerivation!$C$4:$C$135)*LK_GradeDerivation!$E$4:$E$135),1)</f>
        <v>1</v>
      </c>
      <c r="R159" s="59" t="s">
        <v>2367</v>
      </c>
      <c r="S159" s="59" t="s">
        <v>2368</v>
      </c>
      <c r="T159" s="59" t="s">
        <v>1096</v>
      </c>
      <c r="U159" s="59" t="s">
        <v>2369</v>
      </c>
      <c r="V159" s="59" t="s">
        <v>2370</v>
      </c>
      <c r="W159" s="59" t="s">
        <v>285</v>
      </c>
      <c r="X159" s="59" t="s">
        <v>544</v>
      </c>
      <c r="Y159" s="59" t="s">
        <v>548</v>
      </c>
      <c r="Z159" s="64" t="str">
        <f>IFERROR(VLOOKUP(T159,LK_OrgMaster!$B$4:$H$89,5,FALSE()),"Administration")</f>
        <v>Administration</v>
      </c>
      <c r="AA159" s="65" t="str">
        <f>IFERROR(VLOOKUP(X159,LK_LocationMaster!$D$4:$G$157,4,FALSE()),"No")</f>
        <v>Yes</v>
      </c>
      <c r="AB159" s="65" t="str">
        <f t="shared" si="10"/>
        <v>No</v>
      </c>
      <c r="AC159" s="65" t="str">
        <f>IFERROR(VLOOKUP(X159,LK_LocationMaster!$D$4:$H$157,5,FALSE()),"No")</f>
        <v>Yes</v>
      </c>
      <c r="AD159" s="59" t="s">
        <v>1905</v>
      </c>
      <c r="AE159" s="59" t="s">
        <v>930</v>
      </c>
      <c r="AF159" s="59" t="s">
        <v>847</v>
      </c>
      <c r="AG159" s="59" t="s">
        <v>391</v>
      </c>
      <c r="AH159" s="59" t="s">
        <v>2371</v>
      </c>
      <c r="AI159" s="59" t="s">
        <v>285</v>
      </c>
      <c r="AJ159" s="59" t="s">
        <v>788</v>
      </c>
      <c r="AK159" s="59" t="s">
        <v>999</v>
      </c>
      <c r="AL159" s="64" t="str">
        <f>IFERROR(INDEX(LK_BankMaster!$D$4:$D$23,MATCH(AJ159&amp;"|"&amp;AK159,LK_BankMaster!$H$4:$H$23,0)),"")</f>
        <v/>
      </c>
      <c r="AM159" s="59" t="s">
        <v>2372</v>
      </c>
      <c r="AN159" s="64" t="str">
        <f>IFERROR(VLOOKUP(AJ159,LK_BankMaster!$A$4:$E$23,5,FALSE()),"")</f>
        <v/>
      </c>
      <c r="AO159" s="59" t="s">
        <v>314</v>
      </c>
      <c r="AP159" s="66">
        <v>2</v>
      </c>
      <c r="AQ159" s="64" t="str">
        <f t="shared" si="11"/>
        <v>Position Allowance - Division Chief</v>
      </c>
      <c r="AR159" s="65" t="str">
        <f>IFERROR(VLOOKUP(T159,LK_OrgMaster!$B$4:$G$89,6,FALSE()),"No")</f>
        <v>No</v>
      </c>
      <c r="AS159" s="64" t="str">
        <f>IFERROR(VLOOKUP(T159,LK_OrgMaster!$B$4:$H$89,7,FALSE()),"None")</f>
        <v>None</v>
      </c>
      <c r="AT159" s="70">
        <v>36865</v>
      </c>
      <c r="AU159" s="70"/>
      <c r="AV159" s="70">
        <v>36865</v>
      </c>
      <c r="AW159" s="70">
        <v>46023</v>
      </c>
      <c r="AX159" s="71" t="s">
        <v>750</v>
      </c>
      <c r="AY159" s="72" t="s">
        <v>6260</v>
      </c>
    </row>
    <row r="160" spans="1:51" ht="15" customHeight="1" x14ac:dyDescent="0.3">
      <c r="A160" s="59" t="s">
        <v>2373</v>
      </c>
      <c r="B160" s="59" t="s">
        <v>851</v>
      </c>
      <c r="C160" s="59" t="s">
        <v>2374</v>
      </c>
      <c r="D160" s="59" t="s">
        <v>2375</v>
      </c>
      <c r="E160" s="59" t="s">
        <v>775</v>
      </c>
      <c r="F160" s="60">
        <v>36481</v>
      </c>
      <c r="G160" s="59" t="s">
        <v>2376</v>
      </c>
      <c r="H160" s="59" t="s">
        <v>2377</v>
      </c>
      <c r="I160" s="60">
        <v>37092</v>
      </c>
      <c r="J160" s="61">
        <f t="shared" ca="1" si="8"/>
        <v>24</v>
      </c>
      <c r="K160" s="62">
        <f t="shared" si="9"/>
        <v>58396</v>
      </c>
      <c r="L160" s="59" t="s">
        <v>735</v>
      </c>
      <c r="M160" s="59" t="s">
        <v>1020</v>
      </c>
      <c r="N160" s="59" t="s">
        <v>737</v>
      </c>
      <c r="O160" s="63">
        <v>0</v>
      </c>
      <c r="P160" s="61">
        <f>IFERROR(SUMPRODUCT((LK_GradeDerivation!$A$4:$A$135=N160)*(IF(O160="",0,O160)&gt;=LK_GradeDerivation!$B$4:$B$135)*(IF(O160="",0,O160)&lt;=LK_GradeDerivation!$C$4:$C$135)*LK_GradeDerivation!$D$4:$D$135),1)</f>
        <v>4</v>
      </c>
      <c r="Q160" s="61">
        <f>IFERROR(SUMPRODUCT((LK_GradeDerivation!$A$4:$A$135=N160)*(IF(O160="",0,O160)&gt;=LK_GradeDerivation!$B$4:$B$135)*(IF(O160="",0,O160)&lt;=LK_GradeDerivation!$C$4:$C$135)*LK_GradeDerivation!$E$4:$E$135),1)</f>
        <v>1</v>
      </c>
      <c r="R160" s="59" t="s">
        <v>2378</v>
      </c>
      <c r="S160" s="59" t="s">
        <v>2379</v>
      </c>
      <c r="T160" s="59" t="s">
        <v>844</v>
      </c>
      <c r="U160" s="59" t="s">
        <v>1048</v>
      </c>
      <c r="V160" s="59" t="s">
        <v>763</v>
      </c>
      <c r="W160" s="59" t="s">
        <v>285</v>
      </c>
      <c r="X160" s="59" t="s">
        <v>312</v>
      </c>
      <c r="Y160" s="59" t="s">
        <v>327</v>
      </c>
      <c r="Z160" s="64" t="str">
        <f>IFERROR(VLOOKUP(T160,LK_OrgMaster!$B$4:$H$89,5,FALSE()),"Administration")</f>
        <v>Administration</v>
      </c>
      <c r="AA160" s="65" t="str">
        <f>IFERROR(VLOOKUP(X160,LK_LocationMaster!$D$4:$G$157,4,FALSE()),"No")</f>
        <v>Yes</v>
      </c>
      <c r="AB160" s="65" t="str">
        <f t="shared" si="10"/>
        <v>No</v>
      </c>
      <c r="AC160" s="65" t="str">
        <f>IFERROR(VLOOKUP(X160,LK_LocationMaster!$D$4:$H$157,5,FALSE()),"No")</f>
        <v>No</v>
      </c>
      <c r="AD160" s="59" t="s">
        <v>2380</v>
      </c>
      <c r="AE160" s="59" t="s">
        <v>1144</v>
      </c>
      <c r="AF160" s="59" t="s">
        <v>766</v>
      </c>
      <c r="AG160" s="59" t="s">
        <v>288</v>
      </c>
      <c r="AH160" s="59" t="s">
        <v>2381</v>
      </c>
      <c r="AI160" s="59" t="s">
        <v>285</v>
      </c>
      <c r="AJ160" s="59" t="s">
        <v>833</v>
      </c>
      <c r="AK160" s="59" t="s">
        <v>1013</v>
      </c>
      <c r="AL160" s="64" t="str">
        <f>IFERROR(INDEX(LK_BankMaster!$D$4:$D$23,MATCH(AJ160&amp;"|"&amp;AK160,LK_BankMaster!$H$4:$H$23,0)),"")</f>
        <v/>
      </c>
      <c r="AM160" s="59" t="s">
        <v>2382</v>
      </c>
      <c r="AN160" s="64" t="str">
        <f>IFERROR(VLOOKUP(AJ160,LK_BankMaster!$A$4:$E$23,5,FALSE()),"")</f>
        <v/>
      </c>
      <c r="AO160" s="59" t="s">
        <v>314</v>
      </c>
      <c r="AP160" s="66">
        <v>3</v>
      </c>
      <c r="AQ160" s="64" t="str">
        <f t="shared" si="11"/>
        <v>Position Allowance - Section Chief</v>
      </c>
      <c r="AR160" s="65" t="str">
        <f>IFERROR(VLOOKUP(T160,LK_OrgMaster!$B$4:$G$89,6,FALSE()),"No")</f>
        <v>No</v>
      </c>
      <c r="AS160" s="64" t="str">
        <f>IFERROR(VLOOKUP(T160,LK_OrgMaster!$B$4:$H$89,7,FALSE()),"None")</f>
        <v>None</v>
      </c>
      <c r="AT160" s="67">
        <v>37092</v>
      </c>
      <c r="AU160" s="67"/>
      <c r="AV160" s="67">
        <v>37092</v>
      </c>
      <c r="AW160" s="67">
        <v>46023</v>
      </c>
      <c r="AX160" s="68" t="s">
        <v>750</v>
      </c>
      <c r="AY160" s="69" t="s">
        <v>6260</v>
      </c>
    </row>
    <row r="161" spans="1:51" ht="15" customHeight="1" x14ac:dyDescent="0.3">
      <c r="A161" s="59" t="s">
        <v>2383</v>
      </c>
      <c r="B161" s="59" t="s">
        <v>851</v>
      </c>
      <c r="C161" s="59" t="s">
        <v>1111</v>
      </c>
      <c r="D161" s="59" t="s">
        <v>807</v>
      </c>
      <c r="E161" s="59" t="s">
        <v>775</v>
      </c>
      <c r="F161" s="60">
        <v>30876</v>
      </c>
      <c r="G161" s="59" t="s">
        <v>2384</v>
      </c>
      <c r="H161" s="59" t="s">
        <v>2385</v>
      </c>
      <c r="I161" s="60">
        <v>36699</v>
      </c>
      <c r="J161" s="61">
        <f t="shared" ca="1" si="8"/>
        <v>25</v>
      </c>
      <c r="K161" s="62">
        <f t="shared" si="9"/>
        <v>52791</v>
      </c>
      <c r="L161" s="59" t="s">
        <v>735</v>
      </c>
      <c r="M161" s="59" t="s">
        <v>2062</v>
      </c>
      <c r="N161" s="59" t="s">
        <v>779</v>
      </c>
      <c r="O161" s="63">
        <v>0</v>
      </c>
      <c r="P161" s="61">
        <f>IFERROR(SUMPRODUCT((LK_GradeDerivation!$A$4:$A$135=N161)*(IF(O161="",0,O161)&gt;=LK_GradeDerivation!$B$4:$B$135)*(IF(O161="",0,O161)&lt;=LK_GradeDerivation!$C$4:$C$135)*LK_GradeDerivation!$D$4:$D$135),1)</f>
        <v>2</v>
      </c>
      <c r="Q161" s="61">
        <f>IFERROR(SUMPRODUCT((LK_GradeDerivation!$A$4:$A$135=N161)*(IF(O161="",0,O161)&gt;=LK_GradeDerivation!$B$4:$B$135)*(IF(O161="",0,O161)&lt;=LK_GradeDerivation!$C$4:$C$135)*LK_GradeDerivation!$E$4:$E$135),1)</f>
        <v>1</v>
      </c>
      <c r="R161" s="59" t="s">
        <v>2386</v>
      </c>
      <c r="S161" s="59" t="s">
        <v>2387</v>
      </c>
      <c r="T161" s="59" t="s">
        <v>1084</v>
      </c>
      <c r="U161" s="59" t="s">
        <v>1528</v>
      </c>
      <c r="V161" s="59" t="s">
        <v>2388</v>
      </c>
      <c r="W161" s="59" t="s">
        <v>285</v>
      </c>
      <c r="X161" s="59" t="s">
        <v>575</v>
      </c>
      <c r="Y161" s="59" t="s">
        <v>577</v>
      </c>
      <c r="Z161" s="64" t="str">
        <f>IFERROR(VLOOKUP(T161,LK_OrgMaster!$B$4:$H$89,5,FALSE()),"Administration")</f>
        <v>Finance</v>
      </c>
      <c r="AA161" s="65" t="str">
        <f>IFERROR(VLOOKUP(X161,LK_LocationMaster!$D$4:$G$157,4,FALSE()),"No")</f>
        <v>Yes</v>
      </c>
      <c r="AB161" s="65" t="str">
        <f t="shared" si="10"/>
        <v>No</v>
      </c>
      <c r="AC161" s="65" t="str">
        <f>IFERROR(VLOOKUP(X161,LK_LocationMaster!$D$4:$H$157,5,FALSE()),"No")</f>
        <v>Yes</v>
      </c>
      <c r="AD161" s="59" t="s">
        <v>2389</v>
      </c>
      <c r="AE161" s="59" t="s">
        <v>765</v>
      </c>
      <c r="AF161" s="59" t="s">
        <v>801</v>
      </c>
      <c r="AG161" s="59" t="s">
        <v>356</v>
      </c>
      <c r="AH161" s="59" t="s">
        <v>2390</v>
      </c>
      <c r="AI161" s="59" t="s">
        <v>285</v>
      </c>
      <c r="AJ161" s="59" t="s">
        <v>788</v>
      </c>
      <c r="AK161" s="59" t="s">
        <v>1146</v>
      </c>
      <c r="AL161" s="64" t="str">
        <f>IFERROR(INDEX(LK_BankMaster!$D$4:$D$23,MATCH(AJ161&amp;"|"&amp;AK161,LK_BankMaster!$H$4:$H$23,0)),"")</f>
        <v/>
      </c>
      <c r="AM161" s="59" t="s">
        <v>2391</v>
      </c>
      <c r="AN161" s="64" t="str">
        <f>IFERROR(VLOOKUP(AJ161,LK_BankMaster!$A$4:$E$23,5,FALSE()),"")</f>
        <v/>
      </c>
      <c r="AO161" s="59" t="s">
        <v>314</v>
      </c>
      <c r="AP161" s="66">
        <v>3</v>
      </c>
      <c r="AQ161" s="64" t="str">
        <f t="shared" si="11"/>
        <v>Position Allowance - General Staff</v>
      </c>
      <c r="AR161" s="65" t="str">
        <f>IFERROR(VLOOKUP(T161,LK_OrgMaster!$B$4:$G$89,6,FALSE()),"No")</f>
        <v>No</v>
      </c>
      <c r="AS161" s="64" t="str">
        <f>IFERROR(VLOOKUP(T161,LK_OrgMaster!$B$4:$H$89,7,FALSE()),"None")</f>
        <v>None</v>
      </c>
      <c r="AT161" s="70">
        <v>36699</v>
      </c>
      <c r="AU161" s="70"/>
      <c r="AV161" s="70">
        <v>36699</v>
      </c>
      <c r="AW161" s="70">
        <v>46023</v>
      </c>
      <c r="AX161" s="71" t="s">
        <v>750</v>
      </c>
      <c r="AY161" s="72" t="s">
        <v>6260</v>
      </c>
    </row>
    <row r="162" spans="1:51" ht="15" customHeight="1" x14ac:dyDescent="0.3">
      <c r="A162" s="59" t="s">
        <v>2392</v>
      </c>
      <c r="B162" s="59" t="s">
        <v>851</v>
      </c>
      <c r="C162" s="59" t="s">
        <v>1501</v>
      </c>
      <c r="D162" s="59" t="s">
        <v>774</v>
      </c>
      <c r="E162" s="59" t="s">
        <v>775</v>
      </c>
      <c r="F162" s="60">
        <v>25455</v>
      </c>
      <c r="G162" s="59" t="s">
        <v>2393</v>
      </c>
      <c r="H162" s="59" t="s">
        <v>2394</v>
      </c>
      <c r="I162" s="60">
        <v>39237</v>
      </c>
      <c r="J162" s="61">
        <f t="shared" ca="1" si="8"/>
        <v>18</v>
      </c>
      <c r="K162" s="62">
        <f t="shared" si="9"/>
        <v>47370</v>
      </c>
      <c r="L162" s="59" t="s">
        <v>735</v>
      </c>
      <c r="M162" s="59" t="s">
        <v>1483</v>
      </c>
      <c r="N162" s="59" t="s">
        <v>779</v>
      </c>
      <c r="O162" s="63">
        <v>19</v>
      </c>
      <c r="P162" s="61">
        <f>IFERROR(SUMPRODUCT((LK_GradeDerivation!$A$4:$A$135=N162)*(IF(O162="",0,O162)&gt;=LK_GradeDerivation!$B$4:$B$135)*(IF(O162="",0,O162)&lt;=LK_GradeDerivation!$C$4:$C$135)*LK_GradeDerivation!$D$4:$D$135),1)</f>
        <v>2</v>
      </c>
      <c r="Q162" s="61">
        <f>IFERROR(SUMPRODUCT((LK_GradeDerivation!$A$4:$A$135=N162)*(IF(O162="",0,O162)&gt;=LK_GradeDerivation!$B$4:$B$135)*(IF(O162="",0,O162)&lt;=LK_GradeDerivation!$C$4:$C$135)*LK_GradeDerivation!$E$4:$E$135),1)</f>
        <v>10</v>
      </c>
      <c r="R162" s="59" t="s">
        <v>2395</v>
      </c>
      <c r="S162" s="59" t="s">
        <v>2396</v>
      </c>
      <c r="T162" s="59" t="s">
        <v>1096</v>
      </c>
      <c r="U162" s="59" t="s">
        <v>1597</v>
      </c>
      <c r="V162" s="59" t="s">
        <v>2397</v>
      </c>
      <c r="W162" s="59" t="s">
        <v>285</v>
      </c>
      <c r="X162" s="59" t="s">
        <v>429</v>
      </c>
      <c r="Y162" s="59" t="s">
        <v>441</v>
      </c>
      <c r="Z162" s="64" t="str">
        <f>IFERROR(VLOOKUP(T162,LK_OrgMaster!$B$4:$H$89,5,FALSE()),"Administration")</f>
        <v>Administration</v>
      </c>
      <c r="AA162" s="65" t="str">
        <f>IFERROR(VLOOKUP(X162,LK_LocationMaster!$D$4:$G$157,4,FALSE()),"No")</f>
        <v>Yes</v>
      </c>
      <c r="AB162" s="65" t="str">
        <f t="shared" si="10"/>
        <v>No</v>
      </c>
      <c r="AC162" s="65" t="str">
        <f>IFERROR(VLOOKUP(X162,LK_LocationMaster!$D$4:$H$157,5,FALSE()),"No")</f>
        <v>Yes</v>
      </c>
      <c r="AD162" s="59" t="s">
        <v>799</v>
      </c>
      <c r="AE162" s="59" t="s">
        <v>930</v>
      </c>
      <c r="AF162" s="59" t="s">
        <v>801</v>
      </c>
      <c r="AG162" s="59" t="s">
        <v>408</v>
      </c>
      <c r="AH162" s="59" t="s">
        <v>2398</v>
      </c>
      <c r="AI162" s="59" t="s">
        <v>285</v>
      </c>
      <c r="AJ162" s="59" t="s">
        <v>818</v>
      </c>
      <c r="AK162" s="59" t="s">
        <v>944</v>
      </c>
      <c r="AL162" s="64" t="str">
        <f>IFERROR(INDEX(LK_BankMaster!$D$4:$D$23,MATCH(AJ162&amp;"|"&amp;AK162,LK_BankMaster!$H$4:$H$23,0)),"")</f>
        <v/>
      </c>
      <c r="AM162" s="59" t="s">
        <v>2399</v>
      </c>
      <c r="AN162" s="64" t="str">
        <f>IFERROR(VLOOKUP(AJ162,LK_BankMaster!$A$4:$E$23,5,FALSE()),"")</f>
        <v/>
      </c>
      <c r="AO162" s="59" t="s">
        <v>314</v>
      </c>
      <c r="AP162" s="66">
        <v>1</v>
      </c>
      <c r="AQ162" s="64" t="str">
        <f t="shared" si="11"/>
        <v>Position Allowance - General Staff</v>
      </c>
      <c r="AR162" s="65" t="str">
        <f>IFERROR(VLOOKUP(T162,LK_OrgMaster!$B$4:$G$89,6,FALSE()),"No")</f>
        <v>No</v>
      </c>
      <c r="AS162" s="64" t="str">
        <f>IFERROR(VLOOKUP(T162,LK_OrgMaster!$B$4:$H$89,7,FALSE()),"None")</f>
        <v>None</v>
      </c>
      <c r="AT162" s="67">
        <v>39237</v>
      </c>
      <c r="AU162" s="67"/>
      <c r="AV162" s="67">
        <v>39237</v>
      </c>
      <c r="AW162" s="67">
        <v>46023</v>
      </c>
      <c r="AX162" s="68" t="s">
        <v>750</v>
      </c>
      <c r="AY162" s="69" t="s">
        <v>6260</v>
      </c>
    </row>
    <row r="163" spans="1:51" ht="15" customHeight="1" x14ac:dyDescent="0.3">
      <c r="A163" s="59" t="s">
        <v>2400</v>
      </c>
      <c r="B163" s="59" t="s">
        <v>772</v>
      </c>
      <c r="C163" s="59" t="s">
        <v>806</v>
      </c>
      <c r="D163" s="59" t="s">
        <v>1003</v>
      </c>
      <c r="E163" s="59" t="s">
        <v>732</v>
      </c>
      <c r="F163" s="60">
        <v>27417</v>
      </c>
      <c r="G163" s="59" t="s">
        <v>2401</v>
      </c>
      <c r="H163" s="59" t="s">
        <v>2402</v>
      </c>
      <c r="I163" s="60">
        <v>37882</v>
      </c>
      <c r="J163" s="61">
        <f t="shared" ca="1" si="8"/>
        <v>22</v>
      </c>
      <c r="K163" s="62">
        <f t="shared" si="9"/>
        <v>49332</v>
      </c>
      <c r="L163" s="59" t="s">
        <v>735</v>
      </c>
      <c r="M163" s="59" t="s">
        <v>1525</v>
      </c>
      <c r="N163" s="59" t="s">
        <v>1081</v>
      </c>
      <c r="O163" s="63">
        <v>8</v>
      </c>
      <c r="P163" s="61">
        <f>IFERROR(SUMPRODUCT((LK_GradeDerivation!$A$4:$A$135=N163)*(IF(O163="",0,O163)&gt;=LK_GradeDerivation!$B$4:$B$135)*(IF(O163="",0,O163)&lt;=LK_GradeDerivation!$C$4:$C$135)*LK_GradeDerivation!$D$4:$D$135),1)</f>
        <v>3</v>
      </c>
      <c r="Q163" s="61">
        <f>IFERROR(SUMPRODUCT((LK_GradeDerivation!$A$4:$A$135=N163)*(IF(O163="",0,O163)&gt;=LK_GradeDerivation!$B$4:$B$135)*(IF(O163="",0,O163)&lt;=LK_GradeDerivation!$C$4:$C$135)*LK_GradeDerivation!$E$4:$E$135),1)</f>
        <v>5</v>
      </c>
      <c r="R163" s="59" t="s">
        <v>2403</v>
      </c>
      <c r="S163" s="59" t="s">
        <v>2404</v>
      </c>
      <c r="T163" s="59" t="s">
        <v>1084</v>
      </c>
      <c r="U163" s="59" t="s">
        <v>1687</v>
      </c>
      <c r="V163" s="59" t="s">
        <v>2065</v>
      </c>
      <c r="W163" s="59" t="s">
        <v>285</v>
      </c>
      <c r="X163" s="59" t="s">
        <v>408</v>
      </c>
      <c r="Y163" s="59" t="s">
        <v>417</v>
      </c>
      <c r="Z163" s="64" t="str">
        <f>IFERROR(VLOOKUP(T163,LK_OrgMaster!$B$4:$H$89,5,FALSE()),"Administration")</f>
        <v>Finance</v>
      </c>
      <c r="AA163" s="65" t="str">
        <f>IFERROR(VLOOKUP(X163,LK_LocationMaster!$D$4:$G$157,4,FALSE()),"No")</f>
        <v>Yes</v>
      </c>
      <c r="AB163" s="65" t="str">
        <f t="shared" si="10"/>
        <v>No</v>
      </c>
      <c r="AC163" s="65" t="str">
        <f>IFERROR(VLOOKUP(X163,LK_LocationMaster!$D$4:$H$157,5,FALSE()),"No")</f>
        <v>No</v>
      </c>
      <c r="AD163" s="59" t="s">
        <v>1132</v>
      </c>
      <c r="AE163" s="59" t="s">
        <v>886</v>
      </c>
      <c r="AF163" s="59" t="s">
        <v>915</v>
      </c>
      <c r="AG163" s="59" t="s">
        <v>329</v>
      </c>
      <c r="AH163" s="59" t="s">
        <v>2405</v>
      </c>
      <c r="AI163" s="59" t="s">
        <v>285</v>
      </c>
      <c r="AJ163" s="59" t="s">
        <v>788</v>
      </c>
      <c r="AK163" s="59" t="s">
        <v>1221</v>
      </c>
      <c r="AL163" s="64" t="str">
        <f>IFERROR(INDEX(LK_BankMaster!$D$4:$D$23,MATCH(AJ163&amp;"|"&amp;AK163,LK_BankMaster!$H$4:$H$23,0)),"")</f>
        <v/>
      </c>
      <c r="AM163" s="59" t="s">
        <v>2406</v>
      </c>
      <c r="AN163" s="64" t="str">
        <f>IFERROR(VLOOKUP(AJ163,LK_BankMaster!$A$4:$E$23,5,FALSE()),"")</f>
        <v/>
      </c>
      <c r="AO163" s="59" t="s">
        <v>291</v>
      </c>
      <c r="AP163" s="66">
        <v>0</v>
      </c>
      <c r="AQ163" s="64" t="str">
        <f t="shared" si="11"/>
        <v>Position Allowance - General Staff</v>
      </c>
      <c r="AR163" s="65" t="str">
        <f>IFERROR(VLOOKUP(T163,LK_OrgMaster!$B$4:$G$89,6,FALSE()),"No")</f>
        <v>No</v>
      </c>
      <c r="AS163" s="64" t="str">
        <f>IFERROR(VLOOKUP(T163,LK_OrgMaster!$B$4:$H$89,7,FALSE()),"None")</f>
        <v>None</v>
      </c>
      <c r="AT163" s="70">
        <v>37882</v>
      </c>
      <c r="AU163" s="70"/>
      <c r="AV163" s="70">
        <v>37882</v>
      </c>
      <c r="AW163" s="70">
        <v>46023</v>
      </c>
      <c r="AX163" s="71" t="s">
        <v>750</v>
      </c>
      <c r="AY163" s="72" t="s">
        <v>6260</v>
      </c>
    </row>
    <row r="164" spans="1:51" ht="15" customHeight="1" x14ac:dyDescent="0.3">
      <c r="A164" s="59" t="s">
        <v>2407</v>
      </c>
      <c r="B164" s="59" t="s">
        <v>752</v>
      </c>
      <c r="C164" s="59" t="s">
        <v>2408</v>
      </c>
      <c r="D164" s="59" t="s">
        <v>1880</v>
      </c>
      <c r="E164" s="59" t="s">
        <v>732</v>
      </c>
      <c r="F164" s="60">
        <v>32260</v>
      </c>
      <c r="G164" s="59" t="s">
        <v>2409</v>
      </c>
      <c r="H164" s="59" t="s">
        <v>2410</v>
      </c>
      <c r="I164" s="60">
        <v>40660</v>
      </c>
      <c r="J164" s="61">
        <f t="shared" ca="1" si="8"/>
        <v>14</v>
      </c>
      <c r="K164" s="62">
        <f t="shared" si="9"/>
        <v>54175</v>
      </c>
      <c r="L164" s="59" t="s">
        <v>735</v>
      </c>
      <c r="M164" s="59" t="s">
        <v>1950</v>
      </c>
      <c r="N164" s="59" t="s">
        <v>758</v>
      </c>
      <c r="O164" s="63">
        <v>0</v>
      </c>
      <c r="P164" s="61">
        <f>IFERROR(SUMPRODUCT((LK_GradeDerivation!$A$4:$A$135=N164)*(IF(O164="",0,O164)&gt;=LK_GradeDerivation!$B$4:$B$135)*(IF(O164="",0,O164)&lt;=LK_GradeDerivation!$C$4:$C$135)*LK_GradeDerivation!$D$4:$D$135),1)</f>
        <v>5</v>
      </c>
      <c r="Q164" s="61">
        <f>IFERROR(SUMPRODUCT((LK_GradeDerivation!$A$4:$A$135=N164)*(IF(O164="",0,O164)&gt;=LK_GradeDerivation!$B$4:$B$135)*(IF(O164="",0,O164)&lt;=LK_GradeDerivation!$C$4:$C$135)*LK_GradeDerivation!$E$4:$E$135),1)</f>
        <v>1</v>
      </c>
      <c r="R164" s="59" t="s">
        <v>2411</v>
      </c>
      <c r="S164" s="59" t="s">
        <v>2412</v>
      </c>
      <c r="T164" s="59" t="s">
        <v>740</v>
      </c>
      <c r="U164" s="59" t="s">
        <v>927</v>
      </c>
      <c r="V164" s="59" t="s">
        <v>2335</v>
      </c>
      <c r="W164" s="59" t="s">
        <v>285</v>
      </c>
      <c r="X164" s="59" t="s">
        <v>356</v>
      </c>
      <c r="Y164" s="59" t="s">
        <v>358</v>
      </c>
      <c r="Z164" s="64" t="str">
        <f>IFERROR(VLOOKUP(T164,LK_OrgMaster!$B$4:$H$89,5,FALSE()),"Administration")</f>
        <v>Teacher</v>
      </c>
      <c r="AA164" s="65" t="str">
        <f>IFERROR(VLOOKUP(X164,LK_LocationMaster!$D$4:$G$157,4,FALSE()),"No")</f>
        <v>Yes</v>
      </c>
      <c r="AB164" s="65" t="str">
        <f t="shared" si="10"/>
        <v>No</v>
      </c>
      <c r="AC164" s="65" t="str">
        <f>IFERROR(VLOOKUP(X164,LK_LocationMaster!$D$4:$H$157,5,FALSE()),"No")</f>
        <v>No</v>
      </c>
      <c r="AD164" s="59" t="s">
        <v>2413</v>
      </c>
      <c r="AE164" s="59" t="s">
        <v>930</v>
      </c>
      <c r="AF164" s="59" t="s">
        <v>801</v>
      </c>
      <c r="AG164" s="59" t="s">
        <v>288</v>
      </c>
      <c r="AH164" s="59" t="s">
        <v>2414</v>
      </c>
      <c r="AI164" s="59" t="s">
        <v>285</v>
      </c>
      <c r="AJ164" s="59" t="s">
        <v>788</v>
      </c>
      <c r="AK164" s="59" t="s">
        <v>1146</v>
      </c>
      <c r="AL164" s="64" t="str">
        <f>IFERROR(INDEX(LK_BankMaster!$D$4:$D$23,MATCH(AJ164&amp;"|"&amp;AK164,LK_BankMaster!$H$4:$H$23,0)),"")</f>
        <v/>
      </c>
      <c r="AM164" s="59" t="s">
        <v>2415</v>
      </c>
      <c r="AN164" s="64" t="str">
        <f>IFERROR(VLOOKUP(AJ164,LK_BankMaster!$A$4:$E$23,5,FALSE()),"")</f>
        <v/>
      </c>
      <c r="AO164" s="59" t="s">
        <v>291</v>
      </c>
      <c r="AP164" s="66">
        <v>0</v>
      </c>
      <c r="AQ164" s="64" t="str">
        <f t="shared" si="11"/>
        <v>Position Allowance - General Staff</v>
      </c>
      <c r="AR164" s="65" t="str">
        <f>IFERROR(VLOOKUP(T164,LK_OrgMaster!$B$4:$G$89,6,FALSE()),"No")</f>
        <v>No</v>
      </c>
      <c r="AS164" s="64" t="str">
        <f>IFERROR(VLOOKUP(T164,LK_OrgMaster!$B$4:$H$89,7,FALSE()),"None")</f>
        <v>Teaching</v>
      </c>
      <c r="AT164" s="67">
        <v>40660</v>
      </c>
      <c r="AU164" s="67"/>
      <c r="AV164" s="67">
        <v>40660</v>
      </c>
      <c r="AW164" s="67">
        <v>46023</v>
      </c>
      <c r="AX164" s="68" t="s">
        <v>750</v>
      </c>
      <c r="AY164" s="69" t="s">
        <v>6260</v>
      </c>
    </row>
    <row r="165" spans="1:51" ht="15" customHeight="1" x14ac:dyDescent="0.3">
      <c r="A165" s="59" t="s">
        <v>2416</v>
      </c>
      <c r="B165" s="59" t="s">
        <v>729</v>
      </c>
      <c r="C165" s="59" t="s">
        <v>1211</v>
      </c>
      <c r="D165" s="59" t="s">
        <v>1418</v>
      </c>
      <c r="E165" s="59" t="s">
        <v>732</v>
      </c>
      <c r="F165" s="60">
        <v>30960</v>
      </c>
      <c r="G165" s="59" t="s">
        <v>1779</v>
      </c>
      <c r="H165" s="59" t="s">
        <v>2417</v>
      </c>
      <c r="I165" s="60">
        <v>36641</v>
      </c>
      <c r="J165" s="61">
        <f t="shared" ca="1" si="8"/>
        <v>25</v>
      </c>
      <c r="K165" s="62">
        <f t="shared" si="9"/>
        <v>52875</v>
      </c>
      <c r="L165" s="59" t="s">
        <v>735</v>
      </c>
      <c r="M165" s="59" t="s">
        <v>2117</v>
      </c>
      <c r="N165" s="59" t="s">
        <v>737</v>
      </c>
      <c r="O165" s="63">
        <v>0</v>
      </c>
      <c r="P165" s="61">
        <f>IFERROR(SUMPRODUCT((LK_GradeDerivation!$A$4:$A$135=N165)*(IF(O165="",0,O165)&gt;=LK_GradeDerivation!$B$4:$B$135)*(IF(O165="",0,O165)&lt;=LK_GradeDerivation!$C$4:$C$135)*LK_GradeDerivation!$D$4:$D$135),1)</f>
        <v>4</v>
      </c>
      <c r="Q165" s="61">
        <f>IFERROR(SUMPRODUCT((LK_GradeDerivation!$A$4:$A$135=N165)*(IF(O165="",0,O165)&gt;=LK_GradeDerivation!$B$4:$B$135)*(IF(O165="",0,O165)&lt;=LK_GradeDerivation!$C$4:$C$135)*LK_GradeDerivation!$E$4:$E$135),1)</f>
        <v>1</v>
      </c>
      <c r="R165" s="59" t="s">
        <v>2418</v>
      </c>
      <c r="S165" s="59" t="s">
        <v>2419</v>
      </c>
      <c r="T165" s="59" t="s">
        <v>1023</v>
      </c>
      <c r="U165" s="59" t="s">
        <v>1130</v>
      </c>
      <c r="V165" s="59" t="s">
        <v>2420</v>
      </c>
      <c r="W165" s="59" t="s">
        <v>285</v>
      </c>
      <c r="X165" s="59" t="s">
        <v>544</v>
      </c>
      <c r="Y165" s="59" t="s">
        <v>552</v>
      </c>
      <c r="Z165" s="64" t="str">
        <f>IFERROR(VLOOKUP(T165,LK_OrgMaster!$B$4:$H$89,5,FALSE()),"Administration")</f>
        <v>Technical</v>
      </c>
      <c r="AA165" s="65" t="str">
        <f>IFERROR(VLOOKUP(X165,LK_LocationMaster!$D$4:$G$157,4,FALSE()),"No")</f>
        <v>Yes</v>
      </c>
      <c r="AB165" s="65" t="str">
        <f t="shared" si="10"/>
        <v>No</v>
      </c>
      <c r="AC165" s="65" t="str">
        <f>IFERROR(VLOOKUP(X165,LK_LocationMaster!$D$4:$H$157,5,FALSE()),"No")</f>
        <v>Yes</v>
      </c>
      <c r="AD165" s="59" t="s">
        <v>2421</v>
      </c>
      <c r="AE165" s="59" t="s">
        <v>930</v>
      </c>
      <c r="AF165" s="59" t="s">
        <v>984</v>
      </c>
      <c r="AG165" s="59" t="s">
        <v>408</v>
      </c>
      <c r="AH165" s="59" t="s">
        <v>2422</v>
      </c>
      <c r="AI165" s="59" t="s">
        <v>285</v>
      </c>
      <c r="AJ165" s="59" t="s">
        <v>747</v>
      </c>
      <c r="AK165" s="59" t="s">
        <v>748</v>
      </c>
      <c r="AL165" s="64" t="str">
        <f>IFERROR(INDEX(LK_BankMaster!$D$4:$D$23,MATCH(AJ165&amp;"|"&amp;AK165,LK_BankMaster!$H$4:$H$23,0)),"")</f>
        <v/>
      </c>
      <c r="AM165" s="59" t="s">
        <v>2423</v>
      </c>
      <c r="AN165" s="64" t="str">
        <f>IFERROR(VLOOKUP(AJ165,LK_BankMaster!$A$4:$E$23,5,FALSE()),"")</f>
        <v/>
      </c>
      <c r="AO165" s="59" t="s">
        <v>314</v>
      </c>
      <c r="AP165" s="66">
        <v>1</v>
      </c>
      <c r="AQ165" s="64" t="str">
        <f t="shared" si="11"/>
        <v>Position Allowance - General Staff</v>
      </c>
      <c r="AR165" s="65" t="str">
        <f>IFERROR(VLOOKUP(T165,LK_OrgMaster!$B$4:$G$89,6,FALSE()),"No")</f>
        <v>No</v>
      </c>
      <c r="AS165" s="64" t="str">
        <f>IFERROR(VLOOKUP(T165,LK_OrgMaster!$B$4:$H$89,7,FALSE()),"None")</f>
        <v>None</v>
      </c>
      <c r="AT165" s="70">
        <v>36641</v>
      </c>
      <c r="AU165" s="70"/>
      <c r="AV165" s="70">
        <v>36641</v>
      </c>
      <c r="AW165" s="70">
        <v>46023</v>
      </c>
      <c r="AX165" s="71" t="s">
        <v>750</v>
      </c>
      <c r="AY165" s="72" t="s">
        <v>6260</v>
      </c>
    </row>
    <row r="166" spans="1:51" ht="15" customHeight="1" x14ac:dyDescent="0.3">
      <c r="A166" s="59" t="s">
        <v>2424</v>
      </c>
      <c r="B166" s="59" t="s">
        <v>729</v>
      </c>
      <c r="C166" s="59" t="s">
        <v>2315</v>
      </c>
      <c r="D166" s="59" t="s">
        <v>853</v>
      </c>
      <c r="E166" s="59" t="s">
        <v>732</v>
      </c>
      <c r="F166" s="60">
        <v>31331</v>
      </c>
      <c r="G166" s="59" t="s">
        <v>2425</v>
      </c>
      <c r="H166" s="59" t="s">
        <v>2426</v>
      </c>
      <c r="I166" s="60">
        <v>40314</v>
      </c>
      <c r="J166" s="61">
        <f t="shared" ca="1" si="8"/>
        <v>15</v>
      </c>
      <c r="K166" s="62">
        <f t="shared" si="9"/>
        <v>53246</v>
      </c>
      <c r="L166" s="59" t="s">
        <v>735</v>
      </c>
      <c r="M166" s="59" t="s">
        <v>2117</v>
      </c>
      <c r="N166" s="59" t="s">
        <v>737</v>
      </c>
      <c r="O166" s="63">
        <v>2</v>
      </c>
      <c r="P166" s="61">
        <f>IFERROR(SUMPRODUCT((LK_GradeDerivation!$A$4:$A$135=N166)*(IF(O166="",0,O166)&gt;=LK_GradeDerivation!$B$4:$B$135)*(IF(O166="",0,O166)&lt;=LK_GradeDerivation!$C$4:$C$135)*LK_GradeDerivation!$D$4:$D$135),1)</f>
        <v>4</v>
      </c>
      <c r="Q166" s="61">
        <f>IFERROR(SUMPRODUCT((LK_GradeDerivation!$A$4:$A$135=N166)*(IF(O166="",0,O166)&gt;=LK_GradeDerivation!$B$4:$B$135)*(IF(O166="",0,O166)&lt;=LK_GradeDerivation!$C$4:$C$135)*LK_GradeDerivation!$E$4:$E$135),1)</f>
        <v>2</v>
      </c>
      <c r="R166" s="59" t="s">
        <v>2427</v>
      </c>
      <c r="S166" s="59" t="s">
        <v>2428</v>
      </c>
      <c r="T166" s="59" t="s">
        <v>1058</v>
      </c>
      <c r="U166" s="59" t="s">
        <v>1410</v>
      </c>
      <c r="V166" s="59" t="s">
        <v>1547</v>
      </c>
      <c r="W166" s="59" t="s">
        <v>285</v>
      </c>
      <c r="X166" s="59" t="s">
        <v>554</v>
      </c>
      <c r="Y166" s="59" t="s">
        <v>554</v>
      </c>
      <c r="Z166" s="64" t="str">
        <f>IFERROR(VLOOKUP(T166,LK_OrgMaster!$B$4:$H$89,5,FALSE()),"Administration")</f>
        <v>Technical</v>
      </c>
      <c r="AA166" s="65" t="str">
        <f>IFERROR(VLOOKUP(X166,LK_LocationMaster!$D$4:$G$157,4,FALSE()),"No")</f>
        <v>No</v>
      </c>
      <c r="AB166" s="65" t="str">
        <f t="shared" si="10"/>
        <v>No</v>
      </c>
      <c r="AC166" s="65" t="str">
        <f>IFERROR(VLOOKUP(X166,LK_LocationMaster!$D$4:$H$157,5,FALSE()),"No")</f>
        <v>No</v>
      </c>
      <c r="AD166" s="59" t="s">
        <v>2429</v>
      </c>
      <c r="AE166" s="59" t="s">
        <v>2430</v>
      </c>
      <c r="AF166" s="59" t="s">
        <v>786</v>
      </c>
      <c r="AG166" s="59" t="s">
        <v>356</v>
      </c>
      <c r="AH166" s="59" t="s">
        <v>2431</v>
      </c>
      <c r="AI166" s="59" t="s">
        <v>285</v>
      </c>
      <c r="AJ166" s="59" t="s">
        <v>833</v>
      </c>
      <c r="AK166" s="59" t="s">
        <v>1013</v>
      </c>
      <c r="AL166" s="64" t="str">
        <f>IFERROR(INDEX(LK_BankMaster!$D$4:$D$23,MATCH(AJ166&amp;"|"&amp;AK166,LK_BankMaster!$H$4:$H$23,0)),"")</f>
        <v/>
      </c>
      <c r="AM166" s="59" t="s">
        <v>2432</v>
      </c>
      <c r="AN166" s="64" t="str">
        <f>IFERROR(VLOOKUP(AJ166,LK_BankMaster!$A$4:$E$23,5,FALSE()),"")</f>
        <v/>
      </c>
      <c r="AO166" s="59" t="s">
        <v>291</v>
      </c>
      <c r="AP166" s="66">
        <v>0</v>
      </c>
      <c r="AQ166" s="64" t="str">
        <f t="shared" si="11"/>
        <v>Position Allowance - General Staff</v>
      </c>
      <c r="AR166" s="65" t="str">
        <f>IFERROR(VLOOKUP(T166,LK_OrgMaster!$B$4:$G$89,6,FALSE()),"No")</f>
        <v>No</v>
      </c>
      <c r="AS166" s="64" t="str">
        <f>IFERROR(VLOOKUP(T166,LK_OrgMaster!$B$4:$H$89,7,FALSE()),"None")</f>
        <v>None</v>
      </c>
      <c r="AT166" s="67">
        <v>40314</v>
      </c>
      <c r="AU166" s="67"/>
      <c r="AV166" s="67">
        <v>40314</v>
      </c>
      <c r="AW166" s="67">
        <v>46023</v>
      </c>
      <c r="AX166" s="68" t="s">
        <v>750</v>
      </c>
      <c r="AY166" s="69" t="s">
        <v>6260</v>
      </c>
    </row>
    <row r="167" spans="1:51" ht="15" customHeight="1" x14ac:dyDescent="0.3">
      <c r="A167" s="59" t="s">
        <v>2433</v>
      </c>
      <c r="B167" s="59" t="s">
        <v>772</v>
      </c>
      <c r="C167" s="59" t="s">
        <v>1159</v>
      </c>
      <c r="D167" s="59" t="s">
        <v>876</v>
      </c>
      <c r="E167" s="59" t="s">
        <v>775</v>
      </c>
      <c r="F167" s="60">
        <v>33801</v>
      </c>
      <c r="G167" s="59" t="s">
        <v>2434</v>
      </c>
      <c r="H167" s="59" t="s">
        <v>2435</v>
      </c>
      <c r="I167" s="60">
        <v>34705</v>
      </c>
      <c r="J167" s="61">
        <f t="shared" ca="1" si="8"/>
        <v>31</v>
      </c>
      <c r="K167" s="62">
        <f t="shared" si="9"/>
        <v>55716</v>
      </c>
      <c r="L167" s="59" t="s">
        <v>735</v>
      </c>
      <c r="M167" s="59" t="s">
        <v>856</v>
      </c>
      <c r="N167" s="59" t="s">
        <v>779</v>
      </c>
      <c r="O167" s="63">
        <v>0</v>
      </c>
      <c r="P167" s="61">
        <f>IFERROR(SUMPRODUCT((LK_GradeDerivation!$A$4:$A$135=N167)*(IF(O167="",0,O167)&gt;=LK_GradeDerivation!$B$4:$B$135)*(IF(O167="",0,O167)&lt;=LK_GradeDerivation!$C$4:$C$135)*LK_GradeDerivation!$D$4:$D$135),1)</f>
        <v>2</v>
      </c>
      <c r="Q167" s="61">
        <f>IFERROR(SUMPRODUCT((LK_GradeDerivation!$A$4:$A$135=N167)*(IF(O167="",0,O167)&gt;=LK_GradeDerivation!$B$4:$B$135)*(IF(O167="",0,O167)&lt;=LK_GradeDerivation!$C$4:$C$135)*LK_GradeDerivation!$E$4:$E$135),1)</f>
        <v>1</v>
      </c>
      <c r="R167" s="59" t="s">
        <v>2436</v>
      </c>
      <c r="S167" s="59" t="s">
        <v>2437</v>
      </c>
      <c r="T167" s="59" t="s">
        <v>1058</v>
      </c>
      <c r="U167" s="59" t="s">
        <v>2438</v>
      </c>
      <c r="V167" s="59" t="s">
        <v>2439</v>
      </c>
      <c r="W167" s="59" t="s">
        <v>285</v>
      </c>
      <c r="X167" s="59" t="s">
        <v>575</v>
      </c>
      <c r="Y167" s="59" t="s">
        <v>585</v>
      </c>
      <c r="Z167" s="64" t="str">
        <f>IFERROR(VLOOKUP(T167,LK_OrgMaster!$B$4:$H$89,5,FALSE()),"Administration")</f>
        <v>Technical</v>
      </c>
      <c r="AA167" s="65" t="str">
        <f>IFERROR(VLOOKUP(X167,LK_LocationMaster!$D$4:$G$157,4,FALSE()),"No")</f>
        <v>Yes</v>
      </c>
      <c r="AB167" s="65" t="str">
        <f t="shared" si="10"/>
        <v>No</v>
      </c>
      <c r="AC167" s="65" t="str">
        <f>IFERROR(VLOOKUP(X167,LK_LocationMaster!$D$4:$H$157,5,FALSE()),"No")</f>
        <v>Yes</v>
      </c>
      <c r="AD167" s="59" t="s">
        <v>2440</v>
      </c>
      <c r="AE167" s="59" t="s">
        <v>930</v>
      </c>
      <c r="AF167" s="59" t="s">
        <v>915</v>
      </c>
      <c r="AG167" s="59" t="s">
        <v>312</v>
      </c>
      <c r="AH167" s="59" t="s">
        <v>2441</v>
      </c>
      <c r="AI167" s="59" t="s">
        <v>285</v>
      </c>
      <c r="AJ167" s="59" t="s">
        <v>768</v>
      </c>
      <c r="AK167" s="59" t="s">
        <v>803</v>
      </c>
      <c r="AL167" s="64" t="str">
        <f>IFERROR(INDEX(LK_BankMaster!$D$4:$D$23,MATCH(AJ167&amp;"|"&amp;AK167,LK_BankMaster!$H$4:$H$23,0)),"")</f>
        <v/>
      </c>
      <c r="AM167" s="59" t="s">
        <v>2442</v>
      </c>
      <c r="AN167" s="64" t="str">
        <f>IFERROR(VLOOKUP(AJ167,LK_BankMaster!$A$4:$E$23,5,FALSE()),"")</f>
        <v/>
      </c>
      <c r="AO167" s="59" t="s">
        <v>314</v>
      </c>
      <c r="AP167" s="66">
        <v>3</v>
      </c>
      <c r="AQ167" s="64" t="str">
        <f t="shared" si="11"/>
        <v>Position Allowance - General Staff</v>
      </c>
      <c r="AR167" s="65" t="str">
        <f>IFERROR(VLOOKUP(T167,LK_OrgMaster!$B$4:$G$89,6,FALSE()),"No")</f>
        <v>No</v>
      </c>
      <c r="AS167" s="64" t="str">
        <f>IFERROR(VLOOKUP(T167,LK_OrgMaster!$B$4:$H$89,7,FALSE()),"None")</f>
        <v>None</v>
      </c>
      <c r="AT167" s="70">
        <v>34705</v>
      </c>
      <c r="AU167" s="70"/>
      <c r="AV167" s="70">
        <v>34705</v>
      </c>
      <c r="AW167" s="70">
        <v>46023</v>
      </c>
      <c r="AX167" s="71" t="s">
        <v>750</v>
      </c>
      <c r="AY167" s="72" t="s">
        <v>6260</v>
      </c>
    </row>
    <row r="168" spans="1:51" ht="15" customHeight="1" x14ac:dyDescent="0.3">
      <c r="A168" s="59" t="s">
        <v>2443</v>
      </c>
      <c r="B168" s="59" t="s">
        <v>729</v>
      </c>
      <c r="C168" s="59" t="s">
        <v>2408</v>
      </c>
      <c r="D168" s="59" t="s">
        <v>2444</v>
      </c>
      <c r="E168" s="59" t="s">
        <v>732</v>
      </c>
      <c r="F168" s="60">
        <v>24121</v>
      </c>
      <c r="G168" s="59" t="s">
        <v>2445</v>
      </c>
      <c r="H168" s="59" t="s">
        <v>2446</v>
      </c>
      <c r="I168" s="60">
        <v>33005</v>
      </c>
      <c r="J168" s="61">
        <f t="shared" ca="1" si="8"/>
        <v>35</v>
      </c>
      <c r="K168" s="62">
        <f t="shared" si="9"/>
        <v>46036</v>
      </c>
      <c r="L168" s="59" t="s">
        <v>735</v>
      </c>
      <c r="M168" s="59" t="s">
        <v>2447</v>
      </c>
      <c r="N168" s="59" t="s">
        <v>1081</v>
      </c>
      <c r="O168" s="63">
        <v>4</v>
      </c>
      <c r="P168" s="61">
        <f>IFERROR(SUMPRODUCT((LK_GradeDerivation!$A$4:$A$135=N168)*(IF(O168="",0,O168)&gt;=LK_GradeDerivation!$B$4:$B$135)*(IF(O168="",0,O168)&lt;=LK_GradeDerivation!$C$4:$C$135)*LK_GradeDerivation!$D$4:$D$135),1)</f>
        <v>3</v>
      </c>
      <c r="Q168" s="61">
        <f>IFERROR(SUMPRODUCT((LK_GradeDerivation!$A$4:$A$135=N168)*(IF(O168="",0,O168)&gt;=LK_GradeDerivation!$B$4:$B$135)*(IF(O168="",0,O168)&lt;=LK_GradeDerivation!$C$4:$C$135)*LK_GradeDerivation!$E$4:$E$135),1)</f>
        <v>3</v>
      </c>
      <c r="R168" s="59" t="s">
        <v>2448</v>
      </c>
      <c r="S168" s="59" t="s">
        <v>2449</v>
      </c>
      <c r="T168" s="59" t="s">
        <v>882</v>
      </c>
      <c r="U168" s="59" t="s">
        <v>1619</v>
      </c>
      <c r="V168" s="59" t="s">
        <v>2450</v>
      </c>
      <c r="W168" s="59" t="s">
        <v>285</v>
      </c>
      <c r="X168" s="59" t="s">
        <v>391</v>
      </c>
      <c r="Y168" s="59" t="s">
        <v>402</v>
      </c>
      <c r="Z168" s="64" t="str">
        <f>IFERROR(VLOOKUP(T168,LK_OrgMaster!$B$4:$H$89,5,FALSE()),"Administration")</f>
        <v>Legal</v>
      </c>
      <c r="AA168" s="65" t="str">
        <f>IFERROR(VLOOKUP(X168,LK_LocationMaster!$D$4:$G$157,4,FALSE()),"No")</f>
        <v>Yes</v>
      </c>
      <c r="AB168" s="65" t="str">
        <f t="shared" si="10"/>
        <v>No</v>
      </c>
      <c r="AC168" s="65" t="str">
        <f>IFERROR(VLOOKUP(X168,LK_LocationMaster!$D$4:$H$157,5,FALSE()),"No")</f>
        <v>Yes</v>
      </c>
      <c r="AD168" s="59" t="s">
        <v>2451</v>
      </c>
      <c r="AE168" s="59" t="s">
        <v>800</v>
      </c>
      <c r="AF168" s="59" t="s">
        <v>969</v>
      </c>
      <c r="AG168" s="59" t="s">
        <v>408</v>
      </c>
      <c r="AH168" s="59" t="s">
        <v>2452</v>
      </c>
      <c r="AI168" s="59" t="s">
        <v>285</v>
      </c>
      <c r="AJ168" s="59" t="s">
        <v>747</v>
      </c>
      <c r="AK168" s="59" t="s">
        <v>748</v>
      </c>
      <c r="AL168" s="64" t="str">
        <f>IFERROR(INDEX(LK_BankMaster!$D$4:$D$23,MATCH(AJ168&amp;"|"&amp;AK168,LK_BankMaster!$H$4:$H$23,0)),"")</f>
        <v/>
      </c>
      <c r="AM168" s="59" t="s">
        <v>2453</v>
      </c>
      <c r="AN168" s="64" t="str">
        <f>IFERROR(VLOOKUP(AJ168,LK_BankMaster!$A$4:$E$23,5,FALSE()),"")</f>
        <v/>
      </c>
      <c r="AO168" s="59" t="s">
        <v>314</v>
      </c>
      <c r="AP168" s="66">
        <v>2</v>
      </c>
      <c r="AQ168" s="64" t="str">
        <f t="shared" si="11"/>
        <v>Position Allowance - General Staff</v>
      </c>
      <c r="AR168" s="65" t="str">
        <f>IFERROR(VLOOKUP(T168,LK_OrgMaster!$B$4:$G$89,6,FALSE()),"No")</f>
        <v>No</v>
      </c>
      <c r="AS168" s="64" t="str">
        <f>IFERROR(VLOOKUP(T168,LK_OrgMaster!$B$4:$H$89,7,FALSE()),"None")</f>
        <v>None</v>
      </c>
      <c r="AT168" s="67">
        <v>33005</v>
      </c>
      <c r="AU168" s="67"/>
      <c r="AV168" s="67">
        <v>33005</v>
      </c>
      <c r="AW168" s="67">
        <v>46023</v>
      </c>
      <c r="AX168" s="68" t="s">
        <v>750</v>
      </c>
      <c r="AY168" s="69" t="s">
        <v>6260</v>
      </c>
    </row>
    <row r="169" spans="1:51" ht="15" customHeight="1" x14ac:dyDescent="0.3">
      <c r="A169" s="59" t="s">
        <v>2454</v>
      </c>
      <c r="B169" s="59" t="s">
        <v>772</v>
      </c>
      <c r="C169" s="59" t="s">
        <v>1077</v>
      </c>
      <c r="D169" s="59" t="s">
        <v>2444</v>
      </c>
      <c r="E169" s="59" t="s">
        <v>775</v>
      </c>
      <c r="F169" s="60">
        <v>35531</v>
      </c>
      <c r="G169" s="59" t="s">
        <v>2455</v>
      </c>
      <c r="H169" s="59" t="s">
        <v>2456</v>
      </c>
      <c r="I169" s="60">
        <v>43901</v>
      </c>
      <c r="J169" s="61">
        <f t="shared" ca="1" si="8"/>
        <v>6</v>
      </c>
      <c r="K169" s="62">
        <f t="shared" si="9"/>
        <v>57446</v>
      </c>
      <c r="L169" s="59" t="s">
        <v>735</v>
      </c>
      <c r="M169" s="59" t="s">
        <v>1020</v>
      </c>
      <c r="N169" s="59" t="s">
        <v>758</v>
      </c>
      <c r="O169" s="63">
        <v>0</v>
      </c>
      <c r="P169" s="61">
        <f>IFERROR(SUMPRODUCT((LK_GradeDerivation!$A$4:$A$135=N169)*(IF(O169="",0,O169)&gt;=LK_GradeDerivation!$B$4:$B$135)*(IF(O169="",0,O169)&lt;=LK_GradeDerivation!$C$4:$C$135)*LK_GradeDerivation!$D$4:$D$135),1)</f>
        <v>5</v>
      </c>
      <c r="Q169" s="61">
        <f>IFERROR(SUMPRODUCT((LK_GradeDerivation!$A$4:$A$135=N169)*(IF(O169="",0,O169)&gt;=LK_GradeDerivation!$B$4:$B$135)*(IF(O169="",0,O169)&lt;=LK_GradeDerivation!$C$4:$C$135)*LK_GradeDerivation!$E$4:$E$135),1)</f>
        <v>1</v>
      </c>
      <c r="R169" s="59" t="s">
        <v>2457</v>
      </c>
      <c r="S169" s="59" t="s">
        <v>2458</v>
      </c>
      <c r="T169" s="59" t="s">
        <v>1058</v>
      </c>
      <c r="U169" s="59" t="s">
        <v>1410</v>
      </c>
      <c r="V169" s="59" t="s">
        <v>2459</v>
      </c>
      <c r="W169" s="59" t="s">
        <v>285</v>
      </c>
      <c r="X169" s="59" t="s">
        <v>443</v>
      </c>
      <c r="Y169" s="59" t="s">
        <v>453</v>
      </c>
      <c r="Z169" s="64" t="str">
        <f>IFERROR(VLOOKUP(T169,LK_OrgMaster!$B$4:$H$89,5,FALSE()),"Administration")</f>
        <v>Technical</v>
      </c>
      <c r="AA169" s="65" t="str">
        <f>IFERROR(VLOOKUP(X169,LK_LocationMaster!$D$4:$G$157,4,FALSE()),"No")</f>
        <v>No</v>
      </c>
      <c r="AB169" s="65" t="str">
        <f t="shared" si="10"/>
        <v>No</v>
      </c>
      <c r="AC169" s="65" t="str">
        <f>IFERROR(VLOOKUP(X169,LK_LocationMaster!$D$4:$H$157,5,FALSE()),"No")</f>
        <v>No</v>
      </c>
      <c r="AD169" s="59" t="s">
        <v>2460</v>
      </c>
      <c r="AE169" s="59" t="s">
        <v>765</v>
      </c>
      <c r="AF169" s="59" t="s">
        <v>984</v>
      </c>
      <c r="AG169" s="59" t="s">
        <v>408</v>
      </c>
      <c r="AH169" s="59" t="s">
        <v>2461</v>
      </c>
      <c r="AI169" s="59" t="s">
        <v>285</v>
      </c>
      <c r="AJ169" s="59" t="s">
        <v>747</v>
      </c>
      <c r="AK169" s="59" t="s">
        <v>748</v>
      </c>
      <c r="AL169" s="64" t="str">
        <f>IFERROR(INDEX(LK_BankMaster!$D$4:$D$23,MATCH(AJ169&amp;"|"&amp;AK169,LK_BankMaster!$H$4:$H$23,0)),"")</f>
        <v/>
      </c>
      <c r="AM169" s="59" t="s">
        <v>2462</v>
      </c>
      <c r="AN169" s="64" t="str">
        <f>IFERROR(VLOOKUP(AJ169,LK_BankMaster!$A$4:$E$23,5,FALSE()),"")</f>
        <v/>
      </c>
      <c r="AO169" s="59" t="s">
        <v>291</v>
      </c>
      <c r="AP169" s="66">
        <v>0</v>
      </c>
      <c r="AQ169" s="64" t="str">
        <f t="shared" si="11"/>
        <v>Position Allowance - Section Chief</v>
      </c>
      <c r="AR169" s="65" t="str">
        <f>IFERROR(VLOOKUP(T169,LK_OrgMaster!$B$4:$G$89,6,FALSE()),"No")</f>
        <v>No</v>
      </c>
      <c r="AS169" s="64" t="str">
        <f>IFERROR(VLOOKUP(T169,LK_OrgMaster!$B$4:$H$89,7,FALSE()),"None")</f>
        <v>None</v>
      </c>
      <c r="AT169" s="70">
        <v>43901</v>
      </c>
      <c r="AU169" s="70"/>
      <c r="AV169" s="70">
        <v>43901</v>
      </c>
      <c r="AW169" s="70">
        <v>46023</v>
      </c>
      <c r="AX169" s="71" t="s">
        <v>750</v>
      </c>
      <c r="AY169" s="72" t="s">
        <v>6260</v>
      </c>
    </row>
    <row r="170" spans="1:51" ht="15" customHeight="1" x14ac:dyDescent="0.3">
      <c r="A170" s="59" t="s">
        <v>2463</v>
      </c>
      <c r="B170" s="59" t="s">
        <v>772</v>
      </c>
      <c r="C170" s="59" t="s">
        <v>2408</v>
      </c>
      <c r="D170" s="59" t="s">
        <v>793</v>
      </c>
      <c r="E170" s="59" t="s">
        <v>732</v>
      </c>
      <c r="F170" s="60">
        <v>33285</v>
      </c>
      <c r="G170" s="59" t="s">
        <v>2464</v>
      </c>
      <c r="H170" s="59" t="s">
        <v>2465</v>
      </c>
      <c r="I170" s="60">
        <v>36560</v>
      </c>
      <c r="J170" s="61">
        <f t="shared" ca="1" si="8"/>
        <v>26</v>
      </c>
      <c r="K170" s="62">
        <f t="shared" si="9"/>
        <v>55200</v>
      </c>
      <c r="L170" s="59" t="s">
        <v>735</v>
      </c>
      <c r="M170" s="59" t="s">
        <v>1163</v>
      </c>
      <c r="N170" s="59" t="s">
        <v>779</v>
      </c>
      <c r="O170" s="63">
        <v>0</v>
      </c>
      <c r="P170" s="61">
        <f>IFERROR(SUMPRODUCT((LK_GradeDerivation!$A$4:$A$135=N170)*(IF(O170="",0,O170)&gt;=LK_GradeDerivation!$B$4:$B$135)*(IF(O170="",0,O170)&lt;=LK_GradeDerivation!$C$4:$C$135)*LK_GradeDerivation!$D$4:$D$135),1)</f>
        <v>2</v>
      </c>
      <c r="Q170" s="61">
        <f>IFERROR(SUMPRODUCT((LK_GradeDerivation!$A$4:$A$135=N170)*(IF(O170="",0,O170)&gt;=LK_GradeDerivation!$B$4:$B$135)*(IF(O170="",0,O170)&lt;=LK_GradeDerivation!$C$4:$C$135)*LK_GradeDerivation!$E$4:$E$135),1)</f>
        <v>1</v>
      </c>
      <c r="R170" s="59" t="s">
        <v>2466</v>
      </c>
      <c r="S170" s="59" t="s">
        <v>2467</v>
      </c>
      <c r="T170" s="59" t="s">
        <v>740</v>
      </c>
      <c r="U170" s="59" t="s">
        <v>1166</v>
      </c>
      <c r="V170" s="59" t="s">
        <v>1970</v>
      </c>
      <c r="W170" s="59" t="s">
        <v>285</v>
      </c>
      <c r="X170" s="59" t="s">
        <v>288</v>
      </c>
      <c r="Y170" s="59" t="s">
        <v>306</v>
      </c>
      <c r="Z170" s="64" t="str">
        <f>IFERROR(VLOOKUP(T170,LK_OrgMaster!$B$4:$H$89,5,FALSE()),"Administration")</f>
        <v>Teacher</v>
      </c>
      <c r="AA170" s="65" t="str">
        <f>IFERROR(VLOOKUP(X170,LK_LocationMaster!$D$4:$G$157,4,FALSE()),"No")</f>
        <v>No</v>
      </c>
      <c r="AB170" s="65" t="str">
        <f t="shared" si="10"/>
        <v>No</v>
      </c>
      <c r="AC170" s="65" t="str">
        <f>IFERROR(VLOOKUP(X170,LK_LocationMaster!$D$4:$H$157,5,FALSE()),"No")</f>
        <v>No</v>
      </c>
      <c r="AD170" s="59" t="s">
        <v>2468</v>
      </c>
      <c r="AE170" s="59" t="s">
        <v>765</v>
      </c>
      <c r="AF170" s="59" t="s">
        <v>745</v>
      </c>
      <c r="AG170" s="59" t="s">
        <v>391</v>
      </c>
      <c r="AH170" s="59" t="s">
        <v>2469</v>
      </c>
      <c r="AI170" s="59" t="s">
        <v>285</v>
      </c>
      <c r="AJ170" s="59" t="s">
        <v>747</v>
      </c>
      <c r="AK170" s="59" t="s">
        <v>748</v>
      </c>
      <c r="AL170" s="64" t="str">
        <f>IFERROR(INDEX(LK_BankMaster!$D$4:$D$23,MATCH(AJ170&amp;"|"&amp;AK170,LK_BankMaster!$H$4:$H$23,0)),"")</f>
        <v/>
      </c>
      <c r="AM170" s="59" t="s">
        <v>2470</v>
      </c>
      <c r="AN170" s="64" t="str">
        <f>IFERROR(VLOOKUP(AJ170,LK_BankMaster!$A$4:$E$23,5,FALSE()),"")</f>
        <v/>
      </c>
      <c r="AO170" s="59" t="s">
        <v>314</v>
      </c>
      <c r="AP170" s="66">
        <v>1</v>
      </c>
      <c r="AQ170" s="64" t="str">
        <f t="shared" si="11"/>
        <v>Position Allowance - General Staff</v>
      </c>
      <c r="AR170" s="65" t="str">
        <f>IFERROR(VLOOKUP(T170,LK_OrgMaster!$B$4:$G$89,6,FALSE()),"No")</f>
        <v>No</v>
      </c>
      <c r="AS170" s="64" t="str">
        <f>IFERROR(VLOOKUP(T170,LK_OrgMaster!$B$4:$H$89,7,FALSE()),"None")</f>
        <v>Teaching</v>
      </c>
      <c r="AT170" s="67">
        <v>36560</v>
      </c>
      <c r="AU170" s="67"/>
      <c r="AV170" s="67">
        <v>36560</v>
      </c>
      <c r="AW170" s="67">
        <v>46023</v>
      </c>
      <c r="AX170" s="68" t="s">
        <v>750</v>
      </c>
      <c r="AY170" s="69" t="s">
        <v>6260</v>
      </c>
    </row>
    <row r="171" spans="1:51" ht="15" customHeight="1" x14ac:dyDescent="0.3">
      <c r="A171" s="59" t="s">
        <v>2471</v>
      </c>
      <c r="B171" s="59" t="s">
        <v>772</v>
      </c>
      <c r="C171" s="59" t="s">
        <v>852</v>
      </c>
      <c r="D171" s="59" t="s">
        <v>1042</v>
      </c>
      <c r="E171" s="59" t="s">
        <v>775</v>
      </c>
      <c r="F171" s="60">
        <v>26516</v>
      </c>
      <c r="G171" s="59" t="s">
        <v>2472</v>
      </c>
      <c r="H171" s="59" t="s">
        <v>2473</v>
      </c>
      <c r="I171" s="60">
        <v>33376</v>
      </c>
      <c r="J171" s="61">
        <f t="shared" ca="1" si="8"/>
        <v>34</v>
      </c>
      <c r="K171" s="62">
        <f t="shared" si="9"/>
        <v>48431</v>
      </c>
      <c r="L171" s="59" t="s">
        <v>735</v>
      </c>
      <c r="M171" s="59" t="s">
        <v>1607</v>
      </c>
      <c r="N171" s="59" t="s">
        <v>1081</v>
      </c>
      <c r="O171" s="63">
        <v>0</v>
      </c>
      <c r="P171" s="61">
        <f>IFERROR(SUMPRODUCT((LK_GradeDerivation!$A$4:$A$135=N171)*(IF(O171="",0,O171)&gt;=LK_GradeDerivation!$B$4:$B$135)*(IF(O171="",0,O171)&lt;=LK_GradeDerivation!$C$4:$C$135)*LK_GradeDerivation!$D$4:$D$135),1)</f>
        <v>3</v>
      </c>
      <c r="Q171" s="61">
        <f>IFERROR(SUMPRODUCT((LK_GradeDerivation!$A$4:$A$135=N171)*(IF(O171="",0,O171)&gt;=LK_GradeDerivation!$B$4:$B$135)*(IF(O171="",0,O171)&lt;=LK_GradeDerivation!$C$4:$C$135)*LK_GradeDerivation!$E$4:$E$135),1)</f>
        <v>1</v>
      </c>
      <c r="R171" s="59" t="s">
        <v>2474</v>
      </c>
      <c r="S171" s="59" t="s">
        <v>2475</v>
      </c>
      <c r="T171" s="59" t="s">
        <v>859</v>
      </c>
      <c r="U171" s="59" t="s">
        <v>2476</v>
      </c>
      <c r="V171" s="59" t="s">
        <v>2477</v>
      </c>
      <c r="W171" s="59" t="s">
        <v>285</v>
      </c>
      <c r="X171" s="59" t="s">
        <v>587</v>
      </c>
      <c r="Y171" s="59" t="s">
        <v>591</v>
      </c>
      <c r="Z171" s="64" t="str">
        <f>IFERROR(VLOOKUP(T171,LK_OrgMaster!$B$4:$H$89,5,FALSE()),"Administration")</f>
        <v>Technical</v>
      </c>
      <c r="AA171" s="65" t="str">
        <f>IFERROR(VLOOKUP(X171,LK_LocationMaster!$D$4:$G$157,4,FALSE()),"No")</f>
        <v>Yes</v>
      </c>
      <c r="AB171" s="65" t="str">
        <f t="shared" si="10"/>
        <v>No</v>
      </c>
      <c r="AC171" s="65" t="str">
        <f>IFERROR(VLOOKUP(X171,LK_LocationMaster!$D$4:$H$157,5,FALSE()),"No")</f>
        <v>Yes</v>
      </c>
      <c r="AD171" s="59" t="s">
        <v>2478</v>
      </c>
      <c r="AE171" s="59" t="s">
        <v>800</v>
      </c>
      <c r="AF171" s="59" t="s">
        <v>766</v>
      </c>
      <c r="AG171" s="59" t="s">
        <v>356</v>
      </c>
      <c r="AH171" s="59" t="s">
        <v>2479</v>
      </c>
      <c r="AI171" s="59" t="s">
        <v>285</v>
      </c>
      <c r="AJ171" s="59" t="s">
        <v>747</v>
      </c>
      <c r="AK171" s="59" t="s">
        <v>748</v>
      </c>
      <c r="AL171" s="64" t="str">
        <f>IFERROR(INDEX(LK_BankMaster!$D$4:$D$23,MATCH(AJ171&amp;"|"&amp;AK171,LK_BankMaster!$H$4:$H$23,0)),"")</f>
        <v/>
      </c>
      <c r="AM171" s="59" t="s">
        <v>2480</v>
      </c>
      <c r="AN171" s="64" t="str">
        <f>IFERROR(VLOOKUP(AJ171,LK_BankMaster!$A$4:$E$23,5,FALSE()),"")</f>
        <v/>
      </c>
      <c r="AO171" s="59" t="s">
        <v>291</v>
      </c>
      <c r="AP171" s="66">
        <v>0</v>
      </c>
      <c r="AQ171" s="64" t="str">
        <f t="shared" si="11"/>
        <v>Position Allowance - General Staff</v>
      </c>
      <c r="AR171" s="65" t="str">
        <f>IFERROR(VLOOKUP(T171,LK_OrgMaster!$B$4:$G$89,6,FALSE()),"No")</f>
        <v>No</v>
      </c>
      <c r="AS171" s="64" t="str">
        <f>IFERROR(VLOOKUP(T171,LK_OrgMaster!$B$4:$H$89,7,FALSE()),"None")</f>
        <v>None</v>
      </c>
      <c r="AT171" s="70">
        <v>33376</v>
      </c>
      <c r="AU171" s="70"/>
      <c r="AV171" s="70">
        <v>33376</v>
      </c>
      <c r="AW171" s="70">
        <v>46023</v>
      </c>
      <c r="AX171" s="71" t="s">
        <v>750</v>
      </c>
      <c r="AY171" s="72" t="s">
        <v>6260</v>
      </c>
    </row>
    <row r="172" spans="1:51" ht="15" customHeight="1" x14ac:dyDescent="0.3">
      <c r="A172" s="59" t="s">
        <v>2481</v>
      </c>
      <c r="B172" s="59" t="s">
        <v>729</v>
      </c>
      <c r="C172" s="59" t="s">
        <v>2315</v>
      </c>
      <c r="D172" s="59" t="s">
        <v>2482</v>
      </c>
      <c r="E172" s="59" t="s">
        <v>732</v>
      </c>
      <c r="F172" s="60">
        <v>36962</v>
      </c>
      <c r="G172" s="59" t="s">
        <v>2483</v>
      </c>
      <c r="H172" s="59" t="s">
        <v>2484</v>
      </c>
      <c r="I172" s="60">
        <v>45927</v>
      </c>
      <c r="J172" s="61">
        <f t="shared" ca="1" si="8"/>
        <v>0</v>
      </c>
      <c r="K172" s="62">
        <f t="shared" si="9"/>
        <v>58877</v>
      </c>
      <c r="L172" s="59" t="s">
        <v>735</v>
      </c>
      <c r="M172" s="59" t="s">
        <v>841</v>
      </c>
      <c r="N172" s="59" t="s">
        <v>758</v>
      </c>
      <c r="O172" s="63">
        <v>0</v>
      </c>
      <c r="P172" s="61">
        <f>IFERROR(SUMPRODUCT((LK_GradeDerivation!$A$4:$A$135=N172)*(IF(O172="",0,O172)&gt;=LK_GradeDerivation!$B$4:$B$135)*(IF(O172="",0,O172)&lt;=LK_GradeDerivation!$C$4:$C$135)*LK_GradeDerivation!$D$4:$D$135),1)</f>
        <v>5</v>
      </c>
      <c r="Q172" s="61">
        <f>IFERROR(SUMPRODUCT((LK_GradeDerivation!$A$4:$A$135=N172)*(IF(O172="",0,O172)&gt;=LK_GradeDerivation!$B$4:$B$135)*(IF(O172="",0,O172)&lt;=LK_GradeDerivation!$C$4:$C$135)*LK_GradeDerivation!$E$4:$E$135),1)</f>
        <v>1</v>
      </c>
      <c r="R172" s="59" t="s">
        <v>2485</v>
      </c>
      <c r="S172" s="59" t="s">
        <v>2486</v>
      </c>
      <c r="T172" s="59" t="s">
        <v>761</v>
      </c>
      <c r="U172" s="59" t="s">
        <v>1314</v>
      </c>
      <c r="V172" s="59" t="s">
        <v>763</v>
      </c>
      <c r="W172" s="59" t="s">
        <v>285</v>
      </c>
      <c r="X172" s="59" t="s">
        <v>288</v>
      </c>
      <c r="Y172" s="59" t="s">
        <v>308</v>
      </c>
      <c r="Z172" s="64" t="str">
        <f>IFERROR(VLOOKUP(T172,LK_OrgMaster!$B$4:$H$89,5,FALSE()),"Administration")</f>
        <v>Administration</v>
      </c>
      <c r="AA172" s="65" t="str">
        <f>IFERROR(VLOOKUP(X172,LK_LocationMaster!$D$4:$G$157,4,FALSE()),"No")</f>
        <v>No</v>
      </c>
      <c r="AB172" s="65" t="str">
        <f t="shared" si="10"/>
        <v>No</v>
      </c>
      <c r="AC172" s="65" t="str">
        <f>IFERROR(VLOOKUP(X172,LK_LocationMaster!$D$4:$H$157,5,FALSE()),"No")</f>
        <v>No</v>
      </c>
      <c r="AD172" s="59" t="s">
        <v>2487</v>
      </c>
      <c r="AE172" s="59" t="s">
        <v>886</v>
      </c>
      <c r="AF172" s="59" t="s">
        <v>969</v>
      </c>
      <c r="AG172" s="59" t="s">
        <v>288</v>
      </c>
      <c r="AH172" s="59" t="s">
        <v>2488</v>
      </c>
      <c r="AI172" s="59" t="s">
        <v>285</v>
      </c>
      <c r="AJ172" s="59" t="s">
        <v>747</v>
      </c>
      <c r="AK172" s="59" t="s">
        <v>748</v>
      </c>
      <c r="AL172" s="64" t="str">
        <f>IFERROR(INDEX(LK_BankMaster!$D$4:$D$23,MATCH(AJ172&amp;"|"&amp;AK172,LK_BankMaster!$H$4:$H$23,0)),"")</f>
        <v/>
      </c>
      <c r="AM172" s="59" t="s">
        <v>2489</v>
      </c>
      <c r="AN172" s="64" t="str">
        <f>IFERROR(VLOOKUP(AJ172,LK_BankMaster!$A$4:$E$23,5,FALSE()),"")</f>
        <v/>
      </c>
      <c r="AO172" s="59" t="s">
        <v>291</v>
      </c>
      <c r="AP172" s="66">
        <v>0</v>
      </c>
      <c r="AQ172" s="64" t="str">
        <f t="shared" si="11"/>
        <v>Position Allowance - Director</v>
      </c>
      <c r="AR172" s="65" t="str">
        <f>IFERROR(VLOOKUP(T172,LK_OrgMaster!$B$4:$G$89,6,FALSE()),"No")</f>
        <v>Yes</v>
      </c>
      <c r="AS172" s="64" t="str">
        <f>IFERROR(VLOOKUP(T172,LK_OrgMaster!$B$4:$H$89,7,FALSE()),"None")</f>
        <v>None</v>
      </c>
      <c r="AT172" s="67">
        <v>45927</v>
      </c>
      <c r="AU172" s="67"/>
      <c r="AV172" s="67">
        <v>45927</v>
      </c>
      <c r="AW172" s="67">
        <v>46023</v>
      </c>
      <c r="AX172" s="68" t="s">
        <v>750</v>
      </c>
      <c r="AY172" s="69" t="s">
        <v>6260</v>
      </c>
    </row>
    <row r="173" spans="1:51" ht="15" customHeight="1" x14ac:dyDescent="0.3">
      <c r="A173" s="59" t="s">
        <v>2490</v>
      </c>
      <c r="B173" s="59" t="s">
        <v>772</v>
      </c>
      <c r="C173" s="59" t="s">
        <v>1501</v>
      </c>
      <c r="D173" s="59" t="s">
        <v>1674</v>
      </c>
      <c r="E173" s="59" t="s">
        <v>775</v>
      </c>
      <c r="F173" s="60">
        <v>33361</v>
      </c>
      <c r="G173" s="59" t="s">
        <v>2491</v>
      </c>
      <c r="H173" s="59" t="s">
        <v>2492</v>
      </c>
      <c r="I173" s="60">
        <v>37080</v>
      </c>
      <c r="J173" s="61">
        <f t="shared" ca="1" si="8"/>
        <v>24</v>
      </c>
      <c r="K173" s="62">
        <f t="shared" si="9"/>
        <v>55276</v>
      </c>
      <c r="L173" s="59" t="s">
        <v>735</v>
      </c>
      <c r="M173" s="59" t="s">
        <v>757</v>
      </c>
      <c r="N173" s="59" t="s">
        <v>737</v>
      </c>
      <c r="O173" s="63">
        <v>0</v>
      </c>
      <c r="P173" s="61">
        <f>IFERROR(SUMPRODUCT((LK_GradeDerivation!$A$4:$A$135=N173)*(IF(O173="",0,O173)&gt;=LK_GradeDerivation!$B$4:$B$135)*(IF(O173="",0,O173)&lt;=LK_GradeDerivation!$C$4:$C$135)*LK_GradeDerivation!$D$4:$D$135),1)</f>
        <v>4</v>
      </c>
      <c r="Q173" s="61">
        <f>IFERROR(SUMPRODUCT((LK_GradeDerivation!$A$4:$A$135=N173)*(IF(O173="",0,O173)&gt;=LK_GradeDerivation!$B$4:$B$135)*(IF(O173="",0,O173)&lt;=LK_GradeDerivation!$C$4:$C$135)*LK_GradeDerivation!$E$4:$E$135),1)</f>
        <v>1</v>
      </c>
      <c r="R173" s="59" t="s">
        <v>2493</v>
      </c>
      <c r="S173" s="59" t="s">
        <v>2494</v>
      </c>
      <c r="T173" s="59" t="s">
        <v>761</v>
      </c>
      <c r="U173" s="59" t="s">
        <v>1314</v>
      </c>
      <c r="V173" s="59" t="s">
        <v>2495</v>
      </c>
      <c r="W173" s="59" t="s">
        <v>285</v>
      </c>
      <c r="X173" s="59" t="s">
        <v>288</v>
      </c>
      <c r="Y173" s="59" t="s">
        <v>306</v>
      </c>
      <c r="Z173" s="64" t="str">
        <f>IFERROR(VLOOKUP(T173,LK_OrgMaster!$B$4:$H$89,5,FALSE()),"Administration")</f>
        <v>Administration</v>
      </c>
      <c r="AA173" s="65" t="str">
        <f>IFERROR(VLOOKUP(X173,LK_LocationMaster!$D$4:$G$157,4,FALSE()),"No")</f>
        <v>No</v>
      </c>
      <c r="AB173" s="65" t="str">
        <f t="shared" si="10"/>
        <v>No</v>
      </c>
      <c r="AC173" s="65" t="str">
        <f>IFERROR(VLOOKUP(X173,LK_LocationMaster!$D$4:$H$157,5,FALSE()),"No")</f>
        <v>No</v>
      </c>
      <c r="AD173" s="59" t="s">
        <v>2496</v>
      </c>
      <c r="AE173" s="59" t="s">
        <v>765</v>
      </c>
      <c r="AF173" s="59" t="s">
        <v>786</v>
      </c>
      <c r="AG173" s="59" t="s">
        <v>391</v>
      </c>
      <c r="AH173" s="59" t="s">
        <v>2497</v>
      </c>
      <c r="AI173" s="59" t="s">
        <v>285</v>
      </c>
      <c r="AJ173" s="59" t="s">
        <v>833</v>
      </c>
      <c r="AK173" s="59" t="s">
        <v>834</v>
      </c>
      <c r="AL173" s="64" t="str">
        <f>IFERROR(INDEX(LK_BankMaster!$D$4:$D$23,MATCH(AJ173&amp;"|"&amp;AK173,LK_BankMaster!$H$4:$H$23,0)),"")</f>
        <v/>
      </c>
      <c r="AM173" s="59" t="s">
        <v>2498</v>
      </c>
      <c r="AN173" s="64" t="str">
        <f>IFERROR(VLOOKUP(AJ173,LK_BankMaster!$A$4:$E$23,5,FALSE()),"")</f>
        <v/>
      </c>
      <c r="AO173" s="59" t="s">
        <v>291</v>
      </c>
      <c r="AP173" s="66">
        <v>0</v>
      </c>
      <c r="AQ173" s="64" t="str">
        <f t="shared" si="11"/>
        <v>Position Allowance - General Staff</v>
      </c>
      <c r="AR173" s="65" t="str">
        <f>IFERROR(VLOOKUP(T173,LK_OrgMaster!$B$4:$G$89,6,FALSE()),"No")</f>
        <v>Yes</v>
      </c>
      <c r="AS173" s="64" t="str">
        <f>IFERROR(VLOOKUP(T173,LK_OrgMaster!$B$4:$H$89,7,FALSE()),"None")</f>
        <v>None</v>
      </c>
      <c r="AT173" s="70">
        <v>37080</v>
      </c>
      <c r="AU173" s="70"/>
      <c r="AV173" s="70">
        <v>37080</v>
      </c>
      <c r="AW173" s="70">
        <v>46023</v>
      </c>
      <c r="AX173" s="71" t="s">
        <v>750</v>
      </c>
      <c r="AY173" s="72" t="s">
        <v>6260</v>
      </c>
    </row>
    <row r="174" spans="1:51" ht="15" customHeight="1" x14ac:dyDescent="0.3">
      <c r="A174" s="59" t="s">
        <v>2499</v>
      </c>
      <c r="B174" s="59" t="s">
        <v>772</v>
      </c>
      <c r="C174" s="59" t="s">
        <v>2500</v>
      </c>
      <c r="D174" s="59" t="s">
        <v>793</v>
      </c>
      <c r="E174" s="59" t="s">
        <v>732</v>
      </c>
      <c r="F174" s="60">
        <v>29830</v>
      </c>
      <c r="G174" s="59" t="s">
        <v>2501</v>
      </c>
      <c r="H174" s="59" t="s">
        <v>2502</v>
      </c>
      <c r="I174" s="60">
        <v>45353</v>
      </c>
      <c r="J174" s="61">
        <f t="shared" ca="1" si="8"/>
        <v>2</v>
      </c>
      <c r="K174" s="62">
        <f t="shared" si="9"/>
        <v>51745</v>
      </c>
      <c r="L174" s="59" t="s">
        <v>735</v>
      </c>
      <c r="M174" s="59" t="s">
        <v>893</v>
      </c>
      <c r="N174" s="59" t="s">
        <v>779</v>
      </c>
      <c r="O174" s="63">
        <v>24</v>
      </c>
      <c r="P174" s="61">
        <f>IFERROR(SUMPRODUCT((LK_GradeDerivation!$A$4:$A$135=N174)*(IF(O174="",0,O174)&gt;=LK_GradeDerivation!$B$4:$B$135)*(IF(O174="",0,O174)&lt;=LK_GradeDerivation!$C$4:$C$135)*LK_GradeDerivation!$D$4:$D$135),1)</f>
        <v>2</v>
      </c>
      <c r="Q174" s="61">
        <f>IFERROR(SUMPRODUCT((LK_GradeDerivation!$A$4:$A$135=N174)*(IF(O174="",0,O174)&gt;=LK_GradeDerivation!$B$4:$B$135)*(IF(O174="",0,O174)&lt;=LK_GradeDerivation!$C$4:$C$135)*LK_GradeDerivation!$E$4:$E$135),1)</f>
        <v>13</v>
      </c>
      <c r="R174" s="59" t="s">
        <v>2503</v>
      </c>
      <c r="S174" s="59" t="s">
        <v>2504</v>
      </c>
      <c r="T174" s="59" t="s">
        <v>1305</v>
      </c>
      <c r="U174" s="59" t="s">
        <v>1792</v>
      </c>
      <c r="V174" s="59" t="s">
        <v>763</v>
      </c>
      <c r="W174" s="59" t="s">
        <v>285</v>
      </c>
      <c r="X174" s="59" t="s">
        <v>340</v>
      </c>
      <c r="Y174" s="59" t="s">
        <v>346</v>
      </c>
      <c r="Z174" s="64" t="str">
        <f>IFERROR(VLOOKUP(T174,LK_OrgMaster!$B$4:$H$89,5,FALSE()),"Administration")</f>
        <v>Administration</v>
      </c>
      <c r="AA174" s="65" t="str">
        <f>IFERROR(VLOOKUP(X174,LK_LocationMaster!$D$4:$G$157,4,FALSE()),"No")</f>
        <v>No</v>
      </c>
      <c r="AB174" s="65" t="str">
        <f t="shared" si="10"/>
        <v>No</v>
      </c>
      <c r="AC174" s="65" t="str">
        <f>IFERROR(VLOOKUP(X174,LK_LocationMaster!$D$4:$H$157,5,FALSE()),"No")</f>
        <v>No</v>
      </c>
      <c r="AD174" s="59" t="s">
        <v>2505</v>
      </c>
      <c r="AE174" s="59" t="s">
        <v>765</v>
      </c>
      <c r="AF174" s="59" t="s">
        <v>901</v>
      </c>
      <c r="AG174" s="59" t="s">
        <v>329</v>
      </c>
      <c r="AH174" s="59" t="s">
        <v>2506</v>
      </c>
      <c r="AI174" s="59" t="s">
        <v>285</v>
      </c>
      <c r="AJ174" s="59" t="s">
        <v>768</v>
      </c>
      <c r="AK174" s="59" t="s">
        <v>1122</v>
      </c>
      <c r="AL174" s="64" t="str">
        <f>IFERROR(INDEX(LK_BankMaster!$D$4:$D$23,MATCH(AJ174&amp;"|"&amp;AK174,LK_BankMaster!$H$4:$H$23,0)),"")</f>
        <v/>
      </c>
      <c r="AM174" s="59" t="s">
        <v>2507</v>
      </c>
      <c r="AN174" s="64" t="str">
        <f>IFERROR(VLOOKUP(AJ174,LK_BankMaster!$A$4:$E$23,5,FALSE()),"")</f>
        <v/>
      </c>
      <c r="AO174" s="59" t="s">
        <v>314</v>
      </c>
      <c r="AP174" s="66">
        <v>0</v>
      </c>
      <c r="AQ174" s="64" t="str">
        <f t="shared" si="11"/>
        <v>Position Allowance - General Staff</v>
      </c>
      <c r="AR174" s="65" t="str">
        <f>IFERROR(VLOOKUP(T174,LK_OrgMaster!$B$4:$G$89,6,FALSE()),"No")</f>
        <v>No</v>
      </c>
      <c r="AS174" s="64" t="str">
        <f>IFERROR(VLOOKUP(T174,LK_OrgMaster!$B$4:$H$89,7,FALSE()),"None")</f>
        <v>None</v>
      </c>
      <c r="AT174" s="67">
        <v>45353</v>
      </c>
      <c r="AU174" s="67"/>
      <c r="AV174" s="67">
        <v>45353</v>
      </c>
      <c r="AW174" s="67">
        <v>46023</v>
      </c>
      <c r="AX174" s="68" t="s">
        <v>750</v>
      </c>
      <c r="AY174" s="69" t="s">
        <v>6260</v>
      </c>
    </row>
    <row r="175" spans="1:51" ht="15" customHeight="1" x14ac:dyDescent="0.3">
      <c r="A175" s="59" t="s">
        <v>2508</v>
      </c>
      <c r="B175" s="59" t="s">
        <v>752</v>
      </c>
      <c r="C175" s="59" t="s">
        <v>875</v>
      </c>
      <c r="D175" s="59" t="s">
        <v>793</v>
      </c>
      <c r="E175" s="59" t="s">
        <v>732</v>
      </c>
      <c r="F175" s="60">
        <v>33788</v>
      </c>
      <c r="G175" s="59" t="s">
        <v>2509</v>
      </c>
      <c r="H175" s="59" t="s">
        <v>2510</v>
      </c>
      <c r="I175" s="60">
        <v>44706</v>
      </c>
      <c r="J175" s="61">
        <f t="shared" ca="1" si="8"/>
        <v>3</v>
      </c>
      <c r="K175" s="62">
        <f t="shared" si="9"/>
        <v>55703</v>
      </c>
      <c r="L175" s="59" t="s">
        <v>735</v>
      </c>
      <c r="M175" s="59" t="s">
        <v>1607</v>
      </c>
      <c r="N175" s="59" t="s">
        <v>779</v>
      </c>
      <c r="O175" s="63">
        <v>11</v>
      </c>
      <c r="P175" s="61">
        <f>IFERROR(SUMPRODUCT((LK_GradeDerivation!$A$4:$A$135=N175)*(IF(O175="",0,O175)&gt;=LK_GradeDerivation!$B$4:$B$135)*(IF(O175="",0,O175)&lt;=LK_GradeDerivation!$C$4:$C$135)*LK_GradeDerivation!$D$4:$D$135),1)</f>
        <v>2</v>
      </c>
      <c r="Q175" s="61">
        <f>IFERROR(SUMPRODUCT((LK_GradeDerivation!$A$4:$A$135=N175)*(IF(O175="",0,O175)&gt;=LK_GradeDerivation!$B$4:$B$135)*(IF(O175="",0,O175)&lt;=LK_GradeDerivation!$C$4:$C$135)*LK_GradeDerivation!$E$4:$E$135),1)</f>
        <v>6</v>
      </c>
      <c r="R175" s="59" t="s">
        <v>2511</v>
      </c>
      <c r="S175" s="59" t="s">
        <v>2512</v>
      </c>
      <c r="T175" s="59" t="s">
        <v>859</v>
      </c>
      <c r="U175" s="59" t="s">
        <v>1009</v>
      </c>
      <c r="V175" s="59" t="s">
        <v>763</v>
      </c>
      <c r="W175" s="59" t="s">
        <v>285</v>
      </c>
      <c r="X175" s="59" t="s">
        <v>368</v>
      </c>
      <c r="Y175" s="59" t="s">
        <v>375</v>
      </c>
      <c r="Z175" s="64" t="str">
        <f>IFERROR(VLOOKUP(T175,LK_OrgMaster!$B$4:$H$89,5,FALSE()),"Administration")</f>
        <v>Technical</v>
      </c>
      <c r="AA175" s="65" t="str">
        <f>IFERROR(VLOOKUP(X175,LK_LocationMaster!$D$4:$G$157,4,FALSE()),"No")</f>
        <v>No</v>
      </c>
      <c r="AB175" s="65" t="str">
        <f t="shared" si="10"/>
        <v>No</v>
      </c>
      <c r="AC175" s="65" t="str">
        <f>IFERROR(VLOOKUP(X175,LK_LocationMaster!$D$4:$H$157,5,FALSE()),"No")</f>
        <v>No</v>
      </c>
      <c r="AD175" s="59" t="s">
        <v>2513</v>
      </c>
      <c r="AE175" s="59" t="s">
        <v>765</v>
      </c>
      <c r="AF175" s="59" t="s">
        <v>801</v>
      </c>
      <c r="AG175" s="59" t="s">
        <v>340</v>
      </c>
      <c r="AH175" s="59" t="s">
        <v>2514</v>
      </c>
      <c r="AI175" s="59" t="s">
        <v>285</v>
      </c>
      <c r="AJ175" s="59" t="s">
        <v>768</v>
      </c>
      <c r="AK175" s="59" t="s">
        <v>803</v>
      </c>
      <c r="AL175" s="64" t="str">
        <f>IFERROR(INDEX(LK_BankMaster!$D$4:$D$23,MATCH(AJ175&amp;"|"&amp;AK175,LK_BankMaster!$H$4:$H$23,0)),"")</f>
        <v/>
      </c>
      <c r="AM175" s="59" t="s">
        <v>2515</v>
      </c>
      <c r="AN175" s="64" t="str">
        <f>IFERROR(VLOOKUP(AJ175,LK_BankMaster!$A$4:$E$23,5,FALSE()),"")</f>
        <v/>
      </c>
      <c r="AO175" s="59" t="s">
        <v>314</v>
      </c>
      <c r="AP175" s="66">
        <v>1</v>
      </c>
      <c r="AQ175" s="64" t="str">
        <f t="shared" si="11"/>
        <v>Position Allowance - General Staff</v>
      </c>
      <c r="AR175" s="65" t="str">
        <f>IFERROR(VLOOKUP(T175,LK_OrgMaster!$B$4:$G$89,6,FALSE()),"No")</f>
        <v>No</v>
      </c>
      <c r="AS175" s="64" t="str">
        <f>IFERROR(VLOOKUP(T175,LK_OrgMaster!$B$4:$H$89,7,FALSE()),"None")</f>
        <v>None</v>
      </c>
      <c r="AT175" s="70">
        <v>44706</v>
      </c>
      <c r="AU175" s="70"/>
      <c r="AV175" s="70">
        <v>44706</v>
      </c>
      <c r="AW175" s="70">
        <v>46023</v>
      </c>
      <c r="AX175" s="71" t="s">
        <v>750</v>
      </c>
      <c r="AY175" s="72" t="s">
        <v>6260</v>
      </c>
    </row>
    <row r="176" spans="1:51" ht="15" customHeight="1" x14ac:dyDescent="0.3">
      <c r="A176" s="59" t="s">
        <v>2516</v>
      </c>
      <c r="B176" s="59" t="s">
        <v>729</v>
      </c>
      <c r="C176" s="59" t="s">
        <v>2517</v>
      </c>
      <c r="D176" s="59" t="s">
        <v>1352</v>
      </c>
      <c r="E176" s="59" t="s">
        <v>732</v>
      </c>
      <c r="F176" s="60">
        <v>36296</v>
      </c>
      <c r="G176" s="59" t="s">
        <v>2518</v>
      </c>
      <c r="H176" s="59" t="s">
        <v>2519</v>
      </c>
      <c r="I176" s="60">
        <v>33120</v>
      </c>
      <c r="J176" s="61">
        <f t="shared" ca="1" si="8"/>
        <v>35</v>
      </c>
      <c r="K176" s="62">
        <f t="shared" si="9"/>
        <v>58211</v>
      </c>
      <c r="L176" s="59" t="s">
        <v>735</v>
      </c>
      <c r="M176" s="59" t="s">
        <v>1020</v>
      </c>
      <c r="N176" s="59" t="s">
        <v>737</v>
      </c>
      <c r="O176" s="63">
        <v>0</v>
      </c>
      <c r="P176" s="61">
        <f>IFERROR(SUMPRODUCT((LK_GradeDerivation!$A$4:$A$135=N176)*(IF(O176="",0,O176)&gt;=LK_GradeDerivation!$B$4:$B$135)*(IF(O176="",0,O176)&lt;=LK_GradeDerivation!$C$4:$C$135)*LK_GradeDerivation!$D$4:$D$135),1)</f>
        <v>4</v>
      </c>
      <c r="Q176" s="61">
        <f>IFERROR(SUMPRODUCT((LK_GradeDerivation!$A$4:$A$135=N176)*(IF(O176="",0,O176)&gt;=LK_GradeDerivation!$B$4:$B$135)*(IF(O176="",0,O176)&lt;=LK_GradeDerivation!$C$4:$C$135)*LK_GradeDerivation!$E$4:$E$135),1)</f>
        <v>1</v>
      </c>
      <c r="R176" s="59" t="s">
        <v>2520</v>
      </c>
      <c r="S176" s="59" t="s">
        <v>2521</v>
      </c>
      <c r="T176" s="59" t="s">
        <v>896</v>
      </c>
      <c r="U176" s="59" t="s">
        <v>897</v>
      </c>
      <c r="V176" s="59" t="s">
        <v>898</v>
      </c>
      <c r="W176" s="59" t="s">
        <v>285</v>
      </c>
      <c r="X176" s="59" t="s">
        <v>288</v>
      </c>
      <c r="Y176" s="59" t="s">
        <v>302</v>
      </c>
      <c r="Z176" s="64" t="str">
        <f>IFERROR(VLOOKUP(T176,LK_OrgMaster!$B$4:$H$89,5,FALSE()),"Administration")</f>
        <v>Administration</v>
      </c>
      <c r="AA176" s="65" t="str">
        <f>IFERROR(VLOOKUP(X176,LK_LocationMaster!$D$4:$G$157,4,FALSE()),"No")</f>
        <v>No</v>
      </c>
      <c r="AB176" s="65" t="str">
        <f t="shared" si="10"/>
        <v>No</v>
      </c>
      <c r="AC176" s="65" t="str">
        <f>IFERROR(VLOOKUP(X176,LK_LocationMaster!$D$4:$H$157,5,FALSE()),"No")</f>
        <v>No</v>
      </c>
      <c r="AD176" s="59" t="s">
        <v>2522</v>
      </c>
      <c r="AE176" s="59" t="s">
        <v>886</v>
      </c>
      <c r="AF176" s="59" t="s">
        <v>984</v>
      </c>
      <c r="AG176" s="59" t="s">
        <v>340</v>
      </c>
      <c r="AH176" s="59" t="s">
        <v>2523</v>
      </c>
      <c r="AI176" s="59" t="s">
        <v>285</v>
      </c>
      <c r="AJ176" s="59" t="s">
        <v>833</v>
      </c>
      <c r="AK176" s="59" t="s">
        <v>834</v>
      </c>
      <c r="AL176" s="64" t="str">
        <f>IFERROR(INDEX(LK_BankMaster!$D$4:$D$23,MATCH(AJ176&amp;"|"&amp;AK176,LK_BankMaster!$H$4:$H$23,0)),"")</f>
        <v/>
      </c>
      <c r="AM176" s="59" t="s">
        <v>2524</v>
      </c>
      <c r="AN176" s="64" t="str">
        <f>IFERROR(VLOOKUP(AJ176,LK_BankMaster!$A$4:$E$23,5,FALSE()),"")</f>
        <v/>
      </c>
      <c r="AO176" s="59" t="s">
        <v>291</v>
      </c>
      <c r="AP176" s="66">
        <v>0</v>
      </c>
      <c r="AQ176" s="64" t="str">
        <f t="shared" si="11"/>
        <v>Position Allowance - Section Chief</v>
      </c>
      <c r="AR176" s="65" t="str">
        <f>IFERROR(VLOOKUP(T176,LK_OrgMaster!$B$4:$G$89,6,FALSE()),"No")</f>
        <v>No</v>
      </c>
      <c r="AS176" s="64" t="str">
        <f>IFERROR(VLOOKUP(T176,LK_OrgMaster!$B$4:$H$89,7,FALSE()),"None")</f>
        <v>None</v>
      </c>
      <c r="AT176" s="67">
        <v>33120</v>
      </c>
      <c r="AU176" s="67"/>
      <c r="AV176" s="67">
        <v>33120</v>
      </c>
      <c r="AW176" s="67">
        <v>46023</v>
      </c>
      <c r="AX176" s="68" t="s">
        <v>750</v>
      </c>
      <c r="AY176" s="69" t="s">
        <v>6260</v>
      </c>
    </row>
    <row r="177" spans="1:51" ht="15" customHeight="1" x14ac:dyDescent="0.3">
      <c r="A177" s="59" t="s">
        <v>2525</v>
      </c>
      <c r="B177" s="59" t="s">
        <v>752</v>
      </c>
      <c r="C177" s="59" t="s">
        <v>2143</v>
      </c>
      <c r="D177" s="59" t="s">
        <v>823</v>
      </c>
      <c r="E177" s="59" t="s">
        <v>732</v>
      </c>
      <c r="F177" s="60">
        <v>33679</v>
      </c>
      <c r="G177" s="59" t="s">
        <v>2144</v>
      </c>
      <c r="H177" s="59" t="s">
        <v>2526</v>
      </c>
      <c r="I177" s="60">
        <v>37295</v>
      </c>
      <c r="J177" s="61">
        <f t="shared" ca="1" si="8"/>
        <v>24</v>
      </c>
      <c r="K177" s="62">
        <f t="shared" si="9"/>
        <v>55594</v>
      </c>
      <c r="L177" s="59" t="s">
        <v>735</v>
      </c>
      <c r="M177" s="59" t="s">
        <v>1020</v>
      </c>
      <c r="N177" s="59" t="s">
        <v>758</v>
      </c>
      <c r="O177" s="63">
        <v>0</v>
      </c>
      <c r="P177" s="61">
        <f>IFERROR(SUMPRODUCT((LK_GradeDerivation!$A$4:$A$135=N177)*(IF(O177="",0,O177)&gt;=LK_GradeDerivation!$B$4:$B$135)*(IF(O177="",0,O177)&lt;=LK_GradeDerivation!$C$4:$C$135)*LK_GradeDerivation!$D$4:$D$135),1)</f>
        <v>5</v>
      </c>
      <c r="Q177" s="61">
        <f>IFERROR(SUMPRODUCT((LK_GradeDerivation!$A$4:$A$135=N177)*(IF(O177="",0,O177)&gt;=LK_GradeDerivation!$B$4:$B$135)*(IF(O177="",0,O177)&lt;=LK_GradeDerivation!$C$4:$C$135)*LK_GradeDerivation!$E$4:$E$135),1)</f>
        <v>1</v>
      </c>
      <c r="R177" s="59" t="s">
        <v>2527</v>
      </c>
      <c r="S177" s="59" t="s">
        <v>2528</v>
      </c>
      <c r="T177" s="59" t="s">
        <v>1084</v>
      </c>
      <c r="U177" s="59" t="s">
        <v>1687</v>
      </c>
      <c r="V177" s="59" t="s">
        <v>2065</v>
      </c>
      <c r="W177" s="59" t="s">
        <v>285</v>
      </c>
      <c r="X177" s="59" t="s">
        <v>429</v>
      </c>
      <c r="Y177" s="59" t="s">
        <v>441</v>
      </c>
      <c r="Z177" s="64" t="str">
        <f>IFERROR(VLOOKUP(T177,LK_OrgMaster!$B$4:$H$89,5,FALSE()),"Administration")</f>
        <v>Finance</v>
      </c>
      <c r="AA177" s="65" t="str">
        <f>IFERROR(VLOOKUP(X177,LK_LocationMaster!$D$4:$G$157,4,FALSE()),"No")</f>
        <v>Yes</v>
      </c>
      <c r="AB177" s="65" t="str">
        <f t="shared" si="10"/>
        <v>No</v>
      </c>
      <c r="AC177" s="65" t="str">
        <f>IFERROR(VLOOKUP(X177,LK_LocationMaster!$D$4:$H$157,5,FALSE()),"No")</f>
        <v>Yes</v>
      </c>
      <c r="AD177" s="59" t="s">
        <v>2529</v>
      </c>
      <c r="AE177" s="59" t="s">
        <v>886</v>
      </c>
      <c r="AF177" s="59" t="s">
        <v>766</v>
      </c>
      <c r="AG177" s="59" t="s">
        <v>329</v>
      </c>
      <c r="AH177" s="59" t="s">
        <v>2530</v>
      </c>
      <c r="AI177" s="59" t="s">
        <v>285</v>
      </c>
      <c r="AJ177" s="59" t="s">
        <v>788</v>
      </c>
      <c r="AK177" s="59" t="s">
        <v>1877</v>
      </c>
      <c r="AL177" s="64" t="str">
        <f>IFERROR(INDEX(LK_BankMaster!$D$4:$D$23,MATCH(AJ177&amp;"|"&amp;AK177,LK_BankMaster!$H$4:$H$23,0)),"")</f>
        <v/>
      </c>
      <c r="AM177" s="59" t="s">
        <v>2531</v>
      </c>
      <c r="AN177" s="64" t="str">
        <f>IFERROR(VLOOKUP(AJ177,LK_BankMaster!$A$4:$E$23,5,FALSE()),"")</f>
        <v/>
      </c>
      <c r="AO177" s="59" t="s">
        <v>291</v>
      </c>
      <c r="AP177" s="66">
        <v>0</v>
      </c>
      <c r="AQ177" s="64" t="str">
        <f t="shared" si="11"/>
        <v>Position Allowance - Section Chief</v>
      </c>
      <c r="AR177" s="65" t="str">
        <f>IFERROR(VLOOKUP(T177,LK_OrgMaster!$B$4:$G$89,6,FALSE()),"No")</f>
        <v>No</v>
      </c>
      <c r="AS177" s="64" t="str">
        <f>IFERROR(VLOOKUP(T177,LK_OrgMaster!$B$4:$H$89,7,FALSE()),"None")</f>
        <v>None</v>
      </c>
      <c r="AT177" s="70">
        <v>37295</v>
      </c>
      <c r="AU177" s="70"/>
      <c r="AV177" s="70">
        <v>37295</v>
      </c>
      <c r="AW177" s="70">
        <v>46023</v>
      </c>
      <c r="AX177" s="71" t="s">
        <v>750</v>
      </c>
      <c r="AY177" s="72" t="s">
        <v>6260</v>
      </c>
    </row>
    <row r="178" spans="1:51" ht="15" customHeight="1" x14ac:dyDescent="0.3">
      <c r="A178" s="59" t="s">
        <v>2532</v>
      </c>
      <c r="B178" s="59" t="s">
        <v>772</v>
      </c>
      <c r="C178" s="59" t="s">
        <v>1149</v>
      </c>
      <c r="D178" s="59" t="s">
        <v>1066</v>
      </c>
      <c r="E178" s="59" t="s">
        <v>775</v>
      </c>
      <c r="F178" s="60">
        <v>31277</v>
      </c>
      <c r="G178" s="59" t="s">
        <v>2533</v>
      </c>
      <c r="H178" s="59" t="s">
        <v>2534</v>
      </c>
      <c r="I178" s="60">
        <v>45161</v>
      </c>
      <c r="J178" s="61">
        <f t="shared" ca="1" si="8"/>
        <v>2</v>
      </c>
      <c r="K178" s="62">
        <f t="shared" si="9"/>
        <v>53192</v>
      </c>
      <c r="L178" s="59" t="s">
        <v>735</v>
      </c>
      <c r="M178" s="59" t="s">
        <v>1912</v>
      </c>
      <c r="N178" s="59" t="s">
        <v>779</v>
      </c>
      <c r="O178" s="63">
        <v>20</v>
      </c>
      <c r="P178" s="61">
        <f>IFERROR(SUMPRODUCT((LK_GradeDerivation!$A$4:$A$135=N178)*(IF(O178="",0,O178)&gt;=LK_GradeDerivation!$B$4:$B$135)*(IF(O178="",0,O178)&lt;=LK_GradeDerivation!$C$4:$C$135)*LK_GradeDerivation!$D$4:$D$135),1)</f>
        <v>2</v>
      </c>
      <c r="Q178" s="61">
        <f>IFERROR(SUMPRODUCT((LK_GradeDerivation!$A$4:$A$135=N178)*(IF(O178="",0,O178)&gt;=LK_GradeDerivation!$B$4:$B$135)*(IF(O178="",0,O178)&lt;=LK_GradeDerivation!$C$4:$C$135)*LK_GradeDerivation!$E$4:$E$135),1)</f>
        <v>11</v>
      </c>
      <c r="R178" s="59" t="s">
        <v>2535</v>
      </c>
      <c r="S178" s="59" t="s">
        <v>2536</v>
      </c>
      <c r="T178" s="59" t="s">
        <v>782</v>
      </c>
      <c r="U178" s="59" t="s">
        <v>1772</v>
      </c>
      <c r="V178" s="59" t="s">
        <v>2537</v>
      </c>
      <c r="W178" s="59" t="s">
        <v>285</v>
      </c>
      <c r="X178" s="59" t="s">
        <v>554</v>
      </c>
      <c r="Y178" s="59" t="s">
        <v>562</v>
      </c>
      <c r="Z178" s="64" t="str">
        <f>IFERROR(VLOOKUP(T178,LK_OrgMaster!$B$4:$H$89,5,FALSE()),"Administration")</f>
        <v>Medical</v>
      </c>
      <c r="AA178" s="65" t="str">
        <f>IFERROR(VLOOKUP(X178,LK_LocationMaster!$D$4:$G$157,4,FALSE()),"No")</f>
        <v>No</v>
      </c>
      <c r="AB178" s="65" t="str">
        <f t="shared" si="10"/>
        <v>No</v>
      </c>
      <c r="AC178" s="65" t="str">
        <f>IFERROR(VLOOKUP(X178,LK_LocationMaster!$D$4:$H$157,5,FALSE()),"No")</f>
        <v>No</v>
      </c>
      <c r="AD178" s="59" t="s">
        <v>2538</v>
      </c>
      <c r="AE178" s="59" t="s">
        <v>765</v>
      </c>
      <c r="AF178" s="59" t="s">
        <v>801</v>
      </c>
      <c r="AG178" s="59" t="s">
        <v>329</v>
      </c>
      <c r="AH178" s="59" t="s">
        <v>2539</v>
      </c>
      <c r="AI178" s="59" t="s">
        <v>285</v>
      </c>
      <c r="AJ178" s="59" t="s">
        <v>747</v>
      </c>
      <c r="AK178" s="59" t="s">
        <v>748</v>
      </c>
      <c r="AL178" s="64" t="str">
        <f>IFERROR(INDEX(LK_BankMaster!$D$4:$D$23,MATCH(AJ178&amp;"|"&amp;AK178,LK_BankMaster!$H$4:$H$23,0)),"")</f>
        <v/>
      </c>
      <c r="AM178" s="59" t="s">
        <v>2540</v>
      </c>
      <c r="AN178" s="64" t="str">
        <f>IFERROR(VLOOKUP(AJ178,LK_BankMaster!$A$4:$E$23,5,FALSE()),"")</f>
        <v/>
      </c>
      <c r="AO178" s="59" t="s">
        <v>314</v>
      </c>
      <c r="AP178" s="66">
        <v>3</v>
      </c>
      <c r="AQ178" s="64" t="str">
        <f t="shared" si="11"/>
        <v>Position Allowance - General Staff</v>
      </c>
      <c r="AR178" s="65" t="str">
        <f>IFERROR(VLOOKUP(T178,LK_OrgMaster!$B$4:$G$89,6,FALSE()),"No")</f>
        <v>No</v>
      </c>
      <c r="AS178" s="64" t="str">
        <f>IFERROR(VLOOKUP(T178,LK_OrgMaster!$B$4:$H$89,7,FALSE()),"None")</f>
        <v>Medical</v>
      </c>
      <c r="AT178" s="67">
        <v>45161</v>
      </c>
      <c r="AU178" s="67"/>
      <c r="AV178" s="67">
        <v>45161</v>
      </c>
      <c r="AW178" s="67">
        <v>46023</v>
      </c>
      <c r="AX178" s="68" t="s">
        <v>750</v>
      </c>
      <c r="AY178" s="69" t="s">
        <v>6260</v>
      </c>
    </row>
    <row r="179" spans="1:51" ht="15" customHeight="1" x14ac:dyDescent="0.3">
      <c r="A179" s="59" t="s">
        <v>2541</v>
      </c>
      <c r="B179" s="59" t="s">
        <v>772</v>
      </c>
      <c r="C179" s="59" t="s">
        <v>2542</v>
      </c>
      <c r="D179" s="59" t="s">
        <v>1172</v>
      </c>
      <c r="E179" s="59" t="s">
        <v>732</v>
      </c>
      <c r="F179" s="60">
        <v>33049</v>
      </c>
      <c r="G179" s="59" t="s">
        <v>2543</v>
      </c>
      <c r="H179" s="59" t="s">
        <v>2544</v>
      </c>
      <c r="I179" s="60">
        <v>45593</v>
      </c>
      <c r="J179" s="61">
        <f t="shared" ca="1" si="8"/>
        <v>1</v>
      </c>
      <c r="K179" s="62">
        <f t="shared" si="9"/>
        <v>54964</v>
      </c>
      <c r="L179" s="59" t="s">
        <v>735</v>
      </c>
      <c r="M179" s="59" t="s">
        <v>2545</v>
      </c>
      <c r="N179" s="59" t="s">
        <v>758</v>
      </c>
      <c r="O179" s="63">
        <v>9</v>
      </c>
      <c r="P179" s="61">
        <f>IFERROR(SUMPRODUCT((LK_GradeDerivation!$A$4:$A$135=N179)*(IF(O179="",0,O179)&gt;=LK_GradeDerivation!$B$4:$B$135)*(IF(O179="",0,O179)&lt;=LK_GradeDerivation!$C$4:$C$135)*LK_GradeDerivation!$D$4:$D$135),1)</f>
        <v>5</v>
      </c>
      <c r="Q179" s="61">
        <f>IFERROR(SUMPRODUCT((LK_GradeDerivation!$A$4:$A$135=N179)*(IF(O179="",0,O179)&gt;=LK_GradeDerivation!$B$4:$B$135)*(IF(O179="",0,O179)&lt;=LK_GradeDerivation!$C$4:$C$135)*LK_GradeDerivation!$E$4:$E$135),1)</f>
        <v>5</v>
      </c>
      <c r="R179" s="59" t="s">
        <v>2546</v>
      </c>
      <c r="S179" s="59" t="s">
        <v>2547</v>
      </c>
      <c r="T179" s="59" t="s">
        <v>782</v>
      </c>
      <c r="U179" s="59" t="s">
        <v>1191</v>
      </c>
      <c r="V179" s="59" t="s">
        <v>1192</v>
      </c>
      <c r="W179" s="59" t="s">
        <v>285</v>
      </c>
      <c r="X179" s="59" t="s">
        <v>463</v>
      </c>
      <c r="Y179" s="59" t="s">
        <v>475</v>
      </c>
      <c r="Z179" s="64" t="str">
        <f>IFERROR(VLOOKUP(T179,LK_OrgMaster!$B$4:$H$89,5,FALSE()),"Administration")</f>
        <v>Medical</v>
      </c>
      <c r="AA179" s="65" t="str">
        <f>IFERROR(VLOOKUP(X179,LK_LocationMaster!$D$4:$G$157,4,FALSE()),"No")</f>
        <v>No</v>
      </c>
      <c r="AB179" s="65" t="str">
        <f t="shared" si="10"/>
        <v>No</v>
      </c>
      <c r="AC179" s="65" t="str">
        <f>IFERROR(VLOOKUP(X179,LK_LocationMaster!$D$4:$H$157,5,FALSE()),"No")</f>
        <v>No</v>
      </c>
      <c r="AD179" s="59" t="s">
        <v>1390</v>
      </c>
      <c r="AE179" s="59" t="s">
        <v>886</v>
      </c>
      <c r="AF179" s="59" t="s">
        <v>847</v>
      </c>
      <c r="AG179" s="59" t="s">
        <v>356</v>
      </c>
      <c r="AH179" s="59" t="s">
        <v>2548</v>
      </c>
      <c r="AI179" s="59" t="s">
        <v>285</v>
      </c>
      <c r="AJ179" s="59" t="s">
        <v>788</v>
      </c>
      <c r="AK179" s="59" t="s">
        <v>1221</v>
      </c>
      <c r="AL179" s="64" t="str">
        <f>IFERROR(INDEX(LK_BankMaster!$D$4:$D$23,MATCH(AJ179&amp;"|"&amp;AK179,LK_BankMaster!$H$4:$H$23,0)),"")</f>
        <v/>
      </c>
      <c r="AM179" s="59" t="s">
        <v>2549</v>
      </c>
      <c r="AN179" s="64" t="str">
        <f>IFERROR(VLOOKUP(AJ179,LK_BankMaster!$A$4:$E$23,5,FALSE()),"")</f>
        <v/>
      </c>
      <c r="AO179" s="59" t="s">
        <v>314</v>
      </c>
      <c r="AP179" s="66">
        <v>3</v>
      </c>
      <c r="AQ179" s="64" t="str">
        <f t="shared" si="11"/>
        <v>Position Allowance - General Staff</v>
      </c>
      <c r="AR179" s="65" t="str">
        <f>IFERROR(VLOOKUP(T179,LK_OrgMaster!$B$4:$G$89,6,FALSE()),"No")</f>
        <v>No</v>
      </c>
      <c r="AS179" s="64" t="str">
        <f>IFERROR(VLOOKUP(T179,LK_OrgMaster!$B$4:$H$89,7,FALSE()),"None")</f>
        <v>Medical</v>
      </c>
      <c r="AT179" s="70">
        <v>45593</v>
      </c>
      <c r="AU179" s="70"/>
      <c r="AV179" s="70">
        <v>45593</v>
      </c>
      <c r="AW179" s="70">
        <v>46023</v>
      </c>
      <c r="AX179" s="71" t="s">
        <v>750</v>
      </c>
      <c r="AY179" s="72" t="s">
        <v>6260</v>
      </c>
    </row>
    <row r="180" spans="1:51" ht="15" customHeight="1" x14ac:dyDescent="0.3">
      <c r="A180" s="59" t="s">
        <v>2550</v>
      </c>
      <c r="B180" s="59" t="s">
        <v>851</v>
      </c>
      <c r="C180" s="59" t="s">
        <v>792</v>
      </c>
      <c r="D180" s="59" t="s">
        <v>1042</v>
      </c>
      <c r="E180" s="59" t="s">
        <v>775</v>
      </c>
      <c r="F180" s="60">
        <v>32839</v>
      </c>
      <c r="G180" s="59" t="s">
        <v>1869</v>
      </c>
      <c r="H180" s="59" t="s">
        <v>2551</v>
      </c>
      <c r="I180" s="60">
        <v>43484</v>
      </c>
      <c r="J180" s="61">
        <f t="shared" ca="1" si="8"/>
        <v>7</v>
      </c>
      <c r="K180" s="62">
        <f t="shared" si="9"/>
        <v>54754</v>
      </c>
      <c r="L180" s="59" t="s">
        <v>735</v>
      </c>
      <c r="M180" s="59" t="s">
        <v>937</v>
      </c>
      <c r="N180" s="59" t="s">
        <v>758</v>
      </c>
      <c r="O180" s="63">
        <v>4</v>
      </c>
      <c r="P180" s="61">
        <f>IFERROR(SUMPRODUCT((LK_GradeDerivation!$A$4:$A$135=N180)*(IF(O180="",0,O180)&gt;=LK_GradeDerivation!$B$4:$B$135)*(IF(O180="",0,O180)&lt;=LK_GradeDerivation!$C$4:$C$135)*LK_GradeDerivation!$D$4:$D$135),1)</f>
        <v>5</v>
      </c>
      <c r="Q180" s="61">
        <f>IFERROR(SUMPRODUCT((LK_GradeDerivation!$A$4:$A$135=N180)*(IF(O180="",0,O180)&gt;=LK_GradeDerivation!$B$4:$B$135)*(IF(O180="",0,O180)&lt;=LK_GradeDerivation!$C$4:$C$135)*LK_GradeDerivation!$E$4:$E$135),1)</f>
        <v>3</v>
      </c>
      <c r="R180" s="59" t="s">
        <v>2552</v>
      </c>
      <c r="S180" s="59" t="s">
        <v>2553</v>
      </c>
      <c r="T180" s="59" t="s">
        <v>1058</v>
      </c>
      <c r="U180" s="59" t="s">
        <v>2438</v>
      </c>
      <c r="V180" s="59" t="s">
        <v>2554</v>
      </c>
      <c r="W180" s="59" t="s">
        <v>285</v>
      </c>
      <c r="X180" s="59" t="s">
        <v>554</v>
      </c>
      <c r="Y180" s="59" t="s">
        <v>571</v>
      </c>
      <c r="Z180" s="64" t="str">
        <f>IFERROR(VLOOKUP(T180,LK_OrgMaster!$B$4:$H$89,5,FALSE()),"Administration")</f>
        <v>Technical</v>
      </c>
      <c r="AA180" s="65" t="str">
        <f>IFERROR(VLOOKUP(X180,LK_LocationMaster!$D$4:$G$157,4,FALSE()),"No")</f>
        <v>No</v>
      </c>
      <c r="AB180" s="65" t="str">
        <f t="shared" si="10"/>
        <v>No</v>
      </c>
      <c r="AC180" s="65" t="str">
        <f>IFERROR(VLOOKUP(X180,LK_LocationMaster!$D$4:$H$157,5,FALSE()),"No")</f>
        <v>No</v>
      </c>
      <c r="AD180" s="59" t="s">
        <v>2555</v>
      </c>
      <c r="AE180" s="59" t="s">
        <v>930</v>
      </c>
      <c r="AF180" s="59" t="s">
        <v>801</v>
      </c>
      <c r="AG180" s="59" t="s">
        <v>340</v>
      </c>
      <c r="AH180" s="59" t="s">
        <v>2556</v>
      </c>
      <c r="AI180" s="59" t="s">
        <v>285</v>
      </c>
      <c r="AJ180" s="59" t="s">
        <v>747</v>
      </c>
      <c r="AK180" s="59" t="s">
        <v>748</v>
      </c>
      <c r="AL180" s="64" t="str">
        <f>IFERROR(INDEX(LK_BankMaster!$D$4:$D$23,MATCH(AJ180&amp;"|"&amp;AK180,LK_BankMaster!$H$4:$H$23,0)),"")</f>
        <v/>
      </c>
      <c r="AM180" s="59" t="s">
        <v>2557</v>
      </c>
      <c r="AN180" s="64" t="str">
        <f>IFERROR(VLOOKUP(AJ180,LK_BankMaster!$A$4:$E$23,5,FALSE()),"")</f>
        <v/>
      </c>
      <c r="AO180" s="59" t="s">
        <v>314</v>
      </c>
      <c r="AP180" s="66">
        <v>3</v>
      </c>
      <c r="AQ180" s="64" t="str">
        <f t="shared" si="11"/>
        <v>Position Allowance - General Staff</v>
      </c>
      <c r="AR180" s="65" t="str">
        <f>IFERROR(VLOOKUP(T180,LK_OrgMaster!$B$4:$G$89,6,FALSE()),"No")</f>
        <v>No</v>
      </c>
      <c r="AS180" s="64" t="str">
        <f>IFERROR(VLOOKUP(T180,LK_OrgMaster!$B$4:$H$89,7,FALSE()),"None")</f>
        <v>None</v>
      </c>
      <c r="AT180" s="67">
        <v>43484</v>
      </c>
      <c r="AU180" s="67"/>
      <c r="AV180" s="67">
        <v>43484</v>
      </c>
      <c r="AW180" s="67">
        <v>46023</v>
      </c>
      <c r="AX180" s="68" t="s">
        <v>750</v>
      </c>
      <c r="AY180" s="69" t="s">
        <v>6260</v>
      </c>
    </row>
    <row r="181" spans="1:51" ht="15" customHeight="1" x14ac:dyDescent="0.3">
      <c r="A181" s="59" t="s">
        <v>2558</v>
      </c>
      <c r="B181" s="59" t="s">
        <v>772</v>
      </c>
      <c r="C181" s="59" t="s">
        <v>1859</v>
      </c>
      <c r="D181" s="59" t="s">
        <v>1160</v>
      </c>
      <c r="E181" s="59" t="s">
        <v>732</v>
      </c>
      <c r="F181" s="60">
        <v>35677</v>
      </c>
      <c r="G181" s="59" t="s">
        <v>2559</v>
      </c>
      <c r="H181" s="59" t="s">
        <v>2560</v>
      </c>
      <c r="I181" s="60">
        <v>38755</v>
      </c>
      <c r="J181" s="61">
        <f t="shared" ca="1" si="8"/>
        <v>20</v>
      </c>
      <c r="K181" s="62">
        <f t="shared" si="9"/>
        <v>57592</v>
      </c>
      <c r="L181" s="59" t="s">
        <v>735</v>
      </c>
      <c r="M181" s="59" t="s">
        <v>826</v>
      </c>
      <c r="N181" s="59" t="s">
        <v>737</v>
      </c>
      <c r="O181" s="63">
        <v>0</v>
      </c>
      <c r="P181" s="61">
        <f>IFERROR(SUMPRODUCT((LK_GradeDerivation!$A$4:$A$135=N181)*(IF(O181="",0,O181)&gt;=LK_GradeDerivation!$B$4:$B$135)*(IF(O181="",0,O181)&lt;=LK_GradeDerivation!$C$4:$C$135)*LK_GradeDerivation!$D$4:$D$135),1)</f>
        <v>4</v>
      </c>
      <c r="Q181" s="61">
        <f>IFERROR(SUMPRODUCT((LK_GradeDerivation!$A$4:$A$135=N181)*(IF(O181="",0,O181)&gt;=LK_GradeDerivation!$B$4:$B$135)*(IF(O181="",0,O181)&lt;=LK_GradeDerivation!$C$4:$C$135)*LK_GradeDerivation!$E$4:$E$135),1)</f>
        <v>1</v>
      </c>
      <c r="R181" s="59" t="s">
        <v>2561</v>
      </c>
      <c r="S181" s="59" t="s">
        <v>2562</v>
      </c>
      <c r="T181" s="59" t="s">
        <v>782</v>
      </c>
      <c r="U181" s="59" t="s">
        <v>1191</v>
      </c>
      <c r="V181" s="59" t="s">
        <v>1991</v>
      </c>
      <c r="W181" s="59" t="s">
        <v>285</v>
      </c>
      <c r="X181" s="59" t="s">
        <v>391</v>
      </c>
      <c r="Y181" s="59" t="s">
        <v>402</v>
      </c>
      <c r="Z181" s="64" t="str">
        <f>IFERROR(VLOOKUP(T181,LK_OrgMaster!$B$4:$H$89,5,FALSE()),"Administration")</f>
        <v>Medical</v>
      </c>
      <c r="AA181" s="65" t="str">
        <f>IFERROR(VLOOKUP(X181,LK_LocationMaster!$D$4:$G$157,4,FALSE()),"No")</f>
        <v>Yes</v>
      </c>
      <c r="AB181" s="65" t="str">
        <f t="shared" si="10"/>
        <v>No</v>
      </c>
      <c r="AC181" s="65" t="str">
        <f>IFERROR(VLOOKUP(X181,LK_LocationMaster!$D$4:$H$157,5,FALSE()),"No")</f>
        <v>Yes</v>
      </c>
      <c r="AD181" s="59" t="s">
        <v>2563</v>
      </c>
      <c r="AE181" s="59" t="s">
        <v>1488</v>
      </c>
      <c r="AF181" s="59" t="s">
        <v>901</v>
      </c>
      <c r="AG181" s="59" t="s">
        <v>391</v>
      </c>
      <c r="AH181" s="59" t="s">
        <v>2564</v>
      </c>
      <c r="AI181" s="59" t="s">
        <v>285</v>
      </c>
      <c r="AJ181" s="59" t="s">
        <v>818</v>
      </c>
      <c r="AK181" s="59" t="s">
        <v>819</v>
      </c>
      <c r="AL181" s="64" t="str">
        <f>IFERROR(INDEX(LK_BankMaster!$D$4:$D$23,MATCH(AJ181&amp;"|"&amp;AK181,LK_BankMaster!$H$4:$H$23,0)),"")</f>
        <v/>
      </c>
      <c r="AM181" s="59" t="s">
        <v>2565</v>
      </c>
      <c r="AN181" s="64" t="str">
        <f>IFERROR(VLOOKUP(AJ181,LK_BankMaster!$A$4:$E$23,5,FALSE()),"")</f>
        <v/>
      </c>
      <c r="AO181" s="59" t="s">
        <v>314</v>
      </c>
      <c r="AP181" s="66">
        <v>1</v>
      </c>
      <c r="AQ181" s="64" t="str">
        <f t="shared" si="11"/>
        <v>Position Allowance - General Staff</v>
      </c>
      <c r="AR181" s="65" t="str">
        <f>IFERROR(VLOOKUP(T181,LK_OrgMaster!$B$4:$G$89,6,FALSE()),"No")</f>
        <v>No</v>
      </c>
      <c r="AS181" s="64" t="str">
        <f>IFERROR(VLOOKUP(T181,LK_OrgMaster!$B$4:$H$89,7,FALSE()),"None")</f>
        <v>Medical</v>
      </c>
      <c r="AT181" s="70">
        <v>38755</v>
      </c>
      <c r="AU181" s="70"/>
      <c r="AV181" s="70">
        <v>38755</v>
      </c>
      <c r="AW181" s="70">
        <v>46023</v>
      </c>
      <c r="AX181" s="71" t="s">
        <v>750</v>
      </c>
      <c r="AY181" s="72" t="s">
        <v>6260</v>
      </c>
    </row>
    <row r="182" spans="1:51" ht="15" customHeight="1" x14ac:dyDescent="0.3">
      <c r="A182" s="59" t="s">
        <v>2566</v>
      </c>
      <c r="B182" s="59" t="s">
        <v>772</v>
      </c>
      <c r="C182" s="59" t="s">
        <v>2003</v>
      </c>
      <c r="D182" s="59" t="s">
        <v>947</v>
      </c>
      <c r="E182" s="59" t="s">
        <v>775</v>
      </c>
      <c r="F182" s="60">
        <v>33400</v>
      </c>
      <c r="G182" s="59" t="s">
        <v>2567</v>
      </c>
      <c r="H182" s="59" t="s">
        <v>2568</v>
      </c>
      <c r="I182" s="60">
        <v>33526</v>
      </c>
      <c r="J182" s="61">
        <f t="shared" ca="1" si="8"/>
        <v>34</v>
      </c>
      <c r="K182" s="62">
        <f t="shared" si="9"/>
        <v>55315</v>
      </c>
      <c r="L182" s="59" t="s">
        <v>735</v>
      </c>
      <c r="M182" s="59" t="s">
        <v>1483</v>
      </c>
      <c r="N182" s="59" t="s">
        <v>1081</v>
      </c>
      <c r="O182" s="63">
        <v>0</v>
      </c>
      <c r="P182" s="61">
        <f>IFERROR(SUMPRODUCT((LK_GradeDerivation!$A$4:$A$135=N182)*(IF(O182="",0,O182)&gt;=LK_GradeDerivation!$B$4:$B$135)*(IF(O182="",0,O182)&lt;=LK_GradeDerivation!$C$4:$C$135)*LK_GradeDerivation!$D$4:$D$135),1)</f>
        <v>3</v>
      </c>
      <c r="Q182" s="61">
        <f>IFERROR(SUMPRODUCT((LK_GradeDerivation!$A$4:$A$135=N182)*(IF(O182="",0,O182)&gt;=LK_GradeDerivation!$B$4:$B$135)*(IF(O182="",0,O182)&lt;=LK_GradeDerivation!$C$4:$C$135)*LK_GradeDerivation!$E$4:$E$135),1)</f>
        <v>1</v>
      </c>
      <c r="R182" s="59" t="s">
        <v>2569</v>
      </c>
      <c r="S182" s="59" t="s">
        <v>2570</v>
      </c>
      <c r="T182" s="59" t="s">
        <v>761</v>
      </c>
      <c r="U182" s="59" t="s">
        <v>1942</v>
      </c>
      <c r="V182" s="59" t="s">
        <v>913</v>
      </c>
      <c r="W182" s="59" t="s">
        <v>285</v>
      </c>
      <c r="X182" s="59" t="s">
        <v>288</v>
      </c>
      <c r="Y182" s="59" t="s">
        <v>310</v>
      </c>
      <c r="Z182" s="64" t="str">
        <f>IFERROR(VLOOKUP(T182,LK_OrgMaster!$B$4:$H$89,5,FALSE()),"Administration")</f>
        <v>Administration</v>
      </c>
      <c r="AA182" s="65" t="str">
        <f>IFERROR(VLOOKUP(X182,LK_LocationMaster!$D$4:$G$157,4,FALSE()),"No")</f>
        <v>No</v>
      </c>
      <c r="AB182" s="65" t="str">
        <f t="shared" si="10"/>
        <v>No</v>
      </c>
      <c r="AC182" s="65" t="str">
        <f>IFERROR(VLOOKUP(X182,LK_LocationMaster!$D$4:$H$157,5,FALSE()),"No")</f>
        <v>No</v>
      </c>
      <c r="AD182" s="59" t="s">
        <v>2571</v>
      </c>
      <c r="AE182" s="59" t="s">
        <v>2572</v>
      </c>
      <c r="AF182" s="59" t="s">
        <v>766</v>
      </c>
      <c r="AG182" s="59" t="s">
        <v>368</v>
      </c>
      <c r="AH182" s="59" t="s">
        <v>2573</v>
      </c>
      <c r="AI182" s="59" t="s">
        <v>285</v>
      </c>
      <c r="AJ182" s="59" t="s">
        <v>768</v>
      </c>
      <c r="AK182" s="59" t="s">
        <v>769</v>
      </c>
      <c r="AL182" s="64" t="str">
        <f>IFERROR(INDEX(LK_BankMaster!$D$4:$D$23,MATCH(AJ182&amp;"|"&amp;AK182,LK_BankMaster!$H$4:$H$23,0)),"")</f>
        <v/>
      </c>
      <c r="AM182" s="59" t="s">
        <v>2574</v>
      </c>
      <c r="AN182" s="64" t="str">
        <f>IFERROR(VLOOKUP(AJ182,LK_BankMaster!$A$4:$E$23,5,FALSE()),"")</f>
        <v/>
      </c>
      <c r="AO182" s="59" t="s">
        <v>291</v>
      </c>
      <c r="AP182" s="66">
        <v>0</v>
      </c>
      <c r="AQ182" s="64" t="str">
        <f t="shared" si="11"/>
        <v>Position Allowance - General Staff</v>
      </c>
      <c r="AR182" s="65" t="str">
        <f>IFERROR(VLOOKUP(T182,LK_OrgMaster!$B$4:$G$89,6,FALSE()),"No")</f>
        <v>Yes</v>
      </c>
      <c r="AS182" s="64" t="str">
        <f>IFERROR(VLOOKUP(T182,LK_OrgMaster!$B$4:$H$89,7,FALSE()),"None")</f>
        <v>None</v>
      </c>
      <c r="AT182" s="67">
        <v>33526</v>
      </c>
      <c r="AU182" s="67"/>
      <c r="AV182" s="67">
        <v>33526</v>
      </c>
      <c r="AW182" s="67">
        <v>46023</v>
      </c>
      <c r="AX182" s="68" t="s">
        <v>750</v>
      </c>
      <c r="AY182" s="69" t="s">
        <v>6260</v>
      </c>
    </row>
    <row r="183" spans="1:51" ht="15" customHeight="1" x14ac:dyDescent="0.3">
      <c r="A183" s="59" t="s">
        <v>2575</v>
      </c>
      <c r="B183" s="59" t="s">
        <v>729</v>
      </c>
      <c r="C183" s="59" t="s">
        <v>1553</v>
      </c>
      <c r="D183" s="59" t="s">
        <v>2194</v>
      </c>
      <c r="E183" s="59" t="s">
        <v>732</v>
      </c>
      <c r="F183" s="60">
        <v>36408</v>
      </c>
      <c r="G183" s="59" t="s">
        <v>2576</v>
      </c>
      <c r="H183" s="59" t="s">
        <v>2577</v>
      </c>
      <c r="I183" s="60">
        <v>39356</v>
      </c>
      <c r="J183" s="61">
        <f t="shared" ca="1" si="8"/>
        <v>18</v>
      </c>
      <c r="K183" s="62">
        <f t="shared" si="9"/>
        <v>58323</v>
      </c>
      <c r="L183" s="59" t="s">
        <v>735</v>
      </c>
      <c r="M183" s="59" t="s">
        <v>1201</v>
      </c>
      <c r="N183" s="59" t="s">
        <v>737</v>
      </c>
      <c r="O183" s="63">
        <v>0</v>
      </c>
      <c r="P183" s="61">
        <f>IFERROR(SUMPRODUCT((LK_GradeDerivation!$A$4:$A$135=N183)*(IF(O183="",0,O183)&gt;=LK_GradeDerivation!$B$4:$B$135)*(IF(O183="",0,O183)&lt;=LK_GradeDerivation!$C$4:$C$135)*LK_GradeDerivation!$D$4:$D$135),1)</f>
        <v>4</v>
      </c>
      <c r="Q183" s="61">
        <f>IFERROR(SUMPRODUCT((LK_GradeDerivation!$A$4:$A$135=N183)*(IF(O183="",0,O183)&gt;=LK_GradeDerivation!$B$4:$B$135)*(IF(O183="",0,O183)&lt;=LK_GradeDerivation!$C$4:$C$135)*LK_GradeDerivation!$E$4:$E$135),1)</f>
        <v>1</v>
      </c>
      <c r="R183" s="59" t="s">
        <v>2578</v>
      </c>
      <c r="S183" s="59" t="s">
        <v>2579</v>
      </c>
      <c r="T183" s="59" t="s">
        <v>1096</v>
      </c>
      <c r="U183" s="59" t="s">
        <v>2369</v>
      </c>
      <c r="V183" s="59" t="s">
        <v>2580</v>
      </c>
      <c r="W183" s="59" t="s">
        <v>285</v>
      </c>
      <c r="X183" s="59" t="s">
        <v>443</v>
      </c>
      <c r="Y183" s="59" t="s">
        <v>445</v>
      </c>
      <c r="Z183" s="64" t="str">
        <f>IFERROR(VLOOKUP(T183,LK_OrgMaster!$B$4:$H$89,5,FALSE()),"Administration")</f>
        <v>Administration</v>
      </c>
      <c r="AA183" s="65" t="str">
        <f>IFERROR(VLOOKUP(X183,LK_LocationMaster!$D$4:$G$157,4,FALSE()),"No")</f>
        <v>No</v>
      </c>
      <c r="AB183" s="65" t="str">
        <f t="shared" si="10"/>
        <v>No</v>
      </c>
      <c r="AC183" s="65" t="str">
        <f>IFERROR(VLOOKUP(X183,LK_LocationMaster!$D$4:$H$157,5,FALSE()),"No")</f>
        <v>No</v>
      </c>
      <c r="AD183" s="59" t="s">
        <v>2581</v>
      </c>
      <c r="AE183" s="59" t="s">
        <v>900</v>
      </c>
      <c r="AF183" s="59" t="s">
        <v>766</v>
      </c>
      <c r="AG183" s="59" t="s">
        <v>356</v>
      </c>
      <c r="AH183" s="59" t="s">
        <v>2582</v>
      </c>
      <c r="AI183" s="59" t="s">
        <v>285</v>
      </c>
      <c r="AJ183" s="59" t="s">
        <v>768</v>
      </c>
      <c r="AK183" s="59" t="s">
        <v>1122</v>
      </c>
      <c r="AL183" s="64" t="str">
        <f>IFERROR(INDEX(LK_BankMaster!$D$4:$D$23,MATCH(AJ183&amp;"|"&amp;AK183,LK_BankMaster!$H$4:$H$23,0)),"")</f>
        <v/>
      </c>
      <c r="AM183" s="59" t="s">
        <v>2583</v>
      </c>
      <c r="AN183" s="64" t="str">
        <f>IFERROR(VLOOKUP(AJ183,LK_BankMaster!$A$4:$E$23,5,FALSE()),"")</f>
        <v/>
      </c>
      <c r="AO183" s="59" t="s">
        <v>291</v>
      </c>
      <c r="AP183" s="66">
        <v>0</v>
      </c>
      <c r="AQ183" s="64" t="str">
        <f t="shared" si="11"/>
        <v>Position Allowance - General Staff</v>
      </c>
      <c r="AR183" s="65" t="str">
        <f>IFERROR(VLOOKUP(T183,LK_OrgMaster!$B$4:$G$89,6,FALSE()),"No")</f>
        <v>No</v>
      </c>
      <c r="AS183" s="64" t="str">
        <f>IFERROR(VLOOKUP(T183,LK_OrgMaster!$B$4:$H$89,7,FALSE()),"None")</f>
        <v>None</v>
      </c>
      <c r="AT183" s="70">
        <v>39356</v>
      </c>
      <c r="AU183" s="70"/>
      <c r="AV183" s="70">
        <v>39356</v>
      </c>
      <c r="AW183" s="70">
        <v>46023</v>
      </c>
      <c r="AX183" s="71" t="s">
        <v>750</v>
      </c>
      <c r="AY183" s="72" t="s">
        <v>6260</v>
      </c>
    </row>
    <row r="184" spans="1:51" ht="15" customHeight="1" x14ac:dyDescent="0.3">
      <c r="A184" s="59" t="s">
        <v>2584</v>
      </c>
      <c r="B184" s="59" t="s">
        <v>752</v>
      </c>
      <c r="C184" s="59" t="s">
        <v>730</v>
      </c>
      <c r="D184" s="59" t="s">
        <v>587</v>
      </c>
      <c r="E184" s="59" t="s">
        <v>732</v>
      </c>
      <c r="F184" s="60">
        <v>31535</v>
      </c>
      <c r="G184" s="59" t="s">
        <v>2585</v>
      </c>
      <c r="H184" s="59" t="s">
        <v>2586</v>
      </c>
      <c r="I184" s="60">
        <v>40689</v>
      </c>
      <c r="J184" s="61">
        <f t="shared" ca="1" si="8"/>
        <v>14</v>
      </c>
      <c r="K184" s="62">
        <f t="shared" si="9"/>
        <v>53450</v>
      </c>
      <c r="L184" s="59" t="s">
        <v>735</v>
      </c>
      <c r="M184" s="59" t="s">
        <v>1104</v>
      </c>
      <c r="N184" s="59" t="s">
        <v>1081</v>
      </c>
      <c r="O184" s="63">
        <v>5</v>
      </c>
      <c r="P184" s="61">
        <f>IFERROR(SUMPRODUCT((LK_GradeDerivation!$A$4:$A$135=N184)*(IF(O184="",0,O184)&gt;=LK_GradeDerivation!$B$4:$B$135)*(IF(O184="",0,O184)&lt;=LK_GradeDerivation!$C$4:$C$135)*LK_GradeDerivation!$D$4:$D$135),1)</f>
        <v>3</v>
      </c>
      <c r="Q184" s="61">
        <f>IFERROR(SUMPRODUCT((LK_GradeDerivation!$A$4:$A$135=N184)*(IF(O184="",0,O184)&gt;=LK_GradeDerivation!$B$4:$B$135)*(IF(O184="",0,O184)&lt;=LK_GradeDerivation!$C$4:$C$135)*LK_GradeDerivation!$E$4:$E$135),1)</f>
        <v>3</v>
      </c>
      <c r="R184" s="59" t="s">
        <v>2587</v>
      </c>
      <c r="S184" s="59" t="s">
        <v>2588</v>
      </c>
      <c r="T184" s="59" t="s">
        <v>1023</v>
      </c>
      <c r="U184" s="59" t="s">
        <v>2589</v>
      </c>
      <c r="V184" s="59" t="s">
        <v>2590</v>
      </c>
      <c r="W184" s="59" t="s">
        <v>285</v>
      </c>
      <c r="X184" s="59" t="s">
        <v>391</v>
      </c>
      <c r="Y184" s="59" t="s">
        <v>404</v>
      </c>
      <c r="Z184" s="64" t="str">
        <f>IFERROR(VLOOKUP(T184,LK_OrgMaster!$B$4:$H$89,5,FALSE()),"Administration")</f>
        <v>Technical</v>
      </c>
      <c r="AA184" s="65" t="str">
        <f>IFERROR(VLOOKUP(X184,LK_LocationMaster!$D$4:$G$157,4,FALSE()),"No")</f>
        <v>Yes</v>
      </c>
      <c r="AB184" s="65" t="str">
        <f t="shared" si="10"/>
        <v>No</v>
      </c>
      <c r="AC184" s="65" t="str">
        <f>IFERROR(VLOOKUP(X184,LK_LocationMaster!$D$4:$H$157,5,FALSE()),"No")</f>
        <v>Yes</v>
      </c>
      <c r="AD184" s="59" t="s">
        <v>2591</v>
      </c>
      <c r="AE184" s="59" t="s">
        <v>2592</v>
      </c>
      <c r="AF184" s="59" t="s">
        <v>816</v>
      </c>
      <c r="AG184" s="59" t="s">
        <v>356</v>
      </c>
      <c r="AH184" s="59" t="s">
        <v>2593</v>
      </c>
      <c r="AI184" s="59" t="s">
        <v>285</v>
      </c>
      <c r="AJ184" s="59" t="s">
        <v>788</v>
      </c>
      <c r="AK184" s="59" t="s">
        <v>1460</v>
      </c>
      <c r="AL184" s="64" t="str">
        <f>IFERROR(INDEX(LK_BankMaster!$D$4:$D$23,MATCH(AJ184&amp;"|"&amp;AK184,LK_BankMaster!$H$4:$H$23,0)),"")</f>
        <v/>
      </c>
      <c r="AM184" s="59" t="s">
        <v>2594</v>
      </c>
      <c r="AN184" s="64" t="str">
        <f>IFERROR(VLOOKUP(AJ184,LK_BankMaster!$A$4:$E$23,5,FALSE()),"")</f>
        <v/>
      </c>
      <c r="AO184" s="59" t="s">
        <v>314</v>
      </c>
      <c r="AP184" s="66">
        <v>3</v>
      </c>
      <c r="AQ184" s="64" t="str">
        <f t="shared" si="11"/>
        <v>Position Allowance - General Staff</v>
      </c>
      <c r="AR184" s="65" t="str">
        <f>IFERROR(VLOOKUP(T184,LK_OrgMaster!$B$4:$G$89,6,FALSE()),"No")</f>
        <v>No</v>
      </c>
      <c r="AS184" s="64" t="str">
        <f>IFERROR(VLOOKUP(T184,LK_OrgMaster!$B$4:$H$89,7,FALSE()),"None")</f>
        <v>None</v>
      </c>
      <c r="AT184" s="67">
        <v>40689</v>
      </c>
      <c r="AU184" s="67"/>
      <c r="AV184" s="67">
        <v>40689</v>
      </c>
      <c r="AW184" s="67">
        <v>46023</v>
      </c>
      <c r="AX184" s="68" t="s">
        <v>750</v>
      </c>
      <c r="AY184" s="69" t="s">
        <v>6260</v>
      </c>
    </row>
    <row r="185" spans="1:51" ht="15" customHeight="1" x14ac:dyDescent="0.3">
      <c r="A185" s="59" t="s">
        <v>2595</v>
      </c>
      <c r="B185" s="59" t="s">
        <v>752</v>
      </c>
      <c r="C185" s="59" t="s">
        <v>1713</v>
      </c>
      <c r="D185" s="59" t="s">
        <v>2482</v>
      </c>
      <c r="E185" s="59" t="s">
        <v>732</v>
      </c>
      <c r="F185" s="60">
        <v>28136</v>
      </c>
      <c r="G185" s="59" t="s">
        <v>2596</v>
      </c>
      <c r="H185" s="59" t="s">
        <v>2597</v>
      </c>
      <c r="I185" s="60">
        <v>44698</v>
      </c>
      <c r="J185" s="61">
        <f t="shared" ca="1" si="8"/>
        <v>3</v>
      </c>
      <c r="K185" s="62">
        <f t="shared" si="9"/>
        <v>50051</v>
      </c>
      <c r="L185" s="59" t="s">
        <v>735</v>
      </c>
      <c r="M185" s="59" t="s">
        <v>1574</v>
      </c>
      <c r="N185" s="59" t="s">
        <v>737</v>
      </c>
      <c r="O185" s="63">
        <v>23</v>
      </c>
      <c r="P185" s="61">
        <f>IFERROR(SUMPRODUCT((LK_GradeDerivation!$A$4:$A$135=N185)*(IF(O185="",0,O185)&gt;=LK_GradeDerivation!$B$4:$B$135)*(IF(O185="",0,O185)&lt;=LK_GradeDerivation!$C$4:$C$135)*LK_GradeDerivation!$D$4:$D$135),1)</f>
        <v>4</v>
      </c>
      <c r="Q185" s="61">
        <f>IFERROR(SUMPRODUCT((LK_GradeDerivation!$A$4:$A$135=N185)*(IF(O185="",0,O185)&gt;=LK_GradeDerivation!$B$4:$B$135)*(IF(O185="",0,O185)&lt;=LK_GradeDerivation!$C$4:$C$135)*LK_GradeDerivation!$E$4:$E$135),1)</f>
        <v>12</v>
      </c>
      <c r="R185" s="59" t="s">
        <v>2598</v>
      </c>
      <c r="S185" s="59" t="s">
        <v>2599</v>
      </c>
      <c r="T185" s="59" t="s">
        <v>1305</v>
      </c>
      <c r="U185" s="59" t="s">
        <v>1792</v>
      </c>
      <c r="V185" s="59" t="s">
        <v>2600</v>
      </c>
      <c r="W185" s="59" t="s">
        <v>285</v>
      </c>
      <c r="X185" s="59" t="s">
        <v>356</v>
      </c>
      <c r="Y185" s="59" t="s">
        <v>362</v>
      </c>
      <c r="Z185" s="64" t="str">
        <f>IFERROR(VLOOKUP(T185,LK_OrgMaster!$B$4:$H$89,5,FALSE()),"Administration")</f>
        <v>Administration</v>
      </c>
      <c r="AA185" s="65" t="str">
        <f>IFERROR(VLOOKUP(X185,LK_LocationMaster!$D$4:$G$157,4,FALSE()),"No")</f>
        <v>Yes</v>
      </c>
      <c r="AB185" s="65" t="str">
        <f t="shared" si="10"/>
        <v>No</v>
      </c>
      <c r="AC185" s="65" t="str">
        <f>IFERROR(VLOOKUP(X185,LK_LocationMaster!$D$4:$H$157,5,FALSE()),"No")</f>
        <v>No</v>
      </c>
      <c r="AD185" s="59" t="s">
        <v>2601</v>
      </c>
      <c r="AE185" s="59" t="s">
        <v>886</v>
      </c>
      <c r="AF185" s="59" t="s">
        <v>816</v>
      </c>
      <c r="AG185" s="59" t="s">
        <v>312</v>
      </c>
      <c r="AH185" s="59" t="s">
        <v>2602</v>
      </c>
      <c r="AI185" s="59" t="s">
        <v>285</v>
      </c>
      <c r="AJ185" s="59" t="s">
        <v>747</v>
      </c>
      <c r="AK185" s="59" t="s">
        <v>748</v>
      </c>
      <c r="AL185" s="64" t="str">
        <f>IFERROR(INDEX(LK_BankMaster!$D$4:$D$23,MATCH(AJ185&amp;"|"&amp;AK185,LK_BankMaster!$H$4:$H$23,0)),"")</f>
        <v/>
      </c>
      <c r="AM185" s="59" t="s">
        <v>2603</v>
      </c>
      <c r="AN185" s="64" t="str">
        <f>IFERROR(VLOOKUP(AJ185,LK_BankMaster!$A$4:$E$23,5,FALSE()),"")</f>
        <v/>
      </c>
      <c r="AO185" s="59" t="s">
        <v>314</v>
      </c>
      <c r="AP185" s="66">
        <v>3</v>
      </c>
      <c r="AQ185" s="64" t="str">
        <f t="shared" si="11"/>
        <v>Position Allowance - Deputy Director</v>
      </c>
      <c r="AR185" s="65" t="str">
        <f>IFERROR(VLOOKUP(T185,LK_OrgMaster!$B$4:$G$89,6,FALSE()),"No")</f>
        <v>No</v>
      </c>
      <c r="AS185" s="64" t="str">
        <f>IFERROR(VLOOKUP(T185,LK_OrgMaster!$B$4:$H$89,7,FALSE()),"None")</f>
        <v>None</v>
      </c>
      <c r="AT185" s="70">
        <v>44698</v>
      </c>
      <c r="AU185" s="70"/>
      <c r="AV185" s="70">
        <v>44698</v>
      </c>
      <c r="AW185" s="70">
        <v>46023</v>
      </c>
      <c r="AX185" s="71" t="s">
        <v>750</v>
      </c>
      <c r="AY185" s="72" t="s">
        <v>6260</v>
      </c>
    </row>
    <row r="186" spans="1:51" ht="15" customHeight="1" x14ac:dyDescent="0.3">
      <c r="A186" s="59" t="s">
        <v>2604</v>
      </c>
      <c r="B186" s="59" t="s">
        <v>851</v>
      </c>
      <c r="C186" s="59" t="s">
        <v>973</v>
      </c>
      <c r="D186" s="59" t="s">
        <v>1186</v>
      </c>
      <c r="E186" s="59" t="s">
        <v>775</v>
      </c>
      <c r="F186" s="60">
        <v>31253</v>
      </c>
      <c r="G186" s="59" t="s">
        <v>1986</v>
      </c>
      <c r="H186" s="59" t="s">
        <v>2605</v>
      </c>
      <c r="I186" s="60">
        <v>44029</v>
      </c>
      <c r="J186" s="61">
        <f t="shared" ca="1" si="8"/>
        <v>5</v>
      </c>
      <c r="K186" s="62">
        <f t="shared" si="9"/>
        <v>53168</v>
      </c>
      <c r="L186" s="59" t="s">
        <v>735</v>
      </c>
      <c r="M186" s="59" t="s">
        <v>1443</v>
      </c>
      <c r="N186" s="59" t="s">
        <v>758</v>
      </c>
      <c r="O186" s="63">
        <v>10</v>
      </c>
      <c r="P186" s="61">
        <f>IFERROR(SUMPRODUCT((LK_GradeDerivation!$A$4:$A$135=N186)*(IF(O186="",0,O186)&gt;=LK_GradeDerivation!$B$4:$B$135)*(IF(O186="",0,O186)&lt;=LK_GradeDerivation!$C$4:$C$135)*LK_GradeDerivation!$D$4:$D$135),1)</f>
        <v>5</v>
      </c>
      <c r="Q186" s="61">
        <f>IFERROR(SUMPRODUCT((LK_GradeDerivation!$A$4:$A$135=N186)*(IF(O186="",0,O186)&gt;=LK_GradeDerivation!$B$4:$B$135)*(IF(O186="",0,O186)&lt;=LK_GradeDerivation!$C$4:$C$135)*LK_GradeDerivation!$E$4:$E$135),1)</f>
        <v>6</v>
      </c>
      <c r="R186" s="59" t="s">
        <v>2606</v>
      </c>
      <c r="S186" s="59" t="s">
        <v>2607</v>
      </c>
      <c r="T186" s="59" t="s">
        <v>859</v>
      </c>
      <c r="U186" s="59" t="s">
        <v>2476</v>
      </c>
      <c r="V186" s="59" t="s">
        <v>2608</v>
      </c>
      <c r="W186" s="59" t="s">
        <v>285</v>
      </c>
      <c r="X186" s="59" t="s">
        <v>356</v>
      </c>
      <c r="Y186" s="59" t="s">
        <v>364</v>
      </c>
      <c r="Z186" s="64" t="str">
        <f>IFERROR(VLOOKUP(T186,LK_OrgMaster!$B$4:$H$89,5,FALSE()),"Administration")</f>
        <v>Technical</v>
      </c>
      <c r="AA186" s="65" t="str">
        <f>IFERROR(VLOOKUP(X186,LK_LocationMaster!$D$4:$G$157,4,FALSE()),"No")</f>
        <v>Yes</v>
      </c>
      <c r="AB186" s="65" t="str">
        <f t="shared" si="10"/>
        <v>No</v>
      </c>
      <c r="AC186" s="65" t="str">
        <f>IFERROR(VLOOKUP(X186,LK_LocationMaster!$D$4:$H$157,5,FALSE()),"No")</f>
        <v>No</v>
      </c>
      <c r="AD186" s="59" t="s">
        <v>2609</v>
      </c>
      <c r="AE186" s="59" t="s">
        <v>886</v>
      </c>
      <c r="AF186" s="59" t="s">
        <v>816</v>
      </c>
      <c r="AG186" s="59" t="s">
        <v>340</v>
      </c>
      <c r="AH186" s="59" t="s">
        <v>2610</v>
      </c>
      <c r="AI186" s="59" t="s">
        <v>285</v>
      </c>
      <c r="AJ186" s="59" t="s">
        <v>747</v>
      </c>
      <c r="AK186" s="59" t="s">
        <v>748</v>
      </c>
      <c r="AL186" s="64" t="str">
        <f>IFERROR(INDEX(LK_BankMaster!$D$4:$D$23,MATCH(AJ186&amp;"|"&amp;AK186,LK_BankMaster!$H$4:$H$23,0)),"")</f>
        <v/>
      </c>
      <c r="AM186" s="59" t="s">
        <v>2611</v>
      </c>
      <c r="AN186" s="64" t="str">
        <f>IFERROR(VLOOKUP(AJ186,LK_BankMaster!$A$4:$E$23,5,FALSE()),"")</f>
        <v/>
      </c>
      <c r="AO186" s="59" t="s">
        <v>314</v>
      </c>
      <c r="AP186" s="66">
        <v>3</v>
      </c>
      <c r="AQ186" s="64" t="str">
        <f t="shared" si="11"/>
        <v>Position Allowance - General Staff</v>
      </c>
      <c r="AR186" s="65" t="str">
        <f>IFERROR(VLOOKUP(T186,LK_OrgMaster!$B$4:$G$89,6,FALSE()),"No")</f>
        <v>No</v>
      </c>
      <c r="AS186" s="64" t="str">
        <f>IFERROR(VLOOKUP(T186,LK_OrgMaster!$B$4:$H$89,7,FALSE()),"None")</f>
        <v>None</v>
      </c>
      <c r="AT186" s="67">
        <v>44029</v>
      </c>
      <c r="AU186" s="67"/>
      <c r="AV186" s="67">
        <v>44029</v>
      </c>
      <c r="AW186" s="67">
        <v>46023</v>
      </c>
      <c r="AX186" s="68" t="s">
        <v>750</v>
      </c>
      <c r="AY186" s="69" t="s">
        <v>6260</v>
      </c>
    </row>
    <row r="187" spans="1:51" ht="15" customHeight="1" x14ac:dyDescent="0.3">
      <c r="A187" s="59" t="s">
        <v>2612</v>
      </c>
      <c r="B187" s="59" t="s">
        <v>729</v>
      </c>
      <c r="C187" s="59" t="s">
        <v>1713</v>
      </c>
      <c r="D187" s="59" t="s">
        <v>1522</v>
      </c>
      <c r="E187" s="59" t="s">
        <v>732</v>
      </c>
      <c r="F187" s="60">
        <v>29026</v>
      </c>
      <c r="G187" s="59" t="s">
        <v>2613</v>
      </c>
      <c r="H187" s="59" t="s">
        <v>2614</v>
      </c>
      <c r="I187" s="60">
        <v>45418</v>
      </c>
      <c r="J187" s="61">
        <f t="shared" ca="1" si="8"/>
        <v>1</v>
      </c>
      <c r="K187" s="62">
        <f t="shared" si="9"/>
        <v>50941</v>
      </c>
      <c r="L187" s="59" t="s">
        <v>735</v>
      </c>
      <c r="M187" s="59" t="s">
        <v>1574</v>
      </c>
      <c r="N187" s="59" t="s">
        <v>758</v>
      </c>
      <c r="O187" s="63">
        <v>19</v>
      </c>
      <c r="P187" s="61">
        <f>IFERROR(SUMPRODUCT((LK_GradeDerivation!$A$4:$A$135=N187)*(IF(O187="",0,O187)&gt;=LK_GradeDerivation!$B$4:$B$135)*(IF(O187="",0,O187)&lt;=LK_GradeDerivation!$C$4:$C$135)*LK_GradeDerivation!$D$4:$D$135),1)</f>
        <v>5</v>
      </c>
      <c r="Q187" s="61">
        <f>IFERROR(SUMPRODUCT((LK_GradeDerivation!$A$4:$A$135=N187)*(IF(O187="",0,O187)&gt;=LK_GradeDerivation!$B$4:$B$135)*(IF(O187="",0,O187)&lt;=LK_GradeDerivation!$C$4:$C$135)*LK_GradeDerivation!$E$4:$E$135),1)</f>
        <v>10</v>
      </c>
      <c r="R187" s="59" t="s">
        <v>2615</v>
      </c>
      <c r="S187" s="59" t="s">
        <v>2616</v>
      </c>
      <c r="T187" s="59" t="s">
        <v>952</v>
      </c>
      <c r="U187" s="59" t="s">
        <v>1597</v>
      </c>
      <c r="V187" s="59" t="s">
        <v>2251</v>
      </c>
      <c r="W187" s="59" t="s">
        <v>285</v>
      </c>
      <c r="X187" s="59" t="s">
        <v>544</v>
      </c>
      <c r="Y187" s="59" t="s">
        <v>548</v>
      </c>
      <c r="Z187" s="64" t="str">
        <f>IFERROR(VLOOKUP(T187,LK_OrgMaster!$B$4:$H$89,5,FALSE()),"Administration")</f>
        <v>Administration</v>
      </c>
      <c r="AA187" s="65" t="str">
        <f>IFERROR(VLOOKUP(X187,LK_LocationMaster!$D$4:$G$157,4,FALSE()),"No")</f>
        <v>Yes</v>
      </c>
      <c r="AB187" s="65" t="str">
        <f t="shared" si="10"/>
        <v>No</v>
      </c>
      <c r="AC187" s="65" t="str">
        <f>IFERROR(VLOOKUP(X187,LK_LocationMaster!$D$4:$H$157,5,FALSE()),"No")</f>
        <v>Yes</v>
      </c>
      <c r="AD187" s="59" t="s">
        <v>2157</v>
      </c>
      <c r="AE187" s="59" t="s">
        <v>930</v>
      </c>
      <c r="AF187" s="59" t="s">
        <v>915</v>
      </c>
      <c r="AG187" s="59" t="s">
        <v>312</v>
      </c>
      <c r="AH187" s="59" t="s">
        <v>2617</v>
      </c>
      <c r="AI187" s="59" t="s">
        <v>285</v>
      </c>
      <c r="AJ187" s="59" t="s">
        <v>818</v>
      </c>
      <c r="AK187" s="59" t="s">
        <v>819</v>
      </c>
      <c r="AL187" s="64" t="str">
        <f>IFERROR(INDEX(LK_BankMaster!$D$4:$D$23,MATCH(AJ187&amp;"|"&amp;AK187,LK_BankMaster!$H$4:$H$23,0)),"")</f>
        <v/>
      </c>
      <c r="AM187" s="59" t="s">
        <v>2618</v>
      </c>
      <c r="AN187" s="64" t="str">
        <f>IFERROR(VLOOKUP(AJ187,LK_BankMaster!$A$4:$E$23,5,FALSE()),"")</f>
        <v/>
      </c>
      <c r="AO187" s="59" t="s">
        <v>314</v>
      </c>
      <c r="AP187" s="66">
        <v>2</v>
      </c>
      <c r="AQ187" s="64" t="str">
        <f t="shared" si="11"/>
        <v>Position Allowance - Deputy Director</v>
      </c>
      <c r="AR187" s="65" t="str">
        <f>IFERROR(VLOOKUP(T187,LK_OrgMaster!$B$4:$G$89,6,FALSE()),"No")</f>
        <v>No</v>
      </c>
      <c r="AS187" s="64" t="str">
        <f>IFERROR(VLOOKUP(T187,LK_OrgMaster!$B$4:$H$89,7,FALSE()),"None")</f>
        <v>None</v>
      </c>
      <c r="AT187" s="70">
        <v>45418</v>
      </c>
      <c r="AU187" s="70"/>
      <c r="AV187" s="70">
        <v>45418</v>
      </c>
      <c r="AW187" s="70">
        <v>46023</v>
      </c>
      <c r="AX187" s="71" t="s">
        <v>750</v>
      </c>
      <c r="AY187" s="72" t="s">
        <v>6260</v>
      </c>
    </row>
    <row r="188" spans="1:51" ht="15" customHeight="1" x14ac:dyDescent="0.3">
      <c r="A188" s="59" t="s">
        <v>2619</v>
      </c>
      <c r="B188" s="59" t="s">
        <v>729</v>
      </c>
      <c r="C188" s="59" t="s">
        <v>906</v>
      </c>
      <c r="D188" s="59" t="s">
        <v>989</v>
      </c>
      <c r="E188" s="59" t="s">
        <v>732</v>
      </c>
      <c r="F188" s="60">
        <v>36776</v>
      </c>
      <c r="G188" s="59" t="s">
        <v>2620</v>
      </c>
      <c r="H188" s="59" t="s">
        <v>2621</v>
      </c>
      <c r="I188" s="60">
        <v>38101</v>
      </c>
      <c r="J188" s="61">
        <f t="shared" ca="1" si="8"/>
        <v>21</v>
      </c>
      <c r="K188" s="62">
        <f t="shared" si="9"/>
        <v>58691</v>
      </c>
      <c r="L188" s="59" t="s">
        <v>735</v>
      </c>
      <c r="M188" s="59" t="s">
        <v>893</v>
      </c>
      <c r="N188" s="59" t="s">
        <v>1081</v>
      </c>
      <c r="O188" s="63">
        <v>0</v>
      </c>
      <c r="P188" s="61">
        <f>IFERROR(SUMPRODUCT((LK_GradeDerivation!$A$4:$A$135=N188)*(IF(O188="",0,O188)&gt;=LK_GradeDerivation!$B$4:$B$135)*(IF(O188="",0,O188)&lt;=LK_GradeDerivation!$C$4:$C$135)*LK_GradeDerivation!$D$4:$D$135),1)</f>
        <v>3</v>
      </c>
      <c r="Q188" s="61">
        <f>IFERROR(SUMPRODUCT((LK_GradeDerivation!$A$4:$A$135=N188)*(IF(O188="",0,O188)&gt;=LK_GradeDerivation!$B$4:$B$135)*(IF(O188="",0,O188)&lt;=LK_GradeDerivation!$C$4:$C$135)*LK_GradeDerivation!$E$4:$E$135),1)</f>
        <v>1</v>
      </c>
      <c r="R188" s="59" t="s">
        <v>2622</v>
      </c>
      <c r="S188" s="59" t="s">
        <v>2623</v>
      </c>
      <c r="T188" s="59" t="s">
        <v>896</v>
      </c>
      <c r="U188" s="59" t="s">
        <v>1639</v>
      </c>
      <c r="V188" s="59" t="s">
        <v>2624</v>
      </c>
      <c r="W188" s="59" t="s">
        <v>285</v>
      </c>
      <c r="X188" s="59" t="s">
        <v>288</v>
      </c>
      <c r="Y188" s="59" t="s">
        <v>300</v>
      </c>
      <c r="Z188" s="64" t="str">
        <f>IFERROR(VLOOKUP(T188,LK_OrgMaster!$B$4:$H$89,5,FALSE()),"Administration")</f>
        <v>Administration</v>
      </c>
      <c r="AA188" s="65" t="str">
        <f>IFERROR(VLOOKUP(X188,LK_LocationMaster!$D$4:$G$157,4,FALSE()),"No")</f>
        <v>No</v>
      </c>
      <c r="AB188" s="65" t="str">
        <f t="shared" si="10"/>
        <v>No</v>
      </c>
      <c r="AC188" s="65" t="str">
        <f>IFERROR(VLOOKUP(X188,LK_LocationMaster!$D$4:$H$157,5,FALSE()),"No")</f>
        <v>No</v>
      </c>
      <c r="AD188" s="59" t="s">
        <v>2625</v>
      </c>
      <c r="AE188" s="59" t="s">
        <v>930</v>
      </c>
      <c r="AF188" s="59" t="s">
        <v>745</v>
      </c>
      <c r="AG188" s="59" t="s">
        <v>288</v>
      </c>
      <c r="AH188" s="59" t="s">
        <v>2626</v>
      </c>
      <c r="AI188" s="59" t="s">
        <v>285</v>
      </c>
      <c r="AJ188" s="59" t="s">
        <v>747</v>
      </c>
      <c r="AK188" s="59" t="s">
        <v>748</v>
      </c>
      <c r="AL188" s="64" t="str">
        <f>IFERROR(INDEX(LK_BankMaster!$D$4:$D$23,MATCH(AJ188&amp;"|"&amp;AK188,LK_BankMaster!$H$4:$H$23,0)),"")</f>
        <v/>
      </c>
      <c r="AM188" s="59" t="s">
        <v>2627</v>
      </c>
      <c r="AN188" s="64" t="str">
        <f>IFERROR(VLOOKUP(AJ188,LK_BankMaster!$A$4:$E$23,5,FALSE()),"")</f>
        <v/>
      </c>
      <c r="AO188" s="59" t="s">
        <v>314</v>
      </c>
      <c r="AP188" s="66">
        <v>1</v>
      </c>
      <c r="AQ188" s="64" t="str">
        <f t="shared" si="11"/>
        <v>Position Allowance - General Staff</v>
      </c>
      <c r="AR188" s="65" t="str">
        <f>IFERROR(VLOOKUP(T188,LK_OrgMaster!$B$4:$G$89,6,FALSE()),"No")</f>
        <v>No</v>
      </c>
      <c r="AS188" s="64" t="str">
        <f>IFERROR(VLOOKUP(T188,LK_OrgMaster!$B$4:$H$89,7,FALSE()),"None")</f>
        <v>None</v>
      </c>
      <c r="AT188" s="67">
        <v>38101</v>
      </c>
      <c r="AU188" s="67"/>
      <c r="AV188" s="67">
        <v>38101</v>
      </c>
      <c r="AW188" s="67">
        <v>46023</v>
      </c>
      <c r="AX188" s="68" t="s">
        <v>750</v>
      </c>
      <c r="AY188" s="69" t="s">
        <v>6260</v>
      </c>
    </row>
    <row r="189" spans="1:51" ht="15" customHeight="1" x14ac:dyDescent="0.3">
      <c r="A189" s="59" t="s">
        <v>2628</v>
      </c>
      <c r="B189" s="59" t="s">
        <v>851</v>
      </c>
      <c r="C189" s="59" t="s">
        <v>2629</v>
      </c>
      <c r="D189" s="59" t="s">
        <v>838</v>
      </c>
      <c r="E189" s="59" t="s">
        <v>775</v>
      </c>
      <c r="F189" s="60">
        <v>30830</v>
      </c>
      <c r="G189" s="59" t="s">
        <v>2630</v>
      </c>
      <c r="H189" s="59" t="s">
        <v>2631</v>
      </c>
      <c r="I189" s="60">
        <v>37288</v>
      </c>
      <c r="J189" s="61">
        <f t="shared" ca="1" si="8"/>
        <v>24</v>
      </c>
      <c r="K189" s="62">
        <f t="shared" si="9"/>
        <v>52745</v>
      </c>
      <c r="L189" s="59" t="s">
        <v>735</v>
      </c>
      <c r="M189" s="59" t="s">
        <v>778</v>
      </c>
      <c r="N189" s="59" t="s">
        <v>1081</v>
      </c>
      <c r="O189" s="63">
        <v>0</v>
      </c>
      <c r="P189" s="61">
        <f>IFERROR(SUMPRODUCT((LK_GradeDerivation!$A$4:$A$135=N189)*(IF(O189="",0,O189)&gt;=LK_GradeDerivation!$B$4:$B$135)*(IF(O189="",0,O189)&lt;=LK_GradeDerivation!$C$4:$C$135)*LK_GradeDerivation!$D$4:$D$135),1)</f>
        <v>3</v>
      </c>
      <c r="Q189" s="61">
        <f>IFERROR(SUMPRODUCT((LK_GradeDerivation!$A$4:$A$135=N189)*(IF(O189="",0,O189)&gt;=LK_GradeDerivation!$B$4:$B$135)*(IF(O189="",0,O189)&lt;=LK_GradeDerivation!$C$4:$C$135)*LK_GradeDerivation!$E$4:$E$135),1)</f>
        <v>1</v>
      </c>
      <c r="R189" s="59" t="s">
        <v>2632</v>
      </c>
      <c r="S189" s="59" t="s">
        <v>2633</v>
      </c>
      <c r="T189" s="59" t="s">
        <v>782</v>
      </c>
      <c r="U189" s="59" t="s">
        <v>783</v>
      </c>
      <c r="V189" s="59" t="s">
        <v>1970</v>
      </c>
      <c r="W189" s="59" t="s">
        <v>285</v>
      </c>
      <c r="X189" s="59" t="s">
        <v>500</v>
      </c>
      <c r="Y189" s="59" t="s">
        <v>507</v>
      </c>
      <c r="Z189" s="64" t="str">
        <f>IFERROR(VLOOKUP(T189,LK_OrgMaster!$B$4:$H$89,5,FALSE()),"Administration")</f>
        <v>Medical</v>
      </c>
      <c r="AA189" s="65" t="str">
        <f>IFERROR(VLOOKUP(X189,LK_LocationMaster!$D$4:$G$157,4,FALSE()),"No")</f>
        <v>No</v>
      </c>
      <c r="AB189" s="65" t="str">
        <f t="shared" si="10"/>
        <v>No</v>
      </c>
      <c r="AC189" s="65" t="str">
        <f>IFERROR(VLOOKUP(X189,LK_LocationMaster!$D$4:$H$157,5,FALSE()),"No")</f>
        <v>Yes</v>
      </c>
      <c r="AD189" s="59" t="s">
        <v>2634</v>
      </c>
      <c r="AE189" s="59" t="s">
        <v>800</v>
      </c>
      <c r="AF189" s="59" t="s">
        <v>766</v>
      </c>
      <c r="AG189" s="59" t="s">
        <v>329</v>
      </c>
      <c r="AH189" s="59" t="s">
        <v>2635</v>
      </c>
      <c r="AI189" s="59" t="s">
        <v>285</v>
      </c>
      <c r="AJ189" s="59" t="s">
        <v>818</v>
      </c>
      <c r="AK189" s="59" t="s">
        <v>819</v>
      </c>
      <c r="AL189" s="64" t="str">
        <f>IFERROR(INDEX(LK_BankMaster!$D$4:$D$23,MATCH(AJ189&amp;"|"&amp;AK189,LK_BankMaster!$H$4:$H$23,0)),"")</f>
        <v/>
      </c>
      <c r="AM189" s="59" t="s">
        <v>2636</v>
      </c>
      <c r="AN189" s="64" t="str">
        <f>IFERROR(VLOOKUP(AJ189,LK_BankMaster!$A$4:$E$23,5,FALSE()),"")</f>
        <v/>
      </c>
      <c r="AO189" s="59" t="s">
        <v>314</v>
      </c>
      <c r="AP189" s="66">
        <v>3</v>
      </c>
      <c r="AQ189" s="64" t="str">
        <f t="shared" si="11"/>
        <v>Position Allowance - General Staff</v>
      </c>
      <c r="AR189" s="65" t="str">
        <f>IFERROR(VLOOKUP(T189,LK_OrgMaster!$B$4:$G$89,6,FALSE()),"No")</f>
        <v>No</v>
      </c>
      <c r="AS189" s="64" t="str">
        <f>IFERROR(VLOOKUP(T189,LK_OrgMaster!$B$4:$H$89,7,FALSE()),"None")</f>
        <v>Medical</v>
      </c>
      <c r="AT189" s="70">
        <v>37288</v>
      </c>
      <c r="AU189" s="70"/>
      <c r="AV189" s="70">
        <v>37288</v>
      </c>
      <c r="AW189" s="70">
        <v>46023</v>
      </c>
      <c r="AX189" s="71" t="s">
        <v>750</v>
      </c>
      <c r="AY189" s="72" t="s">
        <v>6260</v>
      </c>
    </row>
    <row r="190" spans="1:51" ht="15" customHeight="1" x14ac:dyDescent="0.3">
      <c r="A190" s="59" t="s">
        <v>2637</v>
      </c>
      <c r="B190" s="59" t="s">
        <v>729</v>
      </c>
      <c r="C190" s="59" t="s">
        <v>2638</v>
      </c>
      <c r="D190" s="59" t="s">
        <v>1704</v>
      </c>
      <c r="E190" s="59" t="s">
        <v>732</v>
      </c>
      <c r="F190" s="60">
        <v>28983</v>
      </c>
      <c r="G190" s="59" t="s">
        <v>2639</v>
      </c>
      <c r="H190" s="59" t="s">
        <v>2640</v>
      </c>
      <c r="I190" s="60">
        <v>37793</v>
      </c>
      <c r="J190" s="61">
        <f t="shared" ca="1" si="8"/>
        <v>22</v>
      </c>
      <c r="K190" s="62">
        <f t="shared" si="9"/>
        <v>50898</v>
      </c>
      <c r="L190" s="59" t="s">
        <v>735</v>
      </c>
      <c r="M190" s="59" t="s">
        <v>1454</v>
      </c>
      <c r="N190" s="59" t="s">
        <v>737</v>
      </c>
      <c r="O190" s="63">
        <v>2</v>
      </c>
      <c r="P190" s="61">
        <f>IFERROR(SUMPRODUCT((LK_GradeDerivation!$A$4:$A$135=N190)*(IF(O190="",0,O190)&gt;=LK_GradeDerivation!$B$4:$B$135)*(IF(O190="",0,O190)&lt;=LK_GradeDerivation!$C$4:$C$135)*LK_GradeDerivation!$D$4:$D$135),1)</f>
        <v>4</v>
      </c>
      <c r="Q190" s="61">
        <f>IFERROR(SUMPRODUCT((LK_GradeDerivation!$A$4:$A$135=N190)*(IF(O190="",0,O190)&gt;=LK_GradeDerivation!$B$4:$B$135)*(IF(O190="",0,O190)&lt;=LK_GradeDerivation!$C$4:$C$135)*LK_GradeDerivation!$E$4:$E$135),1)</f>
        <v>2</v>
      </c>
      <c r="R190" s="59" t="s">
        <v>2641</v>
      </c>
      <c r="S190" s="59" t="s">
        <v>2642</v>
      </c>
      <c r="T190" s="59" t="s">
        <v>740</v>
      </c>
      <c r="U190" s="59" t="s">
        <v>741</v>
      </c>
      <c r="V190" s="59" t="s">
        <v>1367</v>
      </c>
      <c r="W190" s="59" t="s">
        <v>285</v>
      </c>
      <c r="X190" s="59" t="s">
        <v>575</v>
      </c>
      <c r="Y190" s="59" t="s">
        <v>581</v>
      </c>
      <c r="Z190" s="64" t="str">
        <f>IFERROR(VLOOKUP(T190,LK_OrgMaster!$B$4:$H$89,5,FALSE()),"Administration")</f>
        <v>Teacher</v>
      </c>
      <c r="AA190" s="65" t="str">
        <f>IFERROR(VLOOKUP(X190,LK_LocationMaster!$D$4:$G$157,4,FALSE()),"No")</f>
        <v>Yes</v>
      </c>
      <c r="AB190" s="65" t="str">
        <f t="shared" si="10"/>
        <v>No</v>
      </c>
      <c r="AC190" s="65" t="str">
        <f>IFERROR(VLOOKUP(X190,LK_LocationMaster!$D$4:$H$157,5,FALSE()),"No")</f>
        <v>Yes</v>
      </c>
      <c r="AD190" s="59" t="s">
        <v>2643</v>
      </c>
      <c r="AE190" s="59" t="s">
        <v>886</v>
      </c>
      <c r="AF190" s="59" t="s">
        <v>816</v>
      </c>
      <c r="AG190" s="59" t="s">
        <v>356</v>
      </c>
      <c r="AH190" s="59" t="s">
        <v>2644</v>
      </c>
      <c r="AI190" s="59" t="s">
        <v>285</v>
      </c>
      <c r="AJ190" s="59" t="s">
        <v>788</v>
      </c>
      <c r="AK190" s="59" t="s">
        <v>903</v>
      </c>
      <c r="AL190" s="64" t="str">
        <f>IFERROR(INDEX(LK_BankMaster!$D$4:$D$23,MATCH(AJ190&amp;"|"&amp;AK190,LK_BankMaster!$H$4:$H$23,0)),"")</f>
        <v/>
      </c>
      <c r="AM190" s="59" t="s">
        <v>2645</v>
      </c>
      <c r="AN190" s="64" t="str">
        <f>IFERROR(VLOOKUP(AJ190,LK_BankMaster!$A$4:$E$23,5,FALSE()),"")</f>
        <v/>
      </c>
      <c r="AO190" s="59" t="s">
        <v>291</v>
      </c>
      <c r="AP190" s="66">
        <v>0</v>
      </c>
      <c r="AQ190" s="64" t="str">
        <f t="shared" si="11"/>
        <v>Position Allowance - General Staff</v>
      </c>
      <c r="AR190" s="65" t="str">
        <f>IFERROR(VLOOKUP(T190,LK_OrgMaster!$B$4:$G$89,6,FALSE()),"No")</f>
        <v>No</v>
      </c>
      <c r="AS190" s="64" t="str">
        <f>IFERROR(VLOOKUP(T190,LK_OrgMaster!$B$4:$H$89,7,FALSE()),"None")</f>
        <v>Teaching</v>
      </c>
      <c r="AT190" s="67">
        <v>37793</v>
      </c>
      <c r="AU190" s="67"/>
      <c r="AV190" s="67">
        <v>37793</v>
      </c>
      <c r="AW190" s="67">
        <v>46023</v>
      </c>
      <c r="AX190" s="68" t="s">
        <v>750</v>
      </c>
      <c r="AY190" s="69" t="s">
        <v>6260</v>
      </c>
    </row>
    <row r="191" spans="1:51" ht="15" customHeight="1" x14ac:dyDescent="0.3">
      <c r="A191" s="59" t="s">
        <v>2646</v>
      </c>
      <c r="B191" s="59" t="s">
        <v>851</v>
      </c>
      <c r="C191" s="59" t="s">
        <v>1501</v>
      </c>
      <c r="D191" s="59" t="s">
        <v>807</v>
      </c>
      <c r="E191" s="59" t="s">
        <v>775</v>
      </c>
      <c r="F191" s="60">
        <v>29332</v>
      </c>
      <c r="G191" s="59" t="s">
        <v>2647</v>
      </c>
      <c r="H191" s="59" t="s">
        <v>2648</v>
      </c>
      <c r="I191" s="60">
        <v>35678</v>
      </c>
      <c r="J191" s="61">
        <f t="shared" ca="1" si="8"/>
        <v>28</v>
      </c>
      <c r="K191" s="62">
        <f t="shared" si="9"/>
        <v>51247</v>
      </c>
      <c r="L191" s="59" t="s">
        <v>735</v>
      </c>
      <c r="M191" s="59" t="s">
        <v>757</v>
      </c>
      <c r="N191" s="59" t="s">
        <v>758</v>
      </c>
      <c r="O191" s="63">
        <v>0</v>
      </c>
      <c r="P191" s="61">
        <f>IFERROR(SUMPRODUCT((LK_GradeDerivation!$A$4:$A$135=N191)*(IF(O191="",0,O191)&gt;=LK_GradeDerivation!$B$4:$B$135)*(IF(O191="",0,O191)&lt;=LK_GradeDerivation!$C$4:$C$135)*LK_GradeDerivation!$D$4:$D$135),1)</f>
        <v>5</v>
      </c>
      <c r="Q191" s="61">
        <f>IFERROR(SUMPRODUCT((LK_GradeDerivation!$A$4:$A$135=N191)*(IF(O191="",0,O191)&gt;=LK_GradeDerivation!$B$4:$B$135)*(IF(O191="",0,O191)&lt;=LK_GradeDerivation!$C$4:$C$135)*LK_GradeDerivation!$E$4:$E$135),1)</f>
        <v>1</v>
      </c>
      <c r="R191" s="59" t="s">
        <v>2649</v>
      </c>
      <c r="S191" s="59" t="s">
        <v>2650</v>
      </c>
      <c r="T191" s="59" t="s">
        <v>952</v>
      </c>
      <c r="U191" s="59" t="s">
        <v>1597</v>
      </c>
      <c r="V191" s="59" t="s">
        <v>763</v>
      </c>
      <c r="W191" s="59" t="s">
        <v>285</v>
      </c>
      <c r="X191" s="59" t="s">
        <v>587</v>
      </c>
      <c r="Y191" s="59" t="s">
        <v>591</v>
      </c>
      <c r="Z191" s="64" t="str">
        <f>IFERROR(VLOOKUP(T191,LK_OrgMaster!$B$4:$H$89,5,FALSE()),"Administration")</f>
        <v>Administration</v>
      </c>
      <c r="AA191" s="65" t="str">
        <f>IFERROR(VLOOKUP(X191,LK_LocationMaster!$D$4:$G$157,4,FALSE()),"No")</f>
        <v>Yes</v>
      </c>
      <c r="AB191" s="65" t="str">
        <f t="shared" si="10"/>
        <v>No</v>
      </c>
      <c r="AC191" s="65" t="str">
        <f>IFERROR(VLOOKUP(X191,LK_LocationMaster!$D$4:$H$157,5,FALSE()),"No")</f>
        <v>Yes</v>
      </c>
      <c r="AD191" s="59" t="s">
        <v>2478</v>
      </c>
      <c r="AE191" s="59" t="s">
        <v>765</v>
      </c>
      <c r="AF191" s="59" t="s">
        <v>969</v>
      </c>
      <c r="AG191" s="59" t="s">
        <v>391</v>
      </c>
      <c r="AH191" s="59" t="s">
        <v>2651</v>
      </c>
      <c r="AI191" s="59" t="s">
        <v>285</v>
      </c>
      <c r="AJ191" s="59" t="s">
        <v>833</v>
      </c>
      <c r="AK191" s="59" t="s">
        <v>834</v>
      </c>
      <c r="AL191" s="64" t="str">
        <f>IFERROR(INDEX(LK_BankMaster!$D$4:$D$23,MATCH(AJ191&amp;"|"&amp;AK191,LK_BankMaster!$H$4:$H$23,0)),"")</f>
        <v/>
      </c>
      <c r="AM191" s="59" t="s">
        <v>2652</v>
      </c>
      <c r="AN191" s="64" t="str">
        <f>IFERROR(VLOOKUP(AJ191,LK_BankMaster!$A$4:$E$23,5,FALSE()),"")</f>
        <v/>
      </c>
      <c r="AO191" s="59" t="s">
        <v>291</v>
      </c>
      <c r="AP191" s="66">
        <v>0</v>
      </c>
      <c r="AQ191" s="64" t="str">
        <f t="shared" si="11"/>
        <v>Position Allowance - General Staff</v>
      </c>
      <c r="AR191" s="65" t="str">
        <f>IFERROR(VLOOKUP(T191,LK_OrgMaster!$B$4:$G$89,6,FALSE()),"No")</f>
        <v>No</v>
      </c>
      <c r="AS191" s="64" t="str">
        <f>IFERROR(VLOOKUP(T191,LK_OrgMaster!$B$4:$H$89,7,FALSE()),"None")</f>
        <v>None</v>
      </c>
      <c r="AT191" s="70">
        <v>35678</v>
      </c>
      <c r="AU191" s="70"/>
      <c r="AV191" s="70">
        <v>35678</v>
      </c>
      <c r="AW191" s="70">
        <v>46023</v>
      </c>
      <c r="AX191" s="71" t="s">
        <v>750</v>
      </c>
      <c r="AY191" s="72" t="s">
        <v>6260</v>
      </c>
    </row>
    <row r="192" spans="1:51" ht="15" customHeight="1" x14ac:dyDescent="0.3">
      <c r="A192" s="59" t="s">
        <v>2653</v>
      </c>
      <c r="B192" s="59" t="s">
        <v>851</v>
      </c>
      <c r="C192" s="59" t="s">
        <v>792</v>
      </c>
      <c r="D192" s="59" t="s">
        <v>1604</v>
      </c>
      <c r="E192" s="59" t="s">
        <v>775</v>
      </c>
      <c r="F192" s="60">
        <v>27755</v>
      </c>
      <c r="G192" s="59" t="s">
        <v>2654</v>
      </c>
      <c r="H192" s="59" t="s">
        <v>2655</v>
      </c>
      <c r="I192" s="60">
        <v>36295</v>
      </c>
      <c r="J192" s="61">
        <f t="shared" ca="1" si="8"/>
        <v>26</v>
      </c>
      <c r="K192" s="62">
        <f t="shared" si="9"/>
        <v>49670</v>
      </c>
      <c r="L192" s="59" t="s">
        <v>735</v>
      </c>
      <c r="M192" s="59" t="s">
        <v>796</v>
      </c>
      <c r="N192" s="59" t="s">
        <v>1081</v>
      </c>
      <c r="O192" s="63">
        <v>3</v>
      </c>
      <c r="P192" s="61">
        <f>IFERROR(SUMPRODUCT((LK_GradeDerivation!$A$4:$A$135=N192)*(IF(O192="",0,O192)&gt;=LK_GradeDerivation!$B$4:$B$135)*(IF(O192="",0,O192)&lt;=LK_GradeDerivation!$C$4:$C$135)*LK_GradeDerivation!$D$4:$D$135),1)</f>
        <v>3</v>
      </c>
      <c r="Q192" s="61">
        <f>IFERROR(SUMPRODUCT((LK_GradeDerivation!$A$4:$A$135=N192)*(IF(O192="",0,O192)&gt;=LK_GradeDerivation!$B$4:$B$135)*(IF(O192="",0,O192)&lt;=LK_GradeDerivation!$C$4:$C$135)*LK_GradeDerivation!$E$4:$E$135),1)</f>
        <v>2</v>
      </c>
      <c r="R192" s="59" t="s">
        <v>2656</v>
      </c>
      <c r="S192" s="59" t="s">
        <v>2657</v>
      </c>
      <c r="T192" s="59" t="s">
        <v>740</v>
      </c>
      <c r="U192" s="59" t="s">
        <v>1262</v>
      </c>
      <c r="V192" s="59" t="s">
        <v>1325</v>
      </c>
      <c r="W192" s="59" t="s">
        <v>285</v>
      </c>
      <c r="X192" s="59" t="s">
        <v>429</v>
      </c>
      <c r="Y192" s="59" t="s">
        <v>433</v>
      </c>
      <c r="Z192" s="64" t="str">
        <f>IFERROR(VLOOKUP(T192,LK_OrgMaster!$B$4:$H$89,5,FALSE()),"Administration")</f>
        <v>Teacher</v>
      </c>
      <c r="AA192" s="65" t="str">
        <f>IFERROR(VLOOKUP(X192,LK_LocationMaster!$D$4:$G$157,4,FALSE()),"No")</f>
        <v>Yes</v>
      </c>
      <c r="AB192" s="65" t="str">
        <f t="shared" si="10"/>
        <v>No</v>
      </c>
      <c r="AC192" s="65" t="str">
        <f>IFERROR(VLOOKUP(X192,LK_LocationMaster!$D$4:$H$157,5,FALSE()),"No")</f>
        <v>Yes</v>
      </c>
      <c r="AD192" s="59" t="s">
        <v>2658</v>
      </c>
      <c r="AE192" s="59" t="s">
        <v>765</v>
      </c>
      <c r="AF192" s="59" t="s">
        <v>984</v>
      </c>
      <c r="AG192" s="59" t="s">
        <v>340</v>
      </c>
      <c r="AH192" s="59" t="s">
        <v>2659</v>
      </c>
      <c r="AI192" s="59" t="s">
        <v>285</v>
      </c>
      <c r="AJ192" s="59" t="s">
        <v>833</v>
      </c>
      <c r="AK192" s="59" t="s">
        <v>1550</v>
      </c>
      <c r="AL192" s="64" t="str">
        <f>IFERROR(INDEX(LK_BankMaster!$D$4:$D$23,MATCH(AJ192&amp;"|"&amp;AK192,LK_BankMaster!$H$4:$H$23,0)),"")</f>
        <v/>
      </c>
      <c r="AM192" s="59" t="s">
        <v>2660</v>
      </c>
      <c r="AN192" s="64" t="str">
        <f>IFERROR(VLOOKUP(AJ192,LK_BankMaster!$A$4:$E$23,5,FALSE()),"")</f>
        <v/>
      </c>
      <c r="AO192" s="59" t="s">
        <v>314</v>
      </c>
      <c r="AP192" s="66">
        <v>3</v>
      </c>
      <c r="AQ192" s="64" t="str">
        <f t="shared" si="11"/>
        <v>Position Allowance - General Staff</v>
      </c>
      <c r="AR192" s="65" t="str">
        <f>IFERROR(VLOOKUP(T192,LK_OrgMaster!$B$4:$G$89,6,FALSE()),"No")</f>
        <v>No</v>
      </c>
      <c r="AS192" s="64" t="str">
        <f>IFERROR(VLOOKUP(T192,LK_OrgMaster!$B$4:$H$89,7,FALSE()),"None")</f>
        <v>Teaching</v>
      </c>
      <c r="AT192" s="67">
        <v>36295</v>
      </c>
      <c r="AU192" s="67"/>
      <c r="AV192" s="67">
        <v>36295</v>
      </c>
      <c r="AW192" s="67">
        <v>46023</v>
      </c>
      <c r="AX192" s="68" t="s">
        <v>750</v>
      </c>
      <c r="AY192" s="69" t="s">
        <v>6260</v>
      </c>
    </row>
    <row r="193" spans="1:51" ht="15" customHeight="1" x14ac:dyDescent="0.3">
      <c r="A193" s="59" t="s">
        <v>2661</v>
      </c>
      <c r="B193" s="59" t="s">
        <v>772</v>
      </c>
      <c r="C193" s="59" t="s">
        <v>2662</v>
      </c>
      <c r="D193" s="59" t="s">
        <v>960</v>
      </c>
      <c r="E193" s="59" t="s">
        <v>775</v>
      </c>
      <c r="F193" s="60">
        <v>28191</v>
      </c>
      <c r="G193" s="59" t="s">
        <v>2663</v>
      </c>
      <c r="H193" s="59" t="s">
        <v>2664</v>
      </c>
      <c r="I193" s="60">
        <v>34551</v>
      </c>
      <c r="J193" s="61">
        <f t="shared" ca="1" si="8"/>
        <v>31</v>
      </c>
      <c r="K193" s="62">
        <f t="shared" si="9"/>
        <v>50106</v>
      </c>
      <c r="L193" s="59" t="s">
        <v>735</v>
      </c>
      <c r="M193" s="59" t="s">
        <v>1607</v>
      </c>
      <c r="N193" s="59" t="s">
        <v>779</v>
      </c>
      <c r="O193" s="63">
        <v>0</v>
      </c>
      <c r="P193" s="61">
        <f>IFERROR(SUMPRODUCT((LK_GradeDerivation!$A$4:$A$135=N193)*(IF(O193="",0,O193)&gt;=LK_GradeDerivation!$B$4:$B$135)*(IF(O193="",0,O193)&lt;=LK_GradeDerivation!$C$4:$C$135)*LK_GradeDerivation!$D$4:$D$135),1)</f>
        <v>2</v>
      </c>
      <c r="Q193" s="61">
        <f>IFERROR(SUMPRODUCT((LK_GradeDerivation!$A$4:$A$135=N193)*(IF(O193="",0,O193)&gt;=LK_GradeDerivation!$B$4:$B$135)*(IF(O193="",0,O193)&lt;=LK_GradeDerivation!$C$4:$C$135)*LK_GradeDerivation!$E$4:$E$135),1)</f>
        <v>1</v>
      </c>
      <c r="R193" s="59" t="s">
        <v>2665</v>
      </c>
      <c r="S193" s="59" t="s">
        <v>2666</v>
      </c>
      <c r="T193" s="59" t="s">
        <v>859</v>
      </c>
      <c r="U193" s="59" t="s">
        <v>860</v>
      </c>
      <c r="V193" s="59" t="s">
        <v>763</v>
      </c>
      <c r="W193" s="59" t="s">
        <v>285</v>
      </c>
      <c r="X193" s="59" t="s">
        <v>527</v>
      </c>
      <c r="Y193" s="59" t="s">
        <v>527</v>
      </c>
      <c r="Z193" s="64" t="str">
        <f>IFERROR(VLOOKUP(T193,LK_OrgMaster!$B$4:$H$89,5,FALSE()),"Administration")</f>
        <v>Technical</v>
      </c>
      <c r="AA193" s="65" t="str">
        <f>IFERROR(VLOOKUP(X193,LK_LocationMaster!$D$4:$G$157,4,FALSE()),"No")</f>
        <v>No</v>
      </c>
      <c r="AB193" s="65" t="str">
        <f t="shared" si="10"/>
        <v>No</v>
      </c>
      <c r="AC193" s="65" t="str">
        <f>IFERROR(VLOOKUP(X193,LK_LocationMaster!$D$4:$H$157,5,FALSE()),"No")</f>
        <v>No</v>
      </c>
      <c r="AD193" s="59" t="s">
        <v>2343</v>
      </c>
      <c r="AE193" s="59" t="s">
        <v>2667</v>
      </c>
      <c r="AF193" s="59" t="s">
        <v>801</v>
      </c>
      <c r="AG193" s="59" t="s">
        <v>312</v>
      </c>
      <c r="AH193" s="59" t="s">
        <v>2668</v>
      </c>
      <c r="AI193" s="59" t="s">
        <v>285</v>
      </c>
      <c r="AJ193" s="59" t="s">
        <v>768</v>
      </c>
      <c r="AK193" s="59" t="s">
        <v>803</v>
      </c>
      <c r="AL193" s="64" t="str">
        <f>IFERROR(INDEX(LK_BankMaster!$D$4:$D$23,MATCH(AJ193&amp;"|"&amp;AK193,LK_BankMaster!$H$4:$H$23,0)),"")</f>
        <v/>
      </c>
      <c r="AM193" s="59" t="s">
        <v>2669</v>
      </c>
      <c r="AN193" s="64" t="str">
        <f>IFERROR(VLOOKUP(AJ193,LK_BankMaster!$A$4:$E$23,5,FALSE()),"")</f>
        <v/>
      </c>
      <c r="AO193" s="59" t="s">
        <v>291</v>
      </c>
      <c r="AP193" s="66">
        <v>0</v>
      </c>
      <c r="AQ193" s="64" t="str">
        <f t="shared" si="11"/>
        <v>Position Allowance - General Staff</v>
      </c>
      <c r="AR193" s="65" t="str">
        <f>IFERROR(VLOOKUP(T193,LK_OrgMaster!$B$4:$G$89,6,FALSE()),"No")</f>
        <v>No</v>
      </c>
      <c r="AS193" s="64" t="str">
        <f>IFERROR(VLOOKUP(T193,LK_OrgMaster!$B$4:$H$89,7,FALSE()),"None")</f>
        <v>None</v>
      </c>
      <c r="AT193" s="70">
        <v>34551</v>
      </c>
      <c r="AU193" s="70"/>
      <c r="AV193" s="70">
        <v>34551</v>
      </c>
      <c r="AW193" s="70">
        <v>46023</v>
      </c>
      <c r="AX193" s="71" t="s">
        <v>750</v>
      </c>
      <c r="AY193" s="72" t="s">
        <v>6260</v>
      </c>
    </row>
    <row r="194" spans="1:51" ht="15" customHeight="1" x14ac:dyDescent="0.3">
      <c r="A194" s="59" t="s">
        <v>2670</v>
      </c>
      <c r="B194" s="59" t="s">
        <v>752</v>
      </c>
      <c r="C194" s="59" t="s">
        <v>1634</v>
      </c>
      <c r="D194" s="59" t="s">
        <v>1172</v>
      </c>
      <c r="E194" s="59" t="s">
        <v>732</v>
      </c>
      <c r="F194" s="60">
        <v>29879</v>
      </c>
      <c r="G194" s="59" t="s">
        <v>2671</v>
      </c>
      <c r="H194" s="59" t="s">
        <v>2672</v>
      </c>
      <c r="I194" s="60">
        <v>36823</v>
      </c>
      <c r="J194" s="61">
        <f t="shared" ca="1" si="8"/>
        <v>25</v>
      </c>
      <c r="K194" s="62">
        <f t="shared" si="9"/>
        <v>51794</v>
      </c>
      <c r="L194" s="59" t="s">
        <v>735</v>
      </c>
      <c r="M194" s="59" t="s">
        <v>879</v>
      </c>
      <c r="N194" s="59" t="s">
        <v>758</v>
      </c>
      <c r="O194" s="63">
        <v>0</v>
      </c>
      <c r="P194" s="61">
        <f>IFERROR(SUMPRODUCT((LK_GradeDerivation!$A$4:$A$135=N194)*(IF(O194="",0,O194)&gt;=LK_GradeDerivation!$B$4:$B$135)*(IF(O194="",0,O194)&lt;=LK_GradeDerivation!$C$4:$C$135)*LK_GradeDerivation!$D$4:$D$135),1)</f>
        <v>5</v>
      </c>
      <c r="Q194" s="61">
        <f>IFERROR(SUMPRODUCT((LK_GradeDerivation!$A$4:$A$135=N194)*(IF(O194="",0,O194)&gt;=LK_GradeDerivation!$B$4:$B$135)*(IF(O194="",0,O194)&lt;=LK_GradeDerivation!$C$4:$C$135)*LK_GradeDerivation!$E$4:$E$135),1)</f>
        <v>1</v>
      </c>
      <c r="R194" s="59" t="s">
        <v>2673</v>
      </c>
      <c r="S194" s="59" t="s">
        <v>2674</v>
      </c>
      <c r="T194" s="59" t="s">
        <v>882</v>
      </c>
      <c r="U194" s="59" t="s">
        <v>1619</v>
      </c>
      <c r="V194" s="59" t="s">
        <v>2675</v>
      </c>
      <c r="W194" s="59" t="s">
        <v>285</v>
      </c>
      <c r="X194" s="59" t="s">
        <v>312</v>
      </c>
      <c r="Y194" s="59" t="s">
        <v>323</v>
      </c>
      <c r="Z194" s="64" t="str">
        <f>IFERROR(VLOOKUP(T194,LK_OrgMaster!$B$4:$H$89,5,FALSE()),"Administration")</f>
        <v>Legal</v>
      </c>
      <c r="AA194" s="65" t="str">
        <f>IFERROR(VLOOKUP(X194,LK_LocationMaster!$D$4:$G$157,4,FALSE()),"No")</f>
        <v>Yes</v>
      </c>
      <c r="AB194" s="65" t="str">
        <f t="shared" si="10"/>
        <v>No</v>
      </c>
      <c r="AC194" s="65" t="str">
        <f>IFERROR(VLOOKUP(X194,LK_LocationMaster!$D$4:$H$157,5,FALSE()),"No")</f>
        <v>No</v>
      </c>
      <c r="AD194" s="59" t="s">
        <v>2676</v>
      </c>
      <c r="AE194" s="59" t="s">
        <v>2677</v>
      </c>
      <c r="AF194" s="59" t="s">
        <v>816</v>
      </c>
      <c r="AG194" s="59" t="s">
        <v>391</v>
      </c>
      <c r="AH194" s="59" t="s">
        <v>2678</v>
      </c>
      <c r="AI194" s="59" t="s">
        <v>285</v>
      </c>
      <c r="AJ194" s="59" t="s">
        <v>788</v>
      </c>
      <c r="AK194" s="59" t="s">
        <v>789</v>
      </c>
      <c r="AL194" s="64" t="str">
        <f>IFERROR(INDEX(LK_BankMaster!$D$4:$D$23,MATCH(AJ194&amp;"|"&amp;AK194,LK_BankMaster!$H$4:$H$23,0)),"")</f>
        <v/>
      </c>
      <c r="AM194" s="59" t="s">
        <v>2679</v>
      </c>
      <c r="AN194" s="64" t="str">
        <f>IFERROR(VLOOKUP(AJ194,LK_BankMaster!$A$4:$E$23,5,FALSE()),"")</f>
        <v/>
      </c>
      <c r="AO194" s="59" t="s">
        <v>291</v>
      </c>
      <c r="AP194" s="66">
        <v>0</v>
      </c>
      <c r="AQ194" s="64" t="str">
        <f t="shared" si="11"/>
        <v>Position Allowance - General Staff</v>
      </c>
      <c r="AR194" s="65" t="str">
        <f>IFERROR(VLOOKUP(T194,LK_OrgMaster!$B$4:$G$89,6,FALSE()),"No")</f>
        <v>No</v>
      </c>
      <c r="AS194" s="64" t="str">
        <f>IFERROR(VLOOKUP(T194,LK_OrgMaster!$B$4:$H$89,7,FALSE()),"None")</f>
        <v>None</v>
      </c>
      <c r="AT194" s="67">
        <v>36823</v>
      </c>
      <c r="AU194" s="67"/>
      <c r="AV194" s="67">
        <v>36823</v>
      </c>
      <c r="AW194" s="67">
        <v>46023</v>
      </c>
      <c r="AX194" s="68" t="s">
        <v>750</v>
      </c>
      <c r="AY194" s="69" t="s">
        <v>6260</v>
      </c>
    </row>
    <row r="195" spans="1:51" ht="15" customHeight="1" x14ac:dyDescent="0.3">
      <c r="A195" s="59" t="s">
        <v>2680</v>
      </c>
      <c r="B195" s="59" t="s">
        <v>729</v>
      </c>
      <c r="C195" s="59" t="s">
        <v>1553</v>
      </c>
      <c r="D195" s="59" t="s">
        <v>1331</v>
      </c>
      <c r="E195" s="59" t="s">
        <v>732</v>
      </c>
      <c r="F195" s="60">
        <v>33261</v>
      </c>
      <c r="G195" s="59" t="s">
        <v>2681</v>
      </c>
      <c r="H195" s="59" t="s">
        <v>2682</v>
      </c>
      <c r="I195" s="60">
        <v>35935</v>
      </c>
      <c r="J195" s="61">
        <f t="shared" ca="1" si="8"/>
        <v>27</v>
      </c>
      <c r="K195" s="62">
        <f t="shared" si="9"/>
        <v>55176</v>
      </c>
      <c r="L195" s="59" t="s">
        <v>735</v>
      </c>
      <c r="M195" s="59" t="s">
        <v>1104</v>
      </c>
      <c r="N195" s="59" t="s">
        <v>1081</v>
      </c>
      <c r="O195" s="63">
        <v>0</v>
      </c>
      <c r="P195" s="61">
        <f>IFERROR(SUMPRODUCT((LK_GradeDerivation!$A$4:$A$135=N195)*(IF(O195="",0,O195)&gt;=LK_GradeDerivation!$B$4:$B$135)*(IF(O195="",0,O195)&lt;=LK_GradeDerivation!$C$4:$C$135)*LK_GradeDerivation!$D$4:$D$135),1)</f>
        <v>3</v>
      </c>
      <c r="Q195" s="61">
        <f>IFERROR(SUMPRODUCT((LK_GradeDerivation!$A$4:$A$135=N195)*(IF(O195="",0,O195)&gt;=LK_GradeDerivation!$B$4:$B$135)*(IF(O195="",0,O195)&lt;=LK_GradeDerivation!$C$4:$C$135)*LK_GradeDerivation!$E$4:$E$135),1)</f>
        <v>1</v>
      </c>
      <c r="R195" s="59" t="s">
        <v>2683</v>
      </c>
      <c r="S195" s="59" t="s">
        <v>2684</v>
      </c>
      <c r="T195" s="59" t="s">
        <v>1058</v>
      </c>
      <c r="U195" s="59" t="s">
        <v>2438</v>
      </c>
      <c r="V195" s="59" t="s">
        <v>2685</v>
      </c>
      <c r="W195" s="59" t="s">
        <v>285</v>
      </c>
      <c r="X195" s="59" t="s">
        <v>356</v>
      </c>
      <c r="Y195" s="59" t="s">
        <v>364</v>
      </c>
      <c r="Z195" s="64" t="str">
        <f>IFERROR(VLOOKUP(T195,LK_OrgMaster!$B$4:$H$89,5,FALSE()),"Administration")</f>
        <v>Technical</v>
      </c>
      <c r="AA195" s="65" t="str">
        <f>IFERROR(VLOOKUP(X195,LK_LocationMaster!$D$4:$G$157,4,FALSE()),"No")</f>
        <v>Yes</v>
      </c>
      <c r="AB195" s="65" t="str">
        <f t="shared" si="10"/>
        <v>No</v>
      </c>
      <c r="AC195" s="65" t="str">
        <f>IFERROR(VLOOKUP(X195,LK_LocationMaster!$D$4:$H$157,5,FALSE()),"No")</f>
        <v>No</v>
      </c>
      <c r="AD195" s="59" t="s">
        <v>2686</v>
      </c>
      <c r="AE195" s="59" t="s">
        <v>930</v>
      </c>
      <c r="AF195" s="59" t="s">
        <v>786</v>
      </c>
      <c r="AG195" s="59" t="s">
        <v>391</v>
      </c>
      <c r="AH195" s="59" t="s">
        <v>1145</v>
      </c>
      <c r="AI195" s="59" t="s">
        <v>285</v>
      </c>
      <c r="AJ195" s="59" t="s">
        <v>818</v>
      </c>
      <c r="AK195" s="59" t="s">
        <v>819</v>
      </c>
      <c r="AL195" s="64" t="str">
        <f>IFERROR(INDEX(LK_BankMaster!$D$4:$D$23,MATCH(AJ195&amp;"|"&amp;AK195,LK_BankMaster!$H$4:$H$23,0)),"")</f>
        <v/>
      </c>
      <c r="AM195" s="59" t="s">
        <v>2687</v>
      </c>
      <c r="AN195" s="64" t="str">
        <f>IFERROR(VLOOKUP(AJ195,LK_BankMaster!$A$4:$E$23,5,FALSE()),"")</f>
        <v/>
      </c>
      <c r="AO195" s="59" t="s">
        <v>314</v>
      </c>
      <c r="AP195" s="66">
        <v>1</v>
      </c>
      <c r="AQ195" s="64" t="str">
        <f t="shared" si="11"/>
        <v>Position Allowance - General Staff</v>
      </c>
      <c r="AR195" s="65" t="str">
        <f>IFERROR(VLOOKUP(T195,LK_OrgMaster!$B$4:$G$89,6,FALSE()),"No")</f>
        <v>No</v>
      </c>
      <c r="AS195" s="64" t="str">
        <f>IFERROR(VLOOKUP(T195,LK_OrgMaster!$B$4:$H$89,7,FALSE()),"None")</f>
        <v>None</v>
      </c>
      <c r="AT195" s="70">
        <v>35935</v>
      </c>
      <c r="AU195" s="70"/>
      <c r="AV195" s="70">
        <v>35935</v>
      </c>
      <c r="AW195" s="70">
        <v>46023</v>
      </c>
      <c r="AX195" s="71" t="s">
        <v>750</v>
      </c>
      <c r="AY195" s="72" t="s">
        <v>6260</v>
      </c>
    </row>
    <row r="196" spans="1:51" ht="15" customHeight="1" x14ac:dyDescent="0.3">
      <c r="A196" s="59" t="s">
        <v>2688</v>
      </c>
      <c r="B196" s="59" t="s">
        <v>851</v>
      </c>
      <c r="C196" s="59" t="s">
        <v>2689</v>
      </c>
      <c r="D196" s="59" t="s">
        <v>1604</v>
      </c>
      <c r="E196" s="59" t="s">
        <v>775</v>
      </c>
      <c r="F196" s="60">
        <v>34382</v>
      </c>
      <c r="G196" s="59" t="s">
        <v>2690</v>
      </c>
      <c r="H196" s="59" t="s">
        <v>2691</v>
      </c>
      <c r="I196" s="60">
        <v>35746</v>
      </c>
      <c r="J196" s="61">
        <f t="shared" ref="J196:J259" ca="1" si="12">IFERROR(DATEDIF(I196,TODAY(),"Y"),0)</f>
        <v>28</v>
      </c>
      <c r="K196" s="62">
        <f t="shared" ref="K196:K259" si="13">IFERROR(DATE(YEAR(F196)+60,MONTH(F196),DAY(F196)),"")</f>
        <v>56297</v>
      </c>
      <c r="L196" s="59" t="s">
        <v>735</v>
      </c>
      <c r="M196" s="59" t="s">
        <v>1045</v>
      </c>
      <c r="N196" s="59" t="s">
        <v>737</v>
      </c>
      <c r="O196" s="63">
        <v>0</v>
      </c>
      <c r="P196" s="61">
        <f>IFERROR(SUMPRODUCT((LK_GradeDerivation!$A$4:$A$135=N196)*(IF(O196="",0,O196)&gt;=LK_GradeDerivation!$B$4:$B$135)*(IF(O196="",0,O196)&lt;=LK_GradeDerivation!$C$4:$C$135)*LK_GradeDerivation!$D$4:$D$135),1)</f>
        <v>4</v>
      </c>
      <c r="Q196" s="61">
        <f>IFERROR(SUMPRODUCT((LK_GradeDerivation!$A$4:$A$135=N196)*(IF(O196="",0,O196)&gt;=LK_GradeDerivation!$B$4:$B$135)*(IF(O196="",0,O196)&lt;=LK_GradeDerivation!$C$4:$C$135)*LK_GradeDerivation!$E$4:$E$135),1)</f>
        <v>1</v>
      </c>
      <c r="R196" s="59" t="s">
        <v>2692</v>
      </c>
      <c r="S196" s="59" t="s">
        <v>2693</v>
      </c>
      <c r="T196" s="59" t="s">
        <v>844</v>
      </c>
      <c r="U196" s="59" t="s">
        <v>1961</v>
      </c>
      <c r="V196" s="59" t="s">
        <v>763</v>
      </c>
      <c r="W196" s="59" t="s">
        <v>285</v>
      </c>
      <c r="X196" s="59" t="s">
        <v>575</v>
      </c>
      <c r="Y196" s="59" t="s">
        <v>585</v>
      </c>
      <c r="Z196" s="64" t="str">
        <f>IFERROR(VLOOKUP(T196,LK_OrgMaster!$B$4:$H$89,5,FALSE()),"Administration")</f>
        <v>Administration</v>
      </c>
      <c r="AA196" s="65" t="str">
        <f>IFERROR(VLOOKUP(X196,LK_LocationMaster!$D$4:$G$157,4,FALSE()),"No")</f>
        <v>Yes</v>
      </c>
      <c r="AB196" s="65" t="str">
        <f t="shared" ref="AB196:AB259" si="14">IF(W196="Foreign / International","Yes","No")</f>
        <v>No</v>
      </c>
      <c r="AC196" s="65" t="str">
        <f>IFERROR(VLOOKUP(X196,LK_LocationMaster!$D$4:$H$157,5,FALSE()),"No")</f>
        <v>Yes</v>
      </c>
      <c r="AD196" s="59" t="s">
        <v>1650</v>
      </c>
      <c r="AE196" s="59" t="s">
        <v>765</v>
      </c>
      <c r="AF196" s="59" t="s">
        <v>984</v>
      </c>
      <c r="AG196" s="59" t="s">
        <v>329</v>
      </c>
      <c r="AH196" s="59" t="s">
        <v>2694</v>
      </c>
      <c r="AI196" s="59" t="s">
        <v>285</v>
      </c>
      <c r="AJ196" s="59" t="s">
        <v>833</v>
      </c>
      <c r="AK196" s="59" t="s">
        <v>1013</v>
      </c>
      <c r="AL196" s="64" t="str">
        <f>IFERROR(INDEX(LK_BankMaster!$D$4:$D$23,MATCH(AJ196&amp;"|"&amp;AK196,LK_BankMaster!$H$4:$H$23,0)),"")</f>
        <v/>
      </c>
      <c r="AM196" s="59" t="s">
        <v>2695</v>
      </c>
      <c r="AN196" s="64" t="str">
        <f>IFERROR(VLOOKUP(AJ196,LK_BankMaster!$A$4:$E$23,5,FALSE()),"")</f>
        <v/>
      </c>
      <c r="AO196" s="59" t="s">
        <v>314</v>
      </c>
      <c r="AP196" s="66">
        <v>1</v>
      </c>
      <c r="AQ196" s="64" t="str">
        <f t="shared" ref="AQ196:AQ259" si="15">IF(ISNUMBER(SEARCH("Deputy Minister",M196)),"Position Allowance - Deputy Minister",IF(AND(ISNUMBER(SEARCH("Minister",M196)),NOT(ISNUMBER(SEARCH("Deputy",M196)))),"Position Allowance - Minister",IF(ISNUMBER(SEARCH("Deputy Director",M196)),"Position Allowance - Deputy Director",IF(AND(ISNUMBER(SEARCH("Director",M196)),NOT(ISNUMBER(SEARCH("Deputy",M196)))),"Position Allowance - Director",IF(ISNUMBER(SEARCH("Division Chief",M196)),"Position Allowance - Division Chief",IF(ISNUMBER(SEARCH("Section Chief",M196)),"Position Allowance - Section Chief","Position Allowance - General Staff"))))))</f>
        <v>Position Allowance - General Staff</v>
      </c>
      <c r="AR196" s="65" t="str">
        <f>IFERROR(VLOOKUP(T196,LK_OrgMaster!$B$4:$G$89,6,FALSE()),"No")</f>
        <v>No</v>
      </c>
      <c r="AS196" s="64" t="str">
        <f>IFERROR(VLOOKUP(T196,LK_OrgMaster!$B$4:$H$89,7,FALSE()),"None")</f>
        <v>None</v>
      </c>
      <c r="AT196" s="67">
        <v>35746</v>
      </c>
      <c r="AU196" s="67"/>
      <c r="AV196" s="67">
        <v>35746</v>
      </c>
      <c r="AW196" s="67">
        <v>46023</v>
      </c>
      <c r="AX196" s="68" t="s">
        <v>750</v>
      </c>
      <c r="AY196" s="69" t="s">
        <v>6260</v>
      </c>
    </row>
    <row r="197" spans="1:51" ht="15" customHeight="1" x14ac:dyDescent="0.3">
      <c r="A197" s="59" t="s">
        <v>2696</v>
      </c>
      <c r="B197" s="59" t="s">
        <v>752</v>
      </c>
      <c r="C197" s="59" t="s">
        <v>2203</v>
      </c>
      <c r="D197" s="59" t="s">
        <v>1395</v>
      </c>
      <c r="E197" s="59" t="s">
        <v>732</v>
      </c>
      <c r="F197" s="60">
        <v>32629</v>
      </c>
      <c r="G197" s="59" t="s">
        <v>2697</v>
      </c>
      <c r="H197" s="59" t="s">
        <v>2698</v>
      </c>
      <c r="I197" s="60">
        <v>45955</v>
      </c>
      <c r="J197" s="61">
        <f t="shared" ca="1" si="12"/>
        <v>0</v>
      </c>
      <c r="K197" s="62">
        <f t="shared" si="13"/>
        <v>54544</v>
      </c>
      <c r="L197" s="59" t="s">
        <v>735</v>
      </c>
      <c r="M197" s="59" t="s">
        <v>1045</v>
      </c>
      <c r="N197" s="59" t="s">
        <v>737</v>
      </c>
      <c r="O197" s="63">
        <v>14</v>
      </c>
      <c r="P197" s="61">
        <f>IFERROR(SUMPRODUCT((LK_GradeDerivation!$A$4:$A$135=N197)*(IF(O197="",0,O197)&gt;=LK_GradeDerivation!$B$4:$B$135)*(IF(O197="",0,O197)&lt;=LK_GradeDerivation!$C$4:$C$135)*LK_GradeDerivation!$D$4:$D$135),1)</f>
        <v>4</v>
      </c>
      <c r="Q197" s="61">
        <f>IFERROR(SUMPRODUCT((LK_GradeDerivation!$A$4:$A$135=N197)*(IF(O197="",0,O197)&gt;=LK_GradeDerivation!$B$4:$B$135)*(IF(O197="",0,O197)&lt;=LK_GradeDerivation!$C$4:$C$135)*LK_GradeDerivation!$E$4:$E$135),1)</f>
        <v>8</v>
      </c>
      <c r="R197" s="59" t="s">
        <v>2699</v>
      </c>
      <c r="S197" s="59" t="s">
        <v>2700</v>
      </c>
      <c r="T197" s="59" t="s">
        <v>1096</v>
      </c>
      <c r="U197" s="59" t="s">
        <v>953</v>
      </c>
      <c r="V197" s="59" t="s">
        <v>2701</v>
      </c>
      <c r="W197" s="59" t="s">
        <v>285</v>
      </c>
      <c r="X197" s="59" t="s">
        <v>554</v>
      </c>
      <c r="Y197" s="59" t="s">
        <v>571</v>
      </c>
      <c r="Z197" s="64" t="str">
        <f>IFERROR(VLOOKUP(T197,LK_OrgMaster!$B$4:$H$89,5,FALSE()),"Administration")</f>
        <v>Administration</v>
      </c>
      <c r="AA197" s="65" t="str">
        <f>IFERROR(VLOOKUP(X197,LK_LocationMaster!$D$4:$G$157,4,FALSE()),"No")</f>
        <v>No</v>
      </c>
      <c r="AB197" s="65" t="str">
        <f t="shared" si="14"/>
        <v>No</v>
      </c>
      <c r="AC197" s="65" t="str">
        <f>IFERROR(VLOOKUP(X197,LK_LocationMaster!$D$4:$H$157,5,FALSE()),"No")</f>
        <v>No</v>
      </c>
      <c r="AD197" s="59" t="s">
        <v>2702</v>
      </c>
      <c r="AE197" s="59" t="s">
        <v>1144</v>
      </c>
      <c r="AF197" s="59" t="s">
        <v>984</v>
      </c>
      <c r="AG197" s="59" t="s">
        <v>408</v>
      </c>
      <c r="AH197" s="59" t="s">
        <v>2703</v>
      </c>
      <c r="AI197" s="59" t="s">
        <v>285</v>
      </c>
      <c r="AJ197" s="59" t="s">
        <v>788</v>
      </c>
      <c r="AK197" s="59" t="s">
        <v>789</v>
      </c>
      <c r="AL197" s="64" t="str">
        <f>IFERROR(INDEX(LK_BankMaster!$D$4:$D$23,MATCH(AJ197&amp;"|"&amp;AK197,LK_BankMaster!$H$4:$H$23,0)),"")</f>
        <v/>
      </c>
      <c r="AM197" s="59" t="s">
        <v>2704</v>
      </c>
      <c r="AN197" s="64" t="str">
        <f>IFERROR(VLOOKUP(AJ197,LK_BankMaster!$A$4:$E$23,5,FALSE()),"")</f>
        <v/>
      </c>
      <c r="AO197" s="59" t="s">
        <v>314</v>
      </c>
      <c r="AP197" s="66">
        <v>3</v>
      </c>
      <c r="AQ197" s="64" t="str">
        <f t="shared" si="15"/>
        <v>Position Allowance - General Staff</v>
      </c>
      <c r="AR197" s="65" t="str">
        <f>IFERROR(VLOOKUP(T197,LK_OrgMaster!$B$4:$G$89,6,FALSE()),"No")</f>
        <v>No</v>
      </c>
      <c r="AS197" s="64" t="str">
        <f>IFERROR(VLOOKUP(T197,LK_OrgMaster!$B$4:$H$89,7,FALSE()),"None")</f>
        <v>None</v>
      </c>
      <c r="AT197" s="70">
        <v>45955</v>
      </c>
      <c r="AU197" s="70"/>
      <c r="AV197" s="70">
        <v>45955</v>
      </c>
      <c r="AW197" s="70">
        <v>46023</v>
      </c>
      <c r="AX197" s="71" t="s">
        <v>750</v>
      </c>
      <c r="AY197" s="72" t="s">
        <v>6260</v>
      </c>
    </row>
    <row r="198" spans="1:51" ht="15" customHeight="1" x14ac:dyDescent="0.3">
      <c r="A198" s="59" t="s">
        <v>2705</v>
      </c>
      <c r="B198" s="59" t="s">
        <v>851</v>
      </c>
      <c r="C198" s="59" t="s">
        <v>2706</v>
      </c>
      <c r="D198" s="59" t="s">
        <v>947</v>
      </c>
      <c r="E198" s="59" t="s">
        <v>775</v>
      </c>
      <c r="F198" s="60">
        <v>28877</v>
      </c>
      <c r="G198" s="59" t="s">
        <v>2707</v>
      </c>
      <c r="H198" s="59" t="s">
        <v>2708</v>
      </c>
      <c r="I198" s="60">
        <v>45013</v>
      </c>
      <c r="J198" s="61">
        <f t="shared" ca="1" si="12"/>
        <v>2</v>
      </c>
      <c r="K198" s="62">
        <f t="shared" si="13"/>
        <v>50792</v>
      </c>
      <c r="L198" s="59" t="s">
        <v>735</v>
      </c>
      <c r="M198" s="59" t="s">
        <v>796</v>
      </c>
      <c r="N198" s="59" t="s">
        <v>737</v>
      </c>
      <c r="O198" s="63">
        <v>22</v>
      </c>
      <c r="P198" s="61">
        <f>IFERROR(SUMPRODUCT((LK_GradeDerivation!$A$4:$A$135=N198)*(IF(O198="",0,O198)&gt;=LK_GradeDerivation!$B$4:$B$135)*(IF(O198="",0,O198)&lt;=LK_GradeDerivation!$C$4:$C$135)*LK_GradeDerivation!$D$4:$D$135),1)</f>
        <v>4</v>
      </c>
      <c r="Q198" s="61">
        <f>IFERROR(SUMPRODUCT((LK_GradeDerivation!$A$4:$A$135=N198)*(IF(O198="",0,O198)&gt;=LK_GradeDerivation!$B$4:$B$135)*(IF(O198="",0,O198)&lt;=LK_GradeDerivation!$C$4:$C$135)*LK_GradeDerivation!$E$4:$E$135),1)</f>
        <v>12</v>
      </c>
      <c r="R198" s="59" t="s">
        <v>2709</v>
      </c>
      <c r="S198" s="59" t="s">
        <v>2710</v>
      </c>
      <c r="T198" s="59" t="s">
        <v>740</v>
      </c>
      <c r="U198" s="59" t="s">
        <v>1154</v>
      </c>
      <c r="V198" s="59" t="s">
        <v>2711</v>
      </c>
      <c r="W198" s="59" t="s">
        <v>285</v>
      </c>
      <c r="X198" s="59" t="s">
        <v>443</v>
      </c>
      <c r="Y198" s="59" t="s">
        <v>455</v>
      </c>
      <c r="Z198" s="64" t="str">
        <f>IFERROR(VLOOKUP(T198,LK_OrgMaster!$B$4:$H$89,5,FALSE()),"Administration")</f>
        <v>Teacher</v>
      </c>
      <c r="AA198" s="65" t="str">
        <f>IFERROR(VLOOKUP(X198,LK_LocationMaster!$D$4:$G$157,4,FALSE()),"No")</f>
        <v>No</v>
      </c>
      <c r="AB198" s="65" t="str">
        <f t="shared" si="14"/>
        <v>No</v>
      </c>
      <c r="AC198" s="65" t="str">
        <f>IFERROR(VLOOKUP(X198,LK_LocationMaster!$D$4:$H$157,5,FALSE()),"No")</f>
        <v>No</v>
      </c>
      <c r="AD198" s="59" t="s">
        <v>2712</v>
      </c>
      <c r="AE198" s="59" t="s">
        <v>1999</v>
      </c>
      <c r="AF198" s="59" t="s">
        <v>969</v>
      </c>
      <c r="AG198" s="59" t="s">
        <v>356</v>
      </c>
      <c r="AH198" s="59" t="s">
        <v>2713</v>
      </c>
      <c r="AI198" s="59" t="s">
        <v>285</v>
      </c>
      <c r="AJ198" s="59" t="s">
        <v>788</v>
      </c>
      <c r="AK198" s="59" t="s">
        <v>1877</v>
      </c>
      <c r="AL198" s="64" t="str">
        <f>IFERROR(INDEX(LK_BankMaster!$D$4:$D$23,MATCH(AJ198&amp;"|"&amp;AK198,LK_BankMaster!$H$4:$H$23,0)),"")</f>
        <v/>
      </c>
      <c r="AM198" s="59" t="s">
        <v>2714</v>
      </c>
      <c r="AN198" s="64" t="str">
        <f>IFERROR(VLOOKUP(AJ198,LK_BankMaster!$A$4:$E$23,5,FALSE()),"")</f>
        <v/>
      </c>
      <c r="AO198" s="59" t="s">
        <v>314</v>
      </c>
      <c r="AP198" s="66">
        <v>1</v>
      </c>
      <c r="AQ198" s="64" t="str">
        <f t="shared" si="15"/>
        <v>Position Allowance - General Staff</v>
      </c>
      <c r="AR198" s="65" t="str">
        <f>IFERROR(VLOOKUP(T198,LK_OrgMaster!$B$4:$G$89,6,FALSE()),"No")</f>
        <v>No</v>
      </c>
      <c r="AS198" s="64" t="str">
        <f>IFERROR(VLOOKUP(T198,LK_OrgMaster!$B$4:$H$89,7,FALSE()),"None")</f>
        <v>Teaching</v>
      </c>
      <c r="AT198" s="67">
        <v>45013</v>
      </c>
      <c r="AU198" s="67"/>
      <c r="AV198" s="67">
        <v>45013</v>
      </c>
      <c r="AW198" s="67">
        <v>46023</v>
      </c>
      <c r="AX198" s="68" t="s">
        <v>750</v>
      </c>
      <c r="AY198" s="69" t="s">
        <v>6260</v>
      </c>
    </row>
    <row r="199" spans="1:51" ht="15" customHeight="1" x14ac:dyDescent="0.3">
      <c r="A199" s="59" t="s">
        <v>2715</v>
      </c>
      <c r="B199" s="59" t="s">
        <v>772</v>
      </c>
      <c r="C199" s="59" t="s">
        <v>837</v>
      </c>
      <c r="D199" s="59" t="s">
        <v>1172</v>
      </c>
      <c r="E199" s="59" t="s">
        <v>775</v>
      </c>
      <c r="F199" s="60">
        <v>28371</v>
      </c>
      <c r="G199" s="59" t="s">
        <v>2716</v>
      </c>
      <c r="H199" s="59" t="s">
        <v>2717</v>
      </c>
      <c r="I199" s="60">
        <v>44404</v>
      </c>
      <c r="J199" s="61">
        <f t="shared" ca="1" si="12"/>
        <v>4</v>
      </c>
      <c r="K199" s="62">
        <f t="shared" si="13"/>
        <v>50286</v>
      </c>
      <c r="L199" s="59" t="s">
        <v>735</v>
      </c>
      <c r="M199" s="59" t="s">
        <v>1607</v>
      </c>
      <c r="N199" s="59" t="s">
        <v>1081</v>
      </c>
      <c r="O199" s="63">
        <v>23</v>
      </c>
      <c r="P199" s="61">
        <f>IFERROR(SUMPRODUCT((LK_GradeDerivation!$A$4:$A$135=N199)*(IF(O199="",0,O199)&gt;=LK_GradeDerivation!$B$4:$B$135)*(IF(O199="",0,O199)&lt;=LK_GradeDerivation!$C$4:$C$135)*LK_GradeDerivation!$D$4:$D$135),1)</f>
        <v>3</v>
      </c>
      <c r="Q199" s="61">
        <f>IFERROR(SUMPRODUCT((LK_GradeDerivation!$A$4:$A$135=N199)*(IF(O199="",0,O199)&gt;=LK_GradeDerivation!$B$4:$B$135)*(IF(O199="",0,O199)&lt;=LK_GradeDerivation!$C$4:$C$135)*LK_GradeDerivation!$E$4:$E$135),1)</f>
        <v>12</v>
      </c>
      <c r="R199" s="59" t="s">
        <v>2718</v>
      </c>
      <c r="S199" s="59" t="s">
        <v>2719</v>
      </c>
      <c r="T199" s="59" t="s">
        <v>1023</v>
      </c>
      <c r="U199" s="59" t="s">
        <v>2055</v>
      </c>
      <c r="V199" s="59" t="s">
        <v>2720</v>
      </c>
      <c r="W199" s="59" t="s">
        <v>285</v>
      </c>
      <c r="X199" s="59" t="s">
        <v>356</v>
      </c>
      <c r="Y199" s="59" t="s">
        <v>358</v>
      </c>
      <c r="Z199" s="64" t="str">
        <f>IFERROR(VLOOKUP(T199,LK_OrgMaster!$B$4:$H$89,5,FALSE()),"Administration")</f>
        <v>Technical</v>
      </c>
      <c r="AA199" s="65" t="str">
        <f>IFERROR(VLOOKUP(X199,LK_LocationMaster!$D$4:$G$157,4,FALSE()),"No")</f>
        <v>Yes</v>
      </c>
      <c r="AB199" s="65" t="str">
        <f t="shared" si="14"/>
        <v>No</v>
      </c>
      <c r="AC199" s="65" t="str">
        <f>IFERROR(VLOOKUP(X199,LK_LocationMaster!$D$4:$H$157,5,FALSE()),"No")</f>
        <v>No</v>
      </c>
      <c r="AD199" s="59" t="s">
        <v>2721</v>
      </c>
      <c r="AE199" s="59" t="s">
        <v>2722</v>
      </c>
      <c r="AF199" s="59" t="s">
        <v>847</v>
      </c>
      <c r="AG199" s="59" t="s">
        <v>288</v>
      </c>
      <c r="AH199" s="59" t="s">
        <v>2723</v>
      </c>
      <c r="AI199" s="59" t="s">
        <v>285</v>
      </c>
      <c r="AJ199" s="59" t="s">
        <v>768</v>
      </c>
      <c r="AK199" s="59" t="s">
        <v>769</v>
      </c>
      <c r="AL199" s="64" t="str">
        <f>IFERROR(INDEX(LK_BankMaster!$D$4:$D$23,MATCH(AJ199&amp;"|"&amp;AK199,LK_BankMaster!$H$4:$H$23,0)),"")</f>
        <v/>
      </c>
      <c r="AM199" s="59" t="s">
        <v>2724</v>
      </c>
      <c r="AN199" s="64" t="str">
        <f>IFERROR(VLOOKUP(AJ199,LK_BankMaster!$A$4:$E$23,5,FALSE()),"")</f>
        <v/>
      </c>
      <c r="AO199" s="59" t="s">
        <v>314</v>
      </c>
      <c r="AP199" s="66">
        <v>1</v>
      </c>
      <c r="AQ199" s="64" t="str">
        <f t="shared" si="15"/>
        <v>Position Allowance - General Staff</v>
      </c>
      <c r="AR199" s="65" t="str">
        <f>IFERROR(VLOOKUP(T199,LK_OrgMaster!$B$4:$G$89,6,FALSE()),"No")</f>
        <v>No</v>
      </c>
      <c r="AS199" s="64" t="str">
        <f>IFERROR(VLOOKUP(T199,LK_OrgMaster!$B$4:$H$89,7,FALSE()),"None")</f>
        <v>None</v>
      </c>
      <c r="AT199" s="70">
        <v>44404</v>
      </c>
      <c r="AU199" s="70"/>
      <c r="AV199" s="70">
        <v>44404</v>
      </c>
      <c r="AW199" s="70">
        <v>46023</v>
      </c>
      <c r="AX199" s="71" t="s">
        <v>750</v>
      </c>
      <c r="AY199" s="72" t="s">
        <v>6260</v>
      </c>
    </row>
    <row r="200" spans="1:51" ht="15" customHeight="1" x14ac:dyDescent="0.3">
      <c r="A200" s="59" t="s">
        <v>2725</v>
      </c>
      <c r="B200" s="59" t="s">
        <v>729</v>
      </c>
      <c r="C200" s="59" t="s">
        <v>1740</v>
      </c>
      <c r="D200" s="59" t="s">
        <v>1604</v>
      </c>
      <c r="E200" s="59" t="s">
        <v>732</v>
      </c>
      <c r="F200" s="60">
        <v>34324</v>
      </c>
      <c r="G200" s="59" t="s">
        <v>2726</v>
      </c>
      <c r="H200" s="59" t="s">
        <v>2727</v>
      </c>
      <c r="I200" s="60">
        <v>32737</v>
      </c>
      <c r="J200" s="61">
        <f t="shared" ca="1" si="12"/>
        <v>36</v>
      </c>
      <c r="K200" s="62">
        <f t="shared" si="13"/>
        <v>56239</v>
      </c>
      <c r="L200" s="59" t="s">
        <v>735</v>
      </c>
      <c r="M200" s="59" t="s">
        <v>2545</v>
      </c>
      <c r="N200" s="59" t="s">
        <v>758</v>
      </c>
      <c r="O200" s="63">
        <v>0</v>
      </c>
      <c r="P200" s="61">
        <f>IFERROR(SUMPRODUCT((LK_GradeDerivation!$A$4:$A$135=N200)*(IF(O200="",0,O200)&gt;=LK_GradeDerivation!$B$4:$B$135)*(IF(O200="",0,O200)&lt;=LK_GradeDerivation!$C$4:$C$135)*LK_GradeDerivation!$D$4:$D$135),1)</f>
        <v>5</v>
      </c>
      <c r="Q200" s="61">
        <f>IFERROR(SUMPRODUCT((LK_GradeDerivation!$A$4:$A$135=N200)*(IF(O200="",0,O200)&gt;=LK_GradeDerivation!$B$4:$B$135)*(IF(O200="",0,O200)&lt;=LK_GradeDerivation!$C$4:$C$135)*LK_GradeDerivation!$E$4:$E$135),1)</f>
        <v>1</v>
      </c>
      <c r="R200" s="59" t="s">
        <v>2728</v>
      </c>
      <c r="S200" s="59" t="s">
        <v>2729</v>
      </c>
      <c r="T200" s="59" t="s">
        <v>782</v>
      </c>
      <c r="U200" s="59" t="s">
        <v>783</v>
      </c>
      <c r="V200" s="59" t="s">
        <v>1970</v>
      </c>
      <c r="W200" s="59" t="s">
        <v>285</v>
      </c>
      <c r="X200" s="59" t="s">
        <v>368</v>
      </c>
      <c r="Y200" s="59" t="s">
        <v>387</v>
      </c>
      <c r="Z200" s="64" t="str">
        <f>IFERROR(VLOOKUP(T200,LK_OrgMaster!$B$4:$H$89,5,FALSE()),"Administration")</f>
        <v>Medical</v>
      </c>
      <c r="AA200" s="65" t="str">
        <f>IFERROR(VLOOKUP(X200,LK_LocationMaster!$D$4:$G$157,4,FALSE()),"No")</f>
        <v>No</v>
      </c>
      <c r="AB200" s="65" t="str">
        <f t="shared" si="14"/>
        <v>No</v>
      </c>
      <c r="AC200" s="65" t="str">
        <f>IFERROR(VLOOKUP(X200,LK_LocationMaster!$D$4:$H$157,5,FALSE()),"No")</f>
        <v>No</v>
      </c>
      <c r="AD200" s="59" t="s">
        <v>2513</v>
      </c>
      <c r="AE200" s="59" t="s">
        <v>1401</v>
      </c>
      <c r="AF200" s="59" t="s">
        <v>816</v>
      </c>
      <c r="AG200" s="59" t="s">
        <v>312</v>
      </c>
      <c r="AH200" s="59" t="s">
        <v>2730</v>
      </c>
      <c r="AI200" s="59" t="s">
        <v>285</v>
      </c>
      <c r="AJ200" s="59" t="s">
        <v>833</v>
      </c>
      <c r="AK200" s="59" t="s">
        <v>834</v>
      </c>
      <c r="AL200" s="64" t="str">
        <f>IFERROR(INDEX(LK_BankMaster!$D$4:$D$23,MATCH(AJ200&amp;"|"&amp;AK200,LK_BankMaster!$H$4:$H$23,0)),"")</f>
        <v/>
      </c>
      <c r="AM200" s="59" t="s">
        <v>2731</v>
      </c>
      <c r="AN200" s="64" t="str">
        <f>IFERROR(VLOOKUP(AJ200,LK_BankMaster!$A$4:$E$23,5,FALSE()),"")</f>
        <v/>
      </c>
      <c r="AO200" s="59" t="s">
        <v>314</v>
      </c>
      <c r="AP200" s="66">
        <v>0</v>
      </c>
      <c r="AQ200" s="64" t="str">
        <f t="shared" si="15"/>
        <v>Position Allowance - General Staff</v>
      </c>
      <c r="AR200" s="65" t="str">
        <f>IFERROR(VLOOKUP(T200,LK_OrgMaster!$B$4:$G$89,6,FALSE()),"No")</f>
        <v>No</v>
      </c>
      <c r="AS200" s="64" t="str">
        <f>IFERROR(VLOOKUP(T200,LK_OrgMaster!$B$4:$H$89,7,FALSE()),"None")</f>
        <v>Medical</v>
      </c>
      <c r="AT200" s="67">
        <v>32737</v>
      </c>
      <c r="AU200" s="67"/>
      <c r="AV200" s="67">
        <v>32737</v>
      </c>
      <c r="AW200" s="67">
        <v>46023</v>
      </c>
      <c r="AX200" s="68" t="s">
        <v>750</v>
      </c>
      <c r="AY200" s="69" t="s">
        <v>6260</v>
      </c>
    </row>
    <row r="201" spans="1:51" ht="15" customHeight="1" x14ac:dyDescent="0.3">
      <c r="A201" s="59" t="s">
        <v>2732</v>
      </c>
      <c r="B201" s="59" t="s">
        <v>752</v>
      </c>
      <c r="C201" s="59" t="s">
        <v>753</v>
      </c>
      <c r="D201" s="59" t="s">
        <v>1395</v>
      </c>
      <c r="E201" s="59" t="s">
        <v>732</v>
      </c>
      <c r="F201" s="60">
        <v>30453</v>
      </c>
      <c r="G201" s="59" t="s">
        <v>2733</v>
      </c>
      <c r="H201" s="59" t="s">
        <v>2734</v>
      </c>
      <c r="I201" s="60">
        <v>39854</v>
      </c>
      <c r="J201" s="61">
        <f t="shared" ca="1" si="12"/>
        <v>17</v>
      </c>
      <c r="K201" s="62">
        <f t="shared" si="13"/>
        <v>52368</v>
      </c>
      <c r="L201" s="59" t="s">
        <v>735</v>
      </c>
      <c r="M201" s="59" t="s">
        <v>2735</v>
      </c>
      <c r="N201" s="59" t="s">
        <v>737</v>
      </c>
      <c r="O201" s="63">
        <v>3</v>
      </c>
      <c r="P201" s="61">
        <f>IFERROR(SUMPRODUCT((LK_GradeDerivation!$A$4:$A$135=N201)*(IF(O201="",0,O201)&gt;=LK_GradeDerivation!$B$4:$B$135)*(IF(O201="",0,O201)&lt;=LK_GradeDerivation!$C$4:$C$135)*LK_GradeDerivation!$D$4:$D$135),1)</f>
        <v>4</v>
      </c>
      <c r="Q201" s="61">
        <f>IFERROR(SUMPRODUCT((LK_GradeDerivation!$A$4:$A$135=N201)*(IF(O201="",0,O201)&gt;=LK_GradeDerivation!$B$4:$B$135)*(IF(O201="",0,O201)&lt;=LK_GradeDerivation!$C$4:$C$135)*LK_GradeDerivation!$E$4:$E$135),1)</f>
        <v>2</v>
      </c>
      <c r="R201" s="59" t="s">
        <v>2736</v>
      </c>
      <c r="S201" s="59" t="s">
        <v>2737</v>
      </c>
      <c r="T201" s="59" t="s">
        <v>782</v>
      </c>
      <c r="U201" s="59" t="s">
        <v>965</v>
      </c>
      <c r="V201" s="59" t="s">
        <v>2738</v>
      </c>
      <c r="W201" s="59" t="s">
        <v>285</v>
      </c>
      <c r="X201" s="59" t="s">
        <v>288</v>
      </c>
      <c r="Y201" s="59" t="s">
        <v>296</v>
      </c>
      <c r="Z201" s="64" t="str">
        <f>IFERROR(VLOOKUP(T201,LK_OrgMaster!$B$4:$H$89,5,FALSE()),"Administration")</f>
        <v>Medical</v>
      </c>
      <c r="AA201" s="65" t="str">
        <f>IFERROR(VLOOKUP(X201,LK_LocationMaster!$D$4:$G$157,4,FALSE()),"No")</f>
        <v>No</v>
      </c>
      <c r="AB201" s="65" t="str">
        <f t="shared" si="14"/>
        <v>No</v>
      </c>
      <c r="AC201" s="65" t="str">
        <f>IFERROR(VLOOKUP(X201,LK_LocationMaster!$D$4:$H$157,5,FALSE()),"No")</f>
        <v>No</v>
      </c>
      <c r="AD201" s="59" t="s">
        <v>2739</v>
      </c>
      <c r="AE201" s="59" t="s">
        <v>800</v>
      </c>
      <c r="AF201" s="59" t="s">
        <v>801</v>
      </c>
      <c r="AG201" s="59" t="s">
        <v>340</v>
      </c>
      <c r="AH201" s="59" t="s">
        <v>2740</v>
      </c>
      <c r="AI201" s="59" t="s">
        <v>285</v>
      </c>
      <c r="AJ201" s="59" t="s">
        <v>768</v>
      </c>
      <c r="AK201" s="59" t="s">
        <v>769</v>
      </c>
      <c r="AL201" s="64" t="str">
        <f>IFERROR(INDEX(LK_BankMaster!$D$4:$D$23,MATCH(AJ201&amp;"|"&amp;AK201,LK_BankMaster!$H$4:$H$23,0)),"")</f>
        <v/>
      </c>
      <c r="AM201" s="59" t="s">
        <v>2741</v>
      </c>
      <c r="AN201" s="64" t="str">
        <f>IFERROR(VLOOKUP(AJ201,LK_BankMaster!$A$4:$E$23,5,FALSE()),"")</f>
        <v/>
      </c>
      <c r="AO201" s="59" t="s">
        <v>291</v>
      </c>
      <c r="AP201" s="66">
        <v>0</v>
      </c>
      <c r="AQ201" s="64" t="str">
        <f t="shared" si="15"/>
        <v>Position Allowance - General Staff</v>
      </c>
      <c r="AR201" s="65" t="str">
        <f>IFERROR(VLOOKUP(T201,LK_OrgMaster!$B$4:$G$89,6,FALSE()),"No")</f>
        <v>No</v>
      </c>
      <c r="AS201" s="64" t="str">
        <f>IFERROR(VLOOKUP(T201,LK_OrgMaster!$B$4:$H$89,7,FALSE()),"None")</f>
        <v>Medical</v>
      </c>
      <c r="AT201" s="70">
        <v>39854</v>
      </c>
      <c r="AU201" s="70"/>
      <c r="AV201" s="70">
        <v>39854</v>
      </c>
      <c r="AW201" s="70">
        <v>46023</v>
      </c>
      <c r="AX201" s="71" t="s">
        <v>750</v>
      </c>
      <c r="AY201" s="72" t="s">
        <v>6260</v>
      </c>
    </row>
    <row r="202" spans="1:51" ht="15" customHeight="1" x14ac:dyDescent="0.3">
      <c r="A202" s="59" t="s">
        <v>2742</v>
      </c>
      <c r="B202" s="59" t="s">
        <v>772</v>
      </c>
      <c r="C202" s="59" t="s">
        <v>1077</v>
      </c>
      <c r="D202" s="59" t="s">
        <v>907</v>
      </c>
      <c r="E202" s="59" t="s">
        <v>775</v>
      </c>
      <c r="F202" s="60">
        <v>36151</v>
      </c>
      <c r="G202" s="59" t="s">
        <v>2743</v>
      </c>
      <c r="H202" s="59" t="s">
        <v>2744</v>
      </c>
      <c r="I202" s="60">
        <v>33743</v>
      </c>
      <c r="J202" s="61">
        <f t="shared" ca="1" si="12"/>
        <v>33</v>
      </c>
      <c r="K202" s="62">
        <f t="shared" si="13"/>
        <v>58066</v>
      </c>
      <c r="L202" s="59" t="s">
        <v>735</v>
      </c>
      <c r="M202" s="59" t="s">
        <v>893</v>
      </c>
      <c r="N202" s="59" t="s">
        <v>1081</v>
      </c>
      <c r="O202" s="63">
        <v>0</v>
      </c>
      <c r="P202" s="61">
        <f>IFERROR(SUMPRODUCT((LK_GradeDerivation!$A$4:$A$135=N202)*(IF(O202="",0,O202)&gt;=LK_GradeDerivation!$B$4:$B$135)*(IF(O202="",0,O202)&lt;=LK_GradeDerivation!$C$4:$C$135)*LK_GradeDerivation!$D$4:$D$135),1)</f>
        <v>3</v>
      </c>
      <c r="Q202" s="61">
        <f>IFERROR(SUMPRODUCT((LK_GradeDerivation!$A$4:$A$135=N202)*(IF(O202="",0,O202)&gt;=LK_GradeDerivation!$B$4:$B$135)*(IF(O202="",0,O202)&lt;=LK_GradeDerivation!$C$4:$C$135)*LK_GradeDerivation!$E$4:$E$135),1)</f>
        <v>1</v>
      </c>
      <c r="R202" s="59" t="s">
        <v>2745</v>
      </c>
      <c r="S202" s="59" t="s">
        <v>2746</v>
      </c>
      <c r="T202" s="59" t="s">
        <v>1305</v>
      </c>
      <c r="U202" s="59" t="s">
        <v>897</v>
      </c>
      <c r="V202" s="59" t="s">
        <v>763</v>
      </c>
      <c r="W202" s="59" t="s">
        <v>285</v>
      </c>
      <c r="X202" s="59" t="s">
        <v>587</v>
      </c>
      <c r="Y202" s="59" t="s">
        <v>589</v>
      </c>
      <c r="Z202" s="64" t="str">
        <f>IFERROR(VLOOKUP(T202,LK_OrgMaster!$B$4:$H$89,5,FALSE()),"Administration")</f>
        <v>Administration</v>
      </c>
      <c r="AA202" s="65" t="str">
        <f>IFERROR(VLOOKUP(X202,LK_LocationMaster!$D$4:$G$157,4,FALSE()),"No")</f>
        <v>Yes</v>
      </c>
      <c r="AB202" s="65" t="str">
        <f t="shared" si="14"/>
        <v>No</v>
      </c>
      <c r="AC202" s="65" t="str">
        <f>IFERROR(VLOOKUP(X202,LK_LocationMaster!$D$4:$H$157,5,FALSE()),"No")</f>
        <v>Yes</v>
      </c>
      <c r="AD202" s="59" t="s">
        <v>2747</v>
      </c>
      <c r="AE202" s="59" t="s">
        <v>886</v>
      </c>
      <c r="AF202" s="59" t="s">
        <v>816</v>
      </c>
      <c r="AG202" s="59" t="s">
        <v>329</v>
      </c>
      <c r="AH202" s="59" t="s">
        <v>2748</v>
      </c>
      <c r="AI202" s="59" t="s">
        <v>285</v>
      </c>
      <c r="AJ202" s="59" t="s">
        <v>833</v>
      </c>
      <c r="AK202" s="59" t="s">
        <v>834</v>
      </c>
      <c r="AL202" s="64" t="str">
        <f>IFERROR(INDEX(LK_BankMaster!$D$4:$D$23,MATCH(AJ202&amp;"|"&amp;AK202,LK_BankMaster!$H$4:$H$23,0)),"")</f>
        <v/>
      </c>
      <c r="AM202" s="59" t="s">
        <v>2749</v>
      </c>
      <c r="AN202" s="64" t="str">
        <f>IFERROR(VLOOKUP(AJ202,LK_BankMaster!$A$4:$E$23,5,FALSE()),"")</f>
        <v/>
      </c>
      <c r="AO202" s="59" t="s">
        <v>291</v>
      </c>
      <c r="AP202" s="66">
        <v>0</v>
      </c>
      <c r="AQ202" s="64" t="str">
        <f t="shared" si="15"/>
        <v>Position Allowance - General Staff</v>
      </c>
      <c r="AR202" s="65" t="str">
        <f>IFERROR(VLOOKUP(T202,LK_OrgMaster!$B$4:$G$89,6,FALSE()),"No")</f>
        <v>No</v>
      </c>
      <c r="AS202" s="64" t="str">
        <f>IFERROR(VLOOKUP(T202,LK_OrgMaster!$B$4:$H$89,7,FALSE()),"None")</f>
        <v>None</v>
      </c>
      <c r="AT202" s="67">
        <v>33743</v>
      </c>
      <c r="AU202" s="67"/>
      <c r="AV202" s="67">
        <v>33743</v>
      </c>
      <c r="AW202" s="67">
        <v>46023</v>
      </c>
      <c r="AX202" s="68" t="s">
        <v>750</v>
      </c>
      <c r="AY202" s="69" t="s">
        <v>6260</v>
      </c>
    </row>
    <row r="203" spans="1:51" ht="15" customHeight="1" x14ac:dyDescent="0.3">
      <c r="A203" s="59" t="s">
        <v>2750</v>
      </c>
      <c r="B203" s="59" t="s">
        <v>772</v>
      </c>
      <c r="C203" s="59" t="s">
        <v>1351</v>
      </c>
      <c r="D203" s="59" t="s">
        <v>989</v>
      </c>
      <c r="E203" s="59" t="s">
        <v>775</v>
      </c>
      <c r="F203" s="60">
        <v>30784</v>
      </c>
      <c r="G203" s="59" t="s">
        <v>2751</v>
      </c>
      <c r="H203" s="59" t="s">
        <v>2752</v>
      </c>
      <c r="I203" s="60">
        <v>36207</v>
      </c>
      <c r="J203" s="61">
        <f t="shared" ca="1" si="12"/>
        <v>27</v>
      </c>
      <c r="K203" s="62">
        <f t="shared" si="13"/>
        <v>52699</v>
      </c>
      <c r="L203" s="59" t="s">
        <v>735</v>
      </c>
      <c r="M203" s="59" t="s">
        <v>1020</v>
      </c>
      <c r="N203" s="59" t="s">
        <v>737</v>
      </c>
      <c r="O203" s="63">
        <v>0</v>
      </c>
      <c r="P203" s="61">
        <f>IFERROR(SUMPRODUCT((LK_GradeDerivation!$A$4:$A$135=N203)*(IF(O203="",0,O203)&gt;=LK_GradeDerivation!$B$4:$B$135)*(IF(O203="",0,O203)&lt;=LK_GradeDerivation!$C$4:$C$135)*LK_GradeDerivation!$D$4:$D$135),1)</f>
        <v>4</v>
      </c>
      <c r="Q203" s="61">
        <f>IFERROR(SUMPRODUCT((LK_GradeDerivation!$A$4:$A$135=N203)*(IF(O203="",0,O203)&gt;=LK_GradeDerivation!$B$4:$B$135)*(IF(O203="",0,O203)&lt;=LK_GradeDerivation!$C$4:$C$135)*LK_GradeDerivation!$E$4:$E$135),1)</f>
        <v>1</v>
      </c>
      <c r="R203" s="59" t="s">
        <v>2753</v>
      </c>
      <c r="S203" s="59" t="s">
        <v>2754</v>
      </c>
      <c r="T203" s="59" t="s">
        <v>896</v>
      </c>
      <c r="U203" s="59" t="s">
        <v>2755</v>
      </c>
      <c r="V203" s="59" t="s">
        <v>2756</v>
      </c>
      <c r="W203" s="59" t="s">
        <v>285</v>
      </c>
      <c r="X203" s="59" t="s">
        <v>288</v>
      </c>
      <c r="Y203" s="59" t="s">
        <v>308</v>
      </c>
      <c r="Z203" s="64" t="str">
        <f>IFERROR(VLOOKUP(T203,LK_OrgMaster!$B$4:$H$89,5,FALSE()),"Administration")</f>
        <v>Administration</v>
      </c>
      <c r="AA203" s="65" t="str">
        <f>IFERROR(VLOOKUP(X203,LK_LocationMaster!$D$4:$G$157,4,FALSE()),"No")</f>
        <v>No</v>
      </c>
      <c r="AB203" s="65" t="str">
        <f t="shared" si="14"/>
        <v>No</v>
      </c>
      <c r="AC203" s="65" t="str">
        <f>IFERROR(VLOOKUP(X203,LK_LocationMaster!$D$4:$H$157,5,FALSE()),"No")</f>
        <v>No</v>
      </c>
      <c r="AD203" s="59" t="s">
        <v>2757</v>
      </c>
      <c r="AE203" s="59" t="s">
        <v>800</v>
      </c>
      <c r="AF203" s="59" t="s">
        <v>766</v>
      </c>
      <c r="AG203" s="59" t="s">
        <v>340</v>
      </c>
      <c r="AH203" s="59" t="s">
        <v>2758</v>
      </c>
      <c r="AI203" s="59" t="s">
        <v>285</v>
      </c>
      <c r="AJ203" s="59" t="s">
        <v>768</v>
      </c>
      <c r="AK203" s="59" t="s">
        <v>1122</v>
      </c>
      <c r="AL203" s="64" t="str">
        <f>IFERROR(INDEX(LK_BankMaster!$D$4:$D$23,MATCH(AJ203&amp;"|"&amp;AK203,LK_BankMaster!$H$4:$H$23,0)),"")</f>
        <v/>
      </c>
      <c r="AM203" s="59" t="s">
        <v>2759</v>
      </c>
      <c r="AN203" s="64" t="str">
        <f>IFERROR(VLOOKUP(AJ203,LK_BankMaster!$A$4:$E$23,5,FALSE()),"")</f>
        <v/>
      </c>
      <c r="AO203" s="59" t="s">
        <v>314</v>
      </c>
      <c r="AP203" s="66">
        <v>0</v>
      </c>
      <c r="AQ203" s="64" t="str">
        <f t="shared" si="15"/>
        <v>Position Allowance - Section Chief</v>
      </c>
      <c r="AR203" s="65" t="str">
        <f>IFERROR(VLOOKUP(T203,LK_OrgMaster!$B$4:$G$89,6,FALSE()),"No")</f>
        <v>No</v>
      </c>
      <c r="AS203" s="64" t="str">
        <f>IFERROR(VLOOKUP(T203,LK_OrgMaster!$B$4:$H$89,7,FALSE()),"None")</f>
        <v>None</v>
      </c>
      <c r="AT203" s="70">
        <v>36207</v>
      </c>
      <c r="AU203" s="70"/>
      <c r="AV203" s="70">
        <v>36207</v>
      </c>
      <c r="AW203" s="70">
        <v>46023</v>
      </c>
      <c r="AX203" s="71" t="s">
        <v>750</v>
      </c>
      <c r="AY203" s="72" t="s">
        <v>6260</v>
      </c>
    </row>
    <row r="204" spans="1:51" ht="15" customHeight="1" x14ac:dyDescent="0.3">
      <c r="A204" s="59" t="s">
        <v>2760</v>
      </c>
      <c r="B204" s="59" t="s">
        <v>772</v>
      </c>
      <c r="C204" s="59" t="s">
        <v>1255</v>
      </c>
      <c r="D204" s="59" t="s">
        <v>1300</v>
      </c>
      <c r="E204" s="59" t="s">
        <v>775</v>
      </c>
      <c r="F204" s="60">
        <v>34813</v>
      </c>
      <c r="G204" s="59" t="s">
        <v>2761</v>
      </c>
      <c r="H204" s="59" t="s">
        <v>2762</v>
      </c>
      <c r="I204" s="60">
        <v>33913</v>
      </c>
      <c r="J204" s="61">
        <f t="shared" ca="1" si="12"/>
        <v>33</v>
      </c>
      <c r="K204" s="62">
        <f t="shared" si="13"/>
        <v>56728</v>
      </c>
      <c r="L204" s="59" t="s">
        <v>735</v>
      </c>
      <c r="M204" s="59" t="s">
        <v>1020</v>
      </c>
      <c r="N204" s="59" t="s">
        <v>737</v>
      </c>
      <c r="O204" s="63">
        <v>0</v>
      </c>
      <c r="P204" s="61">
        <f>IFERROR(SUMPRODUCT((LK_GradeDerivation!$A$4:$A$135=N204)*(IF(O204="",0,O204)&gt;=LK_GradeDerivation!$B$4:$B$135)*(IF(O204="",0,O204)&lt;=LK_GradeDerivation!$C$4:$C$135)*LK_GradeDerivation!$D$4:$D$135),1)</f>
        <v>4</v>
      </c>
      <c r="Q204" s="61">
        <f>IFERROR(SUMPRODUCT((LK_GradeDerivation!$A$4:$A$135=N204)*(IF(O204="",0,O204)&gt;=LK_GradeDerivation!$B$4:$B$135)*(IF(O204="",0,O204)&lt;=LK_GradeDerivation!$C$4:$C$135)*LK_GradeDerivation!$E$4:$E$135),1)</f>
        <v>1</v>
      </c>
      <c r="R204" s="59" t="s">
        <v>2763</v>
      </c>
      <c r="S204" s="59" t="s">
        <v>2764</v>
      </c>
      <c r="T204" s="59" t="s">
        <v>1204</v>
      </c>
      <c r="U204" s="59" t="s">
        <v>2100</v>
      </c>
      <c r="V204" s="59" t="s">
        <v>2101</v>
      </c>
      <c r="W204" s="59" t="s">
        <v>285</v>
      </c>
      <c r="X204" s="59" t="s">
        <v>544</v>
      </c>
      <c r="Y204" s="59" t="s">
        <v>546</v>
      </c>
      <c r="Z204" s="64" t="str">
        <f>IFERROR(VLOOKUP(T204,LK_OrgMaster!$B$4:$H$89,5,FALSE()),"Administration")</f>
        <v>Administration</v>
      </c>
      <c r="AA204" s="65" t="str">
        <f>IFERROR(VLOOKUP(X204,LK_LocationMaster!$D$4:$G$157,4,FALSE()),"No")</f>
        <v>Yes</v>
      </c>
      <c r="AB204" s="65" t="str">
        <f t="shared" si="14"/>
        <v>No</v>
      </c>
      <c r="AC204" s="65" t="str">
        <f>IFERROR(VLOOKUP(X204,LK_LocationMaster!$D$4:$H$157,5,FALSE()),"No")</f>
        <v>Yes</v>
      </c>
      <c r="AD204" s="59" t="s">
        <v>2451</v>
      </c>
      <c r="AE204" s="59" t="s">
        <v>930</v>
      </c>
      <c r="AF204" s="59" t="s">
        <v>766</v>
      </c>
      <c r="AG204" s="59" t="s">
        <v>408</v>
      </c>
      <c r="AH204" s="59" t="s">
        <v>2765</v>
      </c>
      <c r="AI204" s="59" t="s">
        <v>285</v>
      </c>
      <c r="AJ204" s="59" t="s">
        <v>788</v>
      </c>
      <c r="AK204" s="59" t="s">
        <v>903</v>
      </c>
      <c r="AL204" s="64" t="str">
        <f>IFERROR(INDEX(LK_BankMaster!$D$4:$D$23,MATCH(AJ204&amp;"|"&amp;AK204,LK_BankMaster!$H$4:$H$23,0)),"")</f>
        <v/>
      </c>
      <c r="AM204" s="59" t="s">
        <v>2766</v>
      </c>
      <c r="AN204" s="64" t="str">
        <f>IFERROR(VLOOKUP(AJ204,LK_BankMaster!$A$4:$E$23,5,FALSE()),"")</f>
        <v/>
      </c>
      <c r="AO204" s="59" t="s">
        <v>291</v>
      </c>
      <c r="AP204" s="66">
        <v>0</v>
      </c>
      <c r="AQ204" s="64" t="str">
        <f t="shared" si="15"/>
        <v>Position Allowance - Section Chief</v>
      </c>
      <c r="AR204" s="65" t="str">
        <f>IFERROR(VLOOKUP(T204,LK_OrgMaster!$B$4:$G$89,6,FALSE()),"No")</f>
        <v>No</v>
      </c>
      <c r="AS204" s="64" t="str">
        <f>IFERROR(VLOOKUP(T204,LK_OrgMaster!$B$4:$H$89,7,FALSE()),"None")</f>
        <v>None</v>
      </c>
      <c r="AT204" s="67">
        <v>33913</v>
      </c>
      <c r="AU204" s="67"/>
      <c r="AV204" s="67">
        <v>33913</v>
      </c>
      <c r="AW204" s="67">
        <v>46023</v>
      </c>
      <c r="AX204" s="68" t="s">
        <v>750</v>
      </c>
      <c r="AY204" s="69" t="s">
        <v>6260</v>
      </c>
    </row>
    <row r="205" spans="1:51" ht="15" customHeight="1" x14ac:dyDescent="0.3">
      <c r="A205" s="59" t="s">
        <v>2767</v>
      </c>
      <c r="B205" s="59" t="s">
        <v>851</v>
      </c>
      <c r="C205" s="59" t="s">
        <v>1383</v>
      </c>
      <c r="D205" s="59" t="s">
        <v>1880</v>
      </c>
      <c r="E205" s="59" t="s">
        <v>775</v>
      </c>
      <c r="F205" s="60">
        <v>24512</v>
      </c>
      <c r="G205" s="59" t="s">
        <v>2768</v>
      </c>
      <c r="H205" s="59" t="s">
        <v>2769</v>
      </c>
      <c r="I205" s="60">
        <v>38586</v>
      </c>
      <c r="J205" s="61">
        <f t="shared" ca="1" si="12"/>
        <v>20</v>
      </c>
      <c r="K205" s="62">
        <f t="shared" si="13"/>
        <v>46427</v>
      </c>
      <c r="L205" s="59" t="s">
        <v>735</v>
      </c>
      <c r="M205" s="59" t="s">
        <v>1104</v>
      </c>
      <c r="N205" s="59" t="s">
        <v>1081</v>
      </c>
      <c r="O205" s="63">
        <v>18</v>
      </c>
      <c r="P205" s="61">
        <f>IFERROR(SUMPRODUCT((LK_GradeDerivation!$A$4:$A$135=N205)*(IF(O205="",0,O205)&gt;=LK_GradeDerivation!$B$4:$B$135)*(IF(O205="",0,O205)&lt;=LK_GradeDerivation!$C$4:$C$135)*LK_GradeDerivation!$D$4:$D$135),1)</f>
        <v>3</v>
      </c>
      <c r="Q205" s="61">
        <f>IFERROR(SUMPRODUCT((LK_GradeDerivation!$A$4:$A$135=N205)*(IF(O205="",0,O205)&gt;=LK_GradeDerivation!$B$4:$B$135)*(IF(O205="",0,O205)&lt;=LK_GradeDerivation!$C$4:$C$135)*LK_GradeDerivation!$E$4:$E$135),1)</f>
        <v>10</v>
      </c>
      <c r="R205" s="59" t="s">
        <v>2770</v>
      </c>
      <c r="S205" s="59" t="s">
        <v>2771</v>
      </c>
      <c r="T205" s="59" t="s">
        <v>1023</v>
      </c>
      <c r="U205" s="59" t="s">
        <v>2589</v>
      </c>
      <c r="V205" s="59" t="s">
        <v>2772</v>
      </c>
      <c r="W205" s="59" t="s">
        <v>285</v>
      </c>
      <c r="X205" s="59" t="s">
        <v>429</v>
      </c>
      <c r="Y205" s="59" t="s">
        <v>431</v>
      </c>
      <c r="Z205" s="64" t="str">
        <f>IFERROR(VLOOKUP(T205,LK_OrgMaster!$B$4:$H$89,5,FALSE()),"Administration")</f>
        <v>Technical</v>
      </c>
      <c r="AA205" s="65" t="str">
        <f>IFERROR(VLOOKUP(X205,LK_LocationMaster!$D$4:$G$157,4,FALSE()),"No")</f>
        <v>Yes</v>
      </c>
      <c r="AB205" s="65" t="str">
        <f t="shared" si="14"/>
        <v>No</v>
      </c>
      <c r="AC205" s="65" t="str">
        <f>IFERROR(VLOOKUP(X205,LK_LocationMaster!$D$4:$H$157,5,FALSE()),"No")</f>
        <v>Yes</v>
      </c>
      <c r="AD205" s="59" t="s">
        <v>2773</v>
      </c>
      <c r="AE205" s="59" t="s">
        <v>886</v>
      </c>
      <c r="AF205" s="59" t="s">
        <v>969</v>
      </c>
      <c r="AG205" s="59" t="s">
        <v>329</v>
      </c>
      <c r="AH205" s="59" t="s">
        <v>2774</v>
      </c>
      <c r="AI205" s="59" t="s">
        <v>285</v>
      </c>
      <c r="AJ205" s="59" t="s">
        <v>788</v>
      </c>
      <c r="AK205" s="59" t="s">
        <v>1146</v>
      </c>
      <c r="AL205" s="64" t="str">
        <f>IFERROR(INDEX(LK_BankMaster!$D$4:$D$23,MATCH(AJ205&amp;"|"&amp;AK205,LK_BankMaster!$H$4:$H$23,0)),"")</f>
        <v/>
      </c>
      <c r="AM205" s="59" t="s">
        <v>2775</v>
      </c>
      <c r="AN205" s="64" t="str">
        <f>IFERROR(VLOOKUP(AJ205,LK_BankMaster!$A$4:$E$23,5,FALSE()),"")</f>
        <v/>
      </c>
      <c r="AO205" s="59" t="s">
        <v>314</v>
      </c>
      <c r="AP205" s="66">
        <v>3</v>
      </c>
      <c r="AQ205" s="64" t="str">
        <f t="shared" si="15"/>
        <v>Position Allowance - General Staff</v>
      </c>
      <c r="AR205" s="65" t="str">
        <f>IFERROR(VLOOKUP(T205,LK_OrgMaster!$B$4:$G$89,6,FALSE()),"No")</f>
        <v>No</v>
      </c>
      <c r="AS205" s="64" t="str">
        <f>IFERROR(VLOOKUP(T205,LK_OrgMaster!$B$4:$H$89,7,FALSE()),"None")</f>
        <v>None</v>
      </c>
      <c r="AT205" s="70">
        <v>38586</v>
      </c>
      <c r="AU205" s="70"/>
      <c r="AV205" s="70">
        <v>38586</v>
      </c>
      <c r="AW205" s="70">
        <v>46023</v>
      </c>
      <c r="AX205" s="71" t="s">
        <v>750</v>
      </c>
      <c r="AY205" s="72" t="s">
        <v>6260</v>
      </c>
    </row>
    <row r="206" spans="1:51" ht="15" customHeight="1" x14ac:dyDescent="0.3">
      <c r="A206" s="59" t="s">
        <v>2776</v>
      </c>
      <c r="B206" s="59" t="s">
        <v>772</v>
      </c>
      <c r="C206" s="59" t="s">
        <v>2134</v>
      </c>
      <c r="D206" s="59" t="s">
        <v>2444</v>
      </c>
      <c r="E206" s="59" t="s">
        <v>732</v>
      </c>
      <c r="F206" s="60">
        <v>33973</v>
      </c>
      <c r="G206" s="59" t="s">
        <v>2777</v>
      </c>
      <c r="H206" s="59" t="s">
        <v>2778</v>
      </c>
      <c r="I206" s="60">
        <v>45526</v>
      </c>
      <c r="J206" s="61">
        <f t="shared" ca="1" si="12"/>
        <v>1</v>
      </c>
      <c r="K206" s="62">
        <f t="shared" si="13"/>
        <v>55888</v>
      </c>
      <c r="L206" s="59" t="s">
        <v>735</v>
      </c>
      <c r="M206" s="59" t="s">
        <v>893</v>
      </c>
      <c r="N206" s="59" t="s">
        <v>779</v>
      </c>
      <c r="O206" s="63">
        <v>13</v>
      </c>
      <c r="P206" s="61">
        <f>IFERROR(SUMPRODUCT((LK_GradeDerivation!$A$4:$A$135=N206)*(IF(O206="",0,O206)&gt;=LK_GradeDerivation!$B$4:$B$135)*(IF(O206="",0,O206)&lt;=LK_GradeDerivation!$C$4:$C$135)*LK_GradeDerivation!$D$4:$D$135),1)</f>
        <v>2</v>
      </c>
      <c r="Q206" s="61">
        <f>IFERROR(SUMPRODUCT((LK_GradeDerivation!$A$4:$A$135=N206)*(IF(O206="",0,O206)&gt;=LK_GradeDerivation!$B$4:$B$135)*(IF(O206="",0,O206)&lt;=LK_GradeDerivation!$C$4:$C$135)*LK_GradeDerivation!$E$4:$E$135),1)</f>
        <v>7</v>
      </c>
      <c r="R206" s="59" t="s">
        <v>2779</v>
      </c>
      <c r="S206" s="59" t="s">
        <v>2780</v>
      </c>
      <c r="T206" s="59" t="s">
        <v>761</v>
      </c>
      <c r="U206" s="59" t="s">
        <v>1980</v>
      </c>
      <c r="V206" s="59" t="s">
        <v>2781</v>
      </c>
      <c r="W206" s="59" t="s">
        <v>285</v>
      </c>
      <c r="X206" s="59" t="s">
        <v>288</v>
      </c>
      <c r="Y206" s="59" t="s">
        <v>306</v>
      </c>
      <c r="Z206" s="64" t="str">
        <f>IFERROR(VLOOKUP(T206,LK_OrgMaster!$B$4:$H$89,5,FALSE()),"Administration")</f>
        <v>Administration</v>
      </c>
      <c r="AA206" s="65" t="str">
        <f>IFERROR(VLOOKUP(X206,LK_LocationMaster!$D$4:$G$157,4,FALSE()),"No")</f>
        <v>No</v>
      </c>
      <c r="AB206" s="65" t="str">
        <f t="shared" si="14"/>
        <v>No</v>
      </c>
      <c r="AC206" s="65" t="str">
        <f>IFERROR(VLOOKUP(X206,LK_LocationMaster!$D$4:$H$157,5,FALSE()),"No")</f>
        <v>No</v>
      </c>
      <c r="AD206" s="59" t="s">
        <v>2782</v>
      </c>
      <c r="AE206" s="59" t="s">
        <v>765</v>
      </c>
      <c r="AF206" s="59" t="s">
        <v>766</v>
      </c>
      <c r="AG206" s="59" t="s">
        <v>368</v>
      </c>
      <c r="AH206" s="59" t="s">
        <v>2783</v>
      </c>
      <c r="AI206" s="59" t="s">
        <v>285</v>
      </c>
      <c r="AJ206" s="59" t="s">
        <v>788</v>
      </c>
      <c r="AK206" s="59" t="s">
        <v>1146</v>
      </c>
      <c r="AL206" s="64" t="str">
        <f>IFERROR(INDEX(LK_BankMaster!$D$4:$D$23,MATCH(AJ206&amp;"|"&amp;AK206,LK_BankMaster!$H$4:$H$23,0)),"")</f>
        <v/>
      </c>
      <c r="AM206" s="59" t="s">
        <v>2784</v>
      </c>
      <c r="AN206" s="64" t="str">
        <f>IFERROR(VLOOKUP(AJ206,LK_BankMaster!$A$4:$E$23,5,FALSE()),"")</f>
        <v/>
      </c>
      <c r="AO206" s="59" t="s">
        <v>314</v>
      </c>
      <c r="AP206" s="66">
        <v>3</v>
      </c>
      <c r="AQ206" s="64" t="str">
        <f t="shared" si="15"/>
        <v>Position Allowance - General Staff</v>
      </c>
      <c r="AR206" s="65" t="str">
        <f>IFERROR(VLOOKUP(T206,LK_OrgMaster!$B$4:$G$89,6,FALSE()),"No")</f>
        <v>Yes</v>
      </c>
      <c r="AS206" s="64" t="str">
        <f>IFERROR(VLOOKUP(T206,LK_OrgMaster!$B$4:$H$89,7,FALSE()),"None")</f>
        <v>None</v>
      </c>
      <c r="AT206" s="67">
        <v>45526</v>
      </c>
      <c r="AU206" s="67"/>
      <c r="AV206" s="67">
        <v>45526</v>
      </c>
      <c r="AW206" s="67">
        <v>46023</v>
      </c>
      <c r="AX206" s="68" t="s">
        <v>750</v>
      </c>
      <c r="AY206" s="69" t="s">
        <v>6260</v>
      </c>
    </row>
    <row r="207" spans="1:51" ht="15" customHeight="1" x14ac:dyDescent="0.3">
      <c r="A207" s="59" t="s">
        <v>2785</v>
      </c>
      <c r="B207" s="59" t="s">
        <v>851</v>
      </c>
      <c r="C207" s="59" t="s">
        <v>1149</v>
      </c>
      <c r="D207" s="59" t="s">
        <v>907</v>
      </c>
      <c r="E207" s="59" t="s">
        <v>775</v>
      </c>
      <c r="F207" s="60">
        <v>26386</v>
      </c>
      <c r="G207" s="59" t="s">
        <v>2786</v>
      </c>
      <c r="H207" s="59" t="s">
        <v>2787</v>
      </c>
      <c r="I207" s="60">
        <v>34797</v>
      </c>
      <c r="J207" s="61">
        <f t="shared" ca="1" si="12"/>
        <v>30</v>
      </c>
      <c r="K207" s="62">
        <f t="shared" si="13"/>
        <v>48301</v>
      </c>
      <c r="L207" s="59" t="s">
        <v>735</v>
      </c>
      <c r="M207" s="59" t="s">
        <v>893</v>
      </c>
      <c r="N207" s="59" t="s">
        <v>1081</v>
      </c>
      <c r="O207" s="63">
        <v>3</v>
      </c>
      <c r="P207" s="61">
        <f>IFERROR(SUMPRODUCT((LK_GradeDerivation!$A$4:$A$135=N207)*(IF(O207="",0,O207)&gt;=LK_GradeDerivation!$B$4:$B$135)*(IF(O207="",0,O207)&lt;=LK_GradeDerivation!$C$4:$C$135)*LK_GradeDerivation!$D$4:$D$135),1)</f>
        <v>3</v>
      </c>
      <c r="Q207" s="61">
        <f>IFERROR(SUMPRODUCT((LK_GradeDerivation!$A$4:$A$135=N207)*(IF(O207="",0,O207)&gt;=LK_GradeDerivation!$B$4:$B$135)*(IF(O207="",0,O207)&lt;=LK_GradeDerivation!$C$4:$C$135)*LK_GradeDerivation!$E$4:$E$135),1)</f>
        <v>2</v>
      </c>
      <c r="R207" s="59" t="s">
        <v>2788</v>
      </c>
      <c r="S207" s="59" t="s">
        <v>2789</v>
      </c>
      <c r="T207" s="59" t="s">
        <v>2790</v>
      </c>
      <c r="U207" s="59" t="s">
        <v>1036</v>
      </c>
      <c r="V207" s="59" t="s">
        <v>1764</v>
      </c>
      <c r="W207" s="59" t="s">
        <v>285</v>
      </c>
      <c r="X207" s="59" t="s">
        <v>429</v>
      </c>
      <c r="Y207" s="59" t="s">
        <v>435</v>
      </c>
      <c r="Z207" s="64" t="str">
        <f>IFERROR(VLOOKUP(T207,LK_OrgMaster!$B$4:$H$89,5,FALSE()),"Administration")</f>
        <v>Administration</v>
      </c>
      <c r="AA207" s="65" t="str">
        <f>IFERROR(VLOOKUP(X207,LK_LocationMaster!$D$4:$G$157,4,FALSE()),"No")</f>
        <v>Yes</v>
      </c>
      <c r="AB207" s="65" t="str">
        <f t="shared" si="14"/>
        <v>No</v>
      </c>
      <c r="AC207" s="65" t="str">
        <f>IFERROR(VLOOKUP(X207,LK_LocationMaster!$D$4:$H$157,5,FALSE()),"No")</f>
        <v>Yes</v>
      </c>
      <c r="AD207" s="59" t="s">
        <v>2529</v>
      </c>
      <c r="AE207" s="59" t="s">
        <v>930</v>
      </c>
      <c r="AF207" s="59" t="s">
        <v>801</v>
      </c>
      <c r="AG207" s="59" t="s">
        <v>408</v>
      </c>
      <c r="AH207" s="59" t="s">
        <v>2791</v>
      </c>
      <c r="AI207" s="59" t="s">
        <v>285</v>
      </c>
      <c r="AJ207" s="59" t="s">
        <v>818</v>
      </c>
      <c r="AK207" s="59" t="s">
        <v>819</v>
      </c>
      <c r="AL207" s="64" t="str">
        <f>IFERROR(INDEX(LK_BankMaster!$D$4:$D$23,MATCH(AJ207&amp;"|"&amp;AK207,LK_BankMaster!$H$4:$H$23,0)),"")</f>
        <v/>
      </c>
      <c r="AM207" s="59" t="s">
        <v>2792</v>
      </c>
      <c r="AN207" s="64" t="str">
        <f>IFERROR(VLOOKUP(AJ207,LK_BankMaster!$A$4:$E$23,5,FALSE()),"")</f>
        <v/>
      </c>
      <c r="AO207" s="59" t="s">
        <v>291</v>
      </c>
      <c r="AP207" s="66">
        <v>0</v>
      </c>
      <c r="AQ207" s="64" t="str">
        <f t="shared" si="15"/>
        <v>Position Allowance - General Staff</v>
      </c>
      <c r="AR207" s="65" t="str">
        <f>IFERROR(VLOOKUP(T207,LK_OrgMaster!$B$4:$G$89,6,FALSE()),"No")</f>
        <v>No</v>
      </c>
      <c r="AS207" s="64" t="str">
        <f>IFERROR(VLOOKUP(T207,LK_OrgMaster!$B$4:$H$89,7,FALSE()),"None")</f>
        <v>None</v>
      </c>
      <c r="AT207" s="70">
        <v>34797</v>
      </c>
      <c r="AU207" s="70"/>
      <c r="AV207" s="70">
        <v>34797</v>
      </c>
      <c r="AW207" s="70">
        <v>46023</v>
      </c>
      <c r="AX207" s="71" t="s">
        <v>750</v>
      </c>
      <c r="AY207" s="72" t="s">
        <v>6260</v>
      </c>
    </row>
    <row r="208" spans="1:51" ht="15" customHeight="1" x14ac:dyDescent="0.3">
      <c r="A208" s="59" t="s">
        <v>2793</v>
      </c>
      <c r="B208" s="59" t="s">
        <v>729</v>
      </c>
      <c r="C208" s="59" t="s">
        <v>1975</v>
      </c>
      <c r="D208" s="59" t="s">
        <v>2794</v>
      </c>
      <c r="E208" s="59" t="s">
        <v>732</v>
      </c>
      <c r="F208" s="60">
        <v>28067</v>
      </c>
      <c r="G208" s="59" t="s">
        <v>2795</v>
      </c>
      <c r="H208" s="59" t="s">
        <v>2796</v>
      </c>
      <c r="I208" s="60">
        <v>43634</v>
      </c>
      <c r="J208" s="61">
        <f t="shared" ca="1" si="12"/>
        <v>6</v>
      </c>
      <c r="K208" s="62">
        <f t="shared" si="13"/>
        <v>49982</v>
      </c>
      <c r="L208" s="59" t="s">
        <v>735</v>
      </c>
      <c r="M208" s="59" t="s">
        <v>1891</v>
      </c>
      <c r="N208" s="59" t="s">
        <v>737</v>
      </c>
      <c r="O208" s="63">
        <v>20</v>
      </c>
      <c r="P208" s="61">
        <f>IFERROR(SUMPRODUCT((LK_GradeDerivation!$A$4:$A$135=N208)*(IF(O208="",0,O208)&gt;=LK_GradeDerivation!$B$4:$B$135)*(IF(O208="",0,O208)&lt;=LK_GradeDerivation!$C$4:$C$135)*LK_GradeDerivation!$D$4:$D$135),1)</f>
        <v>4</v>
      </c>
      <c r="Q208" s="61">
        <f>IFERROR(SUMPRODUCT((LK_GradeDerivation!$A$4:$A$135=N208)*(IF(O208="",0,O208)&gt;=LK_GradeDerivation!$B$4:$B$135)*(IF(O208="",0,O208)&lt;=LK_GradeDerivation!$C$4:$C$135)*LK_GradeDerivation!$E$4:$E$135),1)</f>
        <v>11</v>
      </c>
      <c r="R208" s="59" t="s">
        <v>2797</v>
      </c>
      <c r="S208" s="59" t="s">
        <v>2798</v>
      </c>
      <c r="T208" s="59" t="s">
        <v>1118</v>
      </c>
      <c r="U208" s="59" t="s">
        <v>1874</v>
      </c>
      <c r="V208" s="59" t="s">
        <v>763</v>
      </c>
      <c r="W208" s="59" t="s">
        <v>285</v>
      </c>
      <c r="X208" s="59" t="s">
        <v>500</v>
      </c>
      <c r="Y208" s="59" t="s">
        <v>519</v>
      </c>
      <c r="Z208" s="64" t="str">
        <f>IFERROR(VLOOKUP(T208,LK_OrgMaster!$B$4:$H$89,5,FALSE()),"Administration")</f>
        <v>Diplomatic</v>
      </c>
      <c r="AA208" s="65" t="str">
        <f>IFERROR(VLOOKUP(X208,LK_LocationMaster!$D$4:$G$157,4,FALSE()),"No")</f>
        <v>No</v>
      </c>
      <c r="AB208" s="65" t="str">
        <f t="shared" si="14"/>
        <v>No</v>
      </c>
      <c r="AC208" s="65" t="str">
        <f>IFERROR(VLOOKUP(X208,LK_LocationMaster!$D$4:$H$157,5,FALSE()),"No")</f>
        <v>Yes</v>
      </c>
      <c r="AD208" s="59" t="s">
        <v>2799</v>
      </c>
      <c r="AE208" s="59" t="s">
        <v>1401</v>
      </c>
      <c r="AF208" s="59" t="s">
        <v>816</v>
      </c>
      <c r="AG208" s="59" t="s">
        <v>312</v>
      </c>
      <c r="AH208" s="59" t="s">
        <v>2800</v>
      </c>
      <c r="AI208" s="59" t="s">
        <v>285</v>
      </c>
      <c r="AJ208" s="59" t="s">
        <v>818</v>
      </c>
      <c r="AK208" s="59" t="s">
        <v>819</v>
      </c>
      <c r="AL208" s="64" t="str">
        <f>IFERROR(INDEX(LK_BankMaster!$D$4:$D$23,MATCH(AJ208&amp;"|"&amp;AK208,LK_BankMaster!$H$4:$H$23,0)),"")</f>
        <v/>
      </c>
      <c r="AM208" s="59" t="s">
        <v>2801</v>
      </c>
      <c r="AN208" s="64" t="str">
        <f>IFERROR(VLOOKUP(AJ208,LK_BankMaster!$A$4:$E$23,5,FALSE()),"")</f>
        <v/>
      </c>
      <c r="AO208" s="59" t="s">
        <v>314</v>
      </c>
      <c r="AP208" s="66">
        <v>1</v>
      </c>
      <c r="AQ208" s="64" t="str">
        <f t="shared" si="15"/>
        <v>Position Allowance - General Staff</v>
      </c>
      <c r="AR208" s="65" t="str">
        <f>IFERROR(VLOOKUP(T208,LK_OrgMaster!$B$4:$G$89,6,FALSE()),"No")</f>
        <v>No</v>
      </c>
      <c r="AS208" s="64" t="str">
        <f>IFERROR(VLOOKUP(T208,LK_OrgMaster!$B$4:$H$89,7,FALSE()),"None")</f>
        <v>None</v>
      </c>
      <c r="AT208" s="67">
        <v>43634</v>
      </c>
      <c r="AU208" s="67"/>
      <c r="AV208" s="67">
        <v>43634</v>
      </c>
      <c r="AW208" s="67">
        <v>46023</v>
      </c>
      <c r="AX208" s="68" t="s">
        <v>750</v>
      </c>
      <c r="AY208" s="69" t="s">
        <v>6260</v>
      </c>
    </row>
    <row r="209" spans="1:51" ht="15" customHeight="1" x14ac:dyDescent="0.3">
      <c r="A209" s="59" t="s">
        <v>2802</v>
      </c>
      <c r="B209" s="59" t="s">
        <v>851</v>
      </c>
      <c r="C209" s="59" t="s">
        <v>2015</v>
      </c>
      <c r="D209" s="59" t="s">
        <v>1137</v>
      </c>
      <c r="E209" s="59" t="s">
        <v>775</v>
      </c>
      <c r="F209" s="60">
        <v>34392</v>
      </c>
      <c r="G209" s="59" t="s">
        <v>2803</v>
      </c>
      <c r="H209" s="59" t="s">
        <v>2804</v>
      </c>
      <c r="I209" s="60">
        <v>35234</v>
      </c>
      <c r="J209" s="61">
        <f t="shared" ca="1" si="12"/>
        <v>29</v>
      </c>
      <c r="K209" s="62">
        <f t="shared" si="13"/>
        <v>56307</v>
      </c>
      <c r="L209" s="59" t="s">
        <v>735</v>
      </c>
      <c r="M209" s="59" t="s">
        <v>1069</v>
      </c>
      <c r="N209" s="59" t="s">
        <v>758</v>
      </c>
      <c r="O209" s="63">
        <v>0</v>
      </c>
      <c r="P209" s="61">
        <f>IFERROR(SUMPRODUCT((LK_GradeDerivation!$A$4:$A$135=N209)*(IF(O209="",0,O209)&gt;=LK_GradeDerivation!$B$4:$B$135)*(IF(O209="",0,O209)&lt;=LK_GradeDerivation!$C$4:$C$135)*LK_GradeDerivation!$D$4:$D$135),1)</f>
        <v>5</v>
      </c>
      <c r="Q209" s="61">
        <f>IFERROR(SUMPRODUCT((LK_GradeDerivation!$A$4:$A$135=N209)*(IF(O209="",0,O209)&gt;=LK_GradeDerivation!$B$4:$B$135)*(IF(O209="",0,O209)&lt;=LK_GradeDerivation!$C$4:$C$135)*LK_GradeDerivation!$E$4:$E$135),1)</f>
        <v>1</v>
      </c>
      <c r="R209" s="59" t="s">
        <v>2805</v>
      </c>
      <c r="S209" s="59" t="s">
        <v>2806</v>
      </c>
      <c r="T209" s="59" t="s">
        <v>2790</v>
      </c>
      <c r="U209" s="59" t="s">
        <v>953</v>
      </c>
      <c r="V209" s="59" t="s">
        <v>1577</v>
      </c>
      <c r="W209" s="59" t="s">
        <v>285</v>
      </c>
      <c r="X209" s="59" t="s">
        <v>443</v>
      </c>
      <c r="Y209" s="59" t="s">
        <v>457</v>
      </c>
      <c r="Z209" s="64" t="str">
        <f>IFERROR(VLOOKUP(T209,LK_OrgMaster!$B$4:$H$89,5,FALSE()),"Administration")</f>
        <v>Administration</v>
      </c>
      <c r="AA209" s="65" t="str">
        <f>IFERROR(VLOOKUP(X209,LK_LocationMaster!$D$4:$G$157,4,FALSE()),"No")</f>
        <v>No</v>
      </c>
      <c r="AB209" s="65" t="str">
        <f t="shared" si="14"/>
        <v>No</v>
      </c>
      <c r="AC209" s="65" t="str">
        <f>IFERROR(VLOOKUP(X209,LK_LocationMaster!$D$4:$H$157,5,FALSE()),"No")</f>
        <v>No</v>
      </c>
      <c r="AD209" s="59" t="s">
        <v>2807</v>
      </c>
      <c r="AE209" s="59" t="s">
        <v>930</v>
      </c>
      <c r="AF209" s="59" t="s">
        <v>847</v>
      </c>
      <c r="AG209" s="59" t="s">
        <v>408</v>
      </c>
      <c r="AH209" s="59" t="s">
        <v>2808</v>
      </c>
      <c r="AI209" s="59" t="s">
        <v>285</v>
      </c>
      <c r="AJ209" s="59" t="s">
        <v>788</v>
      </c>
      <c r="AK209" s="59" t="s">
        <v>1146</v>
      </c>
      <c r="AL209" s="64" t="str">
        <f>IFERROR(INDEX(LK_BankMaster!$D$4:$D$23,MATCH(AJ209&amp;"|"&amp;AK209,LK_BankMaster!$H$4:$H$23,0)),"")</f>
        <v/>
      </c>
      <c r="AM209" s="59" t="s">
        <v>2809</v>
      </c>
      <c r="AN209" s="64" t="str">
        <f>IFERROR(VLOOKUP(AJ209,LK_BankMaster!$A$4:$E$23,5,FALSE()),"")</f>
        <v/>
      </c>
      <c r="AO209" s="59" t="s">
        <v>291</v>
      </c>
      <c r="AP209" s="66">
        <v>0</v>
      </c>
      <c r="AQ209" s="64" t="str">
        <f t="shared" si="15"/>
        <v>Position Allowance - General Staff</v>
      </c>
      <c r="AR209" s="65" t="str">
        <f>IFERROR(VLOOKUP(T209,LK_OrgMaster!$B$4:$G$89,6,FALSE()),"No")</f>
        <v>No</v>
      </c>
      <c r="AS209" s="64" t="str">
        <f>IFERROR(VLOOKUP(T209,LK_OrgMaster!$B$4:$H$89,7,FALSE()),"None")</f>
        <v>None</v>
      </c>
      <c r="AT209" s="70">
        <v>35234</v>
      </c>
      <c r="AU209" s="70"/>
      <c r="AV209" s="70">
        <v>35234</v>
      </c>
      <c r="AW209" s="70">
        <v>46023</v>
      </c>
      <c r="AX209" s="71" t="s">
        <v>750</v>
      </c>
      <c r="AY209" s="72" t="s">
        <v>6260</v>
      </c>
    </row>
    <row r="210" spans="1:51" ht="15" customHeight="1" x14ac:dyDescent="0.3">
      <c r="A210" s="59" t="s">
        <v>2810</v>
      </c>
      <c r="B210" s="59" t="s">
        <v>772</v>
      </c>
      <c r="C210" s="59" t="s">
        <v>2015</v>
      </c>
      <c r="D210" s="59" t="s">
        <v>587</v>
      </c>
      <c r="E210" s="59" t="s">
        <v>775</v>
      </c>
      <c r="F210" s="60">
        <v>28237</v>
      </c>
      <c r="G210" s="59" t="s">
        <v>2811</v>
      </c>
      <c r="H210" s="59" t="s">
        <v>2812</v>
      </c>
      <c r="I210" s="60">
        <v>32727</v>
      </c>
      <c r="J210" s="61">
        <f t="shared" ca="1" si="12"/>
        <v>36</v>
      </c>
      <c r="K210" s="62">
        <f t="shared" si="13"/>
        <v>50152</v>
      </c>
      <c r="L210" s="59" t="s">
        <v>735</v>
      </c>
      <c r="M210" s="59" t="s">
        <v>992</v>
      </c>
      <c r="N210" s="59" t="s">
        <v>1081</v>
      </c>
      <c r="O210" s="63">
        <v>0</v>
      </c>
      <c r="P210" s="61">
        <f>IFERROR(SUMPRODUCT((LK_GradeDerivation!$A$4:$A$135=N210)*(IF(O210="",0,O210)&gt;=LK_GradeDerivation!$B$4:$B$135)*(IF(O210="",0,O210)&lt;=LK_GradeDerivation!$C$4:$C$135)*LK_GradeDerivation!$D$4:$D$135),1)</f>
        <v>3</v>
      </c>
      <c r="Q210" s="61">
        <f>IFERROR(SUMPRODUCT((LK_GradeDerivation!$A$4:$A$135=N210)*(IF(O210="",0,O210)&gt;=LK_GradeDerivation!$B$4:$B$135)*(IF(O210="",0,O210)&lt;=LK_GradeDerivation!$C$4:$C$135)*LK_GradeDerivation!$E$4:$E$135),1)</f>
        <v>1</v>
      </c>
      <c r="R210" s="59" t="s">
        <v>2813</v>
      </c>
      <c r="S210" s="59" t="s">
        <v>2814</v>
      </c>
      <c r="T210" s="59" t="s">
        <v>740</v>
      </c>
      <c r="U210" s="59" t="s">
        <v>927</v>
      </c>
      <c r="V210" s="59" t="s">
        <v>742</v>
      </c>
      <c r="W210" s="59" t="s">
        <v>285</v>
      </c>
      <c r="X210" s="59" t="s">
        <v>443</v>
      </c>
      <c r="Y210" s="59" t="s">
        <v>453</v>
      </c>
      <c r="Z210" s="64" t="str">
        <f>IFERROR(VLOOKUP(T210,LK_OrgMaster!$B$4:$H$89,5,FALSE()),"Administration")</f>
        <v>Teacher</v>
      </c>
      <c r="AA210" s="65" t="str">
        <f>IFERROR(VLOOKUP(X210,LK_LocationMaster!$D$4:$G$157,4,FALSE()),"No")</f>
        <v>No</v>
      </c>
      <c r="AB210" s="65" t="str">
        <f t="shared" si="14"/>
        <v>No</v>
      </c>
      <c r="AC210" s="65" t="str">
        <f>IFERROR(VLOOKUP(X210,LK_LocationMaster!$D$4:$H$157,5,FALSE()),"No")</f>
        <v>No</v>
      </c>
      <c r="AD210" s="59" t="s">
        <v>2148</v>
      </c>
      <c r="AE210" s="59" t="s">
        <v>930</v>
      </c>
      <c r="AF210" s="59" t="s">
        <v>901</v>
      </c>
      <c r="AG210" s="59" t="s">
        <v>329</v>
      </c>
      <c r="AH210" s="59" t="s">
        <v>2815</v>
      </c>
      <c r="AI210" s="59" t="s">
        <v>285</v>
      </c>
      <c r="AJ210" s="59" t="s">
        <v>818</v>
      </c>
      <c r="AK210" s="59" t="s">
        <v>944</v>
      </c>
      <c r="AL210" s="64" t="str">
        <f>IFERROR(INDEX(LK_BankMaster!$D$4:$D$23,MATCH(AJ210&amp;"|"&amp;AK210,LK_BankMaster!$H$4:$H$23,0)),"")</f>
        <v/>
      </c>
      <c r="AM210" s="59" t="s">
        <v>2816</v>
      </c>
      <c r="AN210" s="64" t="str">
        <f>IFERROR(VLOOKUP(AJ210,LK_BankMaster!$A$4:$E$23,5,FALSE()),"")</f>
        <v/>
      </c>
      <c r="AO210" s="59" t="s">
        <v>314</v>
      </c>
      <c r="AP210" s="66">
        <v>3</v>
      </c>
      <c r="AQ210" s="64" t="str">
        <f t="shared" si="15"/>
        <v>Position Allowance - General Staff</v>
      </c>
      <c r="AR210" s="65" t="str">
        <f>IFERROR(VLOOKUP(T210,LK_OrgMaster!$B$4:$G$89,6,FALSE()),"No")</f>
        <v>No</v>
      </c>
      <c r="AS210" s="64" t="str">
        <f>IFERROR(VLOOKUP(T210,LK_OrgMaster!$B$4:$H$89,7,FALSE()),"None")</f>
        <v>Teaching</v>
      </c>
      <c r="AT210" s="67">
        <v>32727</v>
      </c>
      <c r="AU210" s="67"/>
      <c r="AV210" s="67">
        <v>32727</v>
      </c>
      <c r="AW210" s="67">
        <v>46023</v>
      </c>
      <c r="AX210" s="68" t="s">
        <v>750</v>
      </c>
      <c r="AY210" s="69" t="s">
        <v>6260</v>
      </c>
    </row>
    <row r="211" spans="1:51" ht="15" customHeight="1" x14ac:dyDescent="0.3">
      <c r="A211" s="59" t="s">
        <v>2817</v>
      </c>
      <c r="B211" s="59" t="s">
        <v>752</v>
      </c>
      <c r="C211" s="59" t="s">
        <v>1417</v>
      </c>
      <c r="D211" s="59" t="s">
        <v>2794</v>
      </c>
      <c r="E211" s="59" t="s">
        <v>732</v>
      </c>
      <c r="F211" s="60">
        <v>27954</v>
      </c>
      <c r="G211" s="59" t="s">
        <v>2818</v>
      </c>
      <c r="H211" s="59" t="s">
        <v>2819</v>
      </c>
      <c r="I211" s="60">
        <v>38699</v>
      </c>
      <c r="J211" s="61">
        <f t="shared" ca="1" si="12"/>
        <v>20</v>
      </c>
      <c r="K211" s="62">
        <f t="shared" si="13"/>
        <v>49869</v>
      </c>
      <c r="L211" s="59" t="s">
        <v>735</v>
      </c>
      <c r="M211" s="59" t="s">
        <v>1525</v>
      </c>
      <c r="N211" s="59" t="s">
        <v>1081</v>
      </c>
      <c r="O211" s="63">
        <v>9</v>
      </c>
      <c r="P211" s="61">
        <f>IFERROR(SUMPRODUCT((LK_GradeDerivation!$A$4:$A$135=N211)*(IF(O211="",0,O211)&gt;=LK_GradeDerivation!$B$4:$B$135)*(IF(O211="",0,O211)&lt;=LK_GradeDerivation!$C$4:$C$135)*LK_GradeDerivation!$D$4:$D$135),1)</f>
        <v>3</v>
      </c>
      <c r="Q211" s="61">
        <f>IFERROR(SUMPRODUCT((LK_GradeDerivation!$A$4:$A$135=N211)*(IF(O211="",0,O211)&gt;=LK_GradeDerivation!$B$4:$B$135)*(IF(O211="",0,O211)&lt;=LK_GradeDerivation!$C$4:$C$135)*LK_GradeDerivation!$E$4:$E$135),1)</f>
        <v>5</v>
      </c>
      <c r="R211" s="59" t="s">
        <v>2820</v>
      </c>
      <c r="S211" s="59" t="s">
        <v>2821</v>
      </c>
      <c r="T211" s="59" t="s">
        <v>1084</v>
      </c>
      <c r="U211" s="59" t="s">
        <v>2822</v>
      </c>
      <c r="V211" s="59" t="s">
        <v>2823</v>
      </c>
      <c r="W211" s="59" t="s">
        <v>285</v>
      </c>
      <c r="X211" s="59" t="s">
        <v>391</v>
      </c>
      <c r="Y211" s="59" t="s">
        <v>404</v>
      </c>
      <c r="Z211" s="64" t="str">
        <f>IFERROR(VLOOKUP(T211,LK_OrgMaster!$B$4:$H$89,5,FALSE()),"Administration")</f>
        <v>Finance</v>
      </c>
      <c r="AA211" s="65" t="str">
        <f>IFERROR(VLOOKUP(X211,LK_LocationMaster!$D$4:$G$157,4,FALSE()),"No")</f>
        <v>Yes</v>
      </c>
      <c r="AB211" s="65" t="str">
        <f t="shared" si="14"/>
        <v>No</v>
      </c>
      <c r="AC211" s="65" t="str">
        <f>IFERROR(VLOOKUP(X211,LK_LocationMaster!$D$4:$H$157,5,FALSE()),"No")</f>
        <v>Yes</v>
      </c>
      <c r="AD211" s="59" t="s">
        <v>2824</v>
      </c>
      <c r="AE211" s="59" t="s">
        <v>765</v>
      </c>
      <c r="AF211" s="59" t="s">
        <v>786</v>
      </c>
      <c r="AG211" s="59" t="s">
        <v>329</v>
      </c>
      <c r="AH211" s="59" t="s">
        <v>2825</v>
      </c>
      <c r="AI211" s="59" t="s">
        <v>285</v>
      </c>
      <c r="AJ211" s="59" t="s">
        <v>833</v>
      </c>
      <c r="AK211" s="59" t="s">
        <v>1013</v>
      </c>
      <c r="AL211" s="64" t="str">
        <f>IFERROR(INDEX(LK_BankMaster!$D$4:$D$23,MATCH(AJ211&amp;"|"&amp;AK211,LK_BankMaster!$H$4:$H$23,0)),"")</f>
        <v/>
      </c>
      <c r="AM211" s="59" t="s">
        <v>2826</v>
      </c>
      <c r="AN211" s="64" t="str">
        <f>IFERROR(VLOOKUP(AJ211,LK_BankMaster!$A$4:$E$23,5,FALSE()),"")</f>
        <v/>
      </c>
      <c r="AO211" s="59" t="s">
        <v>314</v>
      </c>
      <c r="AP211" s="66">
        <v>3</v>
      </c>
      <c r="AQ211" s="64" t="str">
        <f t="shared" si="15"/>
        <v>Position Allowance - General Staff</v>
      </c>
      <c r="AR211" s="65" t="str">
        <f>IFERROR(VLOOKUP(T211,LK_OrgMaster!$B$4:$G$89,6,FALSE()),"No")</f>
        <v>No</v>
      </c>
      <c r="AS211" s="64" t="str">
        <f>IFERROR(VLOOKUP(T211,LK_OrgMaster!$B$4:$H$89,7,FALSE()),"None")</f>
        <v>None</v>
      </c>
      <c r="AT211" s="70">
        <v>38699</v>
      </c>
      <c r="AU211" s="70"/>
      <c r="AV211" s="70">
        <v>38699</v>
      </c>
      <c r="AW211" s="70">
        <v>46023</v>
      </c>
      <c r="AX211" s="71" t="s">
        <v>750</v>
      </c>
      <c r="AY211" s="72" t="s">
        <v>6260</v>
      </c>
    </row>
    <row r="212" spans="1:51" ht="15" customHeight="1" x14ac:dyDescent="0.3">
      <c r="A212" s="59" t="s">
        <v>2827</v>
      </c>
      <c r="B212" s="59" t="s">
        <v>772</v>
      </c>
      <c r="C212" s="59" t="s">
        <v>1136</v>
      </c>
      <c r="D212" s="59" t="s">
        <v>1704</v>
      </c>
      <c r="E212" s="59" t="s">
        <v>775</v>
      </c>
      <c r="F212" s="60">
        <v>34323</v>
      </c>
      <c r="G212" s="59" t="s">
        <v>2828</v>
      </c>
      <c r="H212" s="59" t="s">
        <v>2829</v>
      </c>
      <c r="I212" s="60">
        <v>36398</v>
      </c>
      <c r="J212" s="61">
        <f t="shared" ca="1" si="12"/>
        <v>26</v>
      </c>
      <c r="K212" s="62">
        <f t="shared" si="13"/>
        <v>56238</v>
      </c>
      <c r="L212" s="59" t="s">
        <v>735</v>
      </c>
      <c r="M212" s="59" t="s">
        <v>1891</v>
      </c>
      <c r="N212" s="59" t="s">
        <v>737</v>
      </c>
      <c r="O212" s="63">
        <v>0</v>
      </c>
      <c r="P212" s="61">
        <f>IFERROR(SUMPRODUCT((LK_GradeDerivation!$A$4:$A$135=N212)*(IF(O212="",0,O212)&gt;=LK_GradeDerivation!$B$4:$B$135)*(IF(O212="",0,O212)&lt;=LK_GradeDerivation!$C$4:$C$135)*LK_GradeDerivation!$D$4:$D$135),1)</f>
        <v>4</v>
      </c>
      <c r="Q212" s="61">
        <f>IFERROR(SUMPRODUCT((LK_GradeDerivation!$A$4:$A$135=N212)*(IF(O212="",0,O212)&gt;=LK_GradeDerivation!$B$4:$B$135)*(IF(O212="",0,O212)&lt;=LK_GradeDerivation!$C$4:$C$135)*LK_GradeDerivation!$E$4:$E$135),1)</f>
        <v>1</v>
      </c>
      <c r="R212" s="59" t="s">
        <v>2830</v>
      </c>
      <c r="S212" s="59" t="s">
        <v>2831</v>
      </c>
      <c r="T212" s="59" t="s">
        <v>1118</v>
      </c>
      <c r="U212" s="59" t="s">
        <v>1894</v>
      </c>
      <c r="V212" s="59" t="s">
        <v>2832</v>
      </c>
      <c r="W212" s="59" t="s">
        <v>285</v>
      </c>
      <c r="X212" s="59" t="s">
        <v>544</v>
      </c>
      <c r="Y212" s="59" t="s">
        <v>552</v>
      </c>
      <c r="Z212" s="64" t="str">
        <f>IFERROR(VLOOKUP(T212,LK_OrgMaster!$B$4:$H$89,5,FALSE()),"Administration")</f>
        <v>Diplomatic</v>
      </c>
      <c r="AA212" s="65" t="str">
        <f>IFERROR(VLOOKUP(X212,LK_LocationMaster!$D$4:$G$157,4,FALSE()),"No")</f>
        <v>Yes</v>
      </c>
      <c r="AB212" s="65" t="str">
        <f t="shared" si="14"/>
        <v>No</v>
      </c>
      <c r="AC212" s="65" t="str">
        <f>IFERROR(VLOOKUP(X212,LK_LocationMaster!$D$4:$H$157,5,FALSE()),"No")</f>
        <v>Yes</v>
      </c>
      <c r="AD212" s="59" t="s">
        <v>2833</v>
      </c>
      <c r="AE212" s="59" t="s">
        <v>765</v>
      </c>
      <c r="AF212" s="59" t="s">
        <v>766</v>
      </c>
      <c r="AG212" s="59" t="s">
        <v>288</v>
      </c>
      <c r="AH212" s="59" t="s">
        <v>2834</v>
      </c>
      <c r="AI212" s="59" t="s">
        <v>285</v>
      </c>
      <c r="AJ212" s="59" t="s">
        <v>747</v>
      </c>
      <c r="AK212" s="59" t="s">
        <v>748</v>
      </c>
      <c r="AL212" s="64" t="str">
        <f>IFERROR(INDEX(LK_BankMaster!$D$4:$D$23,MATCH(AJ212&amp;"|"&amp;AK212,LK_BankMaster!$H$4:$H$23,0)),"")</f>
        <v/>
      </c>
      <c r="AM212" s="59" t="s">
        <v>2835</v>
      </c>
      <c r="AN212" s="64" t="str">
        <f>IFERROR(VLOOKUP(AJ212,LK_BankMaster!$A$4:$E$23,5,FALSE()),"")</f>
        <v/>
      </c>
      <c r="AO212" s="59" t="s">
        <v>314</v>
      </c>
      <c r="AP212" s="66">
        <v>1</v>
      </c>
      <c r="AQ212" s="64" t="str">
        <f t="shared" si="15"/>
        <v>Position Allowance - General Staff</v>
      </c>
      <c r="AR212" s="65" t="str">
        <f>IFERROR(VLOOKUP(T212,LK_OrgMaster!$B$4:$G$89,6,FALSE()),"No")</f>
        <v>No</v>
      </c>
      <c r="AS212" s="64" t="str">
        <f>IFERROR(VLOOKUP(T212,LK_OrgMaster!$B$4:$H$89,7,FALSE()),"None")</f>
        <v>None</v>
      </c>
      <c r="AT212" s="67">
        <v>36398</v>
      </c>
      <c r="AU212" s="67"/>
      <c r="AV212" s="67">
        <v>36398</v>
      </c>
      <c r="AW212" s="67">
        <v>46023</v>
      </c>
      <c r="AX212" s="68" t="s">
        <v>750</v>
      </c>
      <c r="AY212" s="69" t="s">
        <v>6260</v>
      </c>
    </row>
    <row r="213" spans="1:51" ht="15" customHeight="1" x14ac:dyDescent="0.3">
      <c r="A213" s="59" t="s">
        <v>2836</v>
      </c>
      <c r="B213" s="59" t="s">
        <v>772</v>
      </c>
      <c r="C213" s="59" t="s">
        <v>2024</v>
      </c>
      <c r="D213" s="59" t="s">
        <v>1186</v>
      </c>
      <c r="E213" s="59" t="s">
        <v>775</v>
      </c>
      <c r="F213" s="60">
        <v>26284</v>
      </c>
      <c r="G213" s="59" t="s">
        <v>2837</v>
      </c>
      <c r="H213" s="59" t="s">
        <v>2838</v>
      </c>
      <c r="I213" s="60">
        <v>43914</v>
      </c>
      <c r="J213" s="61">
        <f t="shared" ca="1" si="12"/>
        <v>5</v>
      </c>
      <c r="K213" s="62">
        <f t="shared" si="13"/>
        <v>48199</v>
      </c>
      <c r="L213" s="59" t="s">
        <v>735</v>
      </c>
      <c r="M213" s="59" t="s">
        <v>1259</v>
      </c>
      <c r="N213" s="59" t="s">
        <v>779</v>
      </c>
      <c r="O213" s="63">
        <v>25</v>
      </c>
      <c r="P213" s="61">
        <f>IFERROR(SUMPRODUCT((LK_GradeDerivation!$A$4:$A$135=N213)*(IF(O213="",0,O213)&gt;=LK_GradeDerivation!$B$4:$B$135)*(IF(O213="",0,O213)&lt;=LK_GradeDerivation!$C$4:$C$135)*LK_GradeDerivation!$D$4:$D$135),1)</f>
        <v>2</v>
      </c>
      <c r="Q213" s="61">
        <f>IFERROR(SUMPRODUCT((LK_GradeDerivation!$A$4:$A$135=N213)*(IF(O213="",0,O213)&gt;=LK_GradeDerivation!$B$4:$B$135)*(IF(O213="",0,O213)&lt;=LK_GradeDerivation!$C$4:$C$135)*LK_GradeDerivation!$E$4:$E$135),1)</f>
        <v>13</v>
      </c>
      <c r="R213" s="59" t="s">
        <v>2839</v>
      </c>
      <c r="S213" s="59" t="s">
        <v>2840</v>
      </c>
      <c r="T213" s="59" t="s">
        <v>740</v>
      </c>
      <c r="U213" s="59" t="s">
        <v>1388</v>
      </c>
      <c r="V213" s="59" t="s">
        <v>2841</v>
      </c>
      <c r="W213" s="59" t="s">
        <v>285</v>
      </c>
      <c r="X213" s="59" t="s">
        <v>429</v>
      </c>
      <c r="Y213" s="59" t="s">
        <v>437</v>
      </c>
      <c r="Z213" s="64" t="str">
        <f>IFERROR(VLOOKUP(T213,LK_OrgMaster!$B$4:$H$89,5,FALSE()),"Administration")</f>
        <v>Teacher</v>
      </c>
      <c r="AA213" s="65" t="str">
        <f>IFERROR(VLOOKUP(X213,LK_LocationMaster!$D$4:$G$157,4,FALSE()),"No")</f>
        <v>Yes</v>
      </c>
      <c r="AB213" s="65" t="str">
        <f t="shared" si="14"/>
        <v>No</v>
      </c>
      <c r="AC213" s="65" t="str">
        <f>IFERROR(VLOOKUP(X213,LK_LocationMaster!$D$4:$H$157,5,FALSE()),"No")</f>
        <v>Yes</v>
      </c>
      <c r="AD213" s="59" t="s">
        <v>2842</v>
      </c>
      <c r="AE213" s="59" t="s">
        <v>930</v>
      </c>
      <c r="AF213" s="59" t="s">
        <v>766</v>
      </c>
      <c r="AG213" s="59" t="s">
        <v>408</v>
      </c>
      <c r="AH213" s="59" t="s">
        <v>2765</v>
      </c>
      <c r="AI213" s="59" t="s">
        <v>285</v>
      </c>
      <c r="AJ213" s="59" t="s">
        <v>747</v>
      </c>
      <c r="AK213" s="59" t="s">
        <v>748</v>
      </c>
      <c r="AL213" s="64" t="str">
        <f>IFERROR(INDEX(LK_BankMaster!$D$4:$D$23,MATCH(AJ213&amp;"|"&amp;AK213,LK_BankMaster!$H$4:$H$23,0)),"")</f>
        <v/>
      </c>
      <c r="AM213" s="59" t="s">
        <v>2843</v>
      </c>
      <c r="AN213" s="64" t="str">
        <f>IFERROR(VLOOKUP(AJ213,LK_BankMaster!$A$4:$E$23,5,FALSE()),"")</f>
        <v/>
      </c>
      <c r="AO213" s="59" t="s">
        <v>291</v>
      </c>
      <c r="AP213" s="66">
        <v>0</v>
      </c>
      <c r="AQ213" s="64" t="str">
        <f t="shared" si="15"/>
        <v>Position Allowance - General Staff</v>
      </c>
      <c r="AR213" s="65" t="str">
        <f>IFERROR(VLOOKUP(T213,LK_OrgMaster!$B$4:$G$89,6,FALSE()),"No")</f>
        <v>No</v>
      </c>
      <c r="AS213" s="64" t="str">
        <f>IFERROR(VLOOKUP(T213,LK_OrgMaster!$B$4:$H$89,7,FALSE()),"None")</f>
        <v>Teaching</v>
      </c>
      <c r="AT213" s="70">
        <v>43914</v>
      </c>
      <c r="AU213" s="70"/>
      <c r="AV213" s="70">
        <v>43914</v>
      </c>
      <c r="AW213" s="70">
        <v>46023</v>
      </c>
      <c r="AX213" s="71" t="s">
        <v>750</v>
      </c>
      <c r="AY213" s="72" t="s">
        <v>6260</v>
      </c>
    </row>
    <row r="214" spans="1:51" ht="15" customHeight="1" x14ac:dyDescent="0.3">
      <c r="A214" s="59" t="s">
        <v>2844</v>
      </c>
      <c r="B214" s="59" t="s">
        <v>772</v>
      </c>
      <c r="C214" s="59" t="s">
        <v>973</v>
      </c>
      <c r="D214" s="59" t="s">
        <v>907</v>
      </c>
      <c r="E214" s="59" t="s">
        <v>775</v>
      </c>
      <c r="F214" s="60">
        <v>27455</v>
      </c>
      <c r="G214" s="59" t="s">
        <v>2845</v>
      </c>
      <c r="H214" s="59" t="s">
        <v>2846</v>
      </c>
      <c r="I214" s="60">
        <v>37751</v>
      </c>
      <c r="J214" s="61">
        <f t="shared" ca="1" si="12"/>
        <v>22</v>
      </c>
      <c r="K214" s="62">
        <f t="shared" si="13"/>
        <v>49370</v>
      </c>
      <c r="L214" s="59" t="s">
        <v>735</v>
      </c>
      <c r="M214" s="59" t="s">
        <v>1069</v>
      </c>
      <c r="N214" s="59" t="s">
        <v>758</v>
      </c>
      <c r="O214" s="63">
        <v>3</v>
      </c>
      <c r="P214" s="61">
        <f>IFERROR(SUMPRODUCT((LK_GradeDerivation!$A$4:$A$135=N214)*(IF(O214="",0,O214)&gt;=LK_GradeDerivation!$B$4:$B$135)*(IF(O214="",0,O214)&lt;=LK_GradeDerivation!$C$4:$C$135)*LK_GradeDerivation!$D$4:$D$135),1)</f>
        <v>5</v>
      </c>
      <c r="Q214" s="61">
        <f>IFERROR(SUMPRODUCT((LK_GradeDerivation!$A$4:$A$135=N214)*(IF(O214="",0,O214)&gt;=LK_GradeDerivation!$B$4:$B$135)*(IF(O214="",0,O214)&lt;=LK_GradeDerivation!$C$4:$C$135)*LK_GradeDerivation!$E$4:$E$135),1)</f>
        <v>2</v>
      </c>
      <c r="R214" s="59" t="s">
        <v>2847</v>
      </c>
      <c r="S214" s="59" t="s">
        <v>2848</v>
      </c>
      <c r="T214" s="59" t="s">
        <v>979</v>
      </c>
      <c r="U214" s="59" t="s">
        <v>1166</v>
      </c>
      <c r="V214" s="59" t="s">
        <v>2849</v>
      </c>
      <c r="W214" s="59" t="s">
        <v>285</v>
      </c>
      <c r="X214" s="59" t="s">
        <v>443</v>
      </c>
      <c r="Y214" s="59" t="s">
        <v>453</v>
      </c>
      <c r="Z214" s="64" t="str">
        <f>IFERROR(VLOOKUP(T214,LK_OrgMaster!$B$4:$H$89,5,FALSE()),"Administration")</f>
        <v>Administration</v>
      </c>
      <c r="AA214" s="65" t="str">
        <f>IFERROR(VLOOKUP(X214,LK_LocationMaster!$D$4:$G$157,4,FALSE()),"No")</f>
        <v>No</v>
      </c>
      <c r="AB214" s="65" t="str">
        <f t="shared" si="14"/>
        <v>No</v>
      </c>
      <c r="AC214" s="65" t="str">
        <f>IFERROR(VLOOKUP(X214,LK_LocationMaster!$D$4:$H$157,5,FALSE()),"No")</f>
        <v>No</v>
      </c>
      <c r="AD214" s="59" t="s">
        <v>2850</v>
      </c>
      <c r="AE214" s="59" t="s">
        <v>930</v>
      </c>
      <c r="AF214" s="59" t="s">
        <v>786</v>
      </c>
      <c r="AG214" s="59" t="s">
        <v>288</v>
      </c>
      <c r="AH214" s="59" t="s">
        <v>2851</v>
      </c>
      <c r="AI214" s="59" t="s">
        <v>285</v>
      </c>
      <c r="AJ214" s="59" t="s">
        <v>788</v>
      </c>
      <c r="AK214" s="59" t="s">
        <v>789</v>
      </c>
      <c r="AL214" s="64" t="str">
        <f>IFERROR(INDEX(LK_BankMaster!$D$4:$D$23,MATCH(AJ214&amp;"|"&amp;AK214,LK_BankMaster!$H$4:$H$23,0)),"")</f>
        <v/>
      </c>
      <c r="AM214" s="59" t="s">
        <v>2852</v>
      </c>
      <c r="AN214" s="64" t="str">
        <f>IFERROR(VLOOKUP(AJ214,LK_BankMaster!$A$4:$E$23,5,FALSE()),"")</f>
        <v/>
      </c>
      <c r="AO214" s="59" t="s">
        <v>314</v>
      </c>
      <c r="AP214" s="66">
        <v>0</v>
      </c>
      <c r="AQ214" s="64" t="str">
        <f t="shared" si="15"/>
        <v>Position Allowance - General Staff</v>
      </c>
      <c r="AR214" s="65" t="str">
        <f>IFERROR(VLOOKUP(T214,LK_OrgMaster!$B$4:$G$89,6,FALSE()),"No")</f>
        <v>No</v>
      </c>
      <c r="AS214" s="64" t="str">
        <f>IFERROR(VLOOKUP(T214,LK_OrgMaster!$B$4:$H$89,7,FALSE()),"None")</f>
        <v>None</v>
      </c>
      <c r="AT214" s="67">
        <v>37751</v>
      </c>
      <c r="AU214" s="67"/>
      <c r="AV214" s="67">
        <v>37751</v>
      </c>
      <c r="AW214" s="67">
        <v>46023</v>
      </c>
      <c r="AX214" s="68" t="s">
        <v>750</v>
      </c>
      <c r="AY214" s="69" t="s">
        <v>6260</v>
      </c>
    </row>
    <row r="215" spans="1:51" ht="15" customHeight="1" x14ac:dyDescent="0.3">
      <c r="A215" s="59" t="s">
        <v>2853</v>
      </c>
      <c r="B215" s="59" t="s">
        <v>729</v>
      </c>
      <c r="C215" s="59" t="s">
        <v>1542</v>
      </c>
      <c r="D215" s="59" t="s">
        <v>853</v>
      </c>
      <c r="E215" s="59" t="s">
        <v>732</v>
      </c>
      <c r="F215" s="60">
        <v>37188</v>
      </c>
      <c r="G215" s="59" t="s">
        <v>2854</v>
      </c>
      <c r="H215" s="59" t="s">
        <v>2855</v>
      </c>
      <c r="I215" s="60">
        <v>43379</v>
      </c>
      <c r="J215" s="61">
        <f t="shared" ca="1" si="12"/>
        <v>7</v>
      </c>
      <c r="K215" s="62">
        <f t="shared" si="13"/>
        <v>59103</v>
      </c>
      <c r="L215" s="59" t="s">
        <v>735</v>
      </c>
      <c r="M215" s="59" t="s">
        <v>910</v>
      </c>
      <c r="N215" s="59" t="s">
        <v>758</v>
      </c>
      <c r="O215" s="63">
        <v>0</v>
      </c>
      <c r="P215" s="61">
        <f>IFERROR(SUMPRODUCT((LK_GradeDerivation!$A$4:$A$135=N215)*(IF(O215="",0,O215)&gt;=LK_GradeDerivation!$B$4:$B$135)*(IF(O215="",0,O215)&lt;=LK_GradeDerivation!$C$4:$C$135)*LK_GradeDerivation!$D$4:$D$135),1)</f>
        <v>5</v>
      </c>
      <c r="Q215" s="61">
        <f>IFERROR(SUMPRODUCT((LK_GradeDerivation!$A$4:$A$135=N215)*(IF(O215="",0,O215)&gt;=LK_GradeDerivation!$B$4:$B$135)*(IF(O215="",0,O215)&lt;=LK_GradeDerivation!$C$4:$C$135)*LK_GradeDerivation!$E$4:$E$135),1)</f>
        <v>1</v>
      </c>
      <c r="R215" s="59" t="s">
        <v>2856</v>
      </c>
      <c r="S215" s="59" t="s">
        <v>2857</v>
      </c>
      <c r="T215" s="59" t="s">
        <v>761</v>
      </c>
      <c r="U215" s="59" t="s">
        <v>1314</v>
      </c>
      <c r="V215" s="59" t="s">
        <v>2495</v>
      </c>
      <c r="W215" s="59" t="s">
        <v>285</v>
      </c>
      <c r="X215" s="59" t="s">
        <v>288</v>
      </c>
      <c r="Y215" s="59" t="s">
        <v>298</v>
      </c>
      <c r="Z215" s="64" t="str">
        <f>IFERROR(VLOOKUP(T215,LK_OrgMaster!$B$4:$H$89,5,FALSE()),"Administration")</f>
        <v>Administration</v>
      </c>
      <c r="AA215" s="65" t="str">
        <f>IFERROR(VLOOKUP(X215,LK_LocationMaster!$D$4:$G$157,4,FALSE()),"No")</f>
        <v>No</v>
      </c>
      <c r="AB215" s="65" t="str">
        <f t="shared" si="14"/>
        <v>No</v>
      </c>
      <c r="AC215" s="65" t="str">
        <f>IFERROR(VLOOKUP(X215,LK_LocationMaster!$D$4:$H$157,5,FALSE()),"No")</f>
        <v>No</v>
      </c>
      <c r="AD215" s="59" t="s">
        <v>2858</v>
      </c>
      <c r="AE215" s="59" t="s">
        <v>765</v>
      </c>
      <c r="AF215" s="59" t="s">
        <v>969</v>
      </c>
      <c r="AG215" s="59" t="s">
        <v>288</v>
      </c>
      <c r="AH215" s="59" t="s">
        <v>2859</v>
      </c>
      <c r="AI215" s="59" t="s">
        <v>285</v>
      </c>
      <c r="AJ215" s="59" t="s">
        <v>818</v>
      </c>
      <c r="AK215" s="59" t="s">
        <v>944</v>
      </c>
      <c r="AL215" s="64" t="str">
        <f>IFERROR(INDEX(LK_BankMaster!$D$4:$D$23,MATCH(AJ215&amp;"|"&amp;AK215,LK_BankMaster!$H$4:$H$23,0)),"")</f>
        <v/>
      </c>
      <c r="AM215" s="59" t="s">
        <v>2860</v>
      </c>
      <c r="AN215" s="64" t="str">
        <f>IFERROR(VLOOKUP(AJ215,LK_BankMaster!$A$4:$E$23,5,FALSE()),"")</f>
        <v/>
      </c>
      <c r="AO215" s="59" t="s">
        <v>314</v>
      </c>
      <c r="AP215" s="66">
        <v>1</v>
      </c>
      <c r="AQ215" s="64" t="str">
        <f t="shared" si="15"/>
        <v>Position Allowance - Division Chief</v>
      </c>
      <c r="AR215" s="65" t="str">
        <f>IFERROR(VLOOKUP(T215,LK_OrgMaster!$B$4:$G$89,6,FALSE()),"No")</f>
        <v>Yes</v>
      </c>
      <c r="AS215" s="64" t="str">
        <f>IFERROR(VLOOKUP(T215,LK_OrgMaster!$B$4:$H$89,7,FALSE()),"None")</f>
        <v>None</v>
      </c>
      <c r="AT215" s="70">
        <v>43379</v>
      </c>
      <c r="AU215" s="70"/>
      <c r="AV215" s="70">
        <v>43379</v>
      </c>
      <c r="AW215" s="70">
        <v>46023</v>
      </c>
      <c r="AX215" s="71" t="s">
        <v>750</v>
      </c>
      <c r="AY215" s="72" t="s">
        <v>6260</v>
      </c>
    </row>
    <row r="216" spans="1:51" ht="15" customHeight="1" x14ac:dyDescent="0.3">
      <c r="A216" s="59" t="s">
        <v>2861</v>
      </c>
      <c r="B216" s="59" t="s">
        <v>729</v>
      </c>
      <c r="C216" s="59" t="s">
        <v>2143</v>
      </c>
      <c r="D216" s="59" t="s">
        <v>1137</v>
      </c>
      <c r="E216" s="59" t="s">
        <v>732</v>
      </c>
      <c r="F216" s="60">
        <v>28888</v>
      </c>
      <c r="G216" s="59" t="s">
        <v>2862</v>
      </c>
      <c r="H216" s="59" t="s">
        <v>2863</v>
      </c>
      <c r="I216" s="60">
        <v>44874</v>
      </c>
      <c r="J216" s="61">
        <f t="shared" ca="1" si="12"/>
        <v>3</v>
      </c>
      <c r="K216" s="62">
        <f t="shared" si="13"/>
        <v>50803</v>
      </c>
      <c r="L216" s="59" t="s">
        <v>735</v>
      </c>
      <c r="M216" s="59" t="s">
        <v>841</v>
      </c>
      <c r="N216" s="59" t="s">
        <v>737</v>
      </c>
      <c r="O216" s="63">
        <v>21</v>
      </c>
      <c r="P216" s="61">
        <f>IFERROR(SUMPRODUCT((LK_GradeDerivation!$A$4:$A$135=N216)*(IF(O216="",0,O216)&gt;=LK_GradeDerivation!$B$4:$B$135)*(IF(O216="",0,O216)&lt;=LK_GradeDerivation!$C$4:$C$135)*LK_GradeDerivation!$D$4:$D$135),1)</f>
        <v>4</v>
      </c>
      <c r="Q216" s="61">
        <f>IFERROR(SUMPRODUCT((LK_GradeDerivation!$A$4:$A$135=N216)*(IF(O216="",0,O216)&gt;=LK_GradeDerivation!$B$4:$B$135)*(IF(O216="",0,O216)&lt;=LK_GradeDerivation!$C$4:$C$135)*LK_GradeDerivation!$E$4:$E$135),1)</f>
        <v>11</v>
      </c>
      <c r="R216" s="59" t="s">
        <v>2864</v>
      </c>
      <c r="S216" s="59" t="s">
        <v>2865</v>
      </c>
      <c r="T216" s="59" t="s">
        <v>1035</v>
      </c>
      <c r="U216" s="59" t="s">
        <v>1036</v>
      </c>
      <c r="V216" s="59" t="s">
        <v>763</v>
      </c>
      <c r="W216" s="59" t="s">
        <v>285</v>
      </c>
      <c r="X216" s="59" t="s">
        <v>500</v>
      </c>
      <c r="Y216" s="59" t="s">
        <v>515</v>
      </c>
      <c r="Z216" s="64" t="str">
        <f>IFERROR(VLOOKUP(T216,LK_OrgMaster!$B$4:$H$89,5,FALSE()),"Administration")</f>
        <v>Administration</v>
      </c>
      <c r="AA216" s="65" t="str">
        <f>IFERROR(VLOOKUP(X216,LK_LocationMaster!$D$4:$G$157,4,FALSE()),"No")</f>
        <v>No</v>
      </c>
      <c r="AB216" s="65" t="str">
        <f t="shared" si="14"/>
        <v>No</v>
      </c>
      <c r="AC216" s="65" t="str">
        <f>IFERROR(VLOOKUP(X216,LK_LocationMaster!$D$4:$H$157,5,FALSE()),"No")</f>
        <v>Yes</v>
      </c>
      <c r="AD216" s="59" t="s">
        <v>2866</v>
      </c>
      <c r="AE216" s="59" t="s">
        <v>800</v>
      </c>
      <c r="AF216" s="59" t="s">
        <v>801</v>
      </c>
      <c r="AG216" s="59" t="s">
        <v>391</v>
      </c>
      <c r="AH216" s="59" t="s">
        <v>2867</v>
      </c>
      <c r="AI216" s="59" t="s">
        <v>285</v>
      </c>
      <c r="AJ216" s="59" t="s">
        <v>768</v>
      </c>
      <c r="AK216" s="59" t="s">
        <v>803</v>
      </c>
      <c r="AL216" s="64" t="str">
        <f>IFERROR(INDEX(LK_BankMaster!$D$4:$D$23,MATCH(AJ216&amp;"|"&amp;AK216,LK_BankMaster!$H$4:$H$23,0)),"")</f>
        <v/>
      </c>
      <c r="AM216" s="59" t="s">
        <v>2868</v>
      </c>
      <c r="AN216" s="64" t="str">
        <f>IFERROR(VLOOKUP(AJ216,LK_BankMaster!$A$4:$E$23,5,FALSE()),"")</f>
        <v/>
      </c>
      <c r="AO216" s="59" t="s">
        <v>291</v>
      </c>
      <c r="AP216" s="66">
        <v>0</v>
      </c>
      <c r="AQ216" s="64" t="str">
        <f t="shared" si="15"/>
        <v>Position Allowance - Director</v>
      </c>
      <c r="AR216" s="65" t="str">
        <f>IFERROR(VLOOKUP(T216,LK_OrgMaster!$B$4:$G$89,6,FALSE()),"No")</f>
        <v>No</v>
      </c>
      <c r="AS216" s="64" t="str">
        <f>IFERROR(VLOOKUP(T216,LK_OrgMaster!$B$4:$H$89,7,FALSE()),"None")</f>
        <v>None</v>
      </c>
      <c r="AT216" s="67">
        <v>44874</v>
      </c>
      <c r="AU216" s="67"/>
      <c r="AV216" s="67">
        <v>44874</v>
      </c>
      <c r="AW216" s="67">
        <v>46023</v>
      </c>
      <c r="AX216" s="68" t="s">
        <v>750</v>
      </c>
      <c r="AY216" s="69" t="s">
        <v>6260</v>
      </c>
    </row>
    <row r="217" spans="1:51" ht="15" customHeight="1" x14ac:dyDescent="0.3">
      <c r="A217" s="59" t="s">
        <v>2869</v>
      </c>
      <c r="B217" s="59" t="s">
        <v>772</v>
      </c>
      <c r="C217" s="59" t="s">
        <v>773</v>
      </c>
      <c r="D217" s="59" t="s">
        <v>2194</v>
      </c>
      <c r="E217" s="59" t="s">
        <v>775</v>
      </c>
      <c r="F217" s="60">
        <v>36339</v>
      </c>
      <c r="G217" s="59" t="s">
        <v>2870</v>
      </c>
      <c r="H217" s="59" t="s">
        <v>2871</v>
      </c>
      <c r="I217" s="60">
        <v>43729</v>
      </c>
      <c r="J217" s="61">
        <f t="shared" ca="1" si="12"/>
        <v>6</v>
      </c>
      <c r="K217" s="62">
        <f t="shared" si="13"/>
        <v>58254</v>
      </c>
      <c r="L217" s="59" t="s">
        <v>735</v>
      </c>
      <c r="M217" s="59" t="s">
        <v>1607</v>
      </c>
      <c r="N217" s="59" t="s">
        <v>737</v>
      </c>
      <c r="O217" s="63">
        <v>0</v>
      </c>
      <c r="P217" s="61">
        <f>IFERROR(SUMPRODUCT((LK_GradeDerivation!$A$4:$A$135=N217)*(IF(O217="",0,O217)&gt;=LK_GradeDerivation!$B$4:$B$135)*(IF(O217="",0,O217)&lt;=LK_GradeDerivation!$C$4:$C$135)*LK_GradeDerivation!$D$4:$D$135),1)</f>
        <v>4</v>
      </c>
      <c r="Q217" s="61">
        <f>IFERROR(SUMPRODUCT((LK_GradeDerivation!$A$4:$A$135=N217)*(IF(O217="",0,O217)&gt;=LK_GradeDerivation!$B$4:$B$135)*(IF(O217="",0,O217)&lt;=LK_GradeDerivation!$C$4:$C$135)*LK_GradeDerivation!$E$4:$E$135),1)</f>
        <v>1</v>
      </c>
      <c r="R217" s="59" t="s">
        <v>2872</v>
      </c>
      <c r="S217" s="59" t="s">
        <v>2873</v>
      </c>
      <c r="T217" s="59" t="s">
        <v>1058</v>
      </c>
      <c r="U217" s="59" t="s">
        <v>1059</v>
      </c>
      <c r="V217" s="59" t="s">
        <v>763</v>
      </c>
      <c r="W217" s="59" t="s">
        <v>285</v>
      </c>
      <c r="X217" s="59" t="s">
        <v>429</v>
      </c>
      <c r="Y217" s="59" t="s">
        <v>435</v>
      </c>
      <c r="Z217" s="64" t="str">
        <f>IFERROR(VLOOKUP(T217,LK_OrgMaster!$B$4:$H$89,5,FALSE()),"Administration")</f>
        <v>Technical</v>
      </c>
      <c r="AA217" s="65" t="str">
        <f>IFERROR(VLOOKUP(X217,LK_LocationMaster!$D$4:$G$157,4,FALSE()),"No")</f>
        <v>Yes</v>
      </c>
      <c r="AB217" s="65" t="str">
        <f t="shared" si="14"/>
        <v>No</v>
      </c>
      <c r="AC217" s="65" t="str">
        <f>IFERROR(VLOOKUP(X217,LK_LocationMaster!$D$4:$H$157,5,FALSE()),"No")</f>
        <v>Yes</v>
      </c>
      <c r="AD217" s="59" t="s">
        <v>2874</v>
      </c>
      <c r="AE217" s="59" t="s">
        <v>968</v>
      </c>
      <c r="AF217" s="59" t="s">
        <v>915</v>
      </c>
      <c r="AG217" s="59" t="s">
        <v>340</v>
      </c>
      <c r="AH217" s="59" t="s">
        <v>2875</v>
      </c>
      <c r="AI217" s="59" t="s">
        <v>285</v>
      </c>
      <c r="AJ217" s="59" t="s">
        <v>768</v>
      </c>
      <c r="AK217" s="59" t="s">
        <v>769</v>
      </c>
      <c r="AL217" s="64" t="str">
        <f>IFERROR(INDEX(LK_BankMaster!$D$4:$D$23,MATCH(AJ217&amp;"|"&amp;AK217,LK_BankMaster!$H$4:$H$23,0)),"")</f>
        <v/>
      </c>
      <c r="AM217" s="59" t="s">
        <v>2876</v>
      </c>
      <c r="AN217" s="64" t="str">
        <f>IFERROR(VLOOKUP(AJ217,LK_BankMaster!$A$4:$E$23,5,FALSE()),"")</f>
        <v/>
      </c>
      <c r="AO217" s="59" t="s">
        <v>314</v>
      </c>
      <c r="AP217" s="66">
        <v>3</v>
      </c>
      <c r="AQ217" s="64" t="str">
        <f t="shared" si="15"/>
        <v>Position Allowance - General Staff</v>
      </c>
      <c r="AR217" s="65" t="str">
        <f>IFERROR(VLOOKUP(T217,LK_OrgMaster!$B$4:$G$89,6,FALSE()),"No")</f>
        <v>No</v>
      </c>
      <c r="AS217" s="64" t="str">
        <f>IFERROR(VLOOKUP(T217,LK_OrgMaster!$B$4:$H$89,7,FALSE()),"None")</f>
        <v>None</v>
      </c>
      <c r="AT217" s="70">
        <v>43729</v>
      </c>
      <c r="AU217" s="70"/>
      <c r="AV217" s="70">
        <v>43729</v>
      </c>
      <c r="AW217" s="70">
        <v>46023</v>
      </c>
      <c r="AX217" s="71" t="s">
        <v>750</v>
      </c>
      <c r="AY217" s="72" t="s">
        <v>6260</v>
      </c>
    </row>
    <row r="218" spans="1:51" ht="15" customHeight="1" x14ac:dyDescent="0.3">
      <c r="A218" s="59" t="s">
        <v>2877</v>
      </c>
      <c r="B218" s="59" t="s">
        <v>772</v>
      </c>
      <c r="C218" s="59" t="s">
        <v>753</v>
      </c>
      <c r="D218" s="59" t="s">
        <v>823</v>
      </c>
      <c r="E218" s="59" t="s">
        <v>732</v>
      </c>
      <c r="F218" s="60">
        <v>36944</v>
      </c>
      <c r="G218" s="59" t="s">
        <v>2878</v>
      </c>
      <c r="H218" s="59" t="s">
        <v>2879</v>
      </c>
      <c r="I218" s="60">
        <v>36208</v>
      </c>
      <c r="J218" s="61">
        <f t="shared" ca="1" si="12"/>
        <v>27</v>
      </c>
      <c r="K218" s="62">
        <f t="shared" si="13"/>
        <v>58859</v>
      </c>
      <c r="L218" s="59" t="s">
        <v>735</v>
      </c>
      <c r="M218" s="59" t="s">
        <v>1201</v>
      </c>
      <c r="N218" s="59" t="s">
        <v>779</v>
      </c>
      <c r="O218" s="63">
        <v>0</v>
      </c>
      <c r="P218" s="61">
        <f>IFERROR(SUMPRODUCT((LK_GradeDerivation!$A$4:$A$135=N218)*(IF(O218="",0,O218)&gt;=LK_GradeDerivation!$B$4:$B$135)*(IF(O218="",0,O218)&lt;=LK_GradeDerivation!$C$4:$C$135)*LK_GradeDerivation!$D$4:$D$135),1)</f>
        <v>2</v>
      </c>
      <c r="Q218" s="61">
        <f>IFERROR(SUMPRODUCT((LK_GradeDerivation!$A$4:$A$135=N218)*(IF(O218="",0,O218)&gt;=LK_GradeDerivation!$B$4:$B$135)*(IF(O218="",0,O218)&lt;=LK_GradeDerivation!$C$4:$C$135)*LK_GradeDerivation!$E$4:$E$135),1)</f>
        <v>1</v>
      </c>
      <c r="R218" s="59" t="s">
        <v>2880</v>
      </c>
      <c r="S218" s="59" t="s">
        <v>2881</v>
      </c>
      <c r="T218" s="59" t="s">
        <v>2790</v>
      </c>
      <c r="U218" s="59" t="s">
        <v>953</v>
      </c>
      <c r="V218" s="59" t="s">
        <v>1577</v>
      </c>
      <c r="W218" s="59" t="s">
        <v>285</v>
      </c>
      <c r="X218" s="59" t="s">
        <v>408</v>
      </c>
      <c r="Y218" s="59" t="s">
        <v>417</v>
      </c>
      <c r="Z218" s="64" t="str">
        <f>IFERROR(VLOOKUP(T218,LK_OrgMaster!$B$4:$H$89,5,FALSE()),"Administration")</f>
        <v>Administration</v>
      </c>
      <c r="AA218" s="65" t="str">
        <f>IFERROR(VLOOKUP(X218,LK_LocationMaster!$D$4:$G$157,4,FALSE()),"No")</f>
        <v>Yes</v>
      </c>
      <c r="AB218" s="65" t="str">
        <f t="shared" si="14"/>
        <v>No</v>
      </c>
      <c r="AC218" s="65" t="str">
        <f>IFERROR(VLOOKUP(X218,LK_LocationMaster!$D$4:$H$157,5,FALSE()),"No")</f>
        <v>No</v>
      </c>
      <c r="AD218" s="59" t="s">
        <v>1885</v>
      </c>
      <c r="AE218" s="59" t="s">
        <v>930</v>
      </c>
      <c r="AF218" s="59" t="s">
        <v>847</v>
      </c>
      <c r="AG218" s="59" t="s">
        <v>340</v>
      </c>
      <c r="AH218" s="59" t="s">
        <v>2882</v>
      </c>
      <c r="AI218" s="59" t="s">
        <v>285</v>
      </c>
      <c r="AJ218" s="59" t="s">
        <v>768</v>
      </c>
      <c r="AK218" s="59" t="s">
        <v>1122</v>
      </c>
      <c r="AL218" s="64" t="str">
        <f>IFERROR(INDEX(LK_BankMaster!$D$4:$D$23,MATCH(AJ218&amp;"|"&amp;AK218,LK_BankMaster!$H$4:$H$23,0)),"")</f>
        <v/>
      </c>
      <c r="AM218" s="59" t="s">
        <v>2883</v>
      </c>
      <c r="AN218" s="64" t="str">
        <f>IFERROR(VLOOKUP(AJ218,LK_BankMaster!$A$4:$E$23,5,FALSE()),"")</f>
        <v/>
      </c>
      <c r="AO218" s="59" t="s">
        <v>314</v>
      </c>
      <c r="AP218" s="66">
        <v>0</v>
      </c>
      <c r="AQ218" s="64" t="str">
        <f t="shared" si="15"/>
        <v>Position Allowance - General Staff</v>
      </c>
      <c r="AR218" s="65" t="str">
        <f>IFERROR(VLOOKUP(T218,LK_OrgMaster!$B$4:$G$89,6,FALSE()),"No")</f>
        <v>No</v>
      </c>
      <c r="AS218" s="64" t="str">
        <f>IFERROR(VLOOKUP(T218,LK_OrgMaster!$B$4:$H$89,7,FALSE()),"None")</f>
        <v>None</v>
      </c>
      <c r="AT218" s="67">
        <v>36208</v>
      </c>
      <c r="AU218" s="67"/>
      <c r="AV218" s="67">
        <v>36208</v>
      </c>
      <c r="AW218" s="67">
        <v>46023</v>
      </c>
      <c r="AX218" s="68" t="s">
        <v>750</v>
      </c>
      <c r="AY218" s="69" t="s">
        <v>6260</v>
      </c>
    </row>
    <row r="219" spans="1:51" ht="15" customHeight="1" x14ac:dyDescent="0.3">
      <c r="A219" s="59" t="s">
        <v>2884</v>
      </c>
      <c r="B219" s="59" t="s">
        <v>772</v>
      </c>
      <c r="C219" s="59" t="s">
        <v>1030</v>
      </c>
      <c r="D219" s="59" t="s">
        <v>1289</v>
      </c>
      <c r="E219" s="59" t="s">
        <v>732</v>
      </c>
      <c r="F219" s="60">
        <v>34568</v>
      </c>
      <c r="G219" s="59" t="s">
        <v>2885</v>
      </c>
      <c r="H219" s="59" t="s">
        <v>2886</v>
      </c>
      <c r="I219" s="60">
        <v>41769</v>
      </c>
      <c r="J219" s="61">
        <f t="shared" ca="1" si="12"/>
        <v>11</v>
      </c>
      <c r="K219" s="62">
        <f t="shared" si="13"/>
        <v>56483</v>
      </c>
      <c r="L219" s="59" t="s">
        <v>735</v>
      </c>
      <c r="M219" s="59" t="s">
        <v>1069</v>
      </c>
      <c r="N219" s="59" t="s">
        <v>737</v>
      </c>
      <c r="O219" s="63">
        <v>0</v>
      </c>
      <c r="P219" s="61">
        <f>IFERROR(SUMPRODUCT((LK_GradeDerivation!$A$4:$A$135=N219)*(IF(O219="",0,O219)&gt;=LK_GradeDerivation!$B$4:$B$135)*(IF(O219="",0,O219)&lt;=LK_GradeDerivation!$C$4:$C$135)*LK_GradeDerivation!$D$4:$D$135),1)</f>
        <v>4</v>
      </c>
      <c r="Q219" s="61">
        <f>IFERROR(SUMPRODUCT((LK_GradeDerivation!$A$4:$A$135=N219)*(IF(O219="",0,O219)&gt;=LK_GradeDerivation!$B$4:$B$135)*(IF(O219="",0,O219)&lt;=LK_GradeDerivation!$C$4:$C$135)*LK_GradeDerivation!$E$4:$E$135),1)</f>
        <v>1</v>
      </c>
      <c r="R219" s="59" t="s">
        <v>2887</v>
      </c>
      <c r="S219" s="59" t="s">
        <v>2888</v>
      </c>
      <c r="T219" s="59" t="s">
        <v>761</v>
      </c>
      <c r="U219" s="59" t="s">
        <v>2889</v>
      </c>
      <c r="V219" s="59" t="s">
        <v>2890</v>
      </c>
      <c r="W219" s="59" t="s">
        <v>285</v>
      </c>
      <c r="X219" s="59" t="s">
        <v>288</v>
      </c>
      <c r="Y219" s="59" t="s">
        <v>296</v>
      </c>
      <c r="Z219" s="64" t="str">
        <f>IFERROR(VLOOKUP(T219,LK_OrgMaster!$B$4:$H$89,5,FALSE()),"Administration")</f>
        <v>Administration</v>
      </c>
      <c r="AA219" s="65" t="str">
        <f>IFERROR(VLOOKUP(X219,LK_LocationMaster!$D$4:$G$157,4,FALSE()),"No")</f>
        <v>No</v>
      </c>
      <c r="AB219" s="65" t="str">
        <f t="shared" si="14"/>
        <v>No</v>
      </c>
      <c r="AC219" s="65" t="str">
        <f>IFERROR(VLOOKUP(X219,LK_LocationMaster!$D$4:$H$157,5,FALSE()),"No")</f>
        <v>No</v>
      </c>
      <c r="AD219" s="59" t="s">
        <v>2075</v>
      </c>
      <c r="AE219" s="59" t="s">
        <v>930</v>
      </c>
      <c r="AF219" s="59" t="s">
        <v>816</v>
      </c>
      <c r="AG219" s="59" t="s">
        <v>312</v>
      </c>
      <c r="AH219" s="59" t="s">
        <v>2891</v>
      </c>
      <c r="AI219" s="59" t="s">
        <v>285</v>
      </c>
      <c r="AJ219" s="59" t="s">
        <v>818</v>
      </c>
      <c r="AK219" s="59" t="s">
        <v>944</v>
      </c>
      <c r="AL219" s="64" t="str">
        <f>IFERROR(INDEX(LK_BankMaster!$D$4:$D$23,MATCH(AJ219&amp;"|"&amp;AK219,LK_BankMaster!$H$4:$H$23,0)),"")</f>
        <v/>
      </c>
      <c r="AM219" s="59" t="s">
        <v>2892</v>
      </c>
      <c r="AN219" s="64" t="str">
        <f>IFERROR(VLOOKUP(AJ219,LK_BankMaster!$A$4:$E$23,5,FALSE()),"")</f>
        <v/>
      </c>
      <c r="AO219" s="59" t="s">
        <v>314</v>
      </c>
      <c r="AP219" s="66">
        <v>2</v>
      </c>
      <c r="AQ219" s="64" t="str">
        <f t="shared" si="15"/>
        <v>Position Allowance - General Staff</v>
      </c>
      <c r="AR219" s="65" t="str">
        <f>IFERROR(VLOOKUP(T219,LK_OrgMaster!$B$4:$G$89,6,FALSE()),"No")</f>
        <v>Yes</v>
      </c>
      <c r="AS219" s="64" t="str">
        <f>IFERROR(VLOOKUP(T219,LK_OrgMaster!$B$4:$H$89,7,FALSE()),"None")</f>
        <v>None</v>
      </c>
      <c r="AT219" s="70">
        <v>41769</v>
      </c>
      <c r="AU219" s="70"/>
      <c r="AV219" s="70">
        <v>41769</v>
      </c>
      <c r="AW219" s="70">
        <v>46023</v>
      </c>
      <c r="AX219" s="71" t="s">
        <v>750</v>
      </c>
      <c r="AY219" s="72" t="s">
        <v>6260</v>
      </c>
    </row>
    <row r="220" spans="1:51" ht="15" customHeight="1" x14ac:dyDescent="0.3">
      <c r="A220" s="59" t="s">
        <v>2893</v>
      </c>
      <c r="B220" s="59" t="s">
        <v>729</v>
      </c>
      <c r="C220" s="59" t="s">
        <v>2894</v>
      </c>
      <c r="D220" s="59" t="s">
        <v>947</v>
      </c>
      <c r="E220" s="59" t="s">
        <v>732</v>
      </c>
      <c r="F220" s="60">
        <v>32724</v>
      </c>
      <c r="G220" s="59" t="s">
        <v>2895</v>
      </c>
      <c r="H220" s="59" t="s">
        <v>2896</v>
      </c>
      <c r="I220" s="60">
        <v>36606</v>
      </c>
      <c r="J220" s="61">
        <f t="shared" ca="1" si="12"/>
        <v>25</v>
      </c>
      <c r="K220" s="62">
        <f t="shared" si="13"/>
        <v>54639</v>
      </c>
      <c r="L220" s="59" t="s">
        <v>735</v>
      </c>
      <c r="M220" s="59" t="s">
        <v>937</v>
      </c>
      <c r="N220" s="59" t="s">
        <v>758</v>
      </c>
      <c r="O220" s="63">
        <v>0</v>
      </c>
      <c r="P220" s="61">
        <f>IFERROR(SUMPRODUCT((LK_GradeDerivation!$A$4:$A$135=N220)*(IF(O220="",0,O220)&gt;=LK_GradeDerivation!$B$4:$B$135)*(IF(O220="",0,O220)&lt;=LK_GradeDerivation!$C$4:$C$135)*LK_GradeDerivation!$D$4:$D$135),1)</f>
        <v>5</v>
      </c>
      <c r="Q220" s="61">
        <f>IFERROR(SUMPRODUCT((LK_GradeDerivation!$A$4:$A$135=N220)*(IF(O220="",0,O220)&gt;=LK_GradeDerivation!$B$4:$B$135)*(IF(O220="",0,O220)&lt;=LK_GradeDerivation!$C$4:$C$135)*LK_GradeDerivation!$E$4:$E$135),1)</f>
        <v>1</v>
      </c>
      <c r="R220" s="59" t="s">
        <v>2897</v>
      </c>
      <c r="S220" s="59" t="s">
        <v>2898</v>
      </c>
      <c r="T220" s="59" t="s">
        <v>1023</v>
      </c>
      <c r="U220" s="59" t="s">
        <v>1024</v>
      </c>
      <c r="V220" s="59" t="s">
        <v>1025</v>
      </c>
      <c r="W220" s="59" t="s">
        <v>285</v>
      </c>
      <c r="X220" s="59" t="s">
        <v>527</v>
      </c>
      <c r="Y220" s="59" t="s">
        <v>534</v>
      </c>
      <c r="Z220" s="64" t="str">
        <f>IFERROR(VLOOKUP(T220,LK_OrgMaster!$B$4:$H$89,5,FALSE()),"Administration")</f>
        <v>Technical</v>
      </c>
      <c r="AA220" s="65" t="str">
        <f>IFERROR(VLOOKUP(X220,LK_LocationMaster!$D$4:$G$157,4,FALSE()),"No")</f>
        <v>No</v>
      </c>
      <c r="AB220" s="65" t="str">
        <f t="shared" si="14"/>
        <v>No</v>
      </c>
      <c r="AC220" s="65" t="str">
        <f>IFERROR(VLOOKUP(X220,LK_LocationMaster!$D$4:$H$157,5,FALSE()),"No")</f>
        <v>No</v>
      </c>
      <c r="AD220" s="59" t="s">
        <v>2899</v>
      </c>
      <c r="AE220" s="59" t="s">
        <v>886</v>
      </c>
      <c r="AF220" s="59" t="s">
        <v>801</v>
      </c>
      <c r="AG220" s="59" t="s">
        <v>312</v>
      </c>
      <c r="AH220" s="59" t="s">
        <v>1208</v>
      </c>
      <c r="AI220" s="59" t="s">
        <v>285</v>
      </c>
      <c r="AJ220" s="59" t="s">
        <v>747</v>
      </c>
      <c r="AK220" s="59" t="s">
        <v>748</v>
      </c>
      <c r="AL220" s="64" t="str">
        <f>IFERROR(INDEX(LK_BankMaster!$D$4:$D$23,MATCH(AJ220&amp;"|"&amp;AK220,LK_BankMaster!$H$4:$H$23,0)),"")</f>
        <v/>
      </c>
      <c r="AM220" s="59" t="s">
        <v>2900</v>
      </c>
      <c r="AN220" s="64" t="str">
        <f>IFERROR(VLOOKUP(AJ220,LK_BankMaster!$A$4:$E$23,5,FALSE()),"")</f>
        <v/>
      </c>
      <c r="AO220" s="59" t="s">
        <v>291</v>
      </c>
      <c r="AP220" s="66">
        <v>0</v>
      </c>
      <c r="AQ220" s="64" t="str">
        <f t="shared" si="15"/>
        <v>Position Allowance - General Staff</v>
      </c>
      <c r="AR220" s="65" t="str">
        <f>IFERROR(VLOOKUP(T220,LK_OrgMaster!$B$4:$G$89,6,FALSE()),"No")</f>
        <v>No</v>
      </c>
      <c r="AS220" s="64" t="str">
        <f>IFERROR(VLOOKUP(T220,LK_OrgMaster!$B$4:$H$89,7,FALSE()),"None")</f>
        <v>None</v>
      </c>
      <c r="AT220" s="67">
        <v>36606</v>
      </c>
      <c r="AU220" s="67"/>
      <c r="AV220" s="67">
        <v>36606</v>
      </c>
      <c r="AW220" s="67">
        <v>46023</v>
      </c>
      <c r="AX220" s="68" t="s">
        <v>750</v>
      </c>
      <c r="AY220" s="69" t="s">
        <v>6260</v>
      </c>
    </row>
    <row r="221" spans="1:51" ht="15" customHeight="1" x14ac:dyDescent="0.3">
      <c r="A221" s="59" t="s">
        <v>2901</v>
      </c>
      <c r="B221" s="59" t="s">
        <v>772</v>
      </c>
      <c r="C221" s="59" t="s">
        <v>2024</v>
      </c>
      <c r="D221" s="59" t="s">
        <v>1137</v>
      </c>
      <c r="E221" s="59" t="s">
        <v>775</v>
      </c>
      <c r="F221" s="60">
        <v>29487</v>
      </c>
      <c r="G221" s="59" t="s">
        <v>2902</v>
      </c>
      <c r="H221" s="59" t="s">
        <v>2903</v>
      </c>
      <c r="I221" s="60">
        <v>36800</v>
      </c>
      <c r="J221" s="61">
        <f t="shared" ca="1" si="12"/>
        <v>25</v>
      </c>
      <c r="K221" s="62">
        <f t="shared" si="13"/>
        <v>51402</v>
      </c>
      <c r="L221" s="59" t="s">
        <v>735</v>
      </c>
      <c r="M221" s="59" t="s">
        <v>910</v>
      </c>
      <c r="N221" s="59" t="s">
        <v>737</v>
      </c>
      <c r="O221" s="63">
        <v>0</v>
      </c>
      <c r="P221" s="61">
        <f>IFERROR(SUMPRODUCT((LK_GradeDerivation!$A$4:$A$135=N221)*(IF(O221="",0,O221)&gt;=LK_GradeDerivation!$B$4:$B$135)*(IF(O221="",0,O221)&lt;=LK_GradeDerivation!$C$4:$C$135)*LK_GradeDerivation!$D$4:$D$135),1)</f>
        <v>4</v>
      </c>
      <c r="Q221" s="61">
        <f>IFERROR(SUMPRODUCT((LK_GradeDerivation!$A$4:$A$135=N221)*(IF(O221="",0,O221)&gt;=LK_GradeDerivation!$B$4:$B$135)*(IF(O221="",0,O221)&lt;=LK_GradeDerivation!$C$4:$C$135)*LK_GradeDerivation!$E$4:$E$135),1)</f>
        <v>1</v>
      </c>
      <c r="R221" s="59" t="s">
        <v>2904</v>
      </c>
      <c r="S221" s="59" t="s">
        <v>2905</v>
      </c>
      <c r="T221" s="59" t="s">
        <v>1035</v>
      </c>
      <c r="U221" s="59" t="s">
        <v>1036</v>
      </c>
      <c r="V221" s="59" t="s">
        <v>1764</v>
      </c>
      <c r="W221" s="59" t="s">
        <v>285</v>
      </c>
      <c r="X221" s="59" t="s">
        <v>554</v>
      </c>
      <c r="Y221" s="59" t="s">
        <v>569</v>
      </c>
      <c r="Z221" s="64" t="str">
        <f>IFERROR(VLOOKUP(T221,LK_OrgMaster!$B$4:$H$89,5,FALSE()),"Administration")</f>
        <v>Administration</v>
      </c>
      <c r="AA221" s="65" t="str">
        <f>IFERROR(VLOOKUP(X221,LK_LocationMaster!$D$4:$G$157,4,FALSE()),"No")</f>
        <v>No</v>
      </c>
      <c r="AB221" s="65" t="str">
        <f t="shared" si="14"/>
        <v>No</v>
      </c>
      <c r="AC221" s="65" t="str">
        <f>IFERROR(VLOOKUP(X221,LK_LocationMaster!$D$4:$H$157,5,FALSE()),"No")</f>
        <v>No</v>
      </c>
      <c r="AD221" s="59" t="s">
        <v>2906</v>
      </c>
      <c r="AE221" s="59" t="s">
        <v>800</v>
      </c>
      <c r="AF221" s="59" t="s">
        <v>847</v>
      </c>
      <c r="AG221" s="59" t="s">
        <v>340</v>
      </c>
      <c r="AH221" s="59" t="s">
        <v>2907</v>
      </c>
      <c r="AI221" s="59" t="s">
        <v>285</v>
      </c>
      <c r="AJ221" s="59" t="s">
        <v>818</v>
      </c>
      <c r="AK221" s="59" t="s">
        <v>944</v>
      </c>
      <c r="AL221" s="64" t="str">
        <f>IFERROR(INDEX(LK_BankMaster!$D$4:$D$23,MATCH(AJ221&amp;"|"&amp;AK221,LK_BankMaster!$H$4:$H$23,0)),"")</f>
        <v/>
      </c>
      <c r="AM221" s="59" t="s">
        <v>2908</v>
      </c>
      <c r="AN221" s="64" t="str">
        <f>IFERROR(VLOOKUP(AJ221,LK_BankMaster!$A$4:$E$23,5,FALSE()),"")</f>
        <v/>
      </c>
      <c r="AO221" s="59" t="s">
        <v>291</v>
      </c>
      <c r="AP221" s="66">
        <v>0</v>
      </c>
      <c r="AQ221" s="64" t="str">
        <f t="shared" si="15"/>
        <v>Position Allowance - Division Chief</v>
      </c>
      <c r="AR221" s="65" t="str">
        <f>IFERROR(VLOOKUP(T221,LK_OrgMaster!$B$4:$G$89,6,FALSE()),"No")</f>
        <v>No</v>
      </c>
      <c r="AS221" s="64" t="str">
        <f>IFERROR(VLOOKUP(T221,LK_OrgMaster!$B$4:$H$89,7,FALSE()),"None")</f>
        <v>None</v>
      </c>
      <c r="AT221" s="70">
        <v>36800</v>
      </c>
      <c r="AU221" s="70"/>
      <c r="AV221" s="70">
        <v>36800</v>
      </c>
      <c r="AW221" s="70">
        <v>46023</v>
      </c>
      <c r="AX221" s="71" t="s">
        <v>750</v>
      </c>
      <c r="AY221" s="72" t="s">
        <v>6260</v>
      </c>
    </row>
    <row r="222" spans="1:51" ht="15" customHeight="1" x14ac:dyDescent="0.3">
      <c r="A222" s="59" t="s">
        <v>2909</v>
      </c>
      <c r="B222" s="59" t="s">
        <v>772</v>
      </c>
      <c r="C222" s="59" t="s">
        <v>1634</v>
      </c>
      <c r="D222" s="59" t="s">
        <v>1160</v>
      </c>
      <c r="E222" s="59" t="s">
        <v>732</v>
      </c>
      <c r="F222" s="60">
        <v>24709</v>
      </c>
      <c r="G222" s="59" t="s">
        <v>2910</v>
      </c>
      <c r="H222" s="59" t="s">
        <v>2911</v>
      </c>
      <c r="I222" s="60">
        <v>38044</v>
      </c>
      <c r="J222" s="61">
        <f t="shared" ca="1" si="12"/>
        <v>22</v>
      </c>
      <c r="K222" s="62">
        <f t="shared" si="13"/>
        <v>46624</v>
      </c>
      <c r="L222" s="59" t="s">
        <v>735</v>
      </c>
      <c r="M222" s="59" t="s">
        <v>1045</v>
      </c>
      <c r="N222" s="59" t="s">
        <v>758</v>
      </c>
      <c r="O222" s="63">
        <v>11</v>
      </c>
      <c r="P222" s="61">
        <f>IFERROR(SUMPRODUCT((LK_GradeDerivation!$A$4:$A$135=N222)*(IF(O222="",0,O222)&gt;=LK_GradeDerivation!$B$4:$B$135)*(IF(O222="",0,O222)&lt;=LK_GradeDerivation!$C$4:$C$135)*LK_GradeDerivation!$D$4:$D$135),1)</f>
        <v>5</v>
      </c>
      <c r="Q222" s="61">
        <f>IFERROR(SUMPRODUCT((LK_GradeDerivation!$A$4:$A$135=N222)*(IF(O222="",0,O222)&gt;=LK_GradeDerivation!$B$4:$B$135)*(IF(O222="",0,O222)&lt;=LK_GradeDerivation!$C$4:$C$135)*LK_GradeDerivation!$E$4:$E$135),1)</f>
        <v>6</v>
      </c>
      <c r="R222" s="59" t="s">
        <v>2912</v>
      </c>
      <c r="S222" s="59" t="s">
        <v>2913</v>
      </c>
      <c r="T222" s="59" t="s">
        <v>1035</v>
      </c>
      <c r="U222" s="59" t="s">
        <v>953</v>
      </c>
      <c r="V222" s="59" t="s">
        <v>1640</v>
      </c>
      <c r="W222" s="59" t="s">
        <v>285</v>
      </c>
      <c r="X222" s="59" t="s">
        <v>391</v>
      </c>
      <c r="Y222" s="59" t="s">
        <v>396</v>
      </c>
      <c r="Z222" s="64" t="str">
        <f>IFERROR(VLOOKUP(T222,LK_OrgMaster!$B$4:$H$89,5,FALSE()),"Administration")</f>
        <v>Administration</v>
      </c>
      <c r="AA222" s="65" t="str">
        <f>IFERROR(VLOOKUP(X222,LK_LocationMaster!$D$4:$G$157,4,FALSE()),"No")</f>
        <v>Yes</v>
      </c>
      <c r="AB222" s="65" t="str">
        <f t="shared" si="14"/>
        <v>No</v>
      </c>
      <c r="AC222" s="65" t="str">
        <f>IFERROR(VLOOKUP(X222,LK_LocationMaster!$D$4:$H$157,5,FALSE()),"No")</f>
        <v>Yes</v>
      </c>
      <c r="AD222" s="59" t="s">
        <v>2914</v>
      </c>
      <c r="AE222" s="59" t="s">
        <v>886</v>
      </c>
      <c r="AF222" s="59" t="s">
        <v>801</v>
      </c>
      <c r="AG222" s="59" t="s">
        <v>391</v>
      </c>
      <c r="AH222" s="59" t="s">
        <v>2915</v>
      </c>
      <c r="AI222" s="59" t="s">
        <v>285</v>
      </c>
      <c r="AJ222" s="59" t="s">
        <v>747</v>
      </c>
      <c r="AK222" s="59" t="s">
        <v>748</v>
      </c>
      <c r="AL222" s="64" t="str">
        <f>IFERROR(INDEX(LK_BankMaster!$D$4:$D$23,MATCH(AJ222&amp;"|"&amp;AK222,LK_BankMaster!$H$4:$H$23,0)),"")</f>
        <v/>
      </c>
      <c r="AM222" s="59" t="s">
        <v>2916</v>
      </c>
      <c r="AN222" s="64" t="str">
        <f>IFERROR(VLOOKUP(AJ222,LK_BankMaster!$A$4:$E$23,5,FALSE()),"")</f>
        <v/>
      </c>
      <c r="AO222" s="59" t="s">
        <v>291</v>
      </c>
      <c r="AP222" s="66">
        <v>0</v>
      </c>
      <c r="AQ222" s="64" t="str">
        <f t="shared" si="15"/>
        <v>Position Allowance - General Staff</v>
      </c>
      <c r="AR222" s="65" t="str">
        <f>IFERROR(VLOOKUP(T222,LK_OrgMaster!$B$4:$G$89,6,FALSE()),"No")</f>
        <v>No</v>
      </c>
      <c r="AS222" s="64" t="str">
        <f>IFERROR(VLOOKUP(T222,LK_OrgMaster!$B$4:$H$89,7,FALSE()),"None")</f>
        <v>None</v>
      </c>
      <c r="AT222" s="67">
        <v>38044</v>
      </c>
      <c r="AU222" s="67"/>
      <c r="AV222" s="67">
        <v>38044</v>
      </c>
      <c r="AW222" s="67">
        <v>46023</v>
      </c>
      <c r="AX222" s="68" t="s">
        <v>750</v>
      </c>
      <c r="AY222" s="69" t="s">
        <v>6260</v>
      </c>
    </row>
    <row r="223" spans="1:51" ht="15" customHeight="1" x14ac:dyDescent="0.3">
      <c r="A223" s="59" t="s">
        <v>2917</v>
      </c>
      <c r="B223" s="59" t="s">
        <v>851</v>
      </c>
      <c r="C223" s="59" t="s">
        <v>1101</v>
      </c>
      <c r="D223" s="59" t="s">
        <v>1042</v>
      </c>
      <c r="E223" s="59" t="s">
        <v>775</v>
      </c>
      <c r="F223" s="60">
        <v>25832</v>
      </c>
      <c r="G223" s="59" t="s">
        <v>1102</v>
      </c>
      <c r="H223" s="59" t="s">
        <v>2918</v>
      </c>
      <c r="I223" s="60">
        <v>36948</v>
      </c>
      <c r="J223" s="61">
        <f t="shared" ca="1" si="12"/>
        <v>25</v>
      </c>
      <c r="K223" s="62">
        <f t="shared" si="13"/>
        <v>47747</v>
      </c>
      <c r="L223" s="59" t="s">
        <v>735</v>
      </c>
      <c r="M223" s="59" t="s">
        <v>2735</v>
      </c>
      <c r="N223" s="59" t="s">
        <v>737</v>
      </c>
      <c r="O223" s="63">
        <v>8</v>
      </c>
      <c r="P223" s="61">
        <f>IFERROR(SUMPRODUCT((LK_GradeDerivation!$A$4:$A$135=N223)*(IF(O223="",0,O223)&gt;=LK_GradeDerivation!$B$4:$B$135)*(IF(O223="",0,O223)&lt;=LK_GradeDerivation!$C$4:$C$135)*LK_GradeDerivation!$D$4:$D$135),1)</f>
        <v>4</v>
      </c>
      <c r="Q223" s="61">
        <f>IFERROR(SUMPRODUCT((LK_GradeDerivation!$A$4:$A$135=N223)*(IF(O223="",0,O223)&gt;=LK_GradeDerivation!$B$4:$B$135)*(IF(O223="",0,O223)&lt;=LK_GradeDerivation!$C$4:$C$135)*LK_GradeDerivation!$E$4:$E$135),1)</f>
        <v>5</v>
      </c>
      <c r="R223" s="59" t="s">
        <v>2919</v>
      </c>
      <c r="S223" s="59" t="s">
        <v>2920</v>
      </c>
      <c r="T223" s="59" t="s">
        <v>782</v>
      </c>
      <c r="U223" s="59" t="s">
        <v>783</v>
      </c>
      <c r="V223" s="59" t="s">
        <v>763</v>
      </c>
      <c r="W223" s="59" t="s">
        <v>285</v>
      </c>
      <c r="X223" s="59" t="s">
        <v>587</v>
      </c>
      <c r="Y223" s="59" t="s">
        <v>595</v>
      </c>
      <c r="Z223" s="64" t="str">
        <f>IFERROR(VLOOKUP(T223,LK_OrgMaster!$B$4:$H$89,5,FALSE()),"Administration")</f>
        <v>Medical</v>
      </c>
      <c r="AA223" s="65" t="str">
        <f>IFERROR(VLOOKUP(X223,LK_LocationMaster!$D$4:$G$157,4,FALSE()),"No")</f>
        <v>Yes</v>
      </c>
      <c r="AB223" s="65" t="str">
        <f t="shared" si="14"/>
        <v>No</v>
      </c>
      <c r="AC223" s="65" t="str">
        <f>IFERROR(VLOOKUP(X223,LK_LocationMaster!$D$4:$H$157,5,FALSE()),"No")</f>
        <v>Yes</v>
      </c>
      <c r="AD223" s="59" t="s">
        <v>2921</v>
      </c>
      <c r="AE223" s="59" t="s">
        <v>1689</v>
      </c>
      <c r="AF223" s="59" t="s">
        <v>801</v>
      </c>
      <c r="AG223" s="59" t="s">
        <v>340</v>
      </c>
      <c r="AH223" s="59" t="s">
        <v>2922</v>
      </c>
      <c r="AI223" s="59" t="s">
        <v>285</v>
      </c>
      <c r="AJ223" s="59" t="s">
        <v>788</v>
      </c>
      <c r="AK223" s="59" t="s">
        <v>1877</v>
      </c>
      <c r="AL223" s="64" t="str">
        <f>IFERROR(INDEX(LK_BankMaster!$D$4:$D$23,MATCH(AJ223&amp;"|"&amp;AK223,LK_BankMaster!$H$4:$H$23,0)),"")</f>
        <v/>
      </c>
      <c r="AM223" s="59" t="s">
        <v>2923</v>
      </c>
      <c r="AN223" s="64" t="str">
        <f>IFERROR(VLOOKUP(AJ223,LK_BankMaster!$A$4:$E$23,5,FALSE()),"")</f>
        <v/>
      </c>
      <c r="AO223" s="59" t="s">
        <v>314</v>
      </c>
      <c r="AP223" s="66">
        <v>0</v>
      </c>
      <c r="AQ223" s="64" t="str">
        <f t="shared" si="15"/>
        <v>Position Allowance - General Staff</v>
      </c>
      <c r="AR223" s="65" t="str">
        <f>IFERROR(VLOOKUP(T223,LK_OrgMaster!$B$4:$G$89,6,FALSE()),"No")</f>
        <v>No</v>
      </c>
      <c r="AS223" s="64" t="str">
        <f>IFERROR(VLOOKUP(T223,LK_OrgMaster!$B$4:$H$89,7,FALSE()),"None")</f>
        <v>Medical</v>
      </c>
      <c r="AT223" s="70">
        <v>36948</v>
      </c>
      <c r="AU223" s="70"/>
      <c r="AV223" s="70">
        <v>36948</v>
      </c>
      <c r="AW223" s="70">
        <v>46023</v>
      </c>
      <c r="AX223" s="71" t="s">
        <v>750</v>
      </c>
      <c r="AY223" s="72" t="s">
        <v>6260</v>
      </c>
    </row>
    <row r="224" spans="1:51" ht="15" customHeight="1" x14ac:dyDescent="0.3">
      <c r="A224" s="59" t="s">
        <v>2924</v>
      </c>
      <c r="B224" s="59" t="s">
        <v>851</v>
      </c>
      <c r="C224" s="59" t="s">
        <v>2024</v>
      </c>
      <c r="D224" s="59" t="s">
        <v>1512</v>
      </c>
      <c r="E224" s="59" t="s">
        <v>775</v>
      </c>
      <c r="F224" s="60">
        <v>26242</v>
      </c>
      <c r="G224" s="59" t="s">
        <v>2925</v>
      </c>
      <c r="H224" s="59" t="s">
        <v>2926</v>
      </c>
      <c r="I224" s="60">
        <v>45039</v>
      </c>
      <c r="J224" s="61">
        <f t="shared" ca="1" si="12"/>
        <v>2</v>
      </c>
      <c r="K224" s="62">
        <f t="shared" si="13"/>
        <v>48157</v>
      </c>
      <c r="L224" s="59" t="s">
        <v>735</v>
      </c>
      <c r="M224" s="59" t="s">
        <v>2927</v>
      </c>
      <c r="N224" s="59" t="s">
        <v>737</v>
      </c>
      <c r="O224" s="63">
        <v>25</v>
      </c>
      <c r="P224" s="61">
        <f>IFERROR(SUMPRODUCT((LK_GradeDerivation!$A$4:$A$135=N224)*(IF(O224="",0,O224)&gt;=LK_GradeDerivation!$B$4:$B$135)*(IF(O224="",0,O224)&lt;=LK_GradeDerivation!$C$4:$C$135)*LK_GradeDerivation!$D$4:$D$135),1)</f>
        <v>4</v>
      </c>
      <c r="Q224" s="61">
        <f>IFERROR(SUMPRODUCT((LK_GradeDerivation!$A$4:$A$135=N224)*(IF(O224="",0,O224)&gt;=LK_GradeDerivation!$B$4:$B$135)*(IF(O224="",0,O224)&lt;=LK_GradeDerivation!$C$4:$C$135)*LK_GradeDerivation!$E$4:$E$135),1)</f>
        <v>13</v>
      </c>
      <c r="R224" s="59" t="s">
        <v>2928</v>
      </c>
      <c r="S224" s="59" t="s">
        <v>2929</v>
      </c>
      <c r="T224" s="59" t="s">
        <v>1118</v>
      </c>
      <c r="U224" s="59" t="s">
        <v>2930</v>
      </c>
      <c r="V224" s="59" t="s">
        <v>2931</v>
      </c>
      <c r="W224" s="59" t="s">
        <v>598</v>
      </c>
      <c r="X224" s="59" t="s">
        <v>606</v>
      </c>
      <c r="Y224" s="59" t="s">
        <v>1180</v>
      </c>
      <c r="Z224" s="64" t="str">
        <f>IFERROR(VLOOKUP(T224,LK_OrgMaster!$B$4:$H$89,5,FALSE()),"Administration")</f>
        <v>Diplomatic</v>
      </c>
      <c r="AA224" s="65" t="str">
        <f>IFERROR(VLOOKUP(X224,LK_LocationMaster!$D$4:$G$157,4,FALSE()),"No")</f>
        <v>No</v>
      </c>
      <c r="AB224" s="65" t="str">
        <f t="shared" si="14"/>
        <v>Yes</v>
      </c>
      <c r="AC224" s="65" t="str">
        <f>IFERROR(VLOOKUP(X224,LK_LocationMaster!$D$4:$H$157,5,FALSE()),"No")</f>
        <v>No</v>
      </c>
      <c r="AD224" s="59" t="s">
        <v>2932</v>
      </c>
      <c r="AE224" s="59" t="s">
        <v>1144</v>
      </c>
      <c r="AF224" s="59" t="s">
        <v>915</v>
      </c>
      <c r="AG224" s="59" t="s">
        <v>312</v>
      </c>
      <c r="AH224" s="59" t="s">
        <v>2933</v>
      </c>
      <c r="AI224" s="59" t="s">
        <v>285</v>
      </c>
      <c r="AJ224" s="59" t="s">
        <v>768</v>
      </c>
      <c r="AK224" s="59" t="s">
        <v>1589</v>
      </c>
      <c r="AL224" s="64" t="str">
        <f>IFERROR(INDEX(LK_BankMaster!$D$4:$D$23,MATCH(AJ224&amp;"|"&amp;AK224,LK_BankMaster!$H$4:$H$23,0)),"")</f>
        <v/>
      </c>
      <c r="AM224" s="59" t="s">
        <v>2934</v>
      </c>
      <c r="AN224" s="64" t="str">
        <f>IFERROR(VLOOKUP(AJ224,LK_BankMaster!$A$4:$E$23,5,FALSE()),"")</f>
        <v/>
      </c>
      <c r="AO224" s="59" t="s">
        <v>314</v>
      </c>
      <c r="AP224" s="66">
        <v>3</v>
      </c>
      <c r="AQ224" s="64" t="str">
        <f t="shared" si="15"/>
        <v>Position Allowance - General Staff</v>
      </c>
      <c r="AR224" s="65" t="str">
        <f>IFERROR(VLOOKUP(T224,LK_OrgMaster!$B$4:$G$89,6,FALSE()),"No")</f>
        <v>No</v>
      </c>
      <c r="AS224" s="64" t="str">
        <f>IFERROR(VLOOKUP(T224,LK_OrgMaster!$B$4:$H$89,7,FALSE()),"None")</f>
        <v>None</v>
      </c>
      <c r="AT224" s="67">
        <v>45039</v>
      </c>
      <c r="AU224" s="67"/>
      <c r="AV224" s="67">
        <v>45039</v>
      </c>
      <c r="AW224" s="67">
        <v>46023</v>
      </c>
      <c r="AX224" s="68" t="s">
        <v>750</v>
      </c>
      <c r="AY224" s="69" t="s">
        <v>6260</v>
      </c>
    </row>
    <row r="225" spans="1:51" ht="15" customHeight="1" x14ac:dyDescent="0.3">
      <c r="A225" s="59" t="s">
        <v>2935</v>
      </c>
      <c r="B225" s="59" t="s">
        <v>729</v>
      </c>
      <c r="C225" s="59" t="s">
        <v>2408</v>
      </c>
      <c r="D225" s="59" t="s">
        <v>1352</v>
      </c>
      <c r="E225" s="59" t="s">
        <v>732</v>
      </c>
      <c r="F225" s="60">
        <v>24587</v>
      </c>
      <c r="G225" s="59" t="s">
        <v>2936</v>
      </c>
      <c r="H225" s="59" t="s">
        <v>2937</v>
      </c>
      <c r="I225" s="60">
        <v>42913</v>
      </c>
      <c r="J225" s="61">
        <f t="shared" ca="1" si="12"/>
        <v>8</v>
      </c>
      <c r="K225" s="62">
        <f t="shared" si="13"/>
        <v>46502</v>
      </c>
      <c r="L225" s="59" t="s">
        <v>735</v>
      </c>
      <c r="M225" s="59" t="s">
        <v>1020</v>
      </c>
      <c r="N225" s="59" t="s">
        <v>737</v>
      </c>
      <c r="O225" s="63">
        <v>25</v>
      </c>
      <c r="P225" s="61">
        <f>IFERROR(SUMPRODUCT((LK_GradeDerivation!$A$4:$A$135=N225)*(IF(O225="",0,O225)&gt;=LK_GradeDerivation!$B$4:$B$135)*(IF(O225="",0,O225)&lt;=LK_GradeDerivation!$C$4:$C$135)*LK_GradeDerivation!$D$4:$D$135),1)</f>
        <v>4</v>
      </c>
      <c r="Q225" s="61">
        <f>IFERROR(SUMPRODUCT((LK_GradeDerivation!$A$4:$A$135=N225)*(IF(O225="",0,O225)&gt;=LK_GradeDerivation!$B$4:$B$135)*(IF(O225="",0,O225)&lt;=LK_GradeDerivation!$C$4:$C$135)*LK_GradeDerivation!$E$4:$E$135),1)</f>
        <v>13</v>
      </c>
      <c r="R225" s="59" t="s">
        <v>2938</v>
      </c>
      <c r="S225" s="59" t="s">
        <v>2939</v>
      </c>
      <c r="T225" s="59" t="s">
        <v>1096</v>
      </c>
      <c r="U225" s="59" t="s">
        <v>1229</v>
      </c>
      <c r="V225" s="59" t="s">
        <v>763</v>
      </c>
      <c r="W225" s="59" t="s">
        <v>285</v>
      </c>
      <c r="X225" s="59" t="s">
        <v>356</v>
      </c>
      <c r="Y225" s="59" t="s">
        <v>362</v>
      </c>
      <c r="Z225" s="64" t="str">
        <f>IFERROR(VLOOKUP(T225,LK_OrgMaster!$B$4:$H$89,5,FALSE()),"Administration")</f>
        <v>Administration</v>
      </c>
      <c r="AA225" s="65" t="str">
        <f>IFERROR(VLOOKUP(X225,LK_LocationMaster!$D$4:$G$157,4,FALSE()),"No")</f>
        <v>Yes</v>
      </c>
      <c r="AB225" s="65" t="str">
        <f t="shared" si="14"/>
        <v>No</v>
      </c>
      <c r="AC225" s="65" t="str">
        <f>IFERROR(VLOOKUP(X225,LK_LocationMaster!$D$4:$H$157,5,FALSE()),"No")</f>
        <v>No</v>
      </c>
      <c r="AD225" s="59" t="s">
        <v>1659</v>
      </c>
      <c r="AE225" s="59" t="s">
        <v>800</v>
      </c>
      <c r="AF225" s="59" t="s">
        <v>915</v>
      </c>
      <c r="AG225" s="59" t="s">
        <v>368</v>
      </c>
      <c r="AH225" s="59" t="s">
        <v>2940</v>
      </c>
      <c r="AI225" s="59" t="s">
        <v>285</v>
      </c>
      <c r="AJ225" s="59" t="s">
        <v>788</v>
      </c>
      <c r="AK225" s="59" t="s">
        <v>1146</v>
      </c>
      <c r="AL225" s="64" t="str">
        <f>IFERROR(INDEX(LK_BankMaster!$D$4:$D$23,MATCH(AJ225&amp;"|"&amp;AK225,LK_BankMaster!$H$4:$H$23,0)),"")</f>
        <v/>
      </c>
      <c r="AM225" s="59" t="s">
        <v>2941</v>
      </c>
      <c r="AN225" s="64" t="str">
        <f>IFERROR(VLOOKUP(AJ225,LK_BankMaster!$A$4:$E$23,5,FALSE()),"")</f>
        <v/>
      </c>
      <c r="AO225" s="59" t="s">
        <v>314</v>
      </c>
      <c r="AP225" s="66">
        <v>3</v>
      </c>
      <c r="AQ225" s="64" t="str">
        <f t="shared" si="15"/>
        <v>Position Allowance - Section Chief</v>
      </c>
      <c r="AR225" s="65" t="str">
        <f>IFERROR(VLOOKUP(T225,LK_OrgMaster!$B$4:$G$89,6,FALSE()),"No")</f>
        <v>No</v>
      </c>
      <c r="AS225" s="64" t="str">
        <f>IFERROR(VLOOKUP(T225,LK_OrgMaster!$B$4:$H$89,7,FALSE()),"None")</f>
        <v>None</v>
      </c>
      <c r="AT225" s="70">
        <v>42913</v>
      </c>
      <c r="AU225" s="70"/>
      <c r="AV225" s="70">
        <v>42913</v>
      </c>
      <c r="AW225" s="70">
        <v>46023</v>
      </c>
      <c r="AX225" s="71" t="s">
        <v>750</v>
      </c>
      <c r="AY225" s="72" t="s">
        <v>6260</v>
      </c>
    </row>
    <row r="226" spans="1:51" ht="15" customHeight="1" x14ac:dyDescent="0.3">
      <c r="A226" s="59" t="s">
        <v>2942</v>
      </c>
      <c r="B226" s="59" t="s">
        <v>752</v>
      </c>
      <c r="C226" s="59" t="s">
        <v>1185</v>
      </c>
      <c r="D226" s="59" t="s">
        <v>1909</v>
      </c>
      <c r="E226" s="59" t="s">
        <v>732</v>
      </c>
      <c r="F226" s="60">
        <v>37246</v>
      </c>
      <c r="G226" s="59" t="s">
        <v>2943</v>
      </c>
      <c r="H226" s="59" t="s">
        <v>2944</v>
      </c>
      <c r="I226" s="60">
        <v>45719</v>
      </c>
      <c r="J226" s="61">
        <f t="shared" ca="1" si="12"/>
        <v>1</v>
      </c>
      <c r="K226" s="62">
        <f t="shared" si="13"/>
        <v>59161</v>
      </c>
      <c r="L226" s="59" t="s">
        <v>735</v>
      </c>
      <c r="M226" s="59" t="s">
        <v>810</v>
      </c>
      <c r="N226" s="59" t="s">
        <v>779</v>
      </c>
      <c r="O226" s="63">
        <v>5</v>
      </c>
      <c r="P226" s="61">
        <f>IFERROR(SUMPRODUCT((LK_GradeDerivation!$A$4:$A$135=N226)*(IF(O226="",0,O226)&gt;=LK_GradeDerivation!$B$4:$B$135)*(IF(O226="",0,O226)&lt;=LK_GradeDerivation!$C$4:$C$135)*LK_GradeDerivation!$D$4:$D$135),1)</f>
        <v>2</v>
      </c>
      <c r="Q226" s="61">
        <f>IFERROR(SUMPRODUCT((LK_GradeDerivation!$A$4:$A$135=N226)*(IF(O226="",0,O226)&gt;=LK_GradeDerivation!$B$4:$B$135)*(IF(O226="",0,O226)&lt;=LK_GradeDerivation!$C$4:$C$135)*LK_GradeDerivation!$E$4:$E$135),1)</f>
        <v>3</v>
      </c>
      <c r="R226" s="59" t="s">
        <v>2945</v>
      </c>
      <c r="S226" s="59" t="s">
        <v>2946</v>
      </c>
      <c r="T226" s="59" t="s">
        <v>782</v>
      </c>
      <c r="U226" s="59" t="s">
        <v>813</v>
      </c>
      <c r="V226" s="59" t="s">
        <v>2947</v>
      </c>
      <c r="W226" s="59" t="s">
        <v>285</v>
      </c>
      <c r="X226" s="59" t="s">
        <v>554</v>
      </c>
      <c r="Y226" s="59" t="s">
        <v>560</v>
      </c>
      <c r="Z226" s="64" t="str">
        <f>IFERROR(VLOOKUP(T226,LK_OrgMaster!$B$4:$H$89,5,FALSE()),"Administration")</f>
        <v>Medical</v>
      </c>
      <c r="AA226" s="65" t="str">
        <f>IFERROR(VLOOKUP(X226,LK_LocationMaster!$D$4:$G$157,4,FALSE()),"No")</f>
        <v>No</v>
      </c>
      <c r="AB226" s="65" t="str">
        <f t="shared" si="14"/>
        <v>No</v>
      </c>
      <c r="AC226" s="65" t="str">
        <f>IFERROR(VLOOKUP(X226,LK_LocationMaster!$D$4:$H$157,5,FALSE()),"No")</f>
        <v>No</v>
      </c>
      <c r="AD226" s="59" t="s">
        <v>2712</v>
      </c>
      <c r="AE226" s="59" t="s">
        <v>930</v>
      </c>
      <c r="AF226" s="59" t="s">
        <v>969</v>
      </c>
      <c r="AG226" s="59" t="s">
        <v>329</v>
      </c>
      <c r="AH226" s="59" t="s">
        <v>2948</v>
      </c>
      <c r="AI226" s="59" t="s">
        <v>285</v>
      </c>
      <c r="AJ226" s="59" t="s">
        <v>833</v>
      </c>
      <c r="AK226" s="59" t="s">
        <v>917</v>
      </c>
      <c r="AL226" s="64" t="str">
        <f>IFERROR(INDEX(LK_BankMaster!$D$4:$D$23,MATCH(AJ226&amp;"|"&amp;AK226,LK_BankMaster!$H$4:$H$23,0)),"")</f>
        <v/>
      </c>
      <c r="AM226" s="59" t="s">
        <v>2949</v>
      </c>
      <c r="AN226" s="64" t="str">
        <f>IFERROR(VLOOKUP(AJ226,LK_BankMaster!$A$4:$E$23,5,FALSE()),"")</f>
        <v/>
      </c>
      <c r="AO226" s="59" t="s">
        <v>314</v>
      </c>
      <c r="AP226" s="66">
        <v>3</v>
      </c>
      <c r="AQ226" s="64" t="str">
        <f t="shared" si="15"/>
        <v>Position Allowance - General Staff</v>
      </c>
      <c r="AR226" s="65" t="str">
        <f>IFERROR(VLOOKUP(T226,LK_OrgMaster!$B$4:$G$89,6,FALSE()),"No")</f>
        <v>No</v>
      </c>
      <c r="AS226" s="64" t="str">
        <f>IFERROR(VLOOKUP(T226,LK_OrgMaster!$B$4:$H$89,7,FALSE()),"None")</f>
        <v>Medical</v>
      </c>
      <c r="AT226" s="67">
        <v>45719</v>
      </c>
      <c r="AU226" s="67"/>
      <c r="AV226" s="67">
        <v>45719</v>
      </c>
      <c r="AW226" s="67">
        <v>46023</v>
      </c>
      <c r="AX226" s="68" t="s">
        <v>750</v>
      </c>
      <c r="AY226" s="69" t="s">
        <v>6260</v>
      </c>
    </row>
    <row r="227" spans="1:51" ht="15" customHeight="1" x14ac:dyDescent="0.3">
      <c r="A227" s="59" t="s">
        <v>2950</v>
      </c>
      <c r="B227" s="59" t="s">
        <v>752</v>
      </c>
      <c r="C227" s="59" t="s">
        <v>730</v>
      </c>
      <c r="D227" s="59" t="s">
        <v>2482</v>
      </c>
      <c r="E227" s="59" t="s">
        <v>732</v>
      </c>
      <c r="F227" s="60">
        <v>32793</v>
      </c>
      <c r="G227" s="59" t="s">
        <v>2951</v>
      </c>
      <c r="H227" s="59" t="s">
        <v>2952</v>
      </c>
      <c r="I227" s="60">
        <v>43347</v>
      </c>
      <c r="J227" s="61">
        <f t="shared" ca="1" si="12"/>
        <v>7</v>
      </c>
      <c r="K227" s="62">
        <f t="shared" si="13"/>
        <v>54708</v>
      </c>
      <c r="L227" s="59" t="s">
        <v>735</v>
      </c>
      <c r="M227" s="59" t="s">
        <v>1483</v>
      </c>
      <c r="N227" s="59" t="s">
        <v>779</v>
      </c>
      <c r="O227" s="63">
        <v>10</v>
      </c>
      <c r="P227" s="61">
        <f>IFERROR(SUMPRODUCT((LK_GradeDerivation!$A$4:$A$135=N227)*(IF(O227="",0,O227)&gt;=LK_GradeDerivation!$B$4:$B$135)*(IF(O227="",0,O227)&lt;=LK_GradeDerivation!$C$4:$C$135)*LK_GradeDerivation!$D$4:$D$135),1)</f>
        <v>2</v>
      </c>
      <c r="Q227" s="61">
        <f>IFERROR(SUMPRODUCT((LK_GradeDerivation!$A$4:$A$135=N227)*(IF(O227="",0,O227)&gt;=LK_GradeDerivation!$B$4:$B$135)*(IF(O227="",0,O227)&lt;=LK_GradeDerivation!$C$4:$C$135)*LK_GradeDerivation!$E$4:$E$135),1)</f>
        <v>6</v>
      </c>
      <c r="R227" s="59" t="s">
        <v>2953</v>
      </c>
      <c r="S227" s="59" t="s">
        <v>2954</v>
      </c>
      <c r="T227" s="59" t="s">
        <v>979</v>
      </c>
      <c r="U227" s="59" t="s">
        <v>1272</v>
      </c>
      <c r="V227" s="59" t="s">
        <v>2955</v>
      </c>
      <c r="W227" s="59" t="s">
        <v>285</v>
      </c>
      <c r="X227" s="59" t="s">
        <v>587</v>
      </c>
      <c r="Y227" s="59" t="s">
        <v>597</v>
      </c>
      <c r="Z227" s="64" t="str">
        <f>IFERROR(VLOOKUP(T227,LK_OrgMaster!$B$4:$H$89,5,FALSE()),"Administration")</f>
        <v>Administration</v>
      </c>
      <c r="AA227" s="65" t="str">
        <f>IFERROR(VLOOKUP(X227,LK_LocationMaster!$D$4:$G$157,4,FALSE()),"No")</f>
        <v>Yes</v>
      </c>
      <c r="AB227" s="65" t="str">
        <f t="shared" si="14"/>
        <v>No</v>
      </c>
      <c r="AC227" s="65" t="str">
        <f>IFERROR(VLOOKUP(X227,LK_LocationMaster!$D$4:$H$157,5,FALSE()),"No")</f>
        <v>Yes</v>
      </c>
      <c r="AD227" s="59" t="s">
        <v>2956</v>
      </c>
      <c r="AE227" s="59" t="s">
        <v>765</v>
      </c>
      <c r="AF227" s="59" t="s">
        <v>801</v>
      </c>
      <c r="AG227" s="59" t="s">
        <v>288</v>
      </c>
      <c r="AH227" s="59" t="s">
        <v>2957</v>
      </c>
      <c r="AI227" s="59" t="s">
        <v>285</v>
      </c>
      <c r="AJ227" s="59" t="s">
        <v>833</v>
      </c>
      <c r="AK227" s="59" t="s">
        <v>1013</v>
      </c>
      <c r="AL227" s="64" t="str">
        <f>IFERROR(INDEX(LK_BankMaster!$D$4:$D$23,MATCH(AJ227&amp;"|"&amp;AK227,LK_BankMaster!$H$4:$H$23,0)),"")</f>
        <v/>
      </c>
      <c r="AM227" s="59" t="s">
        <v>2958</v>
      </c>
      <c r="AN227" s="64" t="str">
        <f>IFERROR(VLOOKUP(AJ227,LK_BankMaster!$A$4:$E$23,5,FALSE()),"")</f>
        <v/>
      </c>
      <c r="AO227" s="59" t="s">
        <v>291</v>
      </c>
      <c r="AP227" s="66">
        <v>0</v>
      </c>
      <c r="AQ227" s="64" t="str">
        <f t="shared" si="15"/>
        <v>Position Allowance - General Staff</v>
      </c>
      <c r="AR227" s="65" t="str">
        <f>IFERROR(VLOOKUP(T227,LK_OrgMaster!$B$4:$G$89,6,FALSE()),"No")</f>
        <v>No</v>
      </c>
      <c r="AS227" s="64" t="str">
        <f>IFERROR(VLOOKUP(T227,LK_OrgMaster!$B$4:$H$89,7,FALSE()),"None")</f>
        <v>None</v>
      </c>
      <c r="AT227" s="70">
        <v>43347</v>
      </c>
      <c r="AU227" s="70"/>
      <c r="AV227" s="70">
        <v>43347</v>
      </c>
      <c r="AW227" s="70">
        <v>46023</v>
      </c>
      <c r="AX227" s="71" t="s">
        <v>750</v>
      </c>
      <c r="AY227" s="72" t="s">
        <v>6260</v>
      </c>
    </row>
    <row r="228" spans="1:51" ht="15" customHeight="1" x14ac:dyDescent="0.3">
      <c r="A228" s="59" t="s">
        <v>2959</v>
      </c>
      <c r="B228" s="59" t="s">
        <v>772</v>
      </c>
      <c r="C228" s="59" t="s">
        <v>2706</v>
      </c>
      <c r="D228" s="59" t="s">
        <v>838</v>
      </c>
      <c r="E228" s="59" t="s">
        <v>775</v>
      </c>
      <c r="F228" s="60">
        <v>27243</v>
      </c>
      <c r="G228" s="59" t="s">
        <v>2960</v>
      </c>
      <c r="H228" s="59" t="s">
        <v>2961</v>
      </c>
      <c r="I228" s="60">
        <v>39984</v>
      </c>
      <c r="J228" s="61">
        <f t="shared" ca="1" si="12"/>
        <v>16</v>
      </c>
      <c r="K228" s="62">
        <f t="shared" si="13"/>
        <v>49158</v>
      </c>
      <c r="L228" s="59" t="s">
        <v>735</v>
      </c>
      <c r="M228" s="59" t="s">
        <v>924</v>
      </c>
      <c r="N228" s="59" t="s">
        <v>758</v>
      </c>
      <c r="O228" s="63">
        <v>9</v>
      </c>
      <c r="P228" s="61">
        <f>IFERROR(SUMPRODUCT((LK_GradeDerivation!$A$4:$A$135=N228)*(IF(O228="",0,O228)&gt;=LK_GradeDerivation!$B$4:$B$135)*(IF(O228="",0,O228)&lt;=LK_GradeDerivation!$C$4:$C$135)*LK_GradeDerivation!$D$4:$D$135),1)</f>
        <v>5</v>
      </c>
      <c r="Q228" s="61">
        <f>IFERROR(SUMPRODUCT((LK_GradeDerivation!$A$4:$A$135=N228)*(IF(O228="",0,O228)&gt;=LK_GradeDerivation!$B$4:$B$135)*(IF(O228="",0,O228)&lt;=LK_GradeDerivation!$C$4:$C$135)*LK_GradeDerivation!$E$4:$E$135),1)</f>
        <v>5</v>
      </c>
      <c r="R228" s="59" t="s">
        <v>2962</v>
      </c>
      <c r="S228" s="59" t="s">
        <v>2963</v>
      </c>
      <c r="T228" s="59" t="s">
        <v>740</v>
      </c>
      <c r="U228" s="59" t="s">
        <v>927</v>
      </c>
      <c r="V228" s="59" t="s">
        <v>2335</v>
      </c>
      <c r="W228" s="59" t="s">
        <v>285</v>
      </c>
      <c r="X228" s="59" t="s">
        <v>312</v>
      </c>
      <c r="Y228" s="59" t="s">
        <v>323</v>
      </c>
      <c r="Z228" s="64" t="str">
        <f>IFERROR(VLOOKUP(T228,LK_OrgMaster!$B$4:$H$89,5,FALSE()),"Administration")</f>
        <v>Teacher</v>
      </c>
      <c r="AA228" s="65" t="str">
        <f>IFERROR(VLOOKUP(X228,LK_LocationMaster!$D$4:$G$157,4,FALSE()),"No")</f>
        <v>Yes</v>
      </c>
      <c r="AB228" s="65" t="str">
        <f t="shared" si="14"/>
        <v>No</v>
      </c>
      <c r="AC228" s="65" t="str">
        <f>IFERROR(VLOOKUP(X228,LK_LocationMaster!$D$4:$H$157,5,FALSE()),"No")</f>
        <v>No</v>
      </c>
      <c r="AD228" s="59" t="s">
        <v>2964</v>
      </c>
      <c r="AE228" s="59" t="s">
        <v>2667</v>
      </c>
      <c r="AF228" s="59" t="s">
        <v>969</v>
      </c>
      <c r="AG228" s="59" t="s">
        <v>340</v>
      </c>
      <c r="AH228" s="59" t="s">
        <v>2965</v>
      </c>
      <c r="AI228" s="59" t="s">
        <v>285</v>
      </c>
      <c r="AJ228" s="59" t="s">
        <v>833</v>
      </c>
      <c r="AK228" s="59" t="s">
        <v>917</v>
      </c>
      <c r="AL228" s="64" t="str">
        <f>IFERROR(INDEX(LK_BankMaster!$D$4:$D$23,MATCH(AJ228&amp;"|"&amp;AK228,LK_BankMaster!$H$4:$H$23,0)),"")</f>
        <v/>
      </c>
      <c r="AM228" s="59" t="s">
        <v>2966</v>
      </c>
      <c r="AN228" s="64" t="str">
        <f>IFERROR(VLOOKUP(AJ228,LK_BankMaster!$A$4:$E$23,5,FALSE()),"")</f>
        <v/>
      </c>
      <c r="AO228" s="59" t="s">
        <v>314</v>
      </c>
      <c r="AP228" s="66">
        <v>3</v>
      </c>
      <c r="AQ228" s="64" t="str">
        <f t="shared" si="15"/>
        <v>Position Allowance - General Staff</v>
      </c>
      <c r="AR228" s="65" t="str">
        <f>IFERROR(VLOOKUP(T228,LK_OrgMaster!$B$4:$G$89,6,FALSE()),"No")</f>
        <v>No</v>
      </c>
      <c r="AS228" s="64" t="str">
        <f>IFERROR(VLOOKUP(T228,LK_OrgMaster!$B$4:$H$89,7,FALSE()),"None")</f>
        <v>Teaching</v>
      </c>
      <c r="AT228" s="67">
        <v>39984</v>
      </c>
      <c r="AU228" s="67"/>
      <c r="AV228" s="67">
        <v>39984</v>
      </c>
      <c r="AW228" s="67">
        <v>46023</v>
      </c>
      <c r="AX228" s="68" t="s">
        <v>750</v>
      </c>
      <c r="AY228" s="69" t="s">
        <v>6260</v>
      </c>
    </row>
    <row r="229" spans="1:51" ht="15" customHeight="1" x14ac:dyDescent="0.3">
      <c r="A229" s="59" t="s">
        <v>2967</v>
      </c>
      <c r="B229" s="59" t="s">
        <v>752</v>
      </c>
      <c r="C229" s="59" t="s">
        <v>1278</v>
      </c>
      <c r="D229" s="59" t="s">
        <v>1172</v>
      </c>
      <c r="E229" s="59" t="s">
        <v>732</v>
      </c>
      <c r="F229" s="60">
        <v>34802</v>
      </c>
      <c r="G229" s="59" t="s">
        <v>2968</v>
      </c>
      <c r="H229" s="59" t="s">
        <v>2969</v>
      </c>
      <c r="I229" s="60">
        <v>40526</v>
      </c>
      <c r="J229" s="61">
        <f t="shared" ca="1" si="12"/>
        <v>15</v>
      </c>
      <c r="K229" s="62">
        <f t="shared" si="13"/>
        <v>56717</v>
      </c>
      <c r="L229" s="59" t="s">
        <v>735</v>
      </c>
      <c r="M229" s="59" t="s">
        <v>1020</v>
      </c>
      <c r="N229" s="59" t="s">
        <v>737</v>
      </c>
      <c r="O229" s="63">
        <v>0</v>
      </c>
      <c r="P229" s="61">
        <f>IFERROR(SUMPRODUCT((LK_GradeDerivation!$A$4:$A$135=N229)*(IF(O229="",0,O229)&gt;=LK_GradeDerivation!$B$4:$B$135)*(IF(O229="",0,O229)&lt;=LK_GradeDerivation!$C$4:$C$135)*LK_GradeDerivation!$D$4:$D$135),1)</f>
        <v>4</v>
      </c>
      <c r="Q229" s="61">
        <f>IFERROR(SUMPRODUCT((LK_GradeDerivation!$A$4:$A$135=N229)*(IF(O229="",0,O229)&gt;=LK_GradeDerivation!$B$4:$B$135)*(IF(O229="",0,O229)&lt;=LK_GradeDerivation!$C$4:$C$135)*LK_GradeDerivation!$E$4:$E$135),1)</f>
        <v>1</v>
      </c>
      <c r="R229" s="59" t="s">
        <v>2970</v>
      </c>
      <c r="S229" s="59" t="s">
        <v>2971</v>
      </c>
      <c r="T229" s="59" t="s">
        <v>952</v>
      </c>
      <c r="U229" s="59" t="s">
        <v>2972</v>
      </c>
      <c r="V229" s="59" t="s">
        <v>2973</v>
      </c>
      <c r="W229" s="59" t="s">
        <v>285</v>
      </c>
      <c r="X229" s="59" t="s">
        <v>329</v>
      </c>
      <c r="Y229" s="59" t="s">
        <v>336</v>
      </c>
      <c r="Z229" s="64" t="str">
        <f>IFERROR(VLOOKUP(T229,LK_OrgMaster!$B$4:$H$89,5,FALSE()),"Administration")</f>
        <v>Administration</v>
      </c>
      <c r="AA229" s="65" t="str">
        <f>IFERROR(VLOOKUP(X229,LK_LocationMaster!$D$4:$G$157,4,FALSE()),"No")</f>
        <v>Yes</v>
      </c>
      <c r="AB229" s="65" t="str">
        <f t="shared" si="14"/>
        <v>No</v>
      </c>
      <c r="AC229" s="65" t="str">
        <f>IFERROR(VLOOKUP(X229,LK_LocationMaster!$D$4:$H$157,5,FALSE()),"No")</f>
        <v>No</v>
      </c>
      <c r="AD229" s="59" t="s">
        <v>2974</v>
      </c>
      <c r="AE229" s="59" t="s">
        <v>886</v>
      </c>
      <c r="AF229" s="59" t="s">
        <v>786</v>
      </c>
      <c r="AG229" s="59" t="s">
        <v>408</v>
      </c>
      <c r="AH229" s="59" t="s">
        <v>2975</v>
      </c>
      <c r="AI229" s="59" t="s">
        <v>285</v>
      </c>
      <c r="AJ229" s="59" t="s">
        <v>747</v>
      </c>
      <c r="AK229" s="59" t="s">
        <v>748</v>
      </c>
      <c r="AL229" s="64" t="str">
        <f>IFERROR(INDEX(LK_BankMaster!$D$4:$D$23,MATCH(AJ229&amp;"|"&amp;AK229,LK_BankMaster!$H$4:$H$23,0)),"")</f>
        <v/>
      </c>
      <c r="AM229" s="59" t="s">
        <v>2976</v>
      </c>
      <c r="AN229" s="64" t="str">
        <f>IFERROR(VLOOKUP(AJ229,LK_BankMaster!$A$4:$E$23,5,FALSE()),"")</f>
        <v/>
      </c>
      <c r="AO229" s="59" t="s">
        <v>291</v>
      </c>
      <c r="AP229" s="66">
        <v>0</v>
      </c>
      <c r="AQ229" s="64" t="str">
        <f t="shared" si="15"/>
        <v>Position Allowance - Section Chief</v>
      </c>
      <c r="AR229" s="65" t="str">
        <f>IFERROR(VLOOKUP(T229,LK_OrgMaster!$B$4:$G$89,6,FALSE()),"No")</f>
        <v>No</v>
      </c>
      <c r="AS229" s="64" t="str">
        <f>IFERROR(VLOOKUP(T229,LK_OrgMaster!$B$4:$H$89,7,FALSE()),"None")</f>
        <v>None</v>
      </c>
      <c r="AT229" s="70">
        <v>40526</v>
      </c>
      <c r="AU229" s="70"/>
      <c r="AV229" s="70">
        <v>40526</v>
      </c>
      <c r="AW229" s="70">
        <v>46023</v>
      </c>
      <c r="AX229" s="71" t="s">
        <v>750</v>
      </c>
      <c r="AY229" s="72" t="s">
        <v>6260</v>
      </c>
    </row>
    <row r="230" spans="1:51" ht="15" customHeight="1" x14ac:dyDescent="0.3">
      <c r="A230" s="59" t="s">
        <v>2977</v>
      </c>
      <c r="B230" s="59" t="s">
        <v>729</v>
      </c>
      <c r="C230" s="59" t="s">
        <v>2500</v>
      </c>
      <c r="D230" s="59" t="s">
        <v>1880</v>
      </c>
      <c r="E230" s="59" t="s">
        <v>732</v>
      </c>
      <c r="F230" s="60">
        <v>36022</v>
      </c>
      <c r="G230" s="59" t="s">
        <v>2978</v>
      </c>
      <c r="H230" s="59" t="s">
        <v>2979</v>
      </c>
      <c r="I230" s="60">
        <v>39511</v>
      </c>
      <c r="J230" s="61">
        <f t="shared" ca="1" si="12"/>
        <v>18</v>
      </c>
      <c r="K230" s="62">
        <f t="shared" si="13"/>
        <v>57937</v>
      </c>
      <c r="L230" s="59" t="s">
        <v>735</v>
      </c>
      <c r="M230" s="59" t="s">
        <v>1988</v>
      </c>
      <c r="N230" s="59" t="s">
        <v>779</v>
      </c>
      <c r="O230" s="63">
        <v>0</v>
      </c>
      <c r="P230" s="61">
        <f>IFERROR(SUMPRODUCT((LK_GradeDerivation!$A$4:$A$135=N230)*(IF(O230="",0,O230)&gt;=LK_GradeDerivation!$B$4:$B$135)*(IF(O230="",0,O230)&lt;=LK_GradeDerivation!$C$4:$C$135)*LK_GradeDerivation!$D$4:$D$135),1)</f>
        <v>2</v>
      </c>
      <c r="Q230" s="61">
        <f>IFERROR(SUMPRODUCT((LK_GradeDerivation!$A$4:$A$135=N230)*(IF(O230="",0,O230)&gt;=LK_GradeDerivation!$B$4:$B$135)*(IF(O230="",0,O230)&lt;=LK_GradeDerivation!$C$4:$C$135)*LK_GradeDerivation!$E$4:$E$135),1)</f>
        <v>1</v>
      </c>
      <c r="R230" s="59" t="s">
        <v>2980</v>
      </c>
      <c r="S230" s="59" t="s">
        <v>2981</v>
      </c>
      <c r="T230" s="59" t="s">
        <v>782</v>
      </c>
      <c r="U230" s="59" t="s">
        <v>783</v>
      </c>
      <c r="V230" s="59" t="s">
        <v>784</v>
      </c>
      <c r="W230" s="59" t="s">
        <v>285</v>
      </c>
      <c r="X230" s="59" t="s">
        <v>463</v>
      </c>
      <c r="Y230" s="59" t="s">
        <v>467</v>
      </c>
      <c r="Z230" s="64" t="str">
        <f>IFERROR(VLOOKUP(T230,LK_OrgMaster!$B$4:$H$89,5,FALSE()),"Administration")</f>
        <v>Medical</v>
      </c>
      <c r="AA230" s="65" t="str">
        <f>IFERROR(VLOOKUP(X230,LK_LocationMaster!$D$4:$G$157,4,FALSE()),"No")</f>
        <v>No</v>
      </c>
      <c r="AB230" s="65" t="str">
        <f t="shared" si="14"/>
        <v>No</v>
      </c>
      <c r="AC230" s="65" t="str">
        <f>IFERROR(VLOOKUP(X230,LK_LocationMaster!$D$4:$H$157,5,FALSE()),"No")</f>
        <v>No</v>
      </c>
      <c r="AD230" s="59" t="s">
        <v>1846</v>
      </c>
      <c r="AE230" s="59" t="s">
        <v>2982</v>
      </c>
      <c r="AF230" s="59" t="s">
        <v>801</v>
      </c>
      <c r="AG230" s="59" t="s">
        <v>340</v>
      </c>
      <c r="AH230" s="59" t="s">
        <v>2983</v>
      </c>
      <c r="AI230" s="59" t="s">
        <v>285</v>
      </c>
      <c r="AJ230" s="59" t="s">
        <v>768</v>
      </c>
      <c r="AK230" s="59" t="s">
        <v>1063</v>
      </c>
      <c r="AL230" s="64" t="str">
        <f>IFERROR(INDEX(LK_BankMaster!$D$4:$D$23,MATCH(AJ230&amp;"|"&amp;AK230,LK_BankMaster!$H$4:$H$23,0)),"")</f>
        <v/>
      </c>
      <c r="AM230" s="59" t="s">
        <v>2984</v>
      </c>
      <c r="AN230" s="64" t="str">
        <f>IFERROR(VLOOKUP(AJ230,LK_BankMaster!$A$4:$E$23,5,FALSE()),"")</f>
        <v/>
      </c>
      <c r="AO230" s="59" t="s">
        <v>291</v>
      </c>
      <c r="AP230" s="66">
        <v>0</v>
      </c>
      <c r="AQ230" s="64" t="str">
        <f t="shared" si="15"/>
        <v>Position Allowance - General Staff</v>
      </c>
      <c r="AR230" s="65" t="str">
        <f>IFERROR(VLOOKUP(T230,LK_OrgMaster!$B$4:$G$89,6,FALSE()),"No")</f>
        <v>No</v>
      </c>
      <c r="AS230" s="64" t="str">
        <f>IFERROR(VLOOKUP(T230,LK_OrgMaster!$B$4:$H$89,7,FALSE()),"None")</f>
        <v>Medical</v>
      </c>
      <c r="AT230" s="67">
        <v>39511</v>
      </c>
      <c r="AU230" s="67"/>
      <c r="AV230" s="67">
        <v>39511</v>
      </c>
      <c r="AW230" s="67">
        <v>46023</v>
      </c>
      <c r="AX230" s="68" t="s">
        <v>750</v>
      </c>
      <c r="AY230" s="69" t="s">
        <v>6260</v>
      </c>
    </row>
    <row r="231" spans="1:51" ht="15" customHeight="1" x14ac:dyDescent="0.3">
      <c r="A231" s="59" t="s">
        <v>2985</v>
      </c>
      <c r="B231" s="59" t="s">
        <v>729</v>
      </c>
      <c r="C231" s="59" t="s">
        <v>2542</v>
      </c>
      <c r="D231" s="59" t="s">
        <v>731</v>
      </c>
      <c r="E231" s="59" t="s">
        <v>732</v>
      </c>
      <c r="F231" s="60">
        <v>29864</v>
      </c>
      <c r="G231" s="59" t="s">
        <v>2986</v>
      </c>
      <c r="H231" s="59" t="s">
        <v>2987</v>
      </c>
      <c r="I231" s="60">
        <v>36076</v>
      </c>
      <c r="J231" s="61">
        <f t="shared" ca="1" si="12"/>
        <v>27</v>
      </c>
      <c r="K231" s="62">
        <f t="shared" si="13"/>
        <v>51779</v>
      </c>
      <c r="L231" s="59" t="s">
        <v>735</v>
      </c>
      <c r="M231" s="59" t="s">
        <v>1574</v>
      </c>
      <c r="N231" s="59" t="s">
        <v>737</v>
      </c>
      <c r="O231" s="63">
        <v>0</v>
      </c>
      <c r="P231" s="61">
        <f>IFERROR(SUMPRODUCT((LK_GradeDerivation!$A$4:$A$135=N231)*(IF(O231="",0,O231)&gt;=LK_GradeDerivation!$B$4:$B$135)*(IF(O231="",0,O231)&lt;=LK_GradeDerivation!$C$4:$C$135)*LK_GradeDerivation!$D$4:$D$135),1)</f>
        <v>4</v>
      </c>
      <c r="Q231" s="61">
        <f>IFERROR(SUMPRODUCT((LK_GradeDerivation!$A$4:$A$135=N231)*(IF(O231="",0,O231)&gt;=LK_GradeDerivation!$B$4:$B$135)*(IF(O231="",0,O231)&lt;=LK_GradeDerivation!$C$4:$C$135)*LK_GradeDerivation!$E$4:$E$135),1)</f>
        <v>1</v>
      </c>
      <c r="R231" s="59" t="s">
        <v>2988</v>
      </c>
      <c r="S231" s="59" t="s">
        <v>2989</v>
      </c>
      <c r="T231" s="59" t="s">
        <v>844</v>
      </c>
      <c r="U231" s="59" t="s">
        <v>1048</v>
      </c>
      <c r="V231" s="59" t="s">
        <v>763</v>
      </c>
      <c r="W231" s="59" t="s">
        <v>285</v>
      </c>
      <c r="X231" s="59" t="s">
        <v>288</v>
      </c>
      <c r="Y231" s="59" t="s">
        <v>306</v>
      </c>
      <c r="Z231" s="64" t="str">
        <f>IFERROR(VLOOKUP(T231,LK_OrgMaster!$B$4:$H$89,5,FALSE()),"Administration")</f>
        <v>Administration</v>
      </c>
      <c r="AA231" s="65" t="str">
        <f>IFERROR(VLOOKUP(X231,LK_LocationMaster!$D$4:$G$157,4,FALSE()),"No")</f>
        <v>No</v>
      </c>
      <c r="AB231" s="65" t="str">
        <f t="shared" si="14"/>
        <v>No</v>
      </c>
      <c r="AC231" s="65" t="str">
        <f>IFERROR(VLOOKUP(X231,LK_LocationMaster!$D$4:$H$157,5,FALSE()),"No")</f>
        <v>No</v>
      </c>
      <c r="AD231" s="59" t="s">
        <v>2990</v>
      </c>
      <c r="AE231" s="59" t="s">
        <v>800</v>
      </c>
      <c r="AF231" s="59" t="s">
        <v>847</v>
      </c>
      <c r="AG231" s="59" t="s">
        <v>391</v>
      </c>
      <c r="AH231" s="59" t="s">
        <v>2991</v>
      </c>
      <c r="AI231" s="59" t="s">
        <v>285</v>
      </c>
      <c r="AJ231" s="59" t="s">
        <v>788</v>
      </c>
      <c r="AK231" s="59" t="s">
        <v>1877</v>
      </c>
      <c r="AL231" s="64" t="str">
        <f>IFERROR(INDEX(LK_BankMaster!$D$4:$D$23,MATCH(AJ231&amp;"|"&amp;AK231,LK_BankMaster!$H$4:$H$23,0)),"")</f>
        <v/>
      </c>
      <c r="AM231" s="59" t="s">
        <v>2992</v>
      </c>
      <c r="AN231" s="64" t="str">
        <f>IFERROR(VLOOKUP(AJ231,LK_BankMaster!$A$4:$E$23,5,FALSE()),"")</f>
        <v/>
      </c>
      <c r="AO231" s="59" t="s">
        <v>291</v>
      </c>
      <c r="AP231" s="66">
        <v>0</v>
      </c>
      <c r="AQ231" s="64" t="str">
        <f t="shared" si="15"/>
        <v>Position Allowance - Deputy Director</v>
      </c>
      <c r="AR231" s="65" t="str">
        <f>IFERROR(VLOOKUP(T231,LK_OrgMaster!$B$4:$G$89,6,FALSE()),"No")</f>
        <v>No</v>
      </c>
      <c r="AS231" s="64" t="str">
        <f>IFERROR(VLOOKUP(T231,LK_OrgMaster!$B$4:$H$89,7,FALSE()),"None")</f>
        <v>None</v>
      </c>
      <c r="AT231" s="70">
        <v>36076</v>
      </c>
      <c r="AU231" s="70"/>
      <c r="AV231" s="70">
        <v>36076</v>
      </c>
      <c r="AW231" s="70">
        <v>46023</v>
      </c>
      <c r="AX231" s="71" t="s">
        <v>750</v>
      </c>
      <c r="AY231" s="72" t="s">
        <v>6260</v>
      </c>
    </row>
    <row r="232" spans="1:51" ht="15" customHeight="1" x14ac:dyDescent="0.3">
      <c r="A232" s="59" t="s">
        <v>2993</v>
      </c>
      <c r="B232" s="59" t="s">
        <v>851</v>
      </c>
      <c r="C232" s="59" t="s">
        <v>1159</v>
      </c>
      <c r="D232" s="59" t="s">
        <v>1289</v>
      </c>
      <c r="E232" s="59" t="s">
        <v>775</v>
      </c>
      <c r="F232" s="60">
        <v>34276</v>
      </c>
      <c r="G232" s="59" t="s">
        <v>2994</v>
      </c>
      <c r="H232" s="59" t="s">
        <v>2995</v>
      </c>
      <c r="I232" s="60">
        <v>37749</v>
      </c>
      <c r="J232" s="61">
        <f t="shared" ca="1" si="12"/>
        <v>22</v>
      </c>
      <c r="K232" s="62">
        <f t="shared" si="13"/>
        <v>56191</v>
      </c>
      <c r="L232" s="59" t="s">
        <v>735</v>
      </c>
      <c r="M232" s="59" t="s">
        <v>736</v>
      </c>
      <c r="N232" s="59" t="s">
        <v>779</v>
      </c>
      <c r="O232" s="63">
        <v>0</v>
      </c>
      <c r="P232" s="61">
        <f>IFERROR(SUMPRODUCT((LK_GradeDerivation!$A$4:$A$135=N232)*(IF(O232="",0,O232)&gt;=LK_GradeDerivation!$B$4:$B$135)*(IF(O232="",0,O232)&lt;=LK_GradeDerivation!$C$4:$C$135)*LK_GradeDerivation!$D$4:$D$135),1)</f>
        <v>2</v>
      </c>
      <c r="Q232" s="61">
        <f>IFERROR(SUMPRODUCT((LK_GradeDerivation!$A$4:$A$135=N232)*(IF(O232="",0,O232)&gt;=LK_GradeDerivation!$B$4:$B$135)*(IF(O232="",0,O232)&lt;=LK_GradeDerivation!$C$4:$C$135)*LK_GradeDerivation!$E$4:$E$135),1)</f>
        <v>1</v>
      </c>
      <c r="R232" s="59" t="s">
        <v>2996</v>
      </c>
      <c r="S232" s="59" t="s">
        <v>2997</v>
      </c>
      <c r="T232" s="59" t="s">
        <v>740</v>
      </c>
      <c r="U232" s="59" t="s">
        <v>1388</v>
      </c>
      <c r="V232" s="59" t="s">
        <v>1457</v>
      </c>
      <c r="W232" s="59" t="s">
        <v>285</v>
      </c>
      <c r="X232" s="59" t="s">
        <v>408</v>
      </c>
      <c r="Y232" s="59" t="s">
        <v>413</v>
      </c>
      <c r="Z232" s="64" t="str">
        <f>IFERROR(VLOOKUP(T232,LK_OrgMaster!$B$4:$H$89,5,FALSE()),"Administration")</f>
        <v>Teacher</v>
      </c>
      <c r="AA232" s="65" t="str">
        <f>IFERROR(VLOOKUP(X232,LK_LocationMaster!$D$4:$G$157,4,FALSE()),"No")</f>
        <v>Yes</v>
      </c>
      <c r="AB232" s="65" t="str">
        <f t="shared" si="14"/>
        <v>No</v>
      </c>
      <c r="AC232" s="65" t="str">
        <f>IFERROR(VLOOKUP(X232,LK_LocationMaster!$D$4:$H$157,5,FALSE()),"No")</f>
        <v>No</v>
      </c>
      <c r="AD232" s="59" t="s">
        <v>2998</v>
      </c>
      <c r="AE232" s="59" t="s">
        <v>930</v>
      </c>
      <c r="AF232" s="59" t="s">
        <v>847</v>
      </c>
      <c r="AG232" s="59" t="s">
        <v>368</v>
      </c>
      <c r="AH232" s="59" t="s">
        <v>2999</v>
      </c>
      <c r="AI232" s="59" t="s">
        <v>285</v>
      </c>
      <c r="AJ232" s="59" t="s">
        <v>818</v>
      </c>
      <c r="AK232" s="59" t="s">
        <v>819</v>
      </c>
      <c r="AL232" s="64" t="str">
        <f>IFERROR(INDEX(LK_BankMaster!$D$4:$D$23,MATCH(AJ232&amp;"|"&amp;AK232,LK_BankMaster!$H$4:$H$23,0)),"")</f>
        <v/>
      </c>
      <c r="AM232" s="59" t="s">
        <v>3000</v>
      </c>
      <c r="AN232" s="64" t="str">
        <f>IFERROR(VLOOKUP(AJ232,LK_BankMaster!$A$4:$E$23,5,FALSE()),"")</f>
        <v/>
      </c>
      <c r="AO232" s="59" t="s">
        <v>314</v>
      </c>
      <c r="AP232" s="66">
        <v>1</v>
      </c>
      <c r="AQ232" s="64" t="str">
        <f t="shared" si="15"/>
        <v>Position Allowance - General Staff</v>
      </c>
      <c r="AR232" s="65" t="str">
        <f>IFERROR(VLOOKUP(T232,LK_OrgMaster!$B$4:$G$89,6,FALSE()),"No")</f>
        <v>No</v>
      </c>
      <c r="AS232" s="64" t="str">
        <f>IFERROR(VLOOKUP(T232,LK_OrgMaster!$B$4:$H$89,7,FALSE()),"None")</f>
        <v>Teaching</v>
      </c>
      <c r="AT232" s="67">
        <v>37749</v>
      </c>
      <c r="AU232" s="67"/>
      <c r="AV232" s="67">
        <v>37749</v>
      </c>
      <c r="AW232" s="67">
        <v>46023</v>
      </c>
      <c r="AX232" s="68" t="s">
        <v>750</v>
      </c>
      <c r="AY232" s="69" t="s">
        <v>6260</v>
      </c>
    </row>
    <row r="233" spans="1:51" ht="15" customHeight="1" x14ac:dyDescent="0.3">
      <c r="A233" s="59" t="s">
        <v>3001</v>
      </c>
      <c r="B233" s="59" t="s">
        <v>729</v>
      </c>
      <c r="C233" s="59" t="s">
        <v>1713</v>
      </c>
      <c r="D233" s="59" t="s">
        <v>1289</v>
      </c>
      <c r="E233" s="59" t="s">
        <v>732</v>
      </c>
      <c r="F233" s="60">
        <v>35330</v>
      </c>
      <c r="G233" s="59" t="s">
        <v>3002</v>
      </c>
      <c r="H233" s="59" t="s">
        <v>3003</v>
      </c>
      <c r="I233" s="60">
        <v>38323</v>
      </c>
      <c r="J233" s="61">
        <f t="shared" ca="1" si="12"/>
        <v>21</v>
      </c>
      <c r="K233" s="62">
        <f t="shared" si="13"/>
        <v>57245</v>
      </c>
      <c r="L233" s="59" t="s">
        <v>735</v>
      </c>
      <c r="M233" s="59" t="s">
        <v>1069</v>
      </c>
      <c r="N233" s="59" t="s">
        <v>737</v>
      </c>
      <c r="O233" s="63">
        <v>0</v>
      </c>
      <c r="P233" s="61">
        <f>IFERROR(SUMPRODUCT((LK_GradeDerivation!$A$4:$A$135=N233)*(IF(O233="",0,O233)&gt;=LK_GradeDerivation!$B$4:$B$135)*(IF(O233="",0,O233)&lt;=LK_GradeDerivation!$C$4:$C$135)*LK_GradeDerivation!$D$4:$D$135),1)</f>
        <v>4</v>
      </c>
      <c r="Q233" s="61">
        <f>IFERROR(SUMPRODUCT((LK_GradeDerivation!$A$4:$A$135=N233)*(IF(O233="",0,O233)&gt;=LK_GradeDerivation!$B$4:$B$135)*(IF(O233="",0,O233)&lt;=LK_GradeDerivation!$C$4:$C$135)*LK_GradeDerivation!$E$4:$E$135),1)</f>
        <v>1</v>
      </c>
      <c r="R233" s="59" t="s">
        <v>3004</v>
      </c>
      <c r="S233" s="59" t="s">
        <v>3005</v>
      </c>
      <c r="T233" s="59" t="s">
        <v>1096</v>
      </c>
      <c r="U233" s="59" t="s">
        <v>953</v>
      </c>
      <c r="V233" s="59" t="s">
        <v>954</v>
      </c>
      <c r="W233" s="59" t="s">
        <v>285</v>
      </c>
      <c r="X233" s="59" t="s">
        <v>312</v>
      </c>
      <c r="Y233" s="59" t="s">
        <v>312</v>
      </c>
      <c r="Z233" s="64" t="str">
        <f>IFERROR(VLOOKUP(T233,LK_OrgMaster!$B$4:$H$89,5,FALSE()),"Administration")</f>
        <v>Administration</v>
      </c>
      <c r="AA233" s="65" t="str">
        <f>IFERROR(VLOOKUP(X233,LK_LocationMaster!$D$4:$G$157,4,FALSE()),"No")</f>
        <v>Yes</v>
      </c>
      <c r="AB233" s="65" t="str">
        <f t="shared" si="14"/>
        <v>No</v>
      </c>
      <c r="AC233" s="65" t="str">
        <f>IFERROR(VLOOKUP(X233,LK_LocationMaster!$D$4:$H$157,5,FALSE()),"No")</f>
        <v>No</v>
      </c>
      <c r="AD233" s="59" t="s">
        <v>3006</v>
      </c>
      <c r="AE233" s="59" t="s">
        <v>765</v>
      </c>
      <c r="AF233" s="59" t="s">
        <v>786</v>
      </c>
      <c r="AG233" s="59" t="s">
        <v>312</v>
      </c>
      <c r="AH233" s="59" t="s">
        <v>3007</v>
      </c>
      <c r="AI233" s="59" t="s">
        <v>285</v>
      </c>
      <c r="AJ233" s="59" t="s">
        <v>818</v>
      </c>
      <c r="AK233" s="59" t="s">
        <v>944</v>
      </c>
      <c r="AL233" s="64" t="str">
        <f>IFERROR(INDEX(LK_BankMaster!$D$4:$D$23,MATCH(AJ233&amp;"|"&amp;AK233,LK_BankMaster!$H$4:$H$23,0)),"")</f>
        <v/>
      </c>
      <c r="AM233" s="59" t="s">
        <v>3008</v>
      </c>
      <c r="AN233" s="64" t="str">
        <f>IFERROR(VLOOKUP(AJ233,LK_BankMaster!$A$4:$E$23,5,FALSE()),"")</f>
        <v/>
      </c>
      <c r="AO233" s="59" t="s">
        <v>314</v>
      </c>
      <c r="AP233" s="66">
        <v>2</v>
      </c>
      <c r="AQ233" s="64" t="str">
        <f t="shared" si="15"/>
        <v>Position Allowance - General Staff</v>
      </c>
      <c r="AR233" s="65" t="str">
        <f>IFERROR(VLOOKUP(T233,LK_OrgMaster!$B$4:$G$89,6,FALSE()),"No")</f>
        <v>No</v>
      </c>
      <c r="AS233" s="64" t="str">
        <f>IFERROR(VLOOKUP(T233,LK_OrgMaster!$B$4:$H$89,7,FALSE()),"None")</f>
        <v>None</v>
      </c>
      <c r="AT233" s="70">
        <v>38323</v>
      </c>
      <c r="AU233" s="70"/>
      <c r="AV233" s="70">
        <v>38323</v>
      </c>
      <c r="AW233" s="70">
        <v>46023</v>
      </c>
      <c r="AX233" s="71" t="s">
        <v>750</v>
      </c>
      <c r="AY233" s="72" t="s">
        <v>6260</v>
      </c>
    </row>
    <row r="234" spans="1:51" ht="15" customHeight="1" x14ac:dyDescent="0.3">
      <c r="A234" s="59" t="s">
        <v>3009</v>
      </c>
      <c r="B234" s="59" t="s">
        <v>772</v>
      </c>
      <c r="C234" s="59" t="s">
        <v>2408</v>
      </c>
      <c r="D234" s="59" t="s">
        <v>1289</v>
      </c>
      <c r="E234" s="59" t="s">
        <v>732</v>
      </c>
      <c r="F234" s="60">
        <v>29904</v>
      </c>
      <c r="G234" s="59" t="s">
        <v>3010</v>
      </c>
      <c r="H234" s="59" t="s">
        <v>3011</v>
      </c>
      <c r="I234" s="60">
        <v>37758</v>
      </c>
      <c r="J234" s="61">
        <f t="shared" ca="1" si="12"/>
        <v>22</v>
      </c>
      <c r="K234" s="62">
        <f t="shared" si="13"/>
        <v>51819</v>
      </c>
      <c r="L234" s="59" t="s">
        <v>735</v>
      </c>
      <c r="M234" s="59" t="s">
        <v>1574</v>
      </c>
      <c r="N234" s="59" t="s">
        <v>737</v>
      </c>
      <c r="O234" s="63">
        <v>0</v>
      </c>
      <c r="P234" s="61">
        <f>IFERROR(SUMPRODUCT((LK_GradeDerivation!$A$4:$A$135=N234)*(IF(O234="",0,O234)&gt;=LK_GradeDerivation!$B$4:$B$135)*(IF(O234="",0,O234)&lt;=LK_GradeDerivation!$C$4:$C$135)*LK_GradeDerivation!$D$4:$D$135),1)</f>
        <v>4</v>
      </c>
      <c r="Q234" s="61">
        <f>IFERROR(SUMPRODUCT((LK_GradeDerivation!$A$4:$A$135=N234)*(IF(O234="",0,O234)&gt;=LK_GradeDerivation!$B$4:$B$135)*(IF(O234="",0,O234)&lt;=LK_GradeDerivation!$C$4:$C$135)*LK_GradeDerivation!$E$4:$E$135),1)</f>
        <v>1</v>
      </c>
      <c r="R234" s="59" t="s">
        <v>3012</v>
      </c>
      <c r="S234" s="59" t="s">
        <v>3013</v>
      </c>
      <c r="T234" s="59" t="s">
        <v>952</v>
      </c>
      <c r="U234" s="59" t="s">
        <v>1229</v>
      </c>
      <c r="V234" s="59" t="s">
        <v>1230</v>
      </c>
      <c r="W234" s="59" t="s">
        <v>285</v>
      </c>
      <c r="X234" s="59" t="s">
        <v>329</v>
      </c>
      <c r="Y234" s="59" t="s">
        <v>334</v>
      </c>
      <c r="Z234" s="64" t="str">
        <f>IFERROR(VLOOKUP(T234,LK_OrgMaster!$B$4:$H$89,5,FALSE()),"Administration")</f>
        <v>Administration</v>
      </c>
      <c r="AA234" s="65" t="str">
        <f>IFERROR(VLOOKUP(X234,LK_LocationMaster!$D$4:$G$157,4,FALSE()),"No")</f>
        <v>Yes</v>
      </c>
      <c r="AB234" s="65" t="str">
        <f t="shared" si="14"/>
        <v>No</v>
      </c>
      <c r="AC234" s="65" t="str">
        <f>IFERROR(VLOOKUP(X234,LK_LocationMaster!$D$4:$H$157,5,FALSE()),"No")</f>
        <v>No</v>
      </c>
      <c r="AD234" s="59" t="s">
        <v>3014</v>
      </c>
      <c r="AE234" s="59" t="s">
        <v>886</v>
      </c>
      <c r="AF234" s="59" t="s">
        <v>847</v>
      </c>
      <c r="AG234" s="59" t="s">
        <v>356</v>
      </c>
      <c r="AH234" s="59" t="s">
        <v>3015</v>
      </c>
      <c r="AI234" s="59" t="s">
        <v>285</v>
      </c>
      <c r="AJ234" s="59" t="s">
        <v>768</v>
      </c>
      <c r="AK234" s="59" t="s">
        <v>803</v>
      </c>
      <c r="AL234" s="64" t="str">
        <f>IFERROR(INDEX(LK_BankMaster!$D$4:$D$23,MATCH(AJ234&amp;"|"&amp;AK234,LK_BankMaster!$H$4:$H$23,0)),"")</f>
        <v/>
      </c>
      <c r="AM234" s="59" t="s">
        <v>3016</v>
      </c>
      <c r="AN234" s="64" t="str">
        <f>IFERROR(VLOOKUP(AJ234,LK_BankMaster!$A$4:$E$23,5,FALSE()),"")</f>
        <v/>
      </c>
      <c r="AO234" s="59" t="s">
        <v>314</v>
      </c>
      <c r="AP234" s="66">
        <v>0</v>
      </c>
      <c r="AQ234" s="64" t="str">
        <f t="shared" si="15"/>
        <v>Position Allowance - Deputy Director</v>
      </c>
      <c r="AR234" s="65" t="str">
        <f>IFERROR(VLOOKUP(T234,LK_OrgMaster!$B$4:$G$89,6,FALSE()),"No")</f>
        <v>No</v>
      </c>
      <c r="AS234" s="64" t="str">
        <f>IFERROR(VLOOKUP(T234,LK_OrgMaster!$B$4:$H$89,7,FALSE()),"None")</f>
        <v>None</v>
      </c>
      <c r="AT234" s="67">
        <v>37758</v>
      </c>
      <c r="AU234" s="67"/>
      <c r="AV234" s="67">
        <v>37758</v>
      </c>
      <c r="AW234" s="67">
        <v>46023</v>
      </c>
      <c r="AX234" s="68" t="s">
        <v>750</v>
      </c>
      <c r="AY234" s="69" t="s">
        <v>6260</v>
      </c>
    </row>
    <row r="235" spans="1:51" ht="15" customHeight="1" x14ac:dyDescent="0.3">
      <c r="A235" s="59" t="s">
        <v>3017</v>
      </c>
      <c r="B235" s="59" t="s">
        <v>772</v>
      </c>
      <c r="C235" s="59" t="s">
        <v>1198</v>
      </c>
      <c r="D235" s="59" t="s">
        <v>947</v>
      </c>
      <c r="E235" s="59" t="s">
        <v>775</v>
      </c>
      <c r="F235" s="60">
        <v>33313</v>
      </c>
      <c r="G235" s="59" t="s">
        <v>3018</v>
      </c>
      <c r="H235" s="59" t="s">
        <v>3019</v>
      </c>
      <c r="I235" s="60">
        <v>39501</v>
      </c>
      <c r="J235" s="61">
        <f t="shared" ca="1" si="12"/>
        <v>18</v>
      </c>
      <c r="K235" s="62">
        <f t="shared" si="13"/>
        <v>55228</v>
      </c>
      <c r="L235" s="59" t="s">
        <v>735</v>
      </c>
      <c r="M235" s="59" t="s">
        <v>1045</v>
      </c>
      <c r="N235" s="59" t="s">
        <v>737</v>
      </c>
      <c r="O235" s="63">
        <v>0</v>
      </c>
      <c r="P235" s="61">
        <f>IFERROR(SUMPRODUCT((LK_GradeDerivation!$A$4:$A$135=N235)*(IF(O235="",0,O235)&gt;=LK_GradeDerivation!$B$4:$B$135)*(IF(O235="",0,O235)&lt;=LK_GradeDerivation!$C$4:$C$135)*LK_GradeDerivation!$D$4:$D$135),1)</f>
        <v>4</v>
      </c>
      <c r="Q235" s="61">
        <f>IFERROR(SUMPRODUCT((LK_GradeDerivation!$A$4:$A$135=N235)*(IF(O235="",0,O235)&gt;=LK_GradeDerivation!$B$4:$B$135)*(IF(O235="",0,O235)&lt;=LK_GradeDerivation!$C$4:$C$135)*LK_GradeDerivation!$E$4:$E$135),1)</f>
        <v>1</v>
      </c>
      <c r="R235" s="59" t="s">
        <v>3020</v>
      </c>
      <c r="S235" s="59" t="s">
        <v>3021</v>
      </c>
      <c r="T235" s="59" t="s">
        <v>896</v>
      </c>
      <c r="U235" s="59" t="s">
        <v>940</v>
      </c>
      <c r="V235" s="59" t="s">
        <v>1845</v>
      </c>
      <c r="W235" s="59" t="s">
        <v>285</v>
      </c>
      <c r="X235" s="59" t="s">
        <v>288</v>
      </c>
      <c r="Y235" s="59" t="s">
        <v>298</v>
      </c>
      <c r="Z235" s="64" t="str">
        <f>IFERROR(VLOOKUP(T235,LK_OrgMaster!$B$4:$H$89,5,FALSE()),"Administration")</f>
        <v>Administration</v>
      </c>
      <c r="AA235" s="65" t="str">
        <f>IFERROR(VLOOKUP(X235,LK_LocationMaster!$D$4:$G$157,4,FALSE()),"No")</f>
        <v>No</v>
      </c>
      <c r="AB235" s="65" t="str">
        <f t="shared" si="14"/>
        <v>No</v>
      </c>
      <c r="AC235" s="65" t="str">
        <f>IFERROR(VLOOKUP(X235,LK_LocationMaster!$D$4:$H$157,5,FALSE()),"No")</f>
        <v>No</v>
      </c>
      <c r="AD235" s="59" t="s">
        <v>3022</v>
      </c>
      <c r="AE235" s="59" t="s">
        <v>930</v>
      </c>
      <c r="AF235" s="59" t="s">
        <v>745</v>
      </c>
      <c r="AG235" s="59" t="s">
        <v>368</v>
      </c>
      <c r="AH235" s="59" t="s">
        <v>3023</v>
      </c>
      <c r="AI235" s="59" t="s">
        <v>285</v>
      </c>
      <c r="AJ235" s="59" t="s">
        <v>833</v>
      </c>
      <c r="AK235" s="59" t="s">
        <v>1550</v>
      </c>
      <c r="AL235" s="64" t="str">
        <f>IFERROR(INDEX(LK_BankMaster!$D$4:$D$23,MATCH(AJ235&amp;"|"&amp;AK235,LK_BankMaster!$H$4:$H$23,0)),"")</f>
        <v/>
      </c>
      <c r="AM235" s="59" t="s">
        <v>3024</v>
      </c>
      <c r="AN235" s="64" t="str">
        <f>IFERROR(VLOOKUP(AJ235,LK_BankMaster!$A$4:$E$23,5,FALSE()),"")</f>
        <v/>
      </c>
      <c r="AO235" s="59" t="s">
        <v>314</v>
      </c>
      <c r="AP235" s="66">
        <v>3</v>
      </c>
      <c r="AQ235" s="64" t="str">
        <f t="shared" si="15"/>
        <v>Position Allowance - General Staff</v>
      </c>
      <c r="AR235" s="65" t="str">
        <f>IFERROR(VLOOKUP(T235,LK_OrgMaster!$B$4:$G$89,6,FALSE()),"No")</f>
        <v>No</v>
      </c>
      <c r="AS235" s="64" t="str">
        <f>IFERROR(VLOOKUP(T235,LK_OrgMaster!$B$4:$H$89,7,FALSE()),"None")</f>
        <v>None</v>
      </c>
      <c r="AT235" s="70">
        <v>39501</v>
      </c>
      <c r="AU235" s="70"/>
      <c r="AV235" s="70">
        <v>39501</v>
      </c>
      <c r="AW235" s="70">
        <v>46023</v>
      </c>
      <c r="AX235" s="71" t="s">
        <v>750</v>
      </c>
      <c r="AY235" s="72" t="s">
        <v>6260</v>
      </c>
    </row>
    <row r="236" spans="1:51" ht="15" customHeight="1" x14ac:dyDescent="0.3">
      <c r="A236" s="59" t="s">
        <v>3025</v>
      </c>
      <c r="B236" s="59" t="s">
        <v>772</v>
      </c>
      <c r="C236" s="59" t="s">
        <v>1224</v>
      </c>
      <c r="D236" s="59" t="s">
        <v>838</v>
      </c>
      <c r="E236" s="59" t="s">
        <v>775</v>
      </c>
      <c r="F236" s="60">
        <v>29937</v>
      </c>
      <c r="G236" s="59" t="s">
        <v>3026</v>
      </c>
      <c r="H236" s="59" t="s">
        <v>3027</v>
      </c>
      <c r="I236" s="60">
        <v>34629</v>
      </c>
      <c r="J236" s="61">
        <f t="shared" ca="1" si="12"/>
        <v>31</v>
      </c>
      <c r="K236" s="62">
        <f t="shared" si="13"/>
        <v>51852</v>
      </c>
      <c r="L236" s="59" t="s">
        <v>735</v>
      </c>
      <c r="M236" s="59" t="s">
        <v>3028</v>
      </c>
      <c r="N236" s="59" t="s">
        <v>758</v>
      </c>
      <c r="O236" s="63">
        <v>0</v>
      </c>
      <c r="P236" s="61">
        <f>IFERROR(SUMPRODUCT((LK_GradeDerivation!$A$4:$A$135=N236)*(IF(O236="",0,O236)&gt;=LK_GradeDerivation!$B$4:$B$135)*(IF(O236="",0,O236)&lt;=LK_GradeDerivation!$C$4:$C$135)*LK_GradeDerivation!$D$4:$D$135),1)</f>
        <v>5</v>
      </c>
      <c r="Q236" s="61">
        <f>IFERROR(SUMPRODUCT((LK_GradeDerivation!$A$4:$A$135=N236)*(IF(O236="",0,O236)&gt;=LK_GradeDerivation!$B$4:$B$135)*(IF(O236="",0,O236)&lt;=LK_GradeDerivation!$C$4:$C$135)*LK_GradeDerivation!$E$4:$E$135),1)</f>
        <v>1</v>
      </c>
      <c r="R236" s="59" t="s">
        <v>3029</v>
      </c>
      <c r="S236" s="59" t="s">
        <v>3030</v>
      </c>
      <c r="T236" s="59" t="s">
        <v>1118</v>
      </c>
      <c r="U236" s="59" t="s">
        <v>1894</v>
      </c>
      <c r="V236" s="59" t="s">
        <v>2832</v>
      </c>
      <c r="W236" s="59" t="s">
        <v>285</v>
      </c>
      <c r="X236" s="59" t="s">
        <v>443</v>
      </c>
      <c r="Y236" s="59" t="s">
        <v>449</v>
      </c>
      <c r="Z236" s="64" t="str">
        <f>IFERROR(VLOOKUP(T236,LK_OrgMaster!$B$4:$H$89,5,FALSE()),"Administration")</f>
        <v>Diplomatic</v>
      </c>
      <c r="AA236" s="65" t="str">
        <f>IFERROR(VLOOKUP(X236,LK_LocationMaster!$D$4:$G$157,4,FALSE()),"No")</f>
        <v>No</v>
      </c>
      <c r="AB236" s="65" t="str">
        <f t="shared" si="14"/>
        <v>No</v>
      </c>
      <c r="AC236" s="65" t="str">
        <f>IFERROR(VLOOKUP(X236,LK_LocationMaster!$D$4:$H$157,5,FALSE()),"No")</f>
        <v>No</v>
      </c>
      <c r="AD236" s="59" t="s">
        <v>3031</v>
      </c>
      <c r="AE236" s="59" t="s">
        <v>886</v>
      </c>
      <c r="AF236" s="59" t="s">
        <v>801</v>
      </c>
      <c r="AG236" s="59" t="s">
        <v>288</v>
      </c>
      <c r="AH236" s="59" t="s">
        <v>3032</v>
      </c>
      <c r="AI236" s="59" t="s">
        <v>285</v>
      </c>
      <c r="AJ236" s="59" t="s">
        <v>768</v>
      </c>
      <c r="AK236" s="59" t="s">
        <v>1122</v>
      </c>
      <c r="AL236" s="64" t="str">
        <f>IFERROR(INDEX(LK_BankMaster!$D$4:$D$23,MATCH(AJ236&amp;"|"&amp;AK236,LK_BankMaster!$H$4:$H$23,0)),"")</f>
        <v/>
      </c>
      <c r="AM236" s="59" t="s">
        <v>3033</v>
      </c>
      <c r="AN236" s="64" t="str">
        <f>IFERROR(VLOOKUP(AJ236,LK_BankMaster!$A$4:$E$23,5,FALSE()),"")</f>
        <v/>
      </c>
      <c r="AO236" s="59" t="s">
        <v>314</v>
      </c>
      <c r="AP236" s="66">
        <v>3</v>
      </c>
      <c r="AQ236" s="64" t="str">
        <f t="shared" si="15"/>
        <v>Position Allowance - General Staff</v>
      </c>
      <c r="AR236" s="65" t="str">
        <f>IFERROR(VLOOKUP(T236,LK_OrgMaster!$B$4:$G$89,6,FALSE()),"No")</f>
        <v>No</v>
      </c>
      <c r="AS236" s="64" t="str">
        <f>IFERROR(VLOOKUP(T236,LK_OrgMaster!$B$4:$H$89,7,FALSE()),"None")</f>
        <v>None</v>
      </c>
      <c r="AT236" s="67">
        <v>34629</v>
      </c>
      <c r="AU236" s="67"/>
      <c r="AV236" s="67">
        <v>34629</v>
      </c>
      <c r="AW236" s="67">
        <v>46023</v>
      </c>
      <c r="AX236" s="68" t="s">
        <v>750</v>
      </c>
      <c r="AY236" s="69" t="s">
        <v>6260</v>
      </c>
    </row>
    <row r="237" spans="1:51" ht="15" customHeight="1" x14ac:dyDescent="0.3">
      <c r="A237" s="59" t="s">
        <v>3034</v>
      </c>
      <c r="B237" s="59" t="s">
        <v>772</v>
      </c>
      <c r="C237" s="59" t="s">
        <v>1750</v>
      </c>
      <c r="D237" s="59" t="s">
        <v>947</v>
      </c>
      <c r="E237" s="59" t="s">
        <v>732</v>
      </c>
      <c r="F237" s="60">
        <v>31690</v>
      </c>
      <c r="G237" s="59" t="s">
        <v>3035</v>
      </c>
      <c r="H237" s="59" t="s">
        <v>3036</v>
      </c>
      <c r="I237" s="60">
        <v>43111</v>
      </c>
      <c r="J237" s="61">
        <f t="shared" ca="1" si="12"/>
        <v>8</v>
      </c>
      <c r="K237" s="62">
        <f t="shared" si="13"/>
        <v>53605</v>
      </c>
      <c r="L237" s="59" t="s">
        <v>735</v>
      </c>
      <c r="M237" s="59" t="s">
        <v>841</v>
      </c>
      <c r="N237" s="59" t="s">
        <v>737</v>
      </c>
      <c r="O237" s="63">
        <v>9</v>
      </c>
      <c r="P237" s="61">
        <f>IFERROR(SUMPRODUCT((LK_GradeDerivation!$A$4:$A$135=N237)*(IF(O237="",0,O237)&gt;=LK_GradeDerivation!$B$4:$B$135)*(IF(O237="",0,O237)&lt;=LK_GradeDerivation!$C$4:$C$135)*LK_GradeDerivation!$D$4:$D$135),1)</f>
        <v>4</v>
      </c>
      <c r="Q237" s="61">
        <f>IFERROR(SUMPRODUCT((LK_GradeDerivation!$A$4:$A$135=N237)*(IF(O237="",0,O237)&gt;=LK_GradeDerivation!$B$4:$B$135)*(IF(O237="",0,O237)&lt;=LK_GradeDerivation!$C$4:$C$135)*LK_GradeDerivation!$E$4:$E$135),1)</f>
        <v>5</v>
      </c>
      <c r="R237" s="59" t="s">
        <v>3037</v>
      </c>
      <c r="S237" s="59" t="s">
        <v>3038</v>
      </c>
      <c r="T237" s="59" t="s">
        <v>896</v>
      </c>
      <c r="U237" s="59" t="s">
        <v>897</v>
      </c>
      <c r="V237" s="59" t="s">
        <v>898</v>
      </c>
      <c r="W237" s="59" t="s">
        <v>285</v>
      </c>
      <c r="X237" s="59" t="s">
        <v>288</v>
      </c>
      <c r="Y237" s="59" t="s">
        <v>308</v>
      </c>
      <c r="Z237" s="64" t="str">
        <f>IFERROR(VLOOKUP(T237,LK_OrgMaster!$B$4:$H$89,5,FALSE()),"Administration")</f>
        <v>Administration</v>
      </c>
      <c r="AA237" s="65" t="str">
        <f>IFERROR(VLOOKUP(X237,LK_LocationMaster!$D$4:$G$157,4,FALSE()),"No")</f>
        <v>No</v>
      </c>
      <c r="AB237" s="65" t="str">
        <f t="shared" si="14"/>
        <v>No</v>
      </c>
      <c r="AC237" s="65" t="str">
        <f>IFERROR(VLOOKUP(X237,LK_LocationMaster!$D$4:$H$157,5,FALSE()),"No")</f>
        <v>No</v>
      </c>
      <c r="AD237" s="59" t="s">
        <v>3039</v>
      </c>
      <c r="AE237" s="59" t="s">
        <v>2667</v>
      </c>
      <c r="AF237" s="59" t="s">
        <v>786</v>
      </c>
      <c r="AG237" s="59" t="s">
        <v>329</v>
      </c>
      <c r="AH237" s="59" t="s">
        <v>3040</v>
      </c>
      <c r="AI237" s="59" t="s">
        <v>285</v>
      </c>
      <c r="AJ237" s="59" t="s">
        <v>768</v>
      </c>
      <c r="AK237" s="59" t="s">
        <v>769</v>
      </c>
      <c r="AL237" s="64" t="str">
        <f>IFERROR(INDEX(LK_BankMaster!$D$4:$D$23,MATCH(AJ237&amp;"|"&amp;AK237,LK_BankMaster!$H$4:$H$23,0)),"")</f>
        <v/>
      </c>
      <c r="AM237" s="59" t="s">
        <v>3041</v>
      </c>
      <c r="AN237" s="64" t="str">
        <f>IFERROR(VLOOKUP(AJ237,LK_BankMaster!$A$4:$E$23,5,FALSE()),"")</f>
        <v/>
      </c>
      <c r="AO237" s="59" t="s">
        <v>314</v>
      </c>
      <c r="AP237" s="66">
        <v>0</v>
      </c>
      <c r="AQ237" s="64" t="str">
        <f t="shared" si="15"/>
        <v>Position Allowance - Director</v>
      </c>
      <c r="AR237" s="65" t="str">
        <f>IFERROR(VLOOKUP(T237,LK_OrgMaster!$B$4:$G$89,6,FALSE()),"No")</f>
        <v>No</v>
      </c>
      <c r="AS237" s="64" t="str">
        <f>IFERROR(VLOOKUP(T237,LK_OrgMaster!$B$4:$H$89,7,FALSE()),"None")</f>
        <v>None</v>
      </c>
      <c r="AT237" s="70">
        <v>43111</v>
      </c>
      <c r="AU237" s="70"/>
      <c r="AV237" s="70">
        <v>43111</v>
      </c>
      <c r="AW237" s="70">
        <v>46023</v>
      </c>
      <c r="AX237" s="71" t="s">
        <v>750</v>
      </c>
      <c r="AY237" s="72" t="s">
        <v>6260</v>
      </c>
    </row>
    <row r="238" spans="1:51" ht="15" customHeight="1" x14ac:dyDescent="0.3">
      <c r="A238" s="59" t="s">
        <v>3042</v>
      </c>
      <c r="B238" s="59" t="s">
        <v>851</v>
      </c>
      <c r="C238" s="59" t="s">
        <v>1198</v>
      </c>
      <c r="D238" s="59" t="s">
        <v>1704</v>
      </c>
      <c r="E238" s="59" t="s">
        <v>775</v>
      </c>
      <c r="F238" s="60">
        <v>33858</v>
      </c>
      <c r="G238" s="59" t="s">
        <v>3043</v>
      </c>
      <c r="H238" s="59" t="s">
        <v>3044</v>
      </c>
      <c r="I238" s="60">
        <v>46009</v>
      </c>
      <c r="J238" s="61">
        <f t="shared" ca="1" si="12"/>
        <v>0</v>
      </c>
      <c r="K238" s="62">
        <f t="shared" si="13"/>
        <v>55773</v>
      </c>
      <c r="L238" s="59" t="s">
        <v>735</v>
      </c>
      <c r="M238" s="59" t="s">
        <v>1334</v>
      </c>
      <c r="N238" s="59" t="s">
        <v>1081</v>
      </c>
      <c r="O238" s="63">
        <v>13</v>
      </c>
      <c r="P238" s="61">
        <f>IFERROR(SUMPRODUCT((LK_GradeDerivation!$A$4:$A$135=N238)*(IF(O238="",0,O238)&gt;=LK_GradeDerivation!$B$4:$B$135)*(IF(O238="",0,O238)&lt;=LK_GradeDerivation!$C$4:$C$135)*LK_GradeDerivation!$D$4:$D$135),1)</f>
        <v>3</v>
      </c>
      <c r="Q238" s="61">
        <f>IFERROR(SUMPRODUCT((LK_GradeDerivation!$A$4:$A$135=N238)*(IF(O238="",0,O238)&gt;=LK_GradeDerivation!$B$4:$B$135)*(IF(O238="",0,O238)&lt;=LK_GradeDerivation!$C$4:$C$135)*LK_GradeDerivation!$E$4:$E$135),1)</f>
        <v>7</v>
      </c>
      <c r="R238" s="59" t="s">
        <v>3045</v>
      </c>
      <c r="S238" s="59" t="s">
        <v>3046</v>
      </c>
      <c r="T238" s="59" t="s">
        <v>740</v>
      </c>
      <c r="U238" s="59" t="s">
        <v>1262</v>
      </c>
      <c r="V238" s="59" t="s">
        <v>1325</v>
      </c>
      <c r="W238" s="59" t="s">
        <v>285</v>
      </c>
      <c r="X238" s="59" t="s">
        <v>443</v>
      </c>
      <c r="Y238" s="59" t="s">
        <v>449</v>
      </c>
      <c r="Z238" s="64" t="str">
        <f>IFERROR(VLOOKUP(T238,LK_OrgMaster!$B$4:$H$89,5,FALSE()),"Administration")</f>
        <v>Teacher</v>
      </c>
      <c r="AA238" s="65" t="str">
        <f>IFERROR(VLOOKUP(X238,LK_LocationMaster!$D$4:$G$157,4,FALSE()),"No")</f>
        <v>No</v>
      </c>
      <c r="AB238" s="65" t="str">
        <f t="shared" si="14"/>
        <v>No</v>
      </c>
      <c r="AC238" s="65" t="str">
        <f>IFERROR(VLOOKUP(X238,LK_LocationMaster!$D$4:$H$157,5,FALSE()),"No")</f>
        <v>No</v>
      </c>
      <c r="AD238" s="59" t="s">
        <v>3047</v>
      </c>
      <c r="AE238" s="59" t="s">
        <v>930</v>
      </c>
      <c r="AF238" s="59" t="s">
        <v>745</v>
      </c>
      <c r="AG238" s="59" t="s">
        <v>329</v>
      </c>
      <c r="AH238" s="59" t="s">
        <v>3048</v>
      </c>
      <c r="AI238" s="59" t="s">
        <v>285</v>
      </c>
      <c r="AJ238" s="59" t="s">
        <v>747</v>
      </c>
      <c r="AK238" s="59" t="s">
        <v>748</v>
      </c>
      <c r="AL238" s="64" t="str">
        <f>IFERROR(INDEX(LK_BankMaster!$D$4:$D$23,MATCH(AJ238&amp;"|"&amp;AK238,LK_BankMaster!$H$4:$H$23,0)),"")</f>
        <v/>
      </c>
      <c r="AM238" s="59" t="s">
        <v>3049</v>
      </c>
      <c r="AN238" s="64" t="str">
        <f>IFERROR(VLOOKUP(AJ238,LK_BankMaster!$A$4:$E$23,5,FALSE()),"")</f>
        <v/>
      </c>
      <c r="AO238" s="59" t="s">
        <v>291</v>
      </c>
      <c r="AP238" s="66">
        <v>0</v>
      </c>
      <c r="AQ238" s="64" t="str">
        <f t="shared" si="15"/>
        <v>Position Allowance - General Staff</v>
      </c>
      <c r="AR238" s="65" t="str">
        <f>IFERROR(VLOOKUP(T238,LK_OrgMaster!$B$4:$G$89,6,FALSE()),"No")</f>
        <v>No</v>
      </c>
      <c r="AS238" s="64" t="str">
        <f>IFERROR(VLOOKUP(T238,LK_OrgMaster!$B$4:$H$89,7,FALSE()),"None")</f>
        <v>Teaching</v>
      </c>
      <c r="AT238" s="67">
        <v>46009</v>
      </c>
      <c r="AU238" s="67"/>
      <c r="AV238" s="67">
        <v>46009</v>
      </c>
      <c r="AW238" s="67">
        <v>46023</v>
      </c>
      <c r="AX238" s="68" t="s">
        <v>750</v>
      </c>
      <c r="AY238" s="69" t="s">
        <v>6260</v>
      </c>
    </row>
    <row r="239" spans="1:51" ht="15" customHeight="1" x14ac:dyDescent="0.3">
      <c r="A239" s="59" t="s">
        <v>3050</v>
      </c>
      <c r="B239" s="59" t="s">
        <v>729</v>
      </c>
      <c r="C239" s="59" t="s">
        <v>730</v>
      </c>
      <c r="D239" s="59" t="s">
        <v>1256</v>
      </c>
      <c r="E239" s="59" t="s">
        <v>732</v>
      </c>
      <c r="F239" s="60">
        <v>32635</v>
      </c>
      <c r="G239" s="59" t="s">
        <v>3051</v>
      </c>
      <c r="H239" s="59" t="s">
        <v>3052</v>
      </c>
      <c r="I239" s="60">
        <v>33720</v>
      </c>
      <c r="J239" s="61">
        <f t="shared" ca="1" si="12"/>
        <v>33</v>
      </c>
      <c r="K239" s="62">
        <f t="shared" si="13"/>
        <v>54550</v>
      </c>
      <c r="L239" s="59" t="s">
        <v>735</v>
      </c>
      <c r="M239" s="59" t="s">
        <v>1201</v>
      </c>
      <c r="N239" s="59" t="s">
        <v>737</v>
      </c>
      <c r="O239" s="63">
        <v>0</v>
      </c>
      <c r="P239" s="61">
        <f>IFERROR(SUMPRODUCT((LK_GradeDerivation!$A$4:$A$135=N239)*(IF(O239="",0,O239)&gt;=LK_GradeDerivation!$B$4:$B$135)*(IF(O239="",0,O239)&lt;=LK_GradeDerivation!$C$4:$C$135)*LK_GradeDerivation!$D$4:$D$135),1)</f>
        <v>4</v>
      </c>
      <c r="Q239" s="61">
        <f>IFERROR(SUMPRODUCT((LK_GradeDerivation!$A$4:$A$135=N239)*(IF(O239="",0,O239)&gt;=LK_GradeDerivation!$B$4:$B$135)*(IF(O239="",0,O239)&lt;=LK_GradeDerivation!$C$4:$C$135)*LK_GradeDerivation!$E$4:$E$135),1)</f>
        <v>1</v>
      </c>
      <c r="R239" s="59" t="s">
        <v>3053</v>
      </c>
      <c r="S239" s="59" t="s">
        <v>3054</v>
      </c>
      <c r="T239" s="59" t="s">
        <v>979</v>
      </c>
      <c r="U239" s="59" t="s">
        <v>1272</v>
      </c>
      <c r="V239" s="59" t="s">
        <v>1273</v>
      </c>
      <c r="W239" s="59" t="s">
        <v>285</v>
      </c>
      <c r="X239" s="59" t="s">
        <v>587</v>
      </c>
      <c r="Y239" s="59" t="s">
        <v>595</v>
      </c>
      <c r="Z239" s="64" t="str">
        <f>IFERROR(VLOOKUP(T239,LK_OrgMaster!$B$4:$H$89,5,FALSE()),"Administration")</f>
        <v>Administration</v>
      </c>
      <c r="AA239" s="65" t="str">
        <f>IFERROR(VLOOKUP(X239,LK_LocationMaster!$D$4:$G$157,4,FALSE()),"No")</f>
        <v>Yes</v>
      </c>
      <c r="AB239" s="65" t="str">
        <f t="shared" si="14"/>
        <v>No</v>
      </c>
      <c r="AC239" s="65" t="str">
        <f>IFERROR(VLOOKUP(X239,LK_LocationMaster!$D$4:$H$157,5,FALSE()),"No")</f>
        <v>Yes</v>
      </c>
      <c r="AD239" s="59" t="s">
        <v>1358</v>
      </c>
      <c r="AE239" s="59" t="s">
        <v>800</v>
      </c>
      <c r="AF239" s="59" t="s">
        <v>901</v>
      </c>
      <c r="AG239" s="59" t="s">
        <v>368</v>
      </c>
      <c r="AH239" s="59" t="s">
        <v>3055</v>
      </c>
      <c r="AI239" s="59" t="s">
        <v>285</v>
      </c>
      <c r="AJ239" s="59" t="s">
        <v>788</v>
      </c>
      <c r="AK239" s="59" t="s">
        <v>1221</v>
      </c>
      <c r="AL239" s="64" t="str">
        <f>IFERROR(INDEX(LK_BankMaster!$D$4:$D$23,MATCH(AJ239&amp;"|"&amp;AK239,LK_BankMaster!$H$4:$H$23,0)),"")</f>
        <v/>
      </c>
      <c r="AM239" s="59" t="s">
        <v>3056</v>
      </c>
      <c r="AN239" s="64" t="str">
        <f>IFERROR(VLOOKUP(AJ239,LK_BankMaster!$A$4:$E$23,5,FALSE()),"")</f>
        <v/>
      </c>
      <c r="AO239" s="59" t="s">
        <v>314</v>
      </c>
      <c r="AP239" s="66">
        <v>3</v>
      </c>
      <c r="AQ239" s="64" t="str">
        <f t="shared" si="15"/>
        <v>Position Allowance - General Staff</v>
      </c>
      <c r="AR239" s="65" t="str">
        <f>IFERROR(VLOOKUP(T239,LK_OrgMaster!$B$4:$G$89,6,FALSE()),"No")</f>
        <v>No</v>
      </c>
      <c r="AS239" s="64" t="str">
        <f>IFERROR(VLOOKUP(T239,LK_OrgMaster!$B$4:$H$89,7,FALSE()),"None")</f>
        <v>None</v>
      </c>
      <c r="AT239" s="70">
        <v>33720</v>
      </c>
      <c r="AU239" s="70"/>
      <c r="AV239" s="70">
        <v>33720</v>
      </c>
      <c r="AW239" s="70">
        <v>46023</v>
      </c>
      <c r="AX239" s="71" t="s">
        <v>750</v>
      </c>
      <c r="AY239" s="72" t="s">
        <v>6260</v>
      </c>
    </row>
    <row r="240" spans="1:51" ht="15" customHeight="1" x14ac:dyDescent="0.3">
      <c r="A240" s="59" t="s">
        <v>3057</v>
      </c>
      <c r="B240" s="59" t="s">
        <v>729</v>
      </c>
      <c r="C240" s="59" t="s">
        <v>730</v>
      </c>
      <c r="D240" s="59" t="s">
        <v>1320</v>
      </c>
      <c r="E240" s="59" t="s">
        <v>732</v>
      </c>
      <c r="F240" s="60">
        <v>35413</v>
      </c>
      <c r="G240" s="59" t="s">
        <v>3058</v>
      </c>
      <c r="H240" s="59" t="s">
        <v>3059</v>
      </c>
      <c r="I240" s="60">
        <v>41258</v>
      </c>
      <c r="J240" s="61">
        <f t="shared" ca="1" si="12"/>
        <v>13</v>
      </c>
      <c r="K240" s="62">
        <f t="shared" si="13"/>
        <v>57328</v>
      </c>
      <c r="L240" s="59" t="s">
        <v>735</v>
      </c>
      <c r="M240" s="59" t="s">
        <v>1334</v>
      </c>
      <c r="N240" s="59" t="s">
        <v>737</v>
      </c>
      <c r="O240" s="63">
        <v>0</v>
      </c>
      <c r="P240" s="61">
        <f>IFERROR(SUMPRODUCT((LK_GradeDerivation!$A$4:$A$135=N240)*(IF(O240="",0,O240)&gt;=LK_GradeDerivation!$B$4:$B$135)*(IF(O240="",0,O240)&lt;=LK_GradeDerivation!$C$4:$C$135)*LK_GradeDerivation!$D$4:$D$135),1)</f>
        <v>4</v>
      </c>
      <c r="Q240" s="61">
        <f>IFERROR(SUMPRODUCT((LK_GradeDerivation!$A$4:$A$135=N240)*(IF(O240="",0,O240)&gt;=LK_GradeDerivation!$B$4:$B$135)*(IF(O240="",0,O240)&lt;=LK_GradeDerivation!$C$4:$C$135)*LK_GradeDerivation!$E$4:$E$135),1)</f>
        <v>1</v>
      </c>
      <c r="R240" s="59" t="s">
        <v>3060</v>
      </c>
      <c r="S240" s="59" t="s">
        <v>3061</v>
      </c>
      <c r="T240" s="59" t="s">
        <v>740</v>
      </c>
      <c r="U240" s="59" t="s">
        <v>1262</v>
      </c>
      <c r="V240" s="59" t="s">
        <v>1325</v>
      </c>
      <c r="W240" s="59" t="s">
        <v>285</v>
      </c>
      <c r="X240" s="59" t="s">
        <v>443</v>
      </c>
      <c r="Y240" s="59" t="s">
        <v>449</v>
      </c>
      <c r="Z240" s="64" t="str">
        <f>IFERROR(VLOOKUP(T240,LK_OrgMaster!$B$4:$H$89,5,FALSE()),"Administration")</f>
        <v>Teacher</v>
      </c>
      <c r="AA240" s="65" t="str">
        <f>IFERROR(VLOOKUP(X240,LK_LocationMaster!$D$4:$G$157,4,FALSE()),"No")</f>
        <v>No</v>
      </c>
      <c r="AB240" s="65" t="str">
        <f t="shared" si="14"/>
        <v>No</v>
      </c>
      <c r="AC240" s="65" t="str">
        <f>IFERROR(VLOOKUP(X240,LK_LocationMaster!$D$4:$H$157,5,FALSE()),"No")</f>
        <v>No</v>
      </c>
      <c r="AD240" s="59" t="s">
        <v>3062</v>
      </c>
      <c r="AE240" s="59" t="s">
        <v>2344</v>
      </c>
      <c r="AF240" s="59" t="s">
        <v>901</v>
      </c>
      <c r="AG240" s="59" t="s">
        <v>340</v>
      </c>
      <c r="AH240" s="59" t="s">
        <v>3063</v>
      </c>
      <c r="AI240" s="59" t="s">
        <v>285</v>
      </c>
      <c r="AJ240" s="59" t="s">
        <v>818</v>
      </c>
      <c r="AK240" s="59" t="s">
        <v>944</v>
      </c>
      <c r="AL240" s="64" t="str">
        <f>IFERROR(INDEX(LK_BankMaster!$D$4:$D$23,MATCH(AJ240&amp;"|"&amp;AK240,LK_BankMaster!$H$4:$H$23,0)),"")</f>
        <v/>
      </c>
      <c r="AM240" s="59" t="s">
        <v>3064</v>
      </c>
      <c r="AN240" s="64" t="str">
        <f>IFERROR(VLOOKUP(AJ240,LK_BankMaster!$A$4:$E$23,5,FALSE()),"")</f>
        <v/>
      </c>
      <c r="AO240" s="59" t="s">
        <v>291</v>
      </c>
      <c r="AP240" s="66">
        <v>0</v>
      </c>
      <c r="AQ240" s="64" t="str">
        <f t="shared" si="15"/>
        <v>Position Allowance - General Staff</v>
      </c>
      <c r="AR240" s="65" t="str">
        <f>IFERROR(VLOOKUP(T240,LK_OrgMaster!$B$4:$G$89,6,FALSE()),"No")</f>
        <v>No</v>
      </c>
      <c r="AS240" s="64" t="str">
        <f>IFERROR(VLOOKUP(T240,LK_OrgMaster!$B$4:$H$89,7,FALSE()),"None")</f>
        <v>Teaching</v>
      </c>
      <c r="AT240" s="67">
        <v>41258</v>
      </c>
      <c r="AU240" s="67"/>
      <c r="AV240" s="67">
        <v>41258</v>
      </c>
      <c r="AW240" s="67">
        <v>46023</v>
      </c>
      <c r="AX240" s="68" t="s">
        <v>750</v>
      </c>
      <c r="AY240" s="69" t="s">
        <v>6260</v>
      </c>
    </row>
    <row r="241" spans="1:51" ht="15" customHeight="1" x14ac:dyDescent="0.3">
      <c r="A241" s="59" t="s">
        <v>3065</v>
      </c>
      <c r="B241" s="59" t="s">
        <v>772</v>
      </c>
      <c r="C241" s="59" t="s">
        <v>1501</v>
      </c>
      <c r="D241" s="59" t="s">
        <v>1395</v>
      </c>
      <c r="E241" s="59" t="s">
        <v>775</v>
      </c>
      <c r="F241" s="60">
        <v>24173</v>
      </c>
      <c r="G241" s="59" t="s">
        <v>3066</v>
      </c>
      <c r="H241" s="59" t="s">
        <v>3067</v>
      </c>
      <c r="I241" s="60">
        <v>35418</v>
      </c>
      <c r="J241" s="61">
        <f t="shared" ca="1" si="12"/>
        <v>29</v>
      </c>
      <c r="K241" s="62">
        <f t="shared" si="13"/>
        <v>46088</v>
      </c>
      <c r="L241" s="59" t="s">
        <v>735</v>
      </c>
      <c r="M241" s="59" t="s">
        <v>757</v>
      </c>
      <c r="N241" s="59" t="s">
        <v>737</v>
      </c>
      <c r="O241" s="63">
        <v>8</v>
      </c>
      <c r="P241" s="61">
        <f>IFERROR(SUMPRODUCT((LK_GradeDerivation!$A$4:$A$135=N241)*(IF(O241="",0,O241)&gt;=LK_GradeDerivation!$B$4:$B$135)*(IF(O241="",0,O241)&lt;=LK_GradeDerivation!$C$4:$C$135)*LK_GradeDerivation!$D$4:$D$135),1)</f>
        <v>4</v>
      </c>
      <c r="Q241" s="61">
        <f>IFERROR(SUMPRODUCT((LK_GradeDerivation!$A$4:$A$135=N241)*(IF(O241="",0,O241)&gt;=LK_GradeDerivation!$B$4:$B$135)*(IF(O241="",0,O241)&lt;=LK_GradeDerivation!$C$4:$C$135)*LK_GradeDerivation!$E$4:$E$135),1)</f>
        <v>5</v>
      </c>
      <c r="R241" s="59" t="s">
        <v>3068</v>
      </c>
      <c r="S241" s="59" t="s">
        <v>3069</v>
      </c>
      <c r="T241" s="59" t="s">
        <v>1096</v>
      </c>
      <c r="U241" s="59" t="s">
        <v>2369</v>
      </c>
      <c r="V241" s="59" t="s">
        <v>3070</v>
      </c>
      <c r="W241" s="59" t="s">
        <v>285</v>
      </c>
      <c r="X241" s="59" t="s">
        <v>500</v>
      </c>
      <c r="Y241" s="59" t="s">
        <v>509</v>
      </c>
      <c r="Z241" s="64" t="str">
        <f>IFERROR(VLOOKUP(T241,LK_OrgMaster!$B$4:$H$89,5,FALSE()),"Administration")</f>
        <v>Administration</v>
      </c>
      <c r="AA241" s="65" t="str">
        <f>IFERROR(VLOOKUP(X241,LK_LocationMaster!$D$4:$G$157,4,FALSE()),"No")</f>
        <v>No</v>
      </c>
      <c r="AB241" s="65" t="str">
        <f t="shared" si="14"/>
        <v>No</v>
      </c>
      <c r="AC241" s="65" t="str">
        <f>IFERROR(VLOOKUP(X241,LK_LocationMaster!$D$4:$H$157,5,FALSE()),"No")</f>
        <v>Yes</v>
      </c>
      <c r="AD241" s="59" t="s">
        <v>3071</v>
      </c>
      <c r="AE241" s="59" t="s">
        <v>800</v>
      </c>
      <c r="AF241" s="59" t="s">
        <v>915</v>
      </c>
      <c r="AG241" s="59" t="s">
        <v>356</v>
      </c>
      <c r="AH241" s="59" t="s">
        <v>3072</v>
      </c>
      <c r="AI241" s="59" t="s">
        <v>285</v>
      </c>
      <c r="AJ241" s="59" t="s">
        <v>747</v>
      </c>
      <c r="AK241" s="59" t="s">
        <v>748</v>
      </c>
      <c r="AL241" s="64" t="str">
        <f>IFERROR(INDEX(LK_BankMaster!$D$4:$D$23,MATCH(AJ241&amp;"|"&amp;AK241,LK_BankMaster!$H$4:$H$23,0)),"")</f>
        <v/>
      </c>
      <c r="AM241" s="59" t="s">
        <v>3073</v>
      </c>
      <c r="AN241" s="64" t="str">
        <f>IFERROR(VLOOKUP(AJ241,LK_BankMaster!$A$4:$E$23,5,FALSE()),"")</f>
        <v/>
      </c>
      <c r="AO241" s="59" t="s">
        <v>291</v>
      </c>
      <c r="AP241" s="66">
        <v>0</v>
      </c>
      <c r="AQ241" s="64" t="str">
        <f t="shared" si="15"/>
        <v>Position Allowance - General Staff</v>
      </c>
      <c r="AR241" s="65" t="str">
        <f>IFERROR(VLOOKUP(T241,LK_OrgMaster!$B$4:$G$89,6,FALSE()),"No")</f>
        <v>No</v>
      </c>
      <c r="AS241" s="64" t="str">
        <f>IFERROR(VLOOKUP(T241,LK_OrgMaster!$B$4:$H$89,7,FALSE()),"None")</f>
        <v>None</v>
      </c>
      <c r="AT241" s="70">
        <v>35418</v>
      </c>
      <c r="AU241" s="70"/>
      <c r="AV241" s="70">
        <v>35418</v>
      </c>
      <c r="AW241" s="70">
        <v>46023</v>
      </c>
      <c r="AX241" s="71" t="s">
        <v>750</v>
      </c>
      <c r="AY241" s="72" t="s">
        <v>6260</v>
      </c>
    </row>
    <row r="242" spans="1:51" ht="15" customHeight="1" x14ac:dyDescent="0.3">
      <c r="A242" s="59" t="s">
        <v>3074</v>
      </c>
      <c r="B242" s="59" t="s">
        <v>772</v>
      </c>
      <c r="C242" s="59" t="s">
        <v>3075</v>
      </c>
      <c r="D242" s="59" t="s">
        <v>1395</v>
      </c>
      <c r="E242" s="59" t="s">
        <v>732</v>
      </c>
      <c r="F242" s="60">
        <v>30671</v>
      </c>
      <c r="G242" s="59" t="s">
        <v>3076</v>
      </c>
      <c r="H242" s="59" t="s">
        <v>3077</v>
      </c>
      <c r="I242" s="60">
        <v>36235</v>
      </c>
      <c r="J242" s="61">
        <f t="shared" ca="1" si="12"/>
        <v>27</v>
      </c>
      <c r="K242" s="62">
        <f t="shared" si="13"/>
        <v>52586</v>
      </c>
      <c r="L242" s="59" t="s">
        <v>735</v>
      </c>
      <c r="M242" s="59" t="s">
        <v>1334</v>
      </c>
      <c r="N242" s="59" t="s">
        <v>779</v>
      </c>
      <c r="O242" s="63">
        <v>0</v>
      </c>
      <c r="P242" s="61">
        <f>IFERROR(SUMPRODUCT((LK_GradeDerivation!$A$4:$A$135=N242)*(IF(O242="",0,O242)&gt;=LK_GradeDerivation!$B$4:$B$135)*(IF(O242="",0,O242)&lt;=LK_GradeDerivation!$C$4:$C$135)*LK_GradeDerivation!$D$4:$D$135),1)</f>
        <v>2</v>
      </c>
      <c r="Q242" s="61">
        <f>IFERROR(SUMPRODUCT((LK_GradeDerivation!$A$4:$A$135=N242)*(IF(O242="",0,O242)&gt;=LK_GradeDerivation!$B$4:$B$135)*(IF(O242="",0,O242)&lt;=LK_GradeDerivation!$C$4:$C$135)*LK_GradeDerivation!$E$4:$E$135),1)</f>
        <v>1</v>
      </c>
      <c r="R242" s="59" t="s">
        <v>3078</v>
      </c>
      <c r="S242" s="59" t="s">
        <v>3079</v>
      </c>
      <c r="T242" s="59" t="s">
        <v>740</v>
      </c>
      <c r="U242" s="59" t="s">
        <v>741</v>
      </c>
      <c r="V242" s="59" t="s">
        <v>1367</v>
      </c>
      <c r="W242" s="59" t="s">
        <v>285</v>
      </c>
      <c r="X242" s="59" t="s">
        <v>340</v>
      </c>
      <c r="Y242" s="59" t="s">
        <v>354</v>
      </c>
      <c r="Z242" s="64" t="str">
        <f>IFERROR(VLOOKUP(T242,LK_OrgMaster!$B$4:$H$89,5,FALSE()),"Administration")</f>
        <v>Teacher</v>
      </c>
      <c r="AA242" s="65" t="str">
        <f>IFERROR(VLOOKUP(X242,LK_LocationMaster!$D$4:$G$157,4,FALSE()),"No")</f>
        <v>No</v>
      </c>
      <c r="AB242" s="65" t="str">
        <f t="shared" si="14"/>
        <v>No</v>
      </c>
      <c r="AC242" s="65" t="str">
        <f>IFERROR(VLOOKUP(X242,LK_LocationMaster!$D$4:$H$157,5,FALSE()),"No")</f>
        <v>No</v>
      </c>
      <c r="AD242" s="59" t="s">
        <v>3080</v>
      </c>
      <c r="AE242" s="59" t="s">
        <v>800</v>
      </c>
      <c r="AF242" s="59" t="s">
        <v>847</v>
      </c>
      <c r="AG242" s="59" t="s">
        <v>391</v>
      </c>
      <c r="AH242" s="59" t="s">
        <v>1621</v>
      </c>
      <c r="AI242" s="59" t="s">
        <v>285</v>
      </c>
      <c r="AJ242" s="59" t="s">
        <v>768</v>
      </c>
      <c r="AK242" s="59" t="s">
        <v>803</v>
      </c>
      <c r="AL242" s="64" t="str">
        <f>IFERROR(INDEX(LK_BankMaster!$D$4:$D$23,MATCH(AJ242&amp;"|"&amp;AK242,LK_BankMaster!$H$4:$H$23,0)),"")</f>
        <v/>
      </c>
      <c r="AM242" s="59" t="s">
        <v>3081</v>
      </c>
      <c r="AN242" s="64" t="str">
        <f>IFERROR(VLOOKUP(AJ242,LK_BankMaster!$A$4:$E$23,5,FALSE()),"")</f>
        <v/>
      </c>
      <c r="AO242" s="59" t="s">
        <v>314</v>
      </c>
      <c r="AP242" s="66">
        <v>2</v>
      </c>
      <c r="AQ242" s="64" t="str">
        <f t="shared" si="15"/>
        <v>Position Allowance - General Staff</v>
      </c>
      <c r="AR242" s="65" t="str">
        <f>IFERROR(VLOOKUP(T242,LK_OrgMaster!$B$4:$G$89,6,FALSE()),"No")</f>
        <v>No</v>
      </c>
      <c r="AS242" s="64" t="str">
        <f>IFERROR(VLOOKUP(T242,LK_OrgMaster!$B$4:$H$89,7,FALSE()),"None")</f>
        <v>Teaching</v>
      </c>
      <c r="AT242" s="67">
        <v>36235</v>
      </c>
      <c r="AU242" s="67"/>
      <c r="AV242" s="67">
        <v>36235</v>
      </c>
      <c r="AW242" s="67">
        <v>46023</v>
      </c>
      <c r="AX242" s="68" t="s">
        <v>750</v>
      </c>
      <c r="AY242" s="69" t="s">
        <v>6260</v>
      </c>
    </row>
    <row r="243" spans="1:51" ht="15" customHeight="1" x14ac:dyDescent="0.3">
      <c r="A243" s="59" t="s">
        <v>3082</v>
      </c>
      <c r="B243" s="59" t="s">
        <v>752</v>
      </c>
      <c r="C243" s="59" t="s">
        <v>1975</v>
      </c>
      <c r="D243" s="59" t="s">
        <v>1430</v>
      </c>
      <c r="E243" s="59" t="s">
        <v>732</v>
      </c>
      <c r="F243" s="60">
        <v>26307</v>
      </c>
      <c r="G243" s="59" t="s">
        <v>3083</v>
      </c>
      <c r="H243" s="59" t="s">
        <v>3084</v>
      </c>
      <c r="I243" s="60">
        <v>42892</v>
      </c>
      <c r="J243" s="61">
        <f t="shared" ca="1" si="12"/>
        <v>8</v>
      </c>
      <c r="K243" s="62">
        <f t="shared" si="13"/>
        <v>48222</v>
      </c>
      <c r="L243" s="59" t="s">
        <v>735</v>
      </c>
      <c r="M243" s="59" t="s">
        <v>2117</v>
      </c>
      <c r="N243" s="59" t="s">
        <v>1081</v>
      </c>
      <c r="O243" s="63">
        <v>25</v>
      </c>
      <c r="P243" s="61">
        <f>IFERROR(SUMPRODUCT((LK_GradeDerivation!$A$4:$A$135=N243)*(IF(O243="",0,O243)&gt;=LK_GradeDerivation!$B$4:$B$135)*(IF(O243="",0,O243)&lt;=LK_GradeDerivation!$C$4:$C$135)*LK_GradeDerivation!$D$4:$D$135),1)</f>
        <v>3</v>
      </c>
      <c r="Q243" s="61">
        <f>IFERROR(SUMPRODUCT((LK_GradeDerivation!$A$4:$A$135=N243)*(IF(O243="",0,O243)&gt;=LK_GradeDerivation!$B$4:$B$135)*(IF(O243="",0,O243)&lt;=LK_GradeDerivation!$C$4:$C$135)*LK_GradeDerivation!$E$4:$E$135),1)</f>
        <v>13</v>
      </c>
      <c r="R243" s="59" t="s">
        <v>3085</v>
      </c>
      <c r="S243" s="59" t="s">
        <v>3086</v>
      </c>
      <c r="T243" s="59" t="s">
        <v>1023</v>
      </c>
      <c r="U243" s="59" t="s">
        <v>1130</v>
      </c>
      <c r="V243" s="59" t="s">
        <v>1131</v>
      </c>
      <c r="W243" s="59" t="s">
        <v>285</v>
      </c>
      <c r="X243" s="59" t="s">
        <v>477</v>
      </c>
      <c r="Y243" s="59" t="s">
        <v>479</v>
      </c>
      <c r="Z243" s="64" t="str">
        <f>IFERROR(VLOOKUP(T243,LK_OrgMaster!$B$4:$H$89,5,FALSE()),"Administration")</f>
        <v>Technical</v>
      </c>
      <c r="AA243" s="65" t="str">
        <f>IFERROR(VLOOKUP(X243,LK_LocationMaster!$D$4:$G$157,4,FALSE()),"No")</f>
        <v>No</v>
      </c>
      <c r="AB243" s="65" t="str">
        <f t="shared" si="14"/>
        <v>No</v>
      </c>
      <c r="AC243" s="65" t="str">
        <f>IFERROR(VLOOKUP(X243,LK_LocationMaster!$D$4:$H$157,5,FALSE()),"No")</f>
        <v>Yes</v>
      </c>
      <c r="AD243" s="59" t="s">
        <v>2487</v>
      </c>
      <c r="AE243" s="59" t="s">
        <v>765</v>
      </c>
      <c r="AF243" s="59" t="s">
        <v>847</v>
      </c>
      <c r="AG243" s="59" t="s">
        <v>340</v>
      </c>
      <c r="AH243" s="59" t="s">
        <v>2021</v>
      </c>
      <c r="AI243" s="59" t="s">
        <v>285</v>
      </c>
      <c r="AJ243" s="59" t="s">
        <v>768</v>
      </c>
      <c r="AK243" s="59" t="s">
        <v>769</v>
      </c>
      <c r="AL243" s="64" t="str">
        <f>IFERROR(INDEX(LK_BankMaster!$D$4:$D$23,MATCH(AJ243&amp;"|"&amp;AK243,LK_BankMaster!$H$4:$H$23,0)),"")</f>
        <v/>
      </c>
      <c r="AM243" s="59" t="s">
        <v>3087</v>
      </c>
      <c r="AN243" s="64" t="str">
        <f>IFERROR(VLOOKUP(AJ243,LK_BankMaster!$A$4:$E$23,5,FALSE()),"")</f>
        <v/>
      </c>
      <c r="AO243" s="59" t="s">
        <v>291</v>
      </c>
      <c r="AP243" s="66">
        <v>0</v>
      </c>
      <c r="AQ243" s="64" t="str">
        <f t="shared" si="15"/>
        <v>Position Allowance - General Staff</v>
      </c>
      <c r="AR243" s="65" t="str">
        <f>IFERROR(VLOOKUP(T243,LK_OrgMaster!$B$4:$G$89,6,FALSE()),"No")</f>
        <v>No</v>
      </c>
      <c r="AS243" s="64" t="str">
        <f>IFERROR(VLOOKUP(T243,LK_OrgMaster!$B$4:$H$89,7,FALSE()),"None")</f>
        <v>None</v>
      </c>
      <c r="AT243" s="70">
        <v>42892</v>
      </c>
      <c r="AU243" s="70"/>
      <c r="AV243" s="70">
        <v>42892</v>
      </c>
      <c r="AW243" s="70">
        <v>46023</v>
      </c>
      <c r="AX243" s="71" t="s">
        <v>750</v>
      </c>
      <c r="AY243" s="72" t="s">
        <v>6260</v>
      </c>
    </row>
    <row r="244" spans="1:51" ht="15" customHeight="1" x14ac:dyDescent="0.3">
      <c r="A244" s="59" t="s">
        <v>3088</v>
      </c>
      <c r="B244" s="59" t="s">
        <v>729</v>
      </c>
      <c r="C244" s="59" t="s">
        <v>1703</v>
      </c>
      <c r="D244" s="59" t="s">
        <v>1017</v>
      </c>
      <c r="E244" s="59" t="s">
        <v>732</v>
      </c>
      <c r="F244" s="60">
        <v>24548</v>
      </c>
      <c r="G244" s="59" t="s">
        <v>3089</v>
      </c>
      <c r="H244" s="59" t="s">
        <v>3090</v>
      </c>
      <c r="I244" s="60">
        <v>37681</v>
      </c>
      <c r="J244" s="61">
        <f t="shared" ca="1" si="12"/>
        <v>23</v>
      </c>
      <c r="K244" s="62">
        <f t="shared" si="13"/>
        <v>46463</v>
      </c>
      <c r="L244" s="59" t="s">
        <v>735</v>
      </c>
      <c r="M244" s="59" t="s">
        <v>1020</v>
      </c>
      <c r="N244" s="59" t="s">
        <v>737</v>
      </c>
      <c r="O244" s="63">
        <v>13</v>
      </c>
      <c r="P244" s="61">
        <f>IFERROR(SUMPRODUCT((LK_GradeDerivation!$A$4:$A$135=N244)*(IF(O244="",0,O244)&gt;=LK_GradeDerivation!$B$4:$B$135)*(IF(O244="",0,O244)&lt;=LK_GradeDerivation!$C$4:$C$135)*LK_GradeDerivation!$D$4:$D$135),1)</f>
        <v>4</v>
      </c>
      <c r="Q244" s="61">
        <f>IFERROR(SUMPRODUCT((LK_GradeDerivation!$A$4:$A$135=N244)*(IF(O244="",0,O244)&gt;=LK_GradeDerivation!$B$4:$B$135)*(IF(O244="",0,O244)&lt;=LK_GradeDerivation!$C$4:$C$135)*LK_GradeDerivation!$E$4:$E$135),1)</f>
        <v>7</v>
      </c>
      <c r="R244" s="59" t="s">
        <v>3091</v>
      </c>
      <c r="S244" s="59" t="s">
        <v>3092</v>
      </c>
      <c r="T244" s="59" t="s">
        <v>896</v>
      </c>
      <c r="U244" s="59" t="s">
        <v>897</v>
      </c>
      <c r="V244" s="59" t="s">
        <v>913</v>
      </c>
      <c r="W244" s="59" t="s">
        <v>285</v>
      </c>
      <c r="X244" s="59" t="s">
        <v>288</v>
      </c>
      <c r="Y244" s="59" t="s">
        <v>302</v>
      </c>
      <c r="Z244" s="64" t="str">
        <f>IFERROR(VLOOKUP(T244,LK_OrgMaster!$B$4:$H$89,5,FALSE()),"Administration")</f>
        <v>Administration</v>
      </c>
      <c r="AA244" s="65" t="str">
        <f>IFERROR(VLOOKUP(X244,LK_LocationMaster!$D$4:$G$157,4,FALSE()),"No")</f>
        <v>No</v>
      </c>
      <c r="AB244" s="65" t="str">
        <f t="shared" si="14"/>
        <v>No</v>
      </c>
      <c r="AC244" s="65" t="str">
        <f>IFERROR(VLOOKUP(X244,LK_LocationMaster!$D$4:$H$157,5,FALSE()),"No")</f>
        <v>No</v>
      </c>
      <c r="AD244" s="59" t="s">
        <v>1568</v>
      </c>
      <c r="AE244" s="59" t="s">
        <v>765</v>
      </c>
      <c r="AF244" s="59" t="s">
        <v>766</v>
      </c>
      <c r="AG244" s="59" t="s">
        <v>329</v>
      </c>
      <c r="AH244" s="59" t="s">
        <v>3093</v>
      </c>
      <c r="AI244" s="59" t="s">
        <v>285</v>
      </c>
      <c r="AJ244" s="59" t="s">
        <v>768</v>
      </c>
      <c r="AK244" s="59" t="s">
        <v>803</v>
      </c>
      <c r="AL244" s="64" t="str">
        <f>IFERROR(INDEX(LK_BankMaster!$D$4:$D$23,MATCH(AJ244&amp;"|"&amp;AK244,LK_BankMaster!$H$4:$H$23,0)),"")</f>
        <v/>
      </c>
      <c r="AM244" s="59" t="s">
        <v>3094</v>
      </c>
      <c r="AN244" s="64" t="str">
        <f>IFERROR(VLOOKUP(AJ244,LK_BankMaster!$A$4:$E$23,5,FALSE()),"")</f>
        <v/>
      </c>
      <c r="AO244" s="59" t="s">
        <v>314</v>
      </c>
      <c r="AP244" s="66">
        <v>1</v>
      </c>
      <c r="AQ244" s="64" t="str">
        <f t="shared" si="15"/>
        <v>Position Allowance - Section Chief</v>
      </c>
      <c r="AR244" s="65" t="str">
        <f>IFERROR(VLOOKUP(T244,LK_OrgMaster!$B$4:$G$89,6,FALSE()),"No")</f>
        <v>No</v>
      </c>
      <c r="AS244" s="64" t="str">
        <f>IFERROR(VLOOKUP(T244,LK_OrgMaster!$B$4:$H$89,7,FALSE()),"None")</f>
        <v>None</v>
      </c>
      <c r="AT244" s="67">
        <v>37681</v>
      </c>
      <c r="AU244" s="67"/>
      <c r="AV244" s="67">
        <v>37681</v>
      </c>
      <c r="AW244" s="67">
        <v>46023</v>
      </c>
      <c r="AX244" s="68" t="s">
        <v>750</v>
      </c>
      <c r="AY244" s="69" t="s">
        <v>6260</v>
      </c>
    </row>
    <row r="245" spans="1:51" ht="15" customHeight="1" x14ac:dyDescent="0.3">
      <c r="A245" s="59" t="s">
        <v>3095</v>
      </c>
      <c r="B245" s="59" t="s">
        <v>752</v>
      </c>
      <c r="C245" s="59" t="s">
        <v>875</v>
      </c>
      <c r="D245" s="59" t="s">
        <v>1663</v>
      </c>
      <c r="E245" s="59" t="s">
        <v>732</v>
      </c>
      <c r="F245" s="60">
        <v>26089</v>
      </c>
      <c r="G245" s="59" t="s">
        <v>3096</v>
      </c>
      <c r="H245" s="59" t="s">
        <v>3097</v>
      </c>
      <c r="I245" s="60">
        <v>37764</v>
      </c>
      <c r="J245" s="61">
        <f t="shared" ca="1" si="12"/>
        <v>22</v>
      </c>
      <c r="K245" s="62">
        <f t="shared" si="13"/>
        <v>48004</v>
      </c>
      <c r="L245" s="59" t="s">
        <v>735</v>
      </c>
      <c r="M245" s="59" t="s">
        <v>1988</v>
      </c>
      <c r="N245" s="59" t="s">
        <v>779</v>
      </c>
      <c r="O245" s="63">
        <v>13</v>
      </c>
      <c r="P245" s="61">
        <f>IFERROR(SUMPRODUCT((LK_GradeDerivation!$A$4:$A$135=N245)*(IF(O245="",0,O245)&gt;=LK_GradeDerivation!$B$4:$B$135)*(IF(O245="",0,O245)&lt;=LK_GradeDerivation!$C$4:$C$135)*LK_GradeDerivation!$D$4:$D$135),1)</f>
        <v>2</v>
      </c>
      <c r="Q245" s="61">
        <f>IFERROR(SUMPRODUCT((LK_GradeDerivation!$A$4:$A$135=N245)*(IF(O245="",0,O245)&gt;=LK_GradeDerivation!$B$4:$B$135)*(IF(O245="",0,O245)&lt;=LK_GradeDerivation!$C$4:$C$135)*LK_GradeDerivation!$E$4:$E$135),1)</f>
        <v>7</v>
      </c>
      <c r="R245" s="59" t="s">
        <v>3098</v>
      </c>
      <c r="S245" s="59" t="s">
        <v>3099</v>
      </c>
      <c r="T245" s="59" t="s">
        <v>782</v>
      </c>
      <c r="U245" s="59" t="s">
        <v>829</v>
      </c>
      <c r="V245" s="59" t="s">
        <v>830</v>
      </c>
      <c r="W245" s="59" t="s">
        <v>285</v>
      </c>
      <c r="X245" s="59" t="s">
        <v>575</v>
      </c>
      <c r="Y245" s="59" t="s">
        <v>581</v>
      </c>
      <c r="Z245" s="64" t="str">
        <f>IFERROR(VLOOKUP(T245,LK_OrgMaster!$B$4:$H$89,5,FALSE()),"Administration")</f>
        <v>Medical</v>
      </c>
      <c r="AA245" s="65" t="str">
        <f>IFERROR(VLOOKUP(X245,LK_LocationMaster!$D$4:$G$157,4,FALSE()),"No")</f>
        <v>Yes</v>
      </c>
      <c r="AB245" s="65" t="str">
        <f t="shared" si="14"/>
        <v>No</v>
      </c>
      <c r="AC245" s="65" t="str">
        <f>IFERROR(VLOOKUP(X245,LK_LocationMaster!$D$4:$H$157,5,FALSE()),"No")</f>
        <v>Yes</v>
      </c>
      <c r="AD245" s="59" t="s">
        <v>3100</v>
      </c>
      <c r="AE245" s="59" t="s">
        <v>765</v>
      </c>
      <c r="AF245" s="59" t="s">
        <v>915</v>
      </c>
      <c r="AG245" s="59" t="s">
        <v>329</v>
      </c>
      <c r="AH245" s="59" t="s">
        <v>3101</v>
      </c>
      <c r="AI245" s="59" t="s">
        <v>285</v>
      </c>
      <c r="AJ245" s="59" t="s">
        <v>833</v>
      </c>
      <c r="AK245" s="59" t="s">
        <v>834</v>
      </c>
      <c r="AL245" s="64" t="str">
        <f>IFERROR(INDEX(LK_BankMaster!$D$4:$D$23,MATCH(AJ245&amp;"|"&amp;AK245,LK_BankMaster!$H$4:$H$23,0)),"")</f>
        <v/>
      </c>
      <c r="AM245" s="59" t="s">
        <v>3102</v>
      </c>
      <c r="AN245" s="64" t="str">
        <f>IFERROR(VLOOKUP(AJ245,LK_BankMaster!$A$4:$E$23,5,FALSE()),"")</f>
        <v/>
      </c>
      <c r="AO245" s="59" t="s">
        <v>291</v>
      </c>
      <c r="AP245" s="66">
        <v>0</v>
      </c>
      <c r="AQ245" s="64" t="str">
        <f t="shared" si="15"/>
        <v>Position Allowance - General Staff</v>
      </c>
      <c r="AR245" s="65" t="str">
        <f>IFERROR(VLOOKUP(T245,LK_OrgMaster!$B$4:$G$89,6,FALSE()),"No")</f>
        <v>No</v>
      </c>
      <c r="AS245" s="64" t="str">
        <f>IFERROR(VLOOKUP(T245,LK_OrgMaster!$B$4:$H$89,7,FALSE()),"None")</f>
        <v>Medical</v>
      </c>
      <c r="AT245" s="70">
        <v>37764</v>
      </c>
      <c r="AU245" s="70"/>
      <c r="AV245" s="70">
        <v>37764</v>
      </c>
      <c r="AW245" s="70">
        <v>46023</v>
      </c>
      <c r="AX245" s="71" t="s">
        <v>750</v>
      </c>
      <c r="AY245" s="72" t="s">
        <v>6260</v>
      </c>
    </row>
    <row r="246" spans="1:51" ht="15" customHeight="1" x14ac:dyDescent="0.3">
      <c r="A246" s="59" t="s">
        <v>3103</v>
      </c>
      <c r="B246" s="59" t="s">
        <v>851</v>
      </c>
      <c r="C246" s="59" t="s">
        <v>837</v>
      </c>
      <c r="D246" s="59" t="s">
        <v>876</v>
      </c>
      <c r="E246" s="59" t="s">
        <v>775</v>
      </c>
      <c r="F246" s="60">
        <v>25966</v>
      </c>
      <c r="G246" s="59" t="s">
        <v>3104</v>
      </c>
      <c r="H246" s="59" t="s">
        <v>3105</v>
      </c>
      <c r="I246" s="60">
        <v>35802</v>
      </c>
      <c r="J246" s="61">
        <f t="shared" ca="1" si="12"/>
        <v>28</v>
      </c>
      <c r="K246" s="62">
        <f t="shared" si="13"/>
        <v>47881</v>
      </c>
      <c r="L246" s="59" t="s">
        <v>735</v>
      </c>
      <c r="M246" s="59" t="s">
        <v>1163</v>
      </c>
      <c r="N246" s="59" t="s">
        <v>779</v>
      </c>
      <c r="O246" s="63">
        <v>8</v>
      </c>
      <c r="P246" s="61">
        <f>IFERROR(SUMPRODUCT((LK_GradeDerivation!$A$4:$A$135=N246)*(IF(O246="",0,O246)&gt;=LK_GradeDerivation!$B$4:$B$135)*(IF(O246="",0,O246)&lt;=LK_GradeDerivation!$C$4:$C$135)*LK_GradeDerivation!$D$4:$D$135),1)</f>
        <v>2</v>
      </c>
      <c r="Q246" s="61">
        <f>IFERROR(SUMPRODUCT((LK_GradeDerivation!$A$4:$A$135=N246)*(IF(O246="",0,O246)&gt;=LK_GradeDerivation!$B$4:$B$135)*(IF(O246="",0,O246)&lt;=LK_GradeDerivation!$C$4:$C$135)*LK_GradeDerivation!$E$4:$E$135),1)</f>
        <v>5</v>
      </c>
      <c r="R246" s="59" t="s">
        <v>3106</v>
      </c>
      <c r="S246" s="59" t="s">
        <v>3107</v>
      </c>
      <c r="T246" s="59" t="s">
        <v>740</v>
      </c>
      <c r="U246" s="59" t="s">
        <v>927</v>
      </c>
      <c r="V246" s="59" t="s">
        <v>2335</v>
      </c>
      <c r="W246" s="59" t="s">
        <v>285</v>
      </c>
      <c r="X246" s="59" t="s">
        <v>575</v>
      </c>
      <c r="Y246" s="59" t="s">
        <v>585</v>
      </c>
      <c r="Z246" s="64" t="str">
        <f>IFERROR(VLOOKUP(T246,LK_OrgMaster!$B$4:$H$89,5,FALSE()),"Administration")</f>
        <v>Teacher</v>
      </c>
      <c r="AA246" s="65" t="str">
        <f>IFERROR(VLOOKUP(X246,LK_LocationMaster!$D$4:$G$157,4,FALSE()),"No")</f>
        <v>Yes</v>
      </c>
      <c r="AB246" s="65" t="str">
        <f t="shared" si="14"/>
        <v>No</v>
      </c>
      <c r="AC246" s="65" t="str">
        <f>IFERROR(VLOOKUP(X246,LK_LocationMaster!$D$4:$H$157,5,FALSE()),"No")</f>
        <v>Yes</v>
      </c>
      <c r="AD246" s="59" t="s">
        <v>1368</v>
      </c>
      <c r="AE246" s="59" t="s">
        <v>930</v>
      </c>
      <c r="AF246" s="59" t="s">
        <v>847</v>
      </c>
      <c r="AG246" s="59" t="s">
        <v>356</v>
      </c>
      <c r="AH246" s="59" t="s">
        <v>3108</v>
      </c>
      <c r="AI246" s="59" t="s">
        <v>285</v>
      </c>
      <c r="AJ246" s="59" t="s">
        <v>788</v>
      </c>
      <c r="AK246" s="59" t="s">
        <v>789</v>
      </c>
      <c r="AL246" s="64" t="str">
        <f>IFERROR(INDEX(LK_BankMaster!$D$4:$D$23,MATCH(AJ246&amp;"|"&amp;AK246,LK_BankMaster!$H$4:$H$23,0)),"")</f>
        <v/>
      </c>
      <c r="AM246" s="59" t="s">
        <v>3109</v>
      </c>
      <c r="AN246" s="64" t="str">
        <f>IFERROR(VLOOKUP(AJ246,LK_BankMaster!$A$4:$E$23,5,FALSE()),"")</f>
        <v/>
      </c>
      <c r="AO246" s="59" t="s">
        <v>291</v>
      </c>
      <c r="AP246" s="66">
        <v>0</v>
      </c>
      <c r="AQ246" s="64" t="str">
        <f t="shared" si="15"/>
        <v>Position Allowance - General Staff</v>
      </c>
      <c r="AR246" s="65" t="str">
        <f>IFERROR(VLOOKUP(T246,LK_OrgMaster!$B$4:$G$89,6,FALSE()),"No")</f>
        <v>No</v>
      </c>
      <c r="AS246" s="64" t="str">
        <f>IFERROR(VLOOKUP(T246,LK_OrgMaster!$B$4:$H$89,7,FALSE()),"None")</f>
        <v>Teaching</v>
      </c>
      <c r="AT246" s="67">
        <v>35802</v>
      </c>
      <c r="AU246" s="67"/>
      <c r="AV246" s="67">
        <v>35802</v>
      </c>
      <c r="AW246" s="67">
        <v>46023</v>
      </c>
      <c r="AX246" s="68" t="s">
        <v>750</v>
      </c>
      <c r="AY246" s="69" t="s">
        <v>6260</v>
      </c>
    </row>
    <row r="247" spans="1:51" ht="15" customHeight="1" x14ac:dyDescent="0.3">
      <c r="A247" s="59" t="s">
        <v>3110</v>
      </c>
      <c r="B247" s="59" t="s">
        <v>851</v>
      </c>
      <c r="C247" s="59" t="s">
        <v>2015</v>
      </c>
      <c r="D247" s="59" t="s">
        <v>1320</v>
      </c>
      <c r="E247" s="59" t="s">
        <v>775</v>
      </c>
      <c r="F247" s="60">
        <v>30950</v>
      </c>
      <c r="G247" s="59" t="s">
        <v>2016</v>
      </c>
      <c r="H247" s="59" t="s">
        <v>3111</v>
      </c>
      <c r="I247" s="60">
        <v>37778</v>
      </c>
      <c r="J247" s="61">
        <f t="shared" ca="1" si="12"/>
        <v>22</v>
      </c>
      <c r="K247" s="62">
        <f t="shared" si="13"/>
        <v>52865</v>
      </c>
      <c r="L247" s="59" t="s">
        <v>735</v>
      </c>
      <c r="M247" s="59" t="s">
        <v>937</v>
      </c>
      <c r="N247" s="59" t="s">
        <v>737</v>
      </c>
      <c r="O247" s="63">
        <v>0</v>
      </c>
      <c r="P247" s="61">
        <f>IFERROR(SUMPRODUCT((LK_GradeDerivation!$A$4:$A$135=N247)*(IF(O247="",0,O247)&gt;=LK_GradeDerivation!$B$4:$B$135)*(IF(O247="",0,O247)&lt;=LK_GradeDerivation!$C$4:$C$135)*LK_GradeDerivation!$D$4:$D$135),1)</f>
        <v>4</v>
      </c>
      <c r="Q247" s="61">
        <f>IFERROR(SUMPRODUCT((LK_GradeDerivation!$A$4:$A$135=N247)*(IF(O247="",0,O247)&gt;=LK_GradeDerivation!$B$4:$B$135)*(IF(O247="",0,O247)&lt;=LK_GradeDerivation!$C$4:$C$135)*LK_GradeDerivation!$E$4:$E$135),1)</f>
        <v>1</v>
      </c>
      <c r="R247" s="59" t="s">
        <v>3112</v>
      </c>
      <c r="S247" s="59" t="s">
        <v>3113</v>
      </c>
      <c r="T247" s="59" t="s">
        <v>859</v>
      </c>
      <c r="U247" s="59" t="s">
        <v>2128</v>
      </c>
      <c r="V247" s="59" t="s">
        <v>2129</v>
      </c>
      <c r="W247" s="59" t="s">
        <v>285</v>
      </c>
      <c r="X247" s="59" t="s">
        <v>408</v>
      </c>
      <c r="Y247" s="59" t="s">
        <v>425</v>
      </c>
      <c r="Z247" s="64" t="str">
        <f>IFERROR(VLOOKUP(T247,LK_OrgMaster!$B$4:$H$89,5,FALSE()),"Administration")</f>
        <v>Technical</v>
      </c>
      <c r="AA247" s="65" t="str">
        <f>IFERROR(VLOOKUP(X247,LK_LocationMaster!$D$4:$G$157,4,FALSE()),"No")</f>
        <v>Yes</v>
      </c>
      <c r="AB247" s="65" t="str">
        <f t="shared" si="14"/>
        <v>No</v>
      </c>
      <c r="AC247" s="65" t="str">
        <f>IFERROR(VLOOKUP(X247,LK_LocationMaster!$D$4:$H$157,5,FALSE()),"No")</f>
        <v>No</v>
      </c>
      <c r="AD247" s="59" t="s">
        <v>3114</v>
      </c>
      <c r="AE247" s="59" t="s">
        <v>886</v>
      </c>
      <c r="AF247" s="59" t="s">
        <v>786</v>
      </c>
      <c r="AG247" s="59" t="s">
        <v>340</v>
      </c>
      <c r="AH247" s="59" t="s">
        <v>3115</v>
      </c>
      <c r="AI247" s="59" t="s">
        <v>285</v>
      </c>
      <c r="AJ247" s="59" t="s">
        <v>747</v>
      </c>
      <c r="AK247" s="59" t="s">
        <v>748</v>
      </c>
      <c r="AL247" s="64" t="str">
        <f>IFERROR(INDEX(LK_BankMaster!$D$4:$D$23,MATCH(AJ247&amp;"|"&amp;AK247,LK_BankMaster!$H$4:$H$23,0)),"")</f>
        <v/>
      </c>
      <c r="AM247" s="59" t="s">
        <v>3116</v>
      </c>
      <c r="AN247" s="64" t="str">
        <f>IFERROR(VLOOKUP(AJ247,LK_BankMaster!$A$4:$E$23,5,FALSE()),"")</f>
        <v/>
      </c>
      <c r="AO247" s="59" t="s">
        <v>291</v>
      </c>
      <c r="AP247" s="66">
        <v>0</v>
      </c>
      <c r="AQ247" s="64" t="str">
        <f t="shared" si="15"/>
        <v>Position Allowance - General Staff</v>
      </c>
      <c r="AR247" s="65" t="str">
        <f>IFERROR(VLOOKUP(T247,LK_OrgMaster!$B$4:$G$89,6,FALSE()),"No")</f>
        <v>No</v>
      </c>
      <c r="AS247" s="64" t="str">
        <f>IFERROR(VLOOKUP(T247,LK_OrgMaster!$B$4:$H$89,7,FALSE()),"None")</f>
        <v>None</v>
      </c>
      <c r="AT247" s="70">
        <v>37778</v>
      </c>
      <c r="AU247" s="70"/>
      <c r="AV247" s="70">
        <v>37778</v>
      </c>
      <c r="AW247" s="70">
        <v>46023</v>
      </c>
      <c r="AX247" s="71" t="s">
        <v>750</v>
      </c>
      <c r="AY247" s="72" t="s">
        <v>6260</v>
      </c>
    </row>
    <row r="248" spans="1:51" ht="15" customHeight="1" x14ac:dyDescent="0.3">
      <c r="A248" s="59" t="s">
        <v>3117</v>
      </c>
      <c r="B248" s="59" t="s">
        <v>772</v>
      </c>
      <c r="C248" s="59" t="s">
        <v>2662</v>
      </c>
      <c r="D248" s="59" t="s">
        <v>1373</v>
      </c>
      <c r="E248" s="59" t="s">
        <v>775</v>
      </c>
      <c r="F248" s="60">
        <v>32959</v>
      </c>
      <c r="G248" s="59" t="s">
        <v>3118</v>
      </c>
      <c r="H248" s="59" t="s">
        <v>3119</v>
      </c>
      <c r="I248" s="60">
        <v>35738</v>
      </c>
      <c r="J248" s="61">
        <f t="shared" ca="1" si="12"/>
        <v>28</v>
      </c>
      <c r="K248" s="62">
        <f t="shared" si="13"/>
        <v>54874</v>
      </c>
      <c r="L248" s="59" t="s">
        <v>735</v>
      </c>
      <c r="M248" s="59" t="s">
        <v>1607</v>
      </c>
      <c r="N248" s="59" t="s">
        <v>737</v>
      </c>
      <c r="O248" s="63">
        <v>0</v>
      </c>
      <c r="P248" s="61">
        <f>IFERROR(SUMPRODUCT((LK_GradeDerivation!$A$4:$A$135=N248)*(IF(O248="",0,O248)&gt;=LK_GradeDerivation!$B$4:$B$135)*(IF(O248="",0,O248)&lt;=LK_GradeDerivation!$C$4:$C$135)*LK_GradeDerivation!$D$4:$D$135),1)</f>
        <v>4</v>
      </c>
      <c r="Q248" s="61">
        <f>IFERROR(SUMPRODUCT((LK_GradeDerivation!$A$4:$A$135=N248)*(IF(O248="",0,O248)&gt;=LK_GradeDerivation!$B$4:$B$135)*(IF(O248="",0,O248)&lt;=LK_GradeDerivation!$C$4:$C$135)*LK_GradeDerivation!$E$4:$E$135),1)</f>
        <v>1</v>
      </c>
      <c r="R248" s="59" t="s">
        <v>3120</v>
      </c>
      <c r="S248" s="59" t="s">
        <v>3121</v>
      </c>
      <c r="T248" s="59" t="s">
        <v>1023</v>
      </c>
      <c r="U248" s="59" t="s">
        <v>2589</v>
      </c>
      <c r="V248" s="59" t="s">
        <v>2590</v>
      </c>
      <c r="W248" s="59" t="s">
        <v>285</v>
      </c>
      <c r="X248" s="59" t="s">
        <v>500</v>
      </c>
      <c r="Y248" s="59" t="s">
        <v>513</v>
      </c>
      <c r="Z248" s="64" t="str">
        <f>IFERROR(VLOOKUP(T248,LK_OrgMaster!$B$4:$H$89,5,FALSE()),"Administration")</f>
        <v>Technical</v>
      </c>
      <c r="AA248" s="65" t="str">
        <f>IFERROR(VLOOKUP(X248,LK_LocationMaster!$D$4:$G$157,4,FALSE()),"No")</f>
        <v>No</v>
      </c>
      <c r="AB248" s="65" t="str">
        <f t="shared" si="14"/>
        <v>No</v>
      </c>
      <c r="AC248" s="65" t="str">
        <f>IFERROR(VLOOKUP(X248,LK_LocationMaster!$D$4:$H$157,5,FALSE()),"No")</f>
        <v>Yes</v>
      </c>
      <c r="AD248" s="59" t="s">
        <v>3122</v>
      </c>
      <c r="AE248" s="59" t="s">
        <v>800</v>
      </c>
      <c r="AF248" s="59" t="s">
        <v>901</v>
      </c>
      <c r="AG248" s="59" t="s">
        <v>312</v>
      </c>
      <c r="AH248" s="59" t="s">
        <v>3123</v>
      </c>
      <c r="AI248" s="59" t="s">
        <v>285</v>
      </c>
      <c r="AJ248" s="59" t="s">
        <v>833</v>
      </c>
      <c r="AK248" s="59" t="s">
        <v>917</v>
      </c>
      <c r="AL248" s="64" t="str">
        <f>IFERROR(INDEX(LK_BankMaster!$D$4:$D$23,MATCH(AJ248&amp;"|"&amp;AK248,LK_BankMaster!$H$4:$H$23,0)),"")</f>
        <v/>
      </c>
      <c r="AM248" s="59" t="s">
        <v>3124</v>
      </c>
      <c r="AN248" s="64" t="str">
        <f>IFERROR(VLOOKUP(AJ248,LK_BankMaster!$A$4:$E$23,5,FALSE()),"")</f>
        <v/>
      </c>
      <c r="AO248" s="59" t="s">
        <v>314</v>
      </c>
      <c r="AP248" s="66">
        <v>2</v>
      </c>
      <c r="AQ248" s="64" t="str">
        <f t="shared" si="15"/>
        <v>Position Allowance - General Staff</v>
      </c>
      <c r="AR248" s="65" t="str">
        <f>IFERROR(VLOOKUP(T248,LK_OrgMaster!$B$4:$G$89,6,FALSE()),"No")</f>
        <v>No</v>
      </c>
      <c r="AS248" s="64" t="str">
        <f>IFERROR(VLOOKUP(T248,LK_OrgMaster!$B$4:$H$89,7,FALSE()),"None")</f>
        <v>None</v>
      </c>
      <c r="AT248" s="67">
        <v>35738</v>
      </c>
      <c r="AU248" s="67"/>
      <c r="AV248" s="67">
        <v>35738</v>
      </c>
      <c r="AW248" s="67">
        <v>46023</v>
      </c>
      <c r="AX248" s="68" t="s">
        <v>750</v>
      </c>
      <c r="AY248" s="69" t="s">
        <v>6260</v>
      </c>
    </row>
    <row r="249" spans="1:51" ht="15" customHeight="1" x14ac:dyDescent="0.3">
      <c r="A249" s="59" t="s">
        <v>3125</v>
      </c>
      <c r="B249" s="59" t="s">
        <v>851</v>
      </c>
      <c r="C249" s="59" t="s">
        <v>1383</v>
      </c>
      <c r="D249" s="59" t="s">
        <v>1704</v>
      </c>
      <c r="E249" s="59" t="s">
        <v>775</v>
      </c>
      <c r="F249" s="60">
        <v>26519</v>
      </c>
      <c r="G249" s="59" t="s">
        <v>2290</v>
      </c>
      <c r="H249" s="59" t="s">
        <v>3126</v>
      </c>
      <c r="I249" s="60">
        <v>39048</v>
      </c>
      <c r="J249" s="61">
        <f t="shared" ca="1" si="12"/>
        <v>19</v>
      </c>
      <c r="K249" s="62">
        <f t="shared" si="13"/>
        <v>48434</v>
      </c>
      <c r="L249" s="59" t="s">
        <v>735</v>
      </c>
      <c r="M249" s="59" t="s">
        <v>1407</v>
      </c>
      <c r="N249" s="59" t="s">
        <v>1081</v>
      </c>
      <c r="O249" s="63">
        <v>14</v>
      </c>
      <c r="P249" s="61">
        <f>IFERROR(SUMPRODUCT((LK_GradeDerivation!$A$4:$A$135=N249)*(IF(O249="",0,O249)&gt;=LK_GradeDerivation!$B$4:$B$135)*(IF(O249="",0,O249)&lt;=LK_GradeDerivation!$C$4:$C$135)*LK_GradeDerivation!$D$4:$D$135),1)</f>
        <v>3</v>
      </c>
      <c r="Q249" s="61">
        <f>IFERROR(SUMPRODUCT((LK_GradeDerivation!$A$4:$A$135=N249)*(IF(O249="",0,O249)&gt;=LK_GradeDerivation!$B$4:$B$135)*(IF(O249="",0,O249)&lt;=LK_GradeDerivation!$C$4:$C$135)*LK_GradeDerivation!$E$4:$E$135),1)</f>
        <v>8</v>
      </c>
      <c r="R249" s="59" t="s">
        <v>3127</v>
      </c>
      <c r="S249" s="59" t="s">
        <v>3128</v>
      </c>
      <c r="T249" s="59" t="s">
        <v>859</v>
      </c>
      <c r="U249" s="59" t="s">
        <v>2128</v>
      </c>
      <c r="V249" s="59" t="s">
        <v>3129</v>
      </c>
      <c r="W249" s="59" t="s">
        <v>285</v>
      </c>
      <c r="X249" s="59" t="s">
        <v>443</v>
      </c>
      <c r="Y249" s="59" t="s">
        <v>457</v>
      </c>
      <c r="Z249" s="64" t="str">
        <f>IFERROR(VLOOKUP(T249,LK_OrgMaster!$B$4:$H$89,5,FALSE()),"Administration")</f>
        <v>Technical</v>
      </c>
      <c r="AA249" s="65" t="str">
        <f>IFERROR(VLOOKUP(X249,LK_LocationMaster!$D$4:$G$157,4,FALSE()),"No")</f>
        <v>No</v>
      </c>
      <c r="AB249" s="65" t="str">
        <f t="shared" si="14"/>
        <v>No</v>
      </c>
      <c r="AC249" s="65" t="str">
        <f>IFERROR(VLOOKUP(X249,LK_LocationMaster!$D$4:$H$157,5,FALSE()),"No")</f>
        <v>No</v>
      </c>
      <c r="AD249" s="59" t="s">
        <v>3130</v>
      </c>
      <c r="AE249" s="59" t="s">
        <v>800</v>
      </c>
      <c r="AF249" s="59" t="s">
        <v>801</v>
      </c>
      <c r="AG249" s="59" t="s">
        <v>408</v>
      </c>
      <c r="AH249" s="59" t="s">
        <v>3131</v>
      </c>
      <c r="AI249" s="59" t="s">
        <v>285</v>
      </c>
      <c r="AJ249" s="59" t="s">
        <v>833</v>
      </c>
      <c r="AK249" s="59" t="s">
        <v>1550</v>
      </c>
      <c r="AL249" s="64" t="str">
        <f>IFERROR(INDEX(LK_BankMaster!$D$4:$D$23,MATCH(AJ249&amp;"|"&amp;AK249,LK_BankMaster!$H$4:$H$23,0)),"")</f>
        <v/>
      </c>
      <c r="AM249" s="59" t="s">
        <v>3132</v>
      </c>
      <c r="AN249" s="64" t="str">
        <f>IFERROR(VLOOKUP(AJ249,LK_BankMaster!$A$4:$E$23,5,FALSE()),"")</f>
        <v/>
      </c>
      <c r="AO249" s="59" t="s">
        <v>314</v>
      </c>
      <c r="AP249" s="66">
        <v>2</v>
      </c>
      <c r="AQ249" s="64" t="str">
        <f t="shared" si="15"/>
        <v>Position Allowance - General Staff</v>
      </c>
      <c r="AR249" s="65" t="str">
        <f>IFERROR(VLOOKUP(T249,LK_OrgMaster!$B$4:$G$89,6,FALSE()),"No")</f>
        <v>No</v>
      </c>
      <c r="AS249" s="64" t="str">
        <f>IFERROR(VLOOKUP(T249,LK_OrgMaster!$B$4:$H$89,7,FALSE()),"None")</f>
        <v>None</v>
      </c>
      <c r="AT249" s="70">
        <v>39048</v>
      </c>
      <c r="AU249" s="70"/>
      <c r="AV249" s="70">
        <v>39048</v>
      </c>
      <c r="AW249" s="70">
        <v>46023</v>
      </c>
      <c r="AX249" s="71" t="s">
        <v>750</v>
      </c>
      <c r="AY249" s="72" t="s">
        <v>6260</v>
      </c>
    </row>
    <row r="250" spans="1:51" ht="15" customHeight="1" x14ac:dyDescent="0.3">
      <c r="A250" s="59" t="s">
        <v>3133</v>
      </c>
      <c r="B250" s="59" t="s">
        <v>772</v>
      </c>
      <c r="C250" s="59" t="s">
        <v>934</v>
      </c>
      <c r="D250" s="59" t="s">
        <v>1331</v>
      </c>
      <c r="E250" s="59" t="s">
        <v>775</v>
      </c>
      <c r="F250" s="60">
        <v>34800</v>
      </c>
      <c r="G250" s="59" t="s">
        <v>3134</v>
      </c>
      <c r="H250" s="59" t="s">
        <v>3135</v>
      </c>
      <c r="I250" s="60">
        <v>42047</v>
      </c>
      <c r="J250" s="61">
        <f t="shared" ca="1" si="12"/>
        <v>11</v>
      </c>
      <c r="K250" s="62">
        <f t="shared" si="13"/>
        <v>56715</v>
      </c>
      <c r="L250" s="59" t="s">
        <v>735</v>
      </c>
      <c r="M250" s="59" t="s">
        <v>1912</v>
      </c>
      <c r="N250" s="59" t="s">
        <v>737</v>
      </c>
      <c r="O250" s="63">
        <v>0</v>
      </c>
      <c r="P250" s="61">
        <f>IFERROR(SUMPRODUCT((LK_GradeDerivation!$A$4:$A$135=N250)*(IF(O250="",0,O250)&gt;=LK_GradeDerivation!$B$4:$B$135)*(IF(O250="",0,O250)&lt;=LK_GradeDerivation!$C$4:$C$135)*LK_GradeDerivation!$D$4:$D$135),1)</f>
        <v>4</v>
      </c>
      <c r="Q250" s="61">
        <f>IFERROR(SUMPRODUCT((LK_GradeDerivation!$A$4:$A$135=N250)*(IF(O250="",0,O250)&gt;=LK_GradeDerivation!$B$4:$B$135)*(IF(O250="",0,O250)&lt;=LK_GradeDerivation!$C$4:$C$135)*LK_GradeDerivation!$E$4:$E$135),1)</f>
        <v>1</v>
      </c>
      <c r="R250" s="59" t="s">
        <v>3136</v>
      </c>
      <c r="S250" s="59" t="s">
        <v>3137</v>
      </c>
      <c r="T250" s="59" t="s">
        <v>782</v>
      </c>
      <c r="U250" s="59" t="s">
        <v>783</v>
      </c>
      <c r="V250" s="59" t="s">
        <v>3138</v>
      </c>
      <c r="W250" s="59" t="s">
        <v>285</v>
      </c>
      <c r="X250" s="59" t="s">
        <v>500</v>
      </c>
      <c r="Y250" s="59" t="s">
        <v>504</v>
      </c>
      <c r="Z250" s="64" t="str">
        <f>IFERROR(VLOOKUP(T250,LK_OrgMaster!$B$4:$H$89,5,FALSE()),"Administration")</f>
        <v>Medical</v>
      </c>
      <c r="AA250" s="65" t="str">
        <f>IFERROR(VLOOKUP(X250,LK_LocationMaster!$D$4:$G$157,4,FALSE()),"No")</f>
        <v>No</v>
      </c>
      <c r="AB250" s="65" t="str">
        <f t="shared" si="14"/>
        <v>No</v>
      </c>
      <c r="AC250" s="65" t="str">
        <f>IFERROR(VLOOKUP(X250,LK_LocationMaster!$D$4:$H$157,5,FALSE()),"No")</f>
        <v>Yes</v>
      </c>
      <c r="AD250" s="59" t="s">
        <v>3139</v>
      </c>
      <c r="AE250" s="59" t="s">
        <v>2344</v>
      </c>
      <c r="AF250" s="59" t="s">
        <v>816</v>
      </c>
      <c r="AG250" s="59" t="s">
        <v>391</v>
      </c>
      <c r="AH250" s="59" t="s">
        <v>3140</v>
      </c>
      <c r="AI250" s="59" t="s">
        <v>285</v>
      </c>
      <c r="AJ250" s="59" t="s">
        <v>833</v>
      </c>
      <c r="AK250" s="59" t="s">
        <v>1013</v>
      </c>
      <c r="AL250" s="64" t="str">
        <f>IFERROR(INDEX(LK_BankMaster!$D$4:$D$23,MATCH(AJ250&amp;"|"&amp;AK250,LK_BankMaster!$H$4:$H$23,0)),"")</f>
        <v/>
      </c>
      <c r="AM250" s="59" t="s">
        <v>3141</v>
      </c>
      <c r="AN250" s="64" t="str">
        <f>IFERROR(VLOOKUP(AJ250,LK_BankMaster!$A$4:$E$23,5,FALSE()),"")</f>
        <v/>
      </c>
      <c r="AO250" s="59" t="s">
        <v>314</v>
      </c>
      <c r="AP250" s="66">
        <v>3</v>
      </c>
      <c r="AQ250" s="64" t="str">
        <f t="shared" si="15"/>
        <v>Position Allowance - General Staff</v>
      </c>
      <c r="AR250" s="65" t="str">
        <f>IFERROR(VLOOKUP(T250,LK_OrgMaster!$B$4:$G$89,6,FALSE()),"No")</f>
        <v>No</v>
      </c>
      <c r="AS250" s="64" t="str">
        <f>IFERROR(VLOOKUP(T250,LK_OrgMaster!$B$4:$H$89,7,FALSE()),"None")</f>
        <v>Medical</v>
      </c>
      <c r="AT250" s="67">
        <v>42047</v>
      </c>
      <c r="AU250" s="67"/>
      <c r="AV250" s="67">
        <v>42047</v>
      </c>
      <c r="AW250" s="67">
        <v>46023</v>
      </c>
      <c r="AX250" s="68" t="s">
        <v>750</v>
      </c>
      <c r="AY250" s="69" t="s">
        <v>6260</v>
      </c>
    </row>
    <row r="251" spans="1:51" ht="15" customHeight="1" x14ac:dyDescent="0.3">
      <c r="A251" s="59" t="s">
        <v>3142</v>
      </c>
      <c r="B251" s="59" t="s">
        <v>729</v>
      </c>
      <c r="C251" s="59" t="s">
        <v>2220</v>
      </c>
      <c r="D251" s="59" t="s">
        <v>989</v>
      </c>
      <c r="E251" s="59" t="s">
        <v>732</v>
      </c>
      <c r="F251" s="60">
        <v>32113</v>
      </c>
      <c r="G251" s="59" t="s">
        <v>3143</v>
      </c>
      <c r="H251" s="59" t="s">
        <v>3144</v>
      </c>
      <c r="I251" s="60">
        <v>42739</v>
      </c>
      <c r="J251" s="61">
        <f t="shared" ca="1" si="12"/>
        <v>9</v>
      </c>
      <c r="K251" s="62">
        <f t="shared" si="13"/>
        <v>54028</v>
      </c>
      <c r="L251" s="59" t="s">
        <v>735</v>
      </c>
      <c r="M251" s="59" t="s">
        <v>893</v>
      </c>
      <c r="N251" s="59" t="s">
        <v>1081</v>
      </c>
      <c r="O251" s="63">
        <v>9</v>
      </c>
      <c r="P251" s="61">
        <f>IFERROR(SUMPRODUCT((LK_GradeDerivation!$A$4:$A$135=N251)*(IF(O251="",0,O251)&gt;=LK_GradeDerivation!$B$4:$B$135)*(IF(O251="",0,O251)&lt;=LK_GradeDerivation!$C$4:$C$135)*LK_GradeDerivation!$D$4:$D$135),1)</f>
        <v>3</v>
      </c>
      <c r="Q251" s="61">
        <f>IFERROR(SUMPRODUCT((LK_GradeDerivation!$A$4:$A$135=N251)*(IF(O251="",0,O251)&gt;=LK_GradeDerivation!$B$4:$B$135)*(IF(O251="",0,O251)&lt;=LK_GradeDerivation!$C$4:$C$135)*LK_GradeDerivation!$E$4:$E$135),1)</f>
        <v>5</v>
      </c>
      <c r="R251" s="59" t="s">
        <v>3145</v>
      </c>
      <c r="S251" s="59" t="s">
        <v>3146</v>
      </c>
      <c r="T251" s="59" t="s">
        <v>952</v>
      </c>
      <c r="U251" s="59" t="s">
        <v>953</v>
      </c>
      <c r="V251" s="59" t="s">
        <v>1577</v>
      </c>
      <c r="W251" s="59" t="s">
        <v>285</v>
      </c>
      <c r="X251" s="59" t="s">
        <v>554</v>
      </c>
      <c r="Y251" s="59" t="s">
        <v>556</v>
      </c>
      <c r="Z251" s="64" t="str">
        <f>IFERROR(VLOOKUP(T251,LK_OrgMaster!$B$4:$H$89,5,FALSE()),"Administration")</f>
        <v>Administration</v>
      </c>
      <c r="AA251" s="65" t="str">
        <f>IFERROR(VLOOKUP(X251,LK_LocationMaster!$D$4:$G$157,4,FALSE()),"No")</f>
        <v>No</v>
      </c>
      <c r="AB251" s="65" t="str">
        <f t="shared" si="14"/>
        <v>No</v>
      </c>
      <c r="AC251" s="65" t="str">
        <f>IFERROR(VLOOKUP(X251,LK_LocationMaster!$D$4:$H$157,5,FALSE()),"No")</f>
        <v>No</v>
      </c>
      <c r="AD251" s="59" t="s">
        <v>1412</v>
      </c>
      <c r="AE251" s="59" t="s">
        <v>3147</v>
      </c>
      <c r="AF251" s="59" t="s">
        <v>801</v>
      </c>
      <c r="AG251" s="59" t="s">
        <v>312</v>
      </c>
      <c r="AH251" s="59" t="s">
        <v>3148</v>
      </c>
      <c r="AI251" s="59" t="s">
        <v>285</v>
      </c>
      <c r="AJ251" s="59" t="s">
        <v>833</v>
      </c>
      <c r="AK251" s="59" t="s">
        <v>1013</v>
      </c>
      <c r="AL251" s="64" t="str">
        <f>IFERROR(INDEX(LK_BankMaster!$D$4:$D$23,MATCH(AJ251&amp;"|"&amp;AK251,LK_BankMaster!$H$4:$H$23,0)),"")</f>
        <v/>
      </c>
      <c r="AM251" s="59" t="s">
        <v>3149</v>
      </c>
      <c r="AN251" s="64" t="str">
        <f>IFERROR(VLOOKUP(AJ251,LK_BankMaster!$A$4:$E$23,5,FALSE()),"")</f>
        <v/>
      </c>
      <c r="AO251" s="59" t="s">
        <v>291</v>
      </c>
      <c r="AP251" s="66">
        <v>0</v>
      </c>
      <c r="AQ251" s="64" t="str">
        <f t="shared" si="15"/>
        <v>Position Allowance - General Staff</v>
      </c>
      <c r="AR251" s="65" t="str">
        <f>IFERROR(VLOOKUP(T251,LK_OrgMaster!$B$4:$G$89,6,FALSE()),"No")</f>
        <v>No</v>
      </c>
      <c r="AS251" s="64" t="str">
        <f>IFERROR(VLOOKUP(T251,LK_OrgMaster!$B$4:$H$89,7,FALSE()),"None")</f>
        <v>None</v>
      </c>
      <c r="AT251" s="70">
        <v>42739</v>
      </c>
      <c r="AU251" s="70"/>
      <c r="AV251" s="70">
        <v>42739</v>
      </c>
      <c r="AW251" s="70">
        <v>46023</v>
      </c>
      <c r="AX251" s="71" t="s">
        <v>750</v>
      </c>
      <c r="AY251" s="72" t="s">
        <v>6260</v>
      </c>
    </row>
    <row r="252" spans="1:51" ht="15" customHeight="1" x14ac:dyDescent="0.3">
      <c r="A252" s="59" t="s">
        <v>3150</v>
      </c>
      <c r="B252" s="59" t="s">
        <v>729</v>
      </c>
      <c r="C252" s="59" t="s">
        <v>2042</v>
      </c>
      <c r="D252" s="59" t="s">
        <v>774</v>
      </c>
      <c r="E252" s="59" t="s">
        <v>732</v>
      </c>
      <c r="F252" s="60">
        <v>24486</v>
      </c>
      <c r="G252" s="59" t="s">
        <v>3151</v>
      </c>
      <c r="H252" s="59" t="s">
        <v>3152</v>
      </c>
      <c r="I252" s="60">
        <v>33263</v>
      </c>
      <c r="J252" s="61">
        <f t="shared" ca="1" si="12"/>
        <v>35</v>
      </c>
      <c r="K252" s="62">
        <f t="shared" si="13"/>
        <v>46401</v>
      </c>
      <c r="L252" s="59" t="s">
        <v>735</v>
      </c>
      <c r="M252" s="59" t="s">
        <v>992</v>
      </c>
      <c r="N252" s="59" t="s">
        <v>1081</v>
      </c>
      <c r="O252" s="63">
        <v>4</v>
      </c>
      <c r="P252" s="61">
        <f>IFERROR(SUMPRODUCT((LK_GradeDerivation!$A$4:$A$135=N252)*(IF(O252="",0,O252)&gt;=LK_GradeDerivation!$B$4:$B$135)*(IF(O252="",0,O252)&lt;=LK_GradeDerivation!$C$4:$C$135)*LK_GradeDerivation!$D$4:$D$135),1)</f>
        <v>3</v>
      </c>
      <c r="Q252" s="61">
        <f>IFERROR(SUMPRODUCT((LK_GradeDerivation!$A$4:$A$135=N252)*(IF(O252="",0,O252)&gt;=LK_GradeDerivation!$B$4:$B$135)*(IF(O252="",0,O252)&lt;=LK_GradeDerivation!$C$4:$C$135)*LK_GradeDerivation!$E$4:$E$135),1)</f>
        <v>3</v>
      </c>
      <c r="R252" s="59" t="s">
        <v>3153</v>
      </c>
      <c r="S252" s="59" t="s">
        <v>3154</v>
      </c>
      <c r="T252" s="59" t="s">
        <v>740</v>
      </c>
      <c r="U252" s="59" t="s">
        <v>927</v>
      </c>
      <c r="V252" s="59" t="s">
        <v>928</v>
      </c>
      <c r="W252" s="59" t="s">
        <v>285</v>
      </c>
      <c r="X252" s="59" t="s">
        <v>340</v>
      </c>
      <c r="Y252" s="59" t="s">
        <v>348</v>
      </c>
      <c r="Z252" s="64" t="str">
        <f>IFERROR(VLOOKUP(T252,LK_OrgMaster!$B$4:$H$89,5,FALSE()),"Administration")</f>
        <v>Teacher</v>
      </c>
      <c r="AA252" s="65" t="str">
        <f>IFERROR(VLOOKUP(X252,LK_LocationMaster!$D$4:$G$157,4,FALSE()),"No")</f>
        <v>No</v>
      </c>
      <c r="AB252" s="65" t="str">
        <f t="shared" si="14"/>
        <v>No</v>
      </c>
      <c r="AC252" s="65" t="str">
        <f>IFERROR(VLOOKUP(X252,LK_LocationMaster!$D$4:$H$157,5,FALSE()),"No")</f>
        <v>No</v>
      </c>
      <c r="AD252" s="59" t="s">
        <v>3155</v>
      </c>
      <c r="AE252" s="59" t="s">
        <v>765</v>
      </c>
      <c r="AF252" s="59" t="s">
        <v>801</v>
      </c>
      <c r="AG252" s="59" t="s">
        <v>356</v>
      </c>
      <c r="AH252" s="59" t="s">
        <v>3156</v>
      </c>
      <c r="AI252" s="59" t="s">
        <v>285</v>
      </c>
      <c r="AJ252" s="59" t="s">
        <v>818</v>
      </c>
      <c r="AK252" s="59" t="s">
        <v>944</v>
      </c>
      <c r="AL252" s="64" t="str">
        <f>IFERROR(INDEX(LK_BankMaster!$D$4:$D$23,MATCH(AJ252&amp;"|"&amp;AK252,LK_BankMaster!$H$4:$H$23,0)),"")</f>
        <v/>
      </c>
      <c r="AM252" s="59" t="s">
        <v>3157</v>
      </c>
      <c r="AN252" s="64" t="str">
        <f>IFERROR(VLOOKUP(AJ252,LK_BankMaster!$A$4:$E$23,5,FALSE()),"")</f>
        <v/>
      </c>
      <c r="AO252" s="59" t="s">
        <v>314</v>
      </c>
      <c r="AP252" s="66">
        <v>0</v>
      </c>
      <c r="AQ252" s="64" t="str">
        <f t="shared" si="15"/>
        <v>Position Allowance - General Staff</v>
      </c>
      <c r="AR252" s="65" t="str">
        <f>IFERROR(VLOOKUP(T252,LK_OrgMaster!$B$4:$G$89,6,FALSE()),"No")</f>
        <v>No</v>
      </c>
      <c r="AS252" s="64" t="str">
        <f>IFERROR(VLOOKUP(T252,LK_OrgMaster!$B$4:$H$89,7,FALSE()),"None")</f>
        <v>Teaching</v>
      </c>
      <c r="AT252" s="67">
        <v>33263</v>
      </c>
      <c r="AU252" s="67"/>
      <c r="AV252" s="67">
        <v>33263</v>
      </c>
      <c r="AW252" s="67">
        <v>46023</v>
      </c>
      <c r="AX252" s="68" t="s">
        <v>750</v>
      </c>
      <c r="AY252" s="69" t="s">
        <v>6260</v>
      </c>
    </row>
    <row r="253" spans="1:51" ht="15" customHeight="1" x14ac:dyDescent="0.3">
      <c r="A253" s="59" t="s">
        <v>3158</v>
      </c>
      <c r="B253" s="59" t="s">
        <v>752</v>
      </c>
      <c r="C253" s="59" t="s">
        <v>2042</v>
      </c>
      <c r="D253" s="59" t="s">
        <v>1289</v>
      </c>
      <c r="E253" s="59" t="s">
        <v>732</v>
      </c>
      <c r="F253" s="60">
        <v>24337</v>
      </c>
      <c r="G253" s="59" t="s">
        <v>3159</v>
      </c>
      <c r="H253" s="59" t="s">
        <v>3160</v>
      </c>
      <c r="I253" s="60">
        <v>33527</v>
      </c>
      <c r="J253" s="61">
        <f t="shared" ca="1" si="12"/>
        <v>34</v>
      </c>
      <c r="K253" s="62">
        <f t="shared" si="13"/>
        <v>46252</v>
      </c>
      <c r="L253" s="59" t="s">
        <v>735</v>
      </c>
      <c r="M253" s="59" t="s">
        <v>1334</v>
      </c>
      <c r="N253" s="59" t="s">
        <v>737</v>
      </c>
      <c r="O253" s="63">
        <v>3</v>
      </c>
      <c r="P253" s="61">
        <f>IFERROR(SUMPRODUCT((LK_GradeDerivation!$A$4:$A$135=N253)*(IF(O253="",0,O253)&gt;=LK_GradeDerivation!$B$4:$B$135)*(IF(O253="",0,O253)&lt;=LK_GradeDerivation!$C$4:$C$135)*LK_GradeDerivation!$D$4:$D$135),1)</f>
        <v>4</v>
      </c>
      <c r="Q253" s="61">
        <f>IFERROR(SUMPRODUCT((LK_GradeDerivation!$A$4:$A$135=N253)*(IF(O253="",0,O253)&gt;=LK_GradeDerivation!$B$4:$B$135)*(IF(O253="",0,O253)&lt;=LK_GradeDerivation!$C$4:$C$135)*LK_GradeDerivation!$E$4:$E$135),1)</f>
        <v>2</v>
      </c>
      <c r="R253" s="59" t="s">
        <v>3161</v>
      </c>
      <c r="S253" s="59" t="s">
        <v>3162</v>
      </c>
      <c r="T253" s="59" t="s">
        <v>740</v>
      </c>
      <c r="U253" s="59" t="s">
        <v>927</v>
      </c>
      <c r="V253" s="59" t="s">
        <v>928</v>
      </c>
      <c r="W253" s="59" t="s">
        <v>285</v>
      </c>
      <c r="X253" s="59" t="s">
        <v>575</v>
      </c>
      <c r="Y253" s="59" t="s">
        <v>577</v>
      </c>
      <c r="Z253" s="64" t="str">
        <f>IFERROR(VLOOKUP(T253,LK_OrgMaster!$B$4:$H$89,5,FALSE()),"Administration")</f>
        <v>Teacher</v>
      </c>
      <c r="AA253" s="65" t="str">
        <f>IFERROR(VLOOKUP(X253,LK_LocationMaster!$D$4:$G$157,4,FALSE()),"No")</f>
        <v>Yes</v>
      </c>
      <c r="AB253" s="65" t="str">
        <f t="shared" si="14"/>
        <v>No</v>
      </c>
      <c r="AC253" s="65" t="str">
        <f>IFERROR(VLOOKUP(X253,LK_LocationMaster!$D$4:$H$157,5,FALSE()),"No")</f>
        <v>Yes</v>
      </c>
      <c r="AD253" s="59" t="s">
        <v>3163</v>
      </c>
      <c r="AE253" s="59" t="s">
        <v>997</v>
      </c>
      <c r="AF253" s="59" t="s">
        <v>984</v>
      </c>
      <c r="AG253" s="59" t="s">
        <v>368</v>
      </c>
      <c r="AH253" s="59" t="s">
        <v>3164</v>
      </c>
      <c r="AI253" s="59" t="s">
        <v>285</v>
      </c>
      <c r="AJ253" s="59" t="s">
        <v>818</v>
      </c>
      <c r="AK253" s="59" t="s">
        <v>944</v>
      </c>
      <c r="AL253" s="64" t="str">
        <f>IFERROR(INDEX(LK_BankMaster!$D$4:$D$23,MATCH(AJ253&amp;"|"&amp;AK253,LK_BankMaster!$H$4:$H$23,0)),"")</f>
        <v/>
      </c>
      <c r="AM253" s="59" t="s">
        <v>3165</v>
      </c>
      <c r="AN253" s="64" t="str">
        <f>IFERROR(VLOOKUP(AJ253,LK_BankMaster!$A$4:$E$23,5,FALSE()),"")</f>
        <v/>
      </c>
      <c r="AO253" s="59" t="s">
        <v>314</v>
      </c>
      <c r="AP253" s="66">
        <v>3</v>
      </c>
      <c r="AQ253" s="64" t="str">
        <f t="shared" si="15"/>
        <v>Position Allowance - General Staff</v>
      </c>
      <c r="AR253" s="65" t="str">
        <f>IFERROR(VLOOKUP(T253,LK_OrgMaster!$B$4:$G$89,6,FALSE()),"No")</f>
        <v>No</v>
      </c>
      <c r="AS253" s="64" t="str">
        <f>IFERROR(VLOOKUP(T253,LK_OrgMaster!$B$4:$H$89,7,FALSE()),"None")</f>
        <v>Teaching</v>
      </c>
      <c r="AT253" s="70">
        <v>33527</v>
      </c>
      <c r="AU253" s="70"/>
      <c r="AV253" s="70">
        <v>33527</v>
      </c>
      <c r="AW253" s="70">
        <v>46023</v>
      </c>
      <c r="AX253" s="71" t="s">
        <v>750</v>
      </c>
      <c r="AY253" s="72" t="s">
        <v>6260</v>
      </c>
    </row>
    <row r="254" spans="1:51" ht="15" customHeight="1" x14ac:dyDescent="0.3">
      <c r="A254" s="59" t="s">
        <v>3166</v>
      </c>
      <c r="B254" s="59" t="s">
        <v>772</v>
      </c>
      <c r="C254" s="59" t="s">
        <v>3167</v>
      </c>
      <c r="D254" s="59" t="s">
        <v>1395</v>
      </c>
      <c r="E254" s="59" t="s">
        <v>775</v>
      </c>
      <c r="F254" s="60">
        <v>27182</v>
      </c>
      <c r="G254" s="59" t="s">
        <v>3168</v>
      </c>
      <c r="H254" s="59" t="s">
        <v>3169</v>
      </c>
      <c r="I254" s="60">
        <v>37786</v>
      </c>
      <c r="J254" s="61">
        <f t="shared" ca="1" si="12"/>
        <v>22</v>
      </c>
      <c r="K254" s="62">
        <f t="shared" si="13"/>
        <v>49097</v>
      </c>
      <c r="L254" s="59" t="s">
        <v>735</v>
      </c>
      <c r="M254" s="59" t="s">
        <v>3028</v>
      </c>
      <c r="N254" s="59" t="s">
        <v>737</v>
      </c>
      <c r="O254" s="63">
        <v>7</v>
      </c>
      <c r="P254" s="61">
        <f>IFERROR(SUMPRODUCT((LK_GradeDerivation!$A$4:$A$135=N254)*(IF(O254="",0,O254)&gt;=LK_GradeDerivation!$B$4:$B$135)*(IF(O254="",0,O254)&lt;=LK_GradeDerivation!$C$4:$C$135)*LK_GradeDerivation!$D$4:$D$135),1)</f>
        <v>4</v>
      </c>
      <c r="Q254" s="61">
        <f>IFERROR(SUMPRODUCT((LK_GradeDerivation!$A$4:$A$135=N254)*(IF(O254="",0,O254)&gt;=LK_GradeDerivation!$B$4:$B$135)*(IF(O254="",0,O254)&lt;=LK_GradeDerivation!$C$4:$C$135)*LK_GradeDerivation!$E$4:$E$135),1)</f>
        <v>4</v>
      </c>
      <c r="R254" s="59" t="s">
        <v>3170</v>
      </c>
      <c r="S254" s="59" t="s">
        <v>3171</v>
      </c>
      <c r="T254" s="59" t="s">
        <v>1118</v>
      </c>
      <c r="U254" s="59" t="s">
        <v>1874</v>
      </c>
      <c r="V254" s="59" t="s">
        <v>3172</v>
      </c>
      <c r="W254" s="59" t="s">
        <v>285</v>
      </c>
      <c r="X254" s="59" t="s">
        <v>443</v>
      </c>
      <c r="Y254" s="59" t="s">
        <v>447</v>
      </c>
      <c r="Z254" s="64" t="str">
        <f>IFERROR(VLOOKUP(T254,LK_OrgMaster!$B$4:$H$89,5,FALSE()),"Administration")</f>
        <v>Diplomatic</v>
      </c>
      <c r="AA254" s="65" t="str">
        <f>IFERROR(VLOOKUP(X254,LK_LocationMaster!$D$4:$G$157,4,FALSE()),"No")</f>
        <v>No</v>
      </c>
      <c r="AB254" s="65" t="str">
        <f t="shared" si="14"/>
        <v>No</v>
      </c>
      <c r="AC254" s="65" t="str">
        <f>IFERROR(VLOOKUP(X254,LK_LocationMaster!$D$4:$H$157,5,FALSE()),"No")</f>
        <v>No</v>
      </c>
      <c r="AD254" s="59" t="s">
        <v>1709</v>
      </c>
      <c r="AE254" s="59" t="s">
        <v>3173</v>
      </c>
      <c r="AF254" s="59" t="s">
        <v>766</v>
      </c>
      <c r="AG254" s="59" t="s">
        <v>408</v>
      </c>
      <c r="AH254" s="59" t="s">
        <v>3174</v>
      </c>
      <c r="AI254" s="59" t="s">
        <v>285</v>
      </c>
      <c r="AJ254" s="59" t="s">
        <v>788</v>
      </c>
      <c r="AK254" s="59" t="s">
        <v>903</v>
      </c>
      <c r="AL254" s="64" t="str">
        <f>IFERROR(INDEX(LK_BankMaster!$D$4:$D$23,MATCH(AJ254&amp;"|"&amp;AK254,LK_BankMaster!$H$4:$H$23,0)),"")</f>
        <v/>
      </c>
      <c r="AM254" s="59" t="s">
        <v>3175</v>
      </c>
      <c r="AN254" s="64" t="str">
        <f>IFERROR(VLOOKUP(AJ254,LK_BankMaster!$A$4:$E$23,5,FALSE()),"")</f>
        <v/>
      </c>
      <c r="AO254" s="59" t="s">
        <v>314</v>
      </c>
      <c r="AP254" s="66">
        <v>0</v>
      </c>
      <c r="AQ254" s="64" t="str">
        <f t="shared" si="15"/>
        <v>Position Allowance - General Staff</v>
      </c>
      <c r="AR254" s="65" t="str">
        <f>IFERROR(VLOOKUP(T254,LK_OrgMaster!$B$4:$G$89,6,FALSE()),"No")</f>
        <v>No</v>
      </c>
      <c r="AS254" s="64" t="str">
        <f>IFERROR(VLOOKUP(T254,LK_OrgMaster!$B$4:$H$89,7,FALSE()),"None")</f>
        <v>None</v>
      </c>
      <c r="AT254" s="67">
        <v>37786</v>
      </c>
      <c r="AU254" s="67"/>
      <c r="AV254" s="67">
        <v>37786</v>
      </c>
      <c r="AW254" s="67">
        <v>46023</v>
      </c>
      <c r="AX254" s="68" t="s">
        <v>750</v>
      </c>
      <c r="AY254" s="69" t="s">
        <v>6260</v>
      </c>
    </row>
    <row r="255" spans="1:51" ht="15" customHeight="1" x14ac:dyDescent="0.3">
      <c r="A255" s="59" t="s">
        <v>3176</v>
      </c>
      <c r="B255" s="59" t="s">
        <v>729</v>
      </c>
      <c r="C255" s="59" t="s">
        <v>3177</v>
      </c>
      <c r="D255" s="59" t="s">
        <v>1759</v>
      </c>
      <c r="E255" s="59" t="s">
        <v>732</v>
      </c>
      <c r="F255" s="60">
        <v>29802</v>
      </c>
      <c r="G255" s="59" t="s">
        <v>3178</v>
      </c>
      <c r="H255" s="59" t="s">
        <v>3179</v>
      </c>
      <c r="I255" s="60">
        <v>32565</v>
      </c>
      <c r="J255" s="61">
        <f t="shared" ca="1" si="12"/>
        <v>37</v>
      </c>
      <c r="K255" s="62">
        <f t="shared" si="13"/>
        <v>51717</v>
      </c>
      <c r="L255" s="59" t="s">
        <v>735</v>
      </c>
      <c r="M255" s="59" t="s">
        <v>757</v>
      </c>
      <c r="N255" s="59" t="s">
        <v>758</v>
      </c>
      <c r="O255" s="63">
        <v>0</v>
      </c>
      <c r="P255" s="61">
        <f>IFERROR(SUMPRODUCT((LK_GradeDerivation!$A$4:$A$135=N255)*(IF(O255="",0,O255)&gt;=LK_GradeDerivation!$B$4:$B$135)*(IF(O255="",0,O255)&lt;=LK_GradeDerivation!$C$4:$C$135)*LK_GradeDerivation!$D$4:$D$135),1)</f>
        <v>5</v>
      </c>
      <c r="Q255" s="61">
        <f>IFERROR(SUMPRODUCT((LK_GradeDerivation!$A$4:$A$135=N255)*(IF(O255="",0,O255)&gt;=LK_GradeDerivation!$B$4:$B$135)*(IF(O255="",0,O255)&lt;=LK_GradeDerivation!$C$4:$C$135)*LK_GradeDerivation!$E$4:$E$135),1)</f>
        <v>1</v>
      </c>
      <c r="R255" s="59" t="s">
        <v>3180</v>
      </c>
      <c r="S255" s="59" t="s">
        <v>3181</v>
      </c>
      <c r="T255" s="59" t="s">
        <v>896</v>
      </c>
      <c r="U255" s="59" t="s">
        <v>1639</v>
      </c>
      <c r="V255" s="59" t="s">
        <v>2624</v>
      </c>
      <c r="W255" s="59" t="s">
        <v>285</v>
      </c>
      <c r="X255" s="59" t="s">
        <v>288</v>
      </c>
      <c r="Y255" s="59" t="s">
        <v>300</v>
      </c>
      <c r="Z255" s="64" t="str">
        <f>IFERROR(VLOOKUP(T255,LK_OrgMaster!$B$4:$H$89,5,FALSE()),"Administration")</f>
        <v>Administration</v>
      </c>
      <c r="AA255" s="65" t="str">
        <f>IFERROR(VLOOKUP(X255,LK_LocationMaster!$D$4:$G$157,4,FALSE()),"No")</f>
        <v>No</v>
      </c>
      <c r="AB255" s="65" t="str">
        <f t="shared" si="14"/>
        <v>No</v>
      </c>
      <c r="AC255" s="65" t="str">
        <f>IFERROR(VLOOKUP(X255,LK_LocationMaster!$D$4:$H$157,5,FALSE()),"No")</f>
        <v>No</v>
      </c>
      <c r="AD255" s="59" t="s">
        <v>3182</v>
      </c>
      <c r="AE255" s="59" t="s">
        <v>765</v>
      </c>
      <c r="AF255" s="59" t="s">
        <v>801</v>
      </c>
      <c r="AG255" s="59" t="s">
        <v>356</v>
      </c>
      <c r="AH255" s="59" t="s">
        <v>3183</v>
      </c>
      <c r="AI255" s="59" t="s">
        <v>285</v>
      </c>
      <c r="AJ255" s="59" t="s">
        <v>768</v>
      </c>
      <c r="AK255" s="59" t="s">
        <v>803</v>
      </c>
      <c r="AL255" s="64" t="str">
        <f>IFERROR(INDEX(LK_BankMaster!$D$4:$D$23,MATCH(AJ255&amp;"|"&amp;AK255,LK_BankMaster!$H$4:$H$23,0)),"")</f>
        <v/>
      </c>
      <c r="AM255" s="59" t="s">
        <v>3184</v>
      </c>
      <c r="AN255" s="64" t="str">
        <f>IFERROR(VLOOKUP(AJ255,LK_BankMaster!$A$4:$E$23,5,FALSE()),"")</f>
        <v/>
      </c>
      <c r="AO255" s="59" t="s">
        <v>291</v>
      </c>
      <c r="AP255" s="66">
        <v>0</v>
      </c>
      <c r="AQ255" s="64" t="str">
        <f t="shared" si="15"/>
        <v>Position Allowance - General Staff</v>
      </c>
      <c r="AR255" s="65" t="str">
        <f>IFERROR(VLOOKUP(T255,LK_OrgMaster!$B$4:$G$89,6,FALSE()),"No")</f>
        <v>No</v>
      </c>
      <c r="AS255" s="64" t="str">
        <f>IFERROR(VLOOKUP(T255,LK_OrgMaster!$B$4:$H$89,7,FALSE()),"None")</f>
        <v>None</v>
      </c>
      <c r="AT255" s="70">
        <v>32565</v>
      </c>
      <c r="AU255" s="70"/>
      <c r="AV255" s="70">
        <v>32565</v>
      </c>
      <c r="AW255" s="70">
        <v>46023</v>
      </c>
      <c r="AX255" s="71" t="s">
        <v>750</v>
      </c>
      <c r="AY255" s="72" t="s">
        <v>6260</v>
      </c>
    </row>
    <row r="256" spans="1:51" ht="15" customHeight="1" x14ac:dyDescent="0.3">
      <c r="A256" s="59" t="s">
        <v>3185</v>
      </c>
      <c r="B256" s="59" t="s">
        <v>772</v>
      </c>
      <c r="C256" s="59" t="s">
        <v>3186</v>
      </c>
      <c r="D256" s="59" t="s">
        <v>1017</v>
      </c>
      <c r="E256" s="59" t="s">
        <v>732</v>
      </c>
      <c r="F256" s="60">
        <v>35188</v>
      </c>
      <c r="G256" s="59" t="s">
        <v>3187</v>
      </c>
      <c r="H256" s="59" t="s">
        <v>3188</v>
      </c>
      <c r="I256" s="60">
        <v>43749</v>
      </c>
      <c r="J256" s="61">
        <f t="shared" ca="1" si="12"/>
        <v>6</v>
      </c>
      <c r="K256" s="62">
        <f t="shared" si="13"/>
        <v>57103</v>
      </c>
      <c r="L256" s="59" t="s">
        <v>735</v>
      </c>
      <c r="M256" s="59" t="s">
        <v>757</v>
      </c>
      <c r="N256" s="59" t="s">
        <v>737</v>
      </c>
      <c r="O256" s="63">
        <v>1</v>
      </c>
      <c r="P256" s="61">
        <f>IFERROR(SUMPRODUCT((LK_GradeDerivation!$A$4:$A$135=N256)*(IF(O256="",0,O256)&gt;=LK_GradeDerivation!$B$4:$B$135)*(IF(O256="",0,O256)&lt;=LK_GradeDerivation!$C$4:$C$135)*LK_GradeDerivation!$D$4:$D$135),1)</f>
        <v>4</v>
      </c>
      <c r="Q256" s="61">
        <f>IFERROR(SUMPRODUCT((LK_GradeDerivation!$A$4:$A$135=N256)*(IF(O256="",0,O256)&gt;=LK_GradeDerivation!$B$4:$B$135)*(IF(O256="",0,O256)&lt;=LK_GradeDerivation!$C$4:$C$135)*LK_GradeDerivation!$E$4:$E$135),1)</f>
        <v>1</v>
      </c>
      <c r="R256" s="59" t="s">
        <v>3189</v>
      </c>
      <c r="S256" s="59" t="s">
        <v>3190</v>
      </c>
      <c r="T256" s="59" t="s">
        <v>952</v>
      </c>
      <c r="U256" s="59" t="s">
        <v>1229</v>
      </c>
      <c r="V256" s="59" t="s">
        <v>2234</v>
      </c>
      <c r="W256" s="59" t="s">
        <v>285</v>
      </c>
      <c r="X256" s="59" t="s">
        <v>575</v>
      </c>
      <c r="Y256" s="59" t="s">
        <v>583</v>
      </c>
      <c r="Z256" s="64" t="str">
        <f>IFERROR(VLOOKUP(T256,LK_OrgMaster!$B$4:$H$89,5,FALSE()),"Administration")</f>
        <v>Administration</v>
      </c>
      <c r="AA256" s="65" t="str">
        <f>IFERROR(VLOOKUP(X256,LK_LocationMaster!$D$4:$G$157,4,FALSE()),"No")</f>
        <v>Yes</v>
      </c>
      <c r="AB256" s="65" t="str">
        <f t="shared" si="14"/>
        <v>No</v>
      </c>
      <c r="AC256" s="65" t="str">
        <f>IFERROR(VLOOKUP(X256,LK_LocationMaster!$D$4:$H$157,5,FALSE()),"No")</f>
        <v>Yes</v>
      </c>
      <c r="AD256" s="59" t="s">
        <v>2166</v>
      </c>
      <c r="AE256" s="59" t="s">
        <v>1999</v>
      </c>
      <c r="AF256" s="59" t="s">
        <v>901</v>
      </c>
      <c r="AG256" s="59" t="s">
        <v>356</v>
      </c>
      <c r="AH256" s="59" t="s">
        <v>3191</v>
      </c>
      <c r="AI256" s="59" t="s">
        <v>285</v>
      </c>
      <c r="AJ256" s="59" t="s">
        <v>818</v>
      </c>
      <c r="AK256" s="59" t="s">
        <v>819</v>
      </c>
      <c r="AL256" s="64" t="str">
        <f>IFERROR(INDEX(LK_BankMaster!$D$4:$D$23,MATCH(AJ256&amp;"|"&amp;AK256,LK_BankMaster!$H$4:$H$23,0)),"")</f>
        <v/>
      </c>
      <c r="AM256" s="59" t="s">
        <v>3192</v>
      </c>
      <c r="AN256" s="64" t="str">
        <f>IFERROR(VLOOKUP(AJ256,LK_BankMaster!$A$4:$E$23,5,FALSE()),"")</f>
        <v/>
      </c>
      <c r="AO256" s="59" t="s">
        <v>291</v>
      </c>
      <c r="AP256" s="66">
        <v>0</v>
      </c>
      <c r="AQ256" s="64" t="str">
        <f t="shared" si="15"/>
        <v>Position Allowance - General Staff</v>
      </c>
      <c r="AR256" s="65" t="str">
        <f>IFERROR(VLOOKUP(T256,LK_OrgMaster!$B$4:$G$89,6,FALSE()),"No")</f>
        <v>No</v>
      </c>
      <c r="AS256" s="64" t="str">
        <f>IFERROR(VLOOKUP(T256,LK_OrgMaster!$B$4:$H$89,7,FALSE()),"None")</f>
        <v>None</v>
      </c>
      <c r="AT256" s="67">
        <v>43749</v>
      </c>
      <c r="AU256" s="67"/>
      <c r="AV256" s="67">
        <v>43749</v>
      </c>
      <c r="AW256" s="67">
        <v>46023</v>
      </c>
      <c r="AX256" s="68" t="s">
        <v>750</v>
      </c>
      <c r="AY256" s="69" t="s">
        <v>6260</v>
      </c>
    </row>
    <row r="257" spans="1:51" ht="15" customHeight="1" x14ac:dyDescent="0.3">
      <c r="A257" s="59" t="s">
        <v>3193</v>
      </c>
      <c r="B257" s="59" t="s">
        <v>729</v>
      </c>
      <c r="C257" s="59" t="s">
        <v>2134</v>
      </c>
      <c r="D257" s="59" t="s">
        <v>774</v>
      </c>
      <c r="E257" s="59" t="s">
        <v>732</v>
      </c>
      <c r="F257" s="60">
        <v>36745</v>
      </c>
      <c r="G257" s="59" t="s">
        <v>3194</v>
      </c>
      <c r="H257" s="59" t="s">
        <v>3195</v>
      </c>
      <c r="I257" s="60">
        <v>33682</v>
      </c>
      <c r="J257" s="61">
        <f t="shared" ca="1" si="12"/>
        <v>33</v>
      </c>
      <c r="K257" s="62">
        <f t="shared" si="13"/>
        <v>58660</v>
      </c>
      <c r="L257" s="59" t="s">
        <v>735</v>
      </c>
      <c r="M257" s="59" t="s">
        <v>1483</v>
      </c>
      <c r="N257" s="59" t="s">
        <v>779</v>
      </c>
      <c r="O257" s="63">
        <v>0</v>
      </c>
      <c r="P257" s="61">
        <f>IFERROR(SUMPRODUCT((LK_GradeDerivation!$A$4:$A$135=N257)*(IF(O257="",0,O257)&gt;=LK_GradeDerivation!$B$4:$B$135)*(IF(O257="",0,O257)&lt;=LK_GradeDerivation!$C$4:$C$135)*LK_GradeDerivation!$D$4:$D$135),1)</f>
        <v>2</v>
      </c>
      <c r="Q257" s="61">
        <f>IFERROR(SUMPRODUCT((LK_GradeDerivation!$A$4:$A$135=N257)*(IF(O257="",0,O257)&gt;=LK_GradeDerivation!$B$4:$B$135)*(IF(O257="",0,O257)&lt;=LK_GradeDerivation!$C$4:$C$135)*LK_GradeDerivation!$E$4:$E$135),1)</f>
        <v>1</v>
      </c>
      <c r="R257" s="59" t="s">
        <v>3196</v>
      </c>
      <c r="S257" s="59" t="s">
        <v>3197</v>
      </c>
      <c r="T257" s="59" t="s">
        <v>952</v>
      </c>
      <c r="U257" s="59" t="s">
        <v>2972</v>
      </c>
      <c r="V257" s="59" t="s">
        <v>763</v>
      </c>
      <c r="W257" s="59" t="s">
        <v>285</v>
      </c>
      <c r="X257" s="59" t="s">
        <v>544</v>
      </c>
      <c r="Y257" s="59" t="s">
        <v>550</v>
      </c>
      <c r="Z257" s="64" t="str">
        <f>IFERROR(VLOOKUP(T257,LK_OrgMaster!$B$4:$H$89,5,FALSE()),"Administration")</f>
        <v>Administration</v>
      </c>
      <c r="AA257" s="65" t="str">
        <f>IFERROR(VLOOKUP(X257,LK_LocationMaster!$D$4:$G$157,4,FALSE()),"No")</f>
        <v>Yes</v>
      </c>
      <c r="AB257" s="65" t="str">
        <f t="shared" si="14"/>
        <v>No</v>
      </c>
      <c r="AC257" s="65" t="str">
        <f>IFERROR(VLOOKUP(X257,LK_LocationMaster!$D$4:$H$157,5,FALSE()),"No")</f>
        <v>Yes</v>
      </c>
      <c r="AD257" s="59" t="s">
        <v>3198</v>
      </c>
      <c r="AE257" s="59" t="s">
        <v>765</v>
      </c>
      <c r="AF257" s="59" t="s">
        <v>915</v>
      </c>
      <c r="AG257" s="59" t="s">
        <v>340</v>
      </c>
      <c r="AH257" s="59" t="s">
        <v>3199</v>
      </c>
      <c r="AI257" s="59" t="s">
        <v>285</v>
      </c>
      <c r="AJ257" s="59" t="s">
        <v>747</v>
      </c>
      <c r="AK257" s="59" t="s">
        <v>748</v>
      </c>
      <c r="AL257" s="64" t="str">
        <f>IFERROR(INDEX(LK_BankMaster!$D$4:$D$23,MATCH(AJ257&amp;"|"&amp;AK257,LK_BankMaster!$H$4:$H$23,0)),"")</f>
        <v/>
      </c>
      <c r="AM257" s="59" t="s">
        <v>3200</v>
      </c>
      <c r="AN257" s="64" t="str">
        <f>IFERROR(VLOOKUP(AJ257,LK_BankMaster!$A$4:$E$23,5,FALSE()),"")</f>
        <v/>
      </c>
      <c r="AO257" s="59" t="s">
        <v>291</v>
      </c>
      <c r="AP257" s="66">
        <v>0</v>
      </c>
      <c r="AQ257" s="64" t="str">
        <f t="shared" si="15"/>
        <v>Position Allowance - General Staff</v>
      </c>
      <c r="AR257" s="65" t="str">
        <f>IFERROR(VLOOKUP(T257,LK_OrgMaster!$B$4:$G$89,6,FALSE()),"No")</f>
        <v>No</v>
      </c>
      <c r="AS257" s="64" t="str">
        <f>IFERROR(VLOOKUP(T257,LK_OrgMaster!$B$4:$H$89,7,FALSE()),"None")</f>
        <v>None</v>
      </c>
      <c r="AT257" s="70">
        <v>33682</v>
      </c>
      <c r="AU257" s="70"/>
      <c r="AV257" s="70">
        <v>33682</v>
      </c>
      <c r="AW257" s="70">
        <v>46023</v>
      </c>
      <c r="AX257" s="71" t="s">
        <v>750</v>
      </c>
      <c r="AY257" s="72" t="s">
        <v>6260</v>
      </c>
    </row>
    <row r="258" spans="1:51" ht="15" customHeight="1" x14ac:dyDescent="0.3">
      <c r="A258" s="59" t="s">
        <v>3201</v>
      </c>
      <c r="B258" s="59" t="s">
        <v>772</v>
      </c>
      <c r="C258" s="59" t="s">
        <v>988</v>
      </c>
      <c r="D258" s="59" t="s">
        <v>1663</v>
      </c>
      <c r="E258" s="59" t="s">
        <v>732</v>
      </c>
      <c r="F258" s="60">
        <v>30824</v>
      </c>
      <c r="G258" s="59" t="s">
        <v>3202</v>
      </c>
      <c r="H258" s="59" t="s">
        <v>3203</v>
      </c>
      <c r="I258" s="60">
        <v>39392</v>
      </c>
      <c r="J258" s="61">
        <f t="shared" ca="1" si="12"/>
        <v>18</v>
      </c>
      <c r="K258" s="62">
        <f t="shared" si="13"/>
        <v>52739</v>
      </c>
      <c r="L258" s="59" t="s">
        <v>735</v>
      </c>
      <c r="M258" s="59" t="s">
        <v>1574</v>
      </c>
      <c r="N258" s="59" t="s">
        <v>758</v>
      </c>
      <c r="O258" s="63">
        <v>0</v>
      </c>
      <c r="P258" s="61">
        <f>IFERROR(SUMPRODUCT((LK_GradeDerivation!$A$4:$A$135=N258)*(IF(O258="",0,O258)&gt;=LK_GradeDerivation!$B$4:$B$135)*(IF(O258="",0,O258)&lt;=LK_GradeDerivation!$C$4:$C$135)*LK_GradeDerivation!$D$4:$D$135),1)</f>
        <v>5</v>
      </c>
      <c r="Q258" s="61">
        <f>IFERROR(SUMPRODUCT((LK_GradeDerivation!$A$4:$A$135=N258)*(IF(O258="",0,O258)&gt;=LK_GradeDerivation!$B$4:$B$135)*(IF(O258="",0,O258)&lt;=LK_GradeDerivation!$C$4:$C$135)*LK_GradeDerivation!$E$4:$E$135),1)</f>
        <v>1</v>
      </c>
      <c r="R258" s="59" t="s">
        <v>3204</v>
      </c>
      <c r="S258" s="59" t="s">
        <v>3205</v>
      </c>
      <c r="T258" s="59" t="s">
        <v>1096</v>
      </c>
      <c r="U258" s="59" t="s">
        <v>953</v>
      </c>
      <c r="V258" s="59" t="s">
        <v>763</v>
      </c>
      <c r="W258" s="59" t="s">
        <v>285</v>
      </c>
      <c r="X258" s="59" t="s">
        <v>500</v>
      </c>
      <c r="Y258" s="59" t="s">
        <v>507</v>
      </c>
      <c r="Z258" s="64" t="str">
        <f>IFERROR(VLOOKUP(T258,LK_OrgMaster!$B$4:$H$89,5,FALSE()),"Administration")</f>
        <v>Administration</v>
      </c>
      <c r="AA258" s="65" t="str">
        <f>IFERROR(VLOOKUP(X258,LK_LocationMaster!$D$4:$G$157,4,FALSE()),"No")</f>
        <v>No</v>
      </c>
      <c r="AB258" s="65" t="str">
        <f t="shared" si="14"/>
        <v>No</v>
      </c>
      <c r="AC258" s="65" t="str">
        <f>IFERROR(VLOOKUP(X258,LK_LocationMaster!$D$4:$H$157,5,FALSE()),"No")</f>
        <v>Yes</v>
      </c>
      <c r="AD258" s="59" t="s">
        <v>3206</v>
      </c>
      <c r="AE258" s="59" t="s">
        <v>930</v>
      </c>
      <c r="AF258" s="59" t="s">
        <v>915</v>
      </c>
      <c r="AG258" s="59" t="s">
        <v>391</v>
      </c>
      <c r="AH258" s="59" t="s">
        <v>3207</v>
      </c>
      <c r="AI258" s="59" t="s">
        <v>285</v>
      </c>
      <c r="AJ258" s="59" t="s">
        <v>788</v>
      </c>
      <c r="AK258" s="59" t="s">
        <v>1370</v>
      </c>
      <c r="AL258" s="64" t="str">
        <f>IFERROR(INDEX(LK_BankMaster!$D$4:$D$23,MATCH(AJ258&amp;"|"&amp;AK258,LK_BankMaster!$H$4:$H$23,0)),"")</f>
        <v/>
      </c>
      <c r="AM258" s="59" t="s">
        <v>3208</v>
      </c>
      <c r="AN258" s="64" t="str">
        <f>IFERROR(VLOOKUP(AJ258,LK_BankMaster!$A$4:$E$23,5,FALSE()),"")</f>
        <v/>
      </c>
      <c r="AO258" s="59" t="s">
        <v>314</v>
      </c>
      <c r="AP258" s="66">
        <v>2</v>
      </c>
      <c r="AQ258" s="64" t="str">
        <f t="shared" si="15"/>
        <v>Position Allowance - Deputy Director</v>
      </c>
      <c r="AR258" s="65" t="str">
        <f>IFERROR(VLOOKUP(T258,LK_OrgMaster!$B$4:$G$89,6,FALSE()),"No")</f>
        <v>No</v>
      </c>
      <c r="AS258" s="64" t="str">
        <f>IFERROR(VLOOKUP(T258,LK_OrgMaster!$B$4:$H$89,7,FALSE()),"None")</f>
        <v>None</v>
      </c>
      <c r="AT258" s="67">
        <v>39392</v>
      </c>
      <c r="AU258" s="67"/>
      <c r="AV258" s="67">
        <v>39392</v>
      </c>
      <c r="AW258" s="67">
        <v>46023</v>
      </c>
      <c r="AX258" s="68" t="s">
        <v>750</v>
      </c>
      <c r="AY258" s="69" t="s">
        <v>6260</v>
      </c>
    </row>
    <row r="259" spans="1:51" ht="15" customHeight="1" x14ac:dyDescent="0.3">
      <c r="A259" s="59" t="s">
        <v>3209</v>
      </c>
      <c r="B259" s="59" t="s">
        <v>851</v>
      </c>
      <c r="C259" s="59" t="s">
        <v>2689</v>
      </c>
      <c r="D259" s="59" t="s">
        <v>1418</v>
      </c>
      <c r="E259" s="59" t="s">
        <v>775</v>
      </c>
      <c r="F259" s="60">
        <v>25610</v>
      </c>
      <c r="G259" s="59" t="s">
        <v>3210</v>
      </c>
      <c r="H259" s="59" t="s">
        <v>3211</v>
      </c>
      <c r="I259" s="60">
        <v>45319</v>
      </c>
      <c r="J259" s="61">
        <f t="shared" ca="1" si="12"/>
        <v>2</v>
      </c>
      <c r="K259" s="62">
        <f t="shared" si="13"/>
        <v>47525</v>
      </c>
      <c r="L259" s="59" t="s">
        <v>735</v>
      </c>
      <c r="M259" s="59" t="s">
        <v>796</v>
      </c>
      <c r="N259" s="59" t="s">
        <v>737</v>
      </c>
      <c r="O259" s="63">
        <v>25</v>
      </c>
      <c r="P259" s="61">
        <f>IFERROR(SUMPRODUCT((LK_GradeDerivation!$A$4:$A$135=N259)*(IF(O259="",0,O259)&gt;=LK_GradeDerivation!$B$4:$B$135)*(IF(O259="",0,O259)&lt;=LK_GradeDerivation!$C$4:$C$135)*LK_GradeDerivation!$D$4:$D$135),1)</f>
        <v>4</v>
      </c>
      <c r="Q259" s="61">
        <f>IFERROR(SUMPRODUCT((LK_GradeDerivation!$A$4:$A$135=N259)*(IF(O259="",0,O259)&gt;=LK_GradeDerivation!$B$4:$B$135)*(IF(O259="",0,O259)&lt;=LK_GradeDerivation!$C$4:$C$135)*LK_GradeDerivation!$E$4:$E$135),1)</f>
        <v>13</v>
      </c>
      <c r="R259" s="59" t="s">
        <v>3212</v>
      </c>
      <c r="S259" s="59" t="s">
        <v>3213</v>
      </c>
      <c r="T259" s="59" t="s">
        <v>740</v>
      </c>
      <c r="U259" s="59" t="s">
        <v>1262</v>
      </c>
      <c r="V259" s="59" t="s">
        <v>1467</v>
      </c>
      <c r="W259" s="59" t="s">
        <v>285</v>
      </c>
      <c r="X259" s="59" t="s">
        <v>329</v>
      </c>
      <c r="Y259" s="59" t="s">
        <v>336</v>
      </c>
      <c r="Z259" s="64" t="str">
        <f>IFERROR(VLOOKUP(T259,LK_OrgMaster!$B$4:$H$89,5,FALSE()),"Administration")</f>
        <v>Teacher</v>
      </c>
      <c r="AA259" s="65" t="str">
        <f>IFERROR(VLOOKUP(X259,LK_LocationMaster!$D$4:$G$157,4,FALSE()),"No")</f>
        <v>Yes</v>
      </c>
      <c r="AB259" s="65" t="str">
        <f t="shared" si="14"/>
        <v>No</v>
      </c>
      <c r="AC259" s="65" t="str">
        <f>IFERROR(VLOOKUP(X259,LK_LocationMaster!$D$4:$H$157,5,FALSE()),"No")</f>
        <v>No</v>
      </c>
      <c r="AD259" s="59" t="s">
        <v>3214</v>
      </c>
      <c r="AE259" s="59" t="s">
        <v>1917</v>
      </c>
      <c r="AF259" s="59" t="s">
        <v>847</v>
      </c>
      <c r="AG259" s="59" t="s">
        <v>312</v>
      </c>
      <c r="AH259" s="59" t="s">
        <v>3215</v>
      </c>
      <c r="AI259" s="59" t="s">
        <v>285</v>
      </c>
      <c r="AJ259" s="59" t="s">
        <v>768</v>
      </c>
      <c r="AK259" s="59" t="s">
        <v>1589</v>
      </c>
      <c r="AL259" s="64" t="str">
        <f>IFERROR(INDEX(LK_BankMaster!$D$4:$D$23,MATCH(AJ259&amp;"|"&amp;AK259,LK_BankMaster!$H$4:$H$23,0)),"")</f>
        <v/>
      </c>
      <c r="AM259" s="59" t="s">
        <v>3216</v>
      </c>
      <c r="AN259" s="64" t="str">
        <f>IFERROR(VLOOKUP(AJ259,LK_BankMaster!$A$4:$E$23,5,FALSE()),"")</f>
        <v/>
      </c>
      <c r="AO259" s="59" t="s">
        <v>291</v>
      </c>
      <c r="AP259" s="66">
        <v>0</v>
      </c>
      <c r="AQ259" s="64" t="str">
        <f t="shared" si="15"/>
        <v>Position Allowance - General Staff</v>
      </c>
      <c r="AR259" s="65" t="str">
        <f>IFERROR(VLOOKUP(T259,LK_OrgMaster!$B$4:$G$89,6,FALSE()),"No")</f>
        <v>No</v>
      </c>
      <c r="AS259" s="64" t="str">
        <f>IFERROR(VLOOKUP(T259,LK_OrgMaster!$B$4:$H$89,7,FALSE()),"None")</f>
        <v>Teaching</v>
      </c>
      <c r="AT259" s="70">
        <v>45319</v>
      </c>
      <c r="AU259" s="70"/>
      <c r="AV259" s="70">
        <v>45319</v>
      </c>
      <c r="AW259" s="70">
        <v>46023</v>
      </c>
      <c r="AX259" s="71" t="s">
        <v>750</v>
      </c>
      <c r="AY259" s="72" t="s">
        <v>6260</v>
      </c>
    </row>
    <row r="260" spans="1:51" ht="15" customHeight="1" x14ac:dyDescent="0.3">
      <c r="A260" s="59" t="s">
        <v>3217</v>
      </c>
      <c r="B260" s="59" t="s">
        <v>851</v>
      </c>
      <c r="C260" s="59" t="s">
        <v>890</v>
      </c>
      <c r="D260" s="59" t="s">
        <v>960</v>
      </c>
      <c r="E260" s="59" t="s">
        <v>775</v>
      </c>
      <c r="F260" s="60">
        <v>28188</v>
      </c>
      <c r="G260" s="59" t="s">
        <v>3218</v>
      </c>
      <c r="H260" s="59" t="s">
        <v>3219</v>
      </c>
      <c r="I260" s="60">
        <v>40366</v>
      </c>
      <c r="J260" s="61">
        <f t="shared" ref="J260:J323" ca="1" si="16">IFERROR(DATEDIF(I260,TODAY(),"Y"),0)</f>
        <v>15</v>
      </c>
      <c r="K260" s="62">
        <f t="shared" ref="K260:K323" si="17">IFERROR(DATE(YEAR(F260)+60,MONTH(F260),DAY(F260)),"")</f>
        <v>50103</v>
      </c>
      <c r="L260" s="59" t="s">
        <v>735</v>
      </c>
      <c r="M260" s="59" t="s">
        <v>1607</v>
      </c>
      <c r="N260" s="59" t="s">
        <v>1081</v>
      </c>
      <c r="O260" s="63">
        <v>13</v>
      </c>
      <c r="P260" s="61">
        <f>IFERROR(SUMPRODUCT((LK_GradeDerivation!$A$4:$A$135=N260)*(IF(O260="",0,O260)&gt;=LK_GradeDerivation!$B$4:$B$135)*(IF(O260="",0,O260)&lt;=LK_GradeDerivation!$C$4:$C$135)*LK_GradeDerivation!$D$4:$D$135),1)</f>
        <v>3</v>
      </c>
      <c r="Q260" s="61">
        <f>IFERROR(SUMPRODUCT((LK_GradeDerivation!$A$4:$A$135=N260)*(IF(O260="",0,O260)&gt;=LK_GradeDerivation!$B$4:$B$135)*(IF(O260="",0,O260)&lt;=LK_GradeDerivation!$C$4:$C$135)*LK_GradeDerivation!$E$4:$E$135),1)</f>
        <v>7</v>
      </c>
      <c r="R260" s="59" t="s">
        <v>3220</v>
      </c>
      <c r="S260" s="59" t="s">
        <v>3221</v>
      </c>
      <c r="T260" s="59" t="s">
        <v>1058</v>
      </c>
      <c r="U260" s="59" t="s">
        <v>1446</v>
      </c>
      <c r="V260" s="59" t="s">
        <v>763</v>
      </c>
      <c r="W260" s="59" t="s">
        <v>285</v>
      </c>
      <c r="X260" s="59" t="s">
        <v>429</v>
      </c>
      <c r="Y260" s="59" t="s">
        <v>437</v>
      </c>
      <c r="Z260" s="64" t="str">
        <f>IFERROR(VLOOKUP(T260,LK_OrgMaster!$B$4:$H$89,5,FALSE()),"Administration")</f>
        <v>Technical</v>
      </c>
      <c r="AA260" s="65" t="str">
        <f>IFERROR(VLOOKUP(X260,LK_LocationMaster!$D$4:$G$157,4,FALSE()),"No")</f>
        <v>Yes</v>
      </c>
      <c r="AB260" s="65" t="str">
        <f t="shared" ref="AB260:AB323" si="18">IF(W260="Foreign / International","Yes","No")</f>
        <v>No</v>
      </c>
      <c r="AC260" s="65" t="str">
        <f>IFERROR(VLOOKUP(X260,LK_LocationMaster!$D$4:$H$157,5,FALSE()),"No")</f>
        <v>Yes</v>
      </c>
      <c r="AD260" s="59" t="s">
        <v>3222</v>
      </c>
      <c r="AE260" s="59" t="s">
        <v>800</v>
      </c>
      <c r="AF260" s="59" t="s">
        <v>801</v>
      </c>
      <c r="AG260" s="59" t="s">
        <v>312</v>
      </c>
      <c r="AH260" s="59" t="s">
        <v>3223</v>
      </c>
      <c r="AI260" s="59" t="s">
        <v>285</v>
      </c>
      <c r="AJ260" s="59" t="s">
        <v>818</v>
      </c>
      <c r="AK260" s="59" t="s">
        <v>944</v>
      </c>
      <c r="AL260" s="64" t="str">
        <f>IFERROR(INDEX(LK_BankMaster!$D$4:$D$23,MATCH(AJ260&amp;"|"&amp;AK260,LK_BankMaster!$H$4:$H$23,0)),"")</f>
        <v/>
      </c>
      <c r="AM260" s="59" t="s">
        <v>3224</v>
      </c>
      <c r="AN260" s="64" t="str">
        <f>IFERROR(VLOOKUP(AJ260,LK_BankMaster!$A$4:$E$23,5,FALSE()),"")</f>
        <v/>
      </c>
      <c r="AO260" s="59" t="s">
        <v>314</v>
      </c>
      <c r="AP260" s="66">
        <v>3</v>
      </c>
      <c r="AQ260" s="64" t="str">
        <f t="shared" ref="AQ260:AQ323" si="19">IF(ISNUMBER(SEARCH("Deputy Minister",M260)),"Position Allowance - Deputy Minister",IF(AND(ISNUMBER(SEARCH("Minister",M260)),NOT(ISNUMBER(SEARCH("Deputy",M260)))),"Position Allowance - Minister",IF(ISNUMBER(SEARCH("Deputy Director",M260)),"Position Allowance - Deputy Director",IF(AND(ISNUMBER(SEARCH("Director",M260)),NOT(ISNUMBER(SEARCH("Deputy",M260)))),"Position Allowance - Director",IF(ISNUMBER(SEARCH("Division Chief",M260)),"Position Allowance - Division Chief",IF(ISNUMBER(SEARCH("Section Chief",M260)),"Position Allowance - Section Chief","Position Allowance - General Staff"))))))</f>
        <v>Position Allowance - General Staff</v>
      </c>
      <c r="AR260" s="65" t="str">
        <f>IFERROR(VLOOKUP(T260,LK_OrgMaster!$B$4:$G$89,6,FALSE()),"No")</f>
        <v>No</v>
      </c>
      <c r="AS260" s="64" t="str">
        <f>IFERROR(VLOOKUP(T260,LK_OrgMaster!$B$4:$H$89,7,FALSE()),"None")</f>
        <v>None</v>
      </c>
      <c r="AT260" s="67">
        <v>40366</v>
      </c>
      <c r="AU260" s="67"/>
      <c r="AV260" s="67">
        <v>40366</v>
      </c>
      <c r="AW260" s="67">
        <v>46023</v>
      </c>
      <c r="AX260" s="68" t="s">
        <v>750</v>
      </c>
      <c r="AY260" s="69" t="s">
        <v>6260</v>
      </c>
    </row>
    <row r="261" spans="1:51" ht="15" customHeight="1" x14ac:dyDescent="0.3">
      <c r="A261" s="59" t="s">
        <v>3225</v>
      </c>
      <c r="B261" s="59" t="s">
        <v>729</v>
      </c>
      <c r="C261" s="59" t="s">
        <v>822</v>
      </c>
      <c r="D261" s="59" t="s">
        <v>1373</v>
      </c>
      <c r="E261" s="59" t="s">
        <v>732</v>
      </c>
      <c r="F261" s="60">
        <v>36472</v>
      </c>
      <c r="G261" s="59" t="s">
        <v>3226</v>
      </c>
      <c r="H261" s="59" t="s">
        <v>3227</v>
      </c>
      <c r="I261" s="60">
        <v>44921</v>
      </c>
      <c r="J261" s="61">
        <f t="shared" ca="1" si="16"/>
        <v>3</v>
      </c>
      <c r="K261" s="62">
        <f t="shared" si="17"/>
        <v>58387</v>
      </c>
      <c r="L261" s="59" t="s">
        <v>735</v>
      </c>
      <c r="M261" s="59" t="s">
        <v>910</v>
      </c>
      <c r="N261" s="59" t="s">
        <v>737</v>
      </c>
      <c r="O261" s="63">
        <v>1</v>
      </c>
      <c r="P261" s="61">
        <f>IFERROR(SUMPRODUCT((LK_GradeDerivation!$A$4:$A$135=N261)*(IF(O261="",0,O261)&gt;=LK_GradeDerivation!$B$4:$B$135)*(IF(O261="",0,O261)&lt;=LK_GradeDerivation!$C$4:$C$135)*LK_GradeDerivation!$D$4:$D$135),1)</f>
        <v>4</v>
      </c>
      <c r="Q261" s="61">
        <f>IFERROR(SUMPRODUCT((LK_GradeDerivation!$A$4:$A$135=N261)*(IF(O261="",0,O261)&gt;=LK_GradeDerivation!$B$4:$B$135)*(IF(O261="",0,O261)&lt;=LK_GradeDerivation!$C$4:$C$135)*LK_GradeDerivation!$E$4:$E$135),1)</f>
        <v>1</v>
      </c>
      <c r="R261" s="59" t="s">
        <v>3228</v>
      </c>
      <c r="S261" s="59" t="s">
        <v>3229</v>
      </c>
      <c r="T261" s="59" t="s">
        <v>1035</v>
      </c>
      <c r="U261" s="59" t="s">
        <v>953</v>
      </c>
      <c r="V261" s="59" t="s">
        <v>1577</v>
      </c>
      <c r="W261" s="59" t="s">
        <v>285</v>
      </c>
      <c r="X261" s="59" t="s">
        <v>500</v>
      </c>
      <c r="Y261" s="59" t="s">
        <v>509</v>
      </c>
      <c r="Z261" s="64" t="str">
        <f>IFERROR(VLOOKUP(T261,LK_OrgMaster!$B$4:$H$89,5,FALSE()),"Administration")</f>
        <v>Administration</v>
      </c>
      <c r="AA261" s="65" t="str">
        <f>IFERROR(VLOOKUP(X261,LK_LocationMaster!$D$4:$G$157,4,FALSE()),"No")</f>
        <v>No</v>
      </c>
      <c r="AB261" s="65" t="str">
        <f t="shared" si="18"/>
        <v>No</v>
      </c>
      <c r="AC261" s="65" t="str">
        <f>IFERROR(VLOOKUP(X261,LK_LocationMaster!$D$4:$H$157,5,FALSE()),"No")</f>
        <v>Yes</v>
      </c>
      <c r="AD261" s="59" t="s">
        <v>3230</v>
      </c>
      <c r="AE261" s="59" t="s">
        <v>886</v>
      </c>
      <c r="AF261" s="59" t="s">
        <v>745</v>
      </c>
      <c r="AG261" s="59" t="s">
        <v>288</v>
      </c>
      <c r="AH261" s="59" t="s">
        <v>3231</v>
      </c>
      <c r="AI261" s="59" t="s">
        <v>285</v>
      </c>
      <c r="AJ261" s="59" t="s">
        <v>768</v>
      </c>
      <c r="AK261" s="59" t="s">
        <v>1589</v>
      </c>
      <c r="AL261" s="64" t="str">
        <f>IFERROR(INDEX(LK_BankMaster!$D$4:$D$23,MATCH(AJ261&amp;"|"&amp;AK261,LK_BankMaster!$H$4:$H$23,0)),"")</f>
        <v/>
      </c>
      <c r="AM261" s="59" t="s">
        <v>3232</v>
      </c>
      <c r="AN261" s="64" t="str">
        <f>IFERROR(VLOOKUP(AJ261,LK_BankMaster!$A$4:$E$23,5,FALSE()),"")</f>
        <v/>
      </c>
      <c r="AO261" s="59" t="s">
        <v>291</v>
      </c>
      <c r="AP261" s="66">
        <v>0</v>
      </c>
      <c r="AQ261" s="64" t="str">
        <f t="shared" si="19"/>
        <v>Position Allowance - Division Chief</v>
      </c>
      <c r="AR261" s="65" t="str">
        <f>IFERROR(VLOOKUP(T261,LK_OrgMaster!$B$4:$G$89,6,FALSE()),"No")</f>
        <v>No</v>
      </c>
      <c r="AS261" s="64" t="str">
        <f>IFERROR(VLOOKUP(T261,LK_OrgMaster!$B$4:$H$89,7,FALSE()),"None")</f>
        <v>None</v>
      </c>
      <c r="AT261" s="70">
        <v>44921</v>
      </c>
      <c r="AU261" s="70"/>
      <c r="AV261" s="70">
        <v>44921</v>
      </c>
      <c r="AW261" s="70">
        <v>46023</v>
      </c>
      <c r="AX261" s="71" t="s">
        <v>750</v>
      </c>
      <c r="AY261" s="72" t="s">
        <v>6260</v>
      </c>
    </row>
    <row r="262" spans="1:51" ht="15" customHeight="1" x14ac:dyDescent="0.3">
      <c r="A262" s="59" t="s">
        <v>3233</v>
      </c>
      <c r="B262" s="59" t="s">
        <v>772</v>
      </c>
      <c r="C262" s="59" t="s">
        <v>2003</v>
      </c>
      <c r="D262" s="59" t="s">
        <v>2194</v>
      </c>
      <c r="E262" s="59" t="s">
        <v>775</v>
      </c>
      <c r="F262" s="60">
        <v>31030</v>
      </c>
      <c r="G262" s="59" t="s">
        <v>3234</v>
      </c>
      <c r="H262" s="59" t="s">
        <v>3235</v>
      </c>
      <c r="I262" s="60">
        <v>44059</v>
      </c>
      <c r="J262" s="61">
        <f t="shared" ca="1" si="16"/>
        <v>5</v>
      </c>
      <c r="K262" s="62">
        <f t="shared" si="17"/>
        <v>52945</v>
      </c>
      <c r="L262" s="59" t="s">
        <v>735</v>
      </c>
      <c r="M262" s="59" t="s">
        <v>736</v>
      </c>
      <c r="N262" s="59" t="s">
        <v>779</v>
      </c>
      <c r="O262" s="63">
        <v>17</v>
      </c>
      <c r="P262" s="61">
        <f>IFERROR(SUMPRODUCT((LK_GradeDerivation!$A$4:$A$135=N262)*(IF(O262="",0,O262)&gt;=LK_GradeDerivation!$B$4:$B$135)*(IF(O262="",0,O262)&lt;=LK_GradeDerivation!$C$4:$C$135)*LK_GradeDerivation!$D$4:$D$135),1)</f>
        <v>2</v>
      </c>
      <c r="Q262" s="61">
        <f>IFERROR(SUMPRODUCT((LK_GradeDerivation!$A$4:$A$135=N262)*(IF(O262="",0,O262)&gt;=LK_GradeDerivation!$B$4:$B$135)*(IF(O262="",0,O262)&lt;=LK_GradeDerivation!$C$4:$C$135)*LK_GradeDerivation!$E$4:$E$135),1)</f>
        <v>9</v>
      </c>
      <c r="R262" s="59" t="s">
        <v>3236</v>
      </c>
      <c r="S262" s="59" t="s">
        <v>3237</v>
      </c>
      <c r="T262" s="59" t="s">
        <v>740</v>
      </c>
      <c r="U262" s="59" t="s">
        <v>927</v>
      </c>
      <c r="V262" s="59" t="s">
        <v>928</v>
      </c>
      <c r="W262" s="59" t="s">
        <v>285</v>
      </c>
      <c r="X262" s="59" t="s">
        <v>463</v>
      </c>
      <c r="Y262" s="59" t="s">
        <v>475</v>
      </c>
      <c r="Z262" s="64" t="str">
        <f>IFERROR(VLOOKUP(T262,LK_OrgMaster!$B$4:$H$89,5,FALSE()),"Administration")</f>
        <v>Teacher</v>
      </c>
      <c r="AA262" s="65" t="str">
        <f>IFERROR(VLOOKUP(X262,LK_LocationMaster!$D$4:$G$157,4,FALSE()),"No")</f>
        <v>No</v>
      </c>
      <c r="AB262" s="65" t="str">
        <f t="shared" si="18"/>
        <v>No</v>
      </c>
      <c r="AC262" s="65" t="str">
        <f>IFERROR(VLOOKUP(X262,LK_LocationMaster!$D$4:$H$157,5,FALSE()),"No")</f>
        <v>No</v>
      </c>
      <c r="AD262" s="59" t="s">
        <v>3022</v>
      </c>
      <c r="AE262" s="59" t="s">
        <v>1144</v>
      </c>
      <c r="AF262" s="59" t="s">
        <v>901</v>
      </c>
      <c r="AG262" s="59" t="s">
        <v>368</v>
      </c>
      <c r="AH262" s="59" t="s">
        <v>3238</v>
      </c>
      <c r="AI262" s="59" t="s">
        <v>285</v>
      </c>
      <c r="AJ262" s="59" t="s">
        <v>818</v>
      </c>
      <c r="AK262" s="59" t="s">
        <v>819</v>
      </c>
      <c r="AL262" s="64" t="str">
        <f>IFERROR(INDEX(LK_BankMaster!$D$4:$D$23,MATCH(AJ262&amp;"|"&amp;AK262,LK_BankMaster!$H$4:$H$23,0)),"")</f>
        <v/>
      </c>
      <c r="AM262" s="59" t="s">
        <v>3239</v>
      </c>
      <c r="AN262" s="64" t="str">
        <f>IFERROR(VLOOKUP(AJ262,LK_BankMaster!$A$4:$E$23,5,FALSE()),"")</f>
        <v/>
      </c>
      <c r="AO262" s="59" t="s">
        <v>314</v>
      </c>
      <c r="AP262" s="66">
        <v>2</v>
      </c>
      <c r="AQ262" s="64" t="str">
        <f t="shared" si="19"/>
        <v>Position Allowance - General Staff</v>
      </c>
      <c r="AR262" s="65" t="str">
        <f>IFERROR(VLOOKUP(T262,LK_OrgMaster!$B$4:$G$89,6,FALSE()),"No")</f>
        <v>No</v>
      </c>
      <c r="AS262" s="64" t="str">
        <f>IFERROR(VLOOKUP(T262,LK_OrgMaster!$B$4:$H$89,7,FALSE()),"None")</f>
        <v>Teaching</v>
      </c>
      <c r="AT262" s="67">
        <v>44059</v>
      </c>
      <c r="AU262" s="67"/>
      <c r="AV262" s="67">
        <v>44059</v>
      </c>
      <c r="AW262" s="67">
        <v>46023</v>
      </c>
      <c r="AX262" s="68" t="s">
        <v>750</v>
      </c>
      <c r="AY262" s="69" t="s">
        <v>6260</v>
      </c>
    </row>
    <row r="263" spans="1:51" ht="15" customHeight="1" x14ac:dyDescent="0.3">
      <c r="A263" s="59" t="s">
        <v>3240</v>
      </c>
      <c r="B263" s="59" t="s">
        <v>851</v>
      </c>
      <c r="C263" s="59" t="s">
        <v>1077</v>
      </c>
      <c r="D263" s="59" t="s">
        <v>2194</v>
      </c>
      <c r="E263" s="59" t="s">
        <v>775</v>
      </c>
      <c r="F263" s="60">
        <v>32543</v>
      </c>
      <c r="G263" s="59" t="s">
        <v>3241</v>
      </c>
      <c r="H263" s="59" t="s">
        <v>3242</v>
      </c>
      <c r="I263" s="60">
        <v>38887</v>
      </c>
      <c r="J263" s="61">
        <f t="shared" ca="1" si="16"/>
        <v>19</v>
      </c>
      <c r="K263" s="62">
        <f t="shared" si="17"/>
        <v>54458</v>
      </c>
      <c r="L263" s="59" t="s">
        <v>735</v>
      </c>
      <c r="M263" s="59" t="s">
        <v>1201</v>
      </c>
      <c r="N263" s="59" t="s">
        <v>1081</v>
      </c>
      <c r="O263" s="63">
        <v>0</v>
      </c>
      <c r="P263" s="61">
        <f>IFERROR(SUMPRODUCT((LK_GradeDerivation!$A$4:$A$135=N263)*(IF(O263="",0,O263)&gt;=LK_GradeDerivation!$B$4:$B$135)*(IF(O263="",0,O263)&lt;=LK_GradeDerivation!$C$4:$C$135)*LK_GradeDerivation!$D$4:$D$135),1)</f>
        <v>3</v>
      </c>
      <c r="Q263" s="61">
        <f>IFERROR(SUMPRODUCT((LK_GradeDerivation!$A$4:$A$135=N263)*(IF(O263="",0,O263)&gt;=LK_GradeDerivation!$B$4:$B$135)*(IF(O263="",0,O263)&lt;=LK_GradeDerivation!$C$4:$C$135)*LK_GradeDerivation!$E$4:$E$135),1)</f>
        <v>1</v>
      </c>
      <c r="R263" s="59" t="s">
        <v>3243</v>
      </c>
      <c r="S263" s="59" t="s">
        <v>3244</v>
      </c>
      <c r="T263" s="59" t="s">
        <v>1204</v>
      </c>
      <c r="U263" s="59" t="s">
        <v>3245</v>
      </c>
      <c r="V263" s="59" t="s">
        <v>3246</v>
      </c>
      <c r="W263" s="59" t="s">
        <v>285</v>
      </c>
      <c r="X263" s="59" t="s">
        <v>575</v>
      </c>
      <c r="Y263" s="59" t="s">
        <v>579</v>
      </c>
      <c r="Z263" s="64" t="str">
        <f>IFERROR(VLOOKUP(T263,LK_OrgMaster!$B$4:$H$89,5,FALSE()),"Administration")</f>
        <v>Administration</v>
      </c>
      <c r="AA263" s="65" t="str">
        <f>IFERROR(VLOOKUP(X263,LK_LocationMaster!$D$4:$G$157,4,FALSE()),"No")</f>
        <v>Yes</v>
      </c>
      <c r="AB263" s="65" t="str">
        <f t="shared" si="18"/>
        <v>No</v>
      </c>
      <c r="AC263" s="65" t="str">
        <f>IFERROR(VLOOKUP(X263,LK_LocationMaster!$D$4:$H$157,5,FALSE()),"No")</f>
        <v>Yes</v>
      </c>
      <c r="AD263" s="59" t="s">
        <v>3247</v>
      </c>
      <c r="AE263" s="59" t="s">
        <v>2430</v>
      </c>
      <c r="AF263" s="59" t="s">
        <v>901</v>
      </c>
      <c r="AG263" s="59" t="s">
        <v>329</v>
      </c>
      <c r="AH263" s="59" t="s">
        <v>3248</v>
      </c>
      <c r="AI263" s="59" t="s">
        <v>285</v>
      </c>
      <c r="AJ263" s="59" t="s">
        <v>747</v>
      </c>
      <c r="AK263" s="59" t="s">
        <v>748</v>
      </c>
      <c r="AL263" s="64" t="str">
        <f>IFERROR(INDEX(LK_BankMaster!$D$4:$D$23,MATCH(AJ263&amp;"|"&amp;AK263,LK_BankMaster!$H$4:$H$23,0)),"")</f>
        <v/>
      </c>
      <c r="AM263" s="59" t="s">
        <v>3249</v>
      </c>
      <c r="AN263" s="64" t="str">
        <f>IFERROR(VLOOKUP(AJ263,LK_BankMaster!$A$4:$E$23,5,FALSE()),"")</f>
        <v/>
      </c>
      <c r="AO263" s="59" t="s">
        <v>291</v>
      </c>
      <c r="AP263" s="66">
        <v>0</v>
      </c>
      <c r="AQ263" s="64" t="str">
        <f t="shared" si="19"/>
        <v>Position Allowance - General Staff</v>
      </c>
      <c r="AR263" s="65" t="str">
        <f>IFERROR(VLOOKUP(T263,LK_OrgMaster!$B$4:$G$89,6,FALSE()),"No")</f>
        <v>No</v>
      </c>
      <c r="AS263" s="64" t="str">
        <f>IFERROR(VLOOKUP(T263,LK_OrgMaster!$B$4:$H$89,7,FALSE()),"None")</f>
        <v>None</v>
      </c>
      <c r="AT263" s="70">
        <v>38887</v>
      </c>
      <c r="AU263" s="70"/>
      <c r="AV263" s="70">
        <v>38887</v>
      </c>
      <c r="AW263" s="70">
        <v>46023</v>
      </c>
      <c r="AX263" s="71" t="s">
        <v>750</v>
      </c>
      <c r="AY263" s="72" t="s">
        <v>6260</v>
      </c>
    </row>
    <row r="264" spans="1:51" ht="15" customHeight="1" x14ac:dyDescent="0.3">
      <c r="A264" s="59" t="s">
        <v>3250</v>
      </c>
      <c r="B264" s="59" t="s">
        <v>729</v>
      </c>
      <c r="C264" s="59" t="s">
        <v>2315</v>
      </c>
      <c r="D264" s="59" t="s">
        <v>947</v>
      </c>
      <c r="E264" s="59" t="s">
        <v>732</v>
      </c>
      <c r="F264" s="60">
        <v>32101</v>
      </c>
      <c r="G264" s="59" t="s">
        <v>3251</v>
      </c>
      <c r="H264" s="59" t="s">
        <v>3252</v>
      </c>
      <c r="I264" s="60">
        <v>45309</v>
      </c>
      <c r="J264" s="61">
        <f t="shared" ca="1" si="16"/>
        <v>2</v>
      </c>
      <c r="K264" s="62">
        <f t="shared" si="17"/>
        <v>54016</v>
      </c>
      <c r="L264" s="59" t="s">
        <v>735</v>
      </c>
      <c r="M264" s="59" t="s">
        <v>736</v>
      </c>
      <c r="N264" s="59" t="s">
        <v>737</v>
      </c>
      <c r="O264" s="63">
        <v>14</v>
      </c>
      <c r="P264" s="61">
        <f>IFERROR(SUMPRODUCT((LK_GradeDerivation!$A$4:$A$135=N264)*(IF(O264="",0,O264)&gt;=LK_GradeDerivation!$B$4:$B$135)*(IF(O264="",0,O264)&lt;=LK_GradeDerivation!$C$4:$C$135)*LK_GradeDerivation!$D$4:$D$135),1)</f>
        <v>4</v>
      </c>
      <c r="Q264" s="61">
        <f>IFERROR(SUMPRODUCT((LK_GradeDerivation!$A$4:$A$135=N264)*(IF(O264="",0,O264)&gt;=LK_GradeDerivation!$B$4:$B$135)*(IF(O264="",0,O264)&lt;=LK_GradeDerivation!$C$4:$C$135)*LK_GradeDerivation!$E$4:$E$135),1)</f>
        <v>8</v>
      </c>
      <c r="R264" s="59" t="s">
        <v>3253</v>
      </c>
      <c r="S264" s="59" t="s">
        <v>3254</v>
      </c>
      <c r="T264" s="59" t="s">
        <v>740</v>
      </c>
      <c r="U264" s="59" t="s">
        <v>927</v>
      </c>
      <c r="V264" s="59" t="s">
        <v>742</v>
      </c>
      <c r="W264" s="59" t="s">
        <v>285</v>
      </c>
      <c r="X264" s="59" t="s">
        <v>329</v>
      </c>
      <c r="Y264" s="59" t="s">
        <v>336</v>
      </c>
      <c r="Z264" s="64" t="str">
        <f>IFERROR(VLOOKUP(T264,LK_OrgMaster!$B$4:$H$89,5,FALSE()),"Administration")</f>
        <v>Teacher</v>
      </c>
      <c r="AA264" s="65" t="str">
        <f>IFERROR(VLOOKUP(X264,LK_LocationMaster!$D$4:$G$157,4,FALSE()),"No")</f>
        <v>Yes</v>
      </c>
      <c r="AB264" s="65" t="str">
        <f t="shared" si="18"/>
        <v>No</v>
      </c>
      <c r="AC264" s="65" t="str">
        <f>IFERROR(VLOOKUP(X264,LK_LocationMaster!$D$4:$H$157,5,FALSE()),"No")</f>
        <v>No</v>
      </c>
      <c r="AD264" s="59" t="s">
        <v>3255</v>
      </c>
      <c r="AE264" s="59" t="s">
        <v>765</v>
      </c>
      <c r="AF264" s="59" t="s">
        <v>847</v>
      </c>
      <c r="AG264" s="59" t="s">
        <v>391</v>
      </c>
      <c r="AH264" s="59" t="s">
        <v>3256</v>
      </c>
      <c r="AI264" s="59" t="s">
        <v>285</v>
      </c>
      <c r="AJ264" s="59" t="s">
        <v>833</v>
      </c>
      <c r="AK264" s="59" t="s">
        <v>834</v>
      </c>
      <c r="AL264" s="64" t="str">
        <f>IFERROR(INDEX(LK_BankMaster!$D$4:$D$23,MATCH(AJ264&amp;"|"&amp;AK264,LK_BankMaster!$H$4:$H$23,0)),"")</f>
        <v/>
      </c>
      <c r="AM264" s="59" t="s">
        <v>3257</v>
      </c>
      <c r="AN264" s="64" t="str">
        <f>IFERROR(VLOOKUP(AJ264,LK_BankMaster!$A$4:$E$23,5,FALSE()),"")</f>
        <v/>
      </c>
      <c r="AO264" s="59" t="s">
        <v>291</v>
      </c>
      <c r="AP264" s="66">
        <v>0</v>
      </c>
      <c r="AQ264" s="64" t="str">
        <f t="shared" si="19"/>
        <v>Position Allowance - General Staff</v>
      </c>
      <c r="AR264" s="65" t="str">
        <f>IFERROR(VLOOKUP(T264,LK_OrgMaster!$B$4:$G$89,6,FALSE()),"No")</f>
        <v>No</v>
      </c>
      <c r="AS264" s="64" t="str">
        <f>IFERROR(VLOOKUP(T264,LK_OrgMaster!$B$4:$H$89,7,FALSE()),"None")</f>
        <v>Teaching</v>
      </c>
      <c r="AT264" s="67">
        <v>45309</v>
      </c>
      <c r="AU264" s="67"/>
      <c r="AV264" s="67">
        <v>45309</v>
      </c>
      <c r="AW264" s="67">
        <v>46023</v>
      </c>
      <c r="AX264" s="68" t="s">
        <v>750</v>
      </c>
      <c r="AY264" s="69" t="s">
        <v>6260</v>
      </c>
    </row>
    <row r="265" spans="1:51" ht="15" customHeight="1" x14ac:dyDescent="0.3">
      <c r="A265" s="59" t="s">
        <v>3258</v>
      </c>
      <c r="B265" s="59" t="s">
        <v>772</v>
      </c>
      <c r="C265" s="59" t="s">
        <v>920</v>
      </c>
      <c r="D265" s="59" t="s">
        <v>974</v>
      </c>
      <c r="E265" s="59" t="s">
        <v>775</v>
      </c>
      <c r="F265" s="60">
        <v>25665</v>
      </c>
      <c r="G265" s="59" t="s">
        <v>3259</v>
      </c>
      <c r="H265" s="59" t="s">
        <v>3260</v>
      </c>
      <c r="I265" s="60">
        <v>43213</v>
      </c>
      <c r="J265" s="61">
        <f t="shared" ca="1" si="16"/>
        <v>7</v>
      </c>
      <c r="K265" s="62">
        <f t="shared" si="17"/>
        <v>47580</v>
      </c>
      <c r="L265" s="59" t="s">
        <v>735</v>
      </c>
      <c r="M265" s="59" t="s">
        <v>893</v>
      </c>
      <c r="N265" s="59" t="s">
        <v>737</v>
      </c>
      <c r="O265" s="63">
        <v>25</v>
      </c>
      <c r="P265" s="61">
        <f>IFERROR(SUMPRODUCT((LK_GradeDerivation!$A$4:$A$135=N265)*(IF(O265="",0,O265)&gt;=LK_GradeDerivation!$B$4:$B$135)*(IF(O265="",0,O265)&lt;=LK_GradeDerivation!$C$4:$C$135)*LK_GradeDerivation!$D$4:$D$135),1)</f>
        <v>4</v>
      </c>
      <c r="Q265" s="61">
        <f>IFERROR(SUMPRODUCT((LK_GradeDerivation!$A$4:$A$135=N265)*(IF(O265="",0,O265)&gt;=LK_GradeDerivation!$B$4:$B$135)*(IF(O265="",0,O265)&lt;=LK_GradeDerivation!$C$4:$C$135)*LK_GradeDerivation!$E$4:$E$135),1)</f>
        <v>13</v>
      </c>
      <c r="R265" s="59" t="s">
        <v>3261</v>
      </c>
      <c r="S265" s="59" t="s">
        <v>3262</v>
      </c>
      <c r="T265" s="59" t="s">
        <v>761</v>
      </c>
      <c r="U265" s="59" t="s">
        <v>1980</v>
      </c>
      <c r="V265" s="59" t="s">
        <v>2781</v>
      </c>
      <c r="W265" s="59" t="s">
        <v>285</v>
      </c>
      <c r="X265" s="59" t="s">
        <v>288</v>
      </c>
      <c r="Y265" s="59" t="s">
        <v>302</v>
      </c>
      <c r="Z265" s="64" t="str">
        <f>IFERROR(VLOOKUP(T265,LK_OrgMaster!$B$4:$H$89,5,FALSE()),"Administration")</f>
        <v>Administration</v>
      </c>
      <c r="AA265" s="65" t="str">
        <f>IFERROR(VLOOKUP(X265,LK_LocationMaster!$D$4:$G$157,4,FALSE()),"No")</f>
        <v>No</v>
      </c>
      <c r="AB265" s="65" t="str">
        <f t="shared" si="18"/>
        <v>No</v>
      </c>
      <c r="AC265" s="65" t="str">
        <f>IFERROR(VLOOKUP(X265,LK_LocationMaster!$D$4:$H$157,5,FALSE()),"No")</f>
        <v>No</v>
      </c>
      <c r="AD265" s="59" t="s">
        <v>3263</v>
      </c>
      <c r="AE265" s="59" t="s">
        <v>800</v>
      </c>
      <c r="AF265" s="59" t="s">
        <v>786</v>
      </c>
      <c r="AG265" s="59" t="s">
        <v>340</v>
      </c>
      <c r="AH265" s="59" t="s">
        <v>3264</v>
      </c>
      <c r="AI265" s="59" t="s">
        <v>285</v>
      </c>
      <c r="AJ265" s="59" t="s">
        <v>768</v>
      </c>
      <c r="AK265" s="59" t="s">
        <v>803</v>
      </c>
      <c r="AL265" s="64" t="str">
        <f>IFERROR(INDEX(LK_BankMaster!$D$4:$D$23,MATCH(AJ265&amp;"|"&amp;AK265,LK_BankMaster!$H$4:$H$23,0)),"")</f>
        <v/>
      </c>
      <c r="AM265" s="59" t="s">
        <v>3265</v>
      </c>
      <c r="AN265" s="64" t="str">
        <f>IFERROR(VLOOKUP(AJ265,LK_BankMaster!$A$4:$E$23,5,FALSE()),"")</f>
        <v/>
      </c>
      <c r="AO265" s="59" t="s">
        <v>314</v>
      </c>
      <c r="AP265" s="66">
        <v>1</v>
      </c>
      <c r="AQ265" s="64" t="str">
        <f t="shared" si="19"/>
        <v>Position Allowance - General Staff</v>
      </c>
      <c r="AR265" s="65" t="str">
        <f>IFERROR(VLOOKUP(T265,LK_OrgMaster!$B$4:$G$89,6,FALSE()),"No")</f>
        <v>Yes</v>
      </c>
      <c r="AS265" s="64" t="str">
        <f>IFERROR(VLOOKUP(T265,LK_OrgMaster!$B$4:$H$89,7,FALSE()),"None")</f>
        <v>None</v>
      </c>
      <c r="AT265" s="70">
        <v>43213</v>
      </c>
      <c r="AU265" s="70"/>
      <c r="AV265" s="70">
        <v>43213</v>
      </c>
      <c r="AW265" s="70">
        <v>46023</v>
      </c>
      <c r="AX265" s="71" t="s">
        <v>750</v>
      </c>
      <c r="AY265" s="72" t="s">
        <v>6260</v>
      </c>
    </row>
    <row r="266" spans="1:51" ht="15" customHeight="1" x14ac:dyDescent="0.3">
      <c r="A266" s="59" t="s">
        <v>3266</v>
      </c>
      <c r="B266" s="59" t="s">
        <v>851</v>
      </c>
      <c r="C266" s="59" t="s">
        <v>3267</v>
      </c>
      <c r="D266" s="59" t="s">
        <v>2194</v>
      </c>
      <c r="E266" s="59" t="s">
        <v>775</v>
      </c>
      <c r="F266" s="60">
        <v>35239</v>
      </c>
      <c r="G266" s="59" t="s">
        <v>3268</v>
      </c>
      <c r="H266" s="59" t="s">
        <v>3269</v>
      </c>
      <c r="I266" s="60">
        <v>45874</v>
      </c>
      <c r="J266" s="61">
        <f t="shared" ca="1" si="16"/>
        <v>0</v>
      </c>
      <c r="K266" s="62">
        <f t="shared" si="17"/>
        <v>57154</v>
      </c>
      <c r="L266" s="59" t="s">
        <v>735</v>
      </c>
      <c r="M266" s="59" t="s">
        <v>1376</v>
      </c>
      <c r="N266" s="59" t="s">
        <v>758</v>
      </c>
      <c r="O266" s="63">
        <v>4</v>
      </c>
      <c r="P266" s="61">
        <f>IFERROR(SUMPRODUCT((LK_GradeDerivation!$A$4:$A$135=N266)*(IF(O266="",0,O266)&gt;=LK_GradeDerivation!$B$4:$B$135)*(IF(O266="",0,O266)&lt;=LK_GradeDerivation!$C$4:$C$135)*LK_GradeDerivation!$D$4:$D$135),1)</f>
        <v>5</v>
      </c>
      <c r="Q266" s="61">
        <f>IFERROR(SUMPRODUCT((LK_GradeDerivation!$A$4:$A$135=N266)*(IF(O266="",0,O266)&gt;=LK_GradeDerivation!$B$4:$B$135)*(IF(O266="",0,O266)&lt;=LK_GradeDerivation!$C$4:$C$135)*LK_GradeDerivation!$E$4:$E$135),1)</f>
        <v>3</v>
      </c>
      <c r="R266" s="59" t="s">
        <v>3270</v>
      </c>
      <c r="S266" s="59" t="s">
        <v>3271</v>
      </c>
      <c r="T266" s="59" t="s">
        <v>782</v>
      </c>
      <c r="U266" s="59" t="s">
        <v>1191</v>
      </c>
      <c r="V266" s="59" t="s">
        <v>1192</v>
      </c>
      <c r="W266" s="59" t="s">
        <v>285</v>
      </c>
      <c r="X266" s="59" t="s">
        <v>500</v>
      </c>
      <c r="Y266" s="59" t="s">
        <v>523</v>
      </c>
      <c r="Z266" s="64" t="str">
        <f>IFERROR(VLOOKUP(T266,LK_OrgMaster!$B$4:$H$89,5,FALSE()),"Administration")</f>
        <v>Medical</v>
      </c>
      <c r="AA266" s="65" t="str">
        <f>IFERROR(VLOOKUP(X266,LK_LocationMaster!$D$4:$G$157,4,FALSE()),"No")</f>
        <v>No</v>
      </c>
      <c r="AB266" s="65" t="str">
        <f t="shared" si="18"/>
        <v>No</v>
      </c>
      <c r="AC266" s="65" t="str">
        <f>IFERROR(VLOOKUP(X266,LK_LocationMaster!$D$4:$H$157,5,FALSE()),"No")</f>
        <v>Yes</v>
      </c>
      <c r="AD266" s="59" t="s">
        <v>3272</v>
      </c>
      <c r="AE266" s="59" t="s">
        <v>1944</v>
      </c>
      <c r="AF266" s="59" t="s">
        <v>969</v>
      </c>
      <c r="AG266" s="59" t="s">
        <v>340</v>
      </c>
      <c r="AH266" s="59" t="s">
        <v>3273</v>
      </c>
      <c r="AI266" s="59" t="s">
        <v>285</v>
      </c>
      <c r="AJ266" s="59" t="s">
        <v>818</v>
      </c>
      <c r="AK266" s="59" t="s">
        <v>944</v>
      </c>
      <c r="AL266" s="64" t="str">
        <f>IFERROR(INDEX(LK_BankMaster!$D$4:$D$23,MATCH(AJ266&amp;"|"&amp;AK266,LK_BankMaster!$H$4:$H$23,0)),"")</f>
        <v/>
      </c>
      <c r="AM266" s="59" t="s">
        <v>3274</v>
      </c>
      <c r="AN266" s="64" t="str">
        <f>IFERROR(VLOOKUP(AJ266,LK_BankMaster!$A$4:$E$23,5,FALSE()),"")</f>
        <v/>
      </c>
      <c r="AO266" s="59" t="s">
        <v>314</v>
      </c>
      <c r="AP266" s="66">
        <v>0</v>
      </c>
      <c r="AQ266" s="64" t="str">
        <f t="shared" si="19"/>
        <v>Position Allowance - Director</v>
      </c>
      <c r="AR266" s="65" t="str">
        <f>IFERROR(VLOOKUP(T266,LK_OrgMaster!$B$4:$G$89,6,FALSE()),"No")</f>
        <v>No</v>
      </c>
      <c r="AS266" s="64" t="str">
        <f>IFERROR(VLOOKUP(T266,LK_OrgMaster!$B$4:$H$89,7,FALSE()),"None")</f>
        <v>Medical</v>
      </c>
      <c r="AT266" s="67">
        <v>45874</v>
      </c>
      <c r="AU266" s="67"/>
      <c r="AV266" s="67">
        <v>45874</v>
      </c>
      <c r="AW266" s="67">
        <v>46023</v>
      </c>
      <c r="AX266" s="68" t="s">
        <v>750</v>
      </c>
      <c r="AY266" s="69" t="s">
        <v>6260</v>
      </c>
    </row>
    <row r="267" spans="1:51" ht="15" customHeight="1" x14ac:dyDescent="0.3">
      <c r="A267" s="59" t="s">
        <v>3275</v>
      </c>
      <c r="B267" s="59" t="s">
        <v>772</v>
      </c>
      <c r="C267" s="59" t="s">
        <v>3075</v>
      </c>
      <c r="D267" s="59" t="s">
        <v>1331</v>
      </c>
      <c r="E267" s="59" t="s">
        <v>732</v>
      </c>
      <c r="F267" s="60">
        <v>24233</v>
      </c>
      <c r="G267" s="59" t="s">
        <v>3276</v>
      </c>
      <c r="H267" s="59" t="s">
        <v>3277</v>
      </c>
      <c r="I267" s="60">
        <v>45205</v>
      </c>
      <c r="J267" s="61">
        <f t="shared" ca="1" si="16"/>
        <v>2</v>
      </c>
      <c r="K267" s="62">
        <f t="shared" si="17"/>
        <v>46148</v>
      </c>
      <c r="L267" s="59" t="s">
        <v>735</v>
      </c>
      <c r="M267" s="59" t="s">
        <v>1020</v>
      </c>
      <c r="N267" s="59" t="s">
        <v>737</v>
      </c>
      <c r="O267" s="63">
        <v>25</v>
      </c>
      <c r="P267" s="61">
        <f>IFERROR(SUMPRODUCT((LK_GradeDerivation!$A$4:$A$135=N267)*(IF(O267="",0,O267)&gt;=LK_GradeDerivation!$B$4:$B$135)*(IF(O267="",0,O267)&lt;=LK_GradeDerivation!$C$4:$C$135)*LK_GradeDerivation!$D$4:$D$135),1)</f>
        <v>4</v>
      </c>
      <c r="Q267" s="61">
        <f>IFERROR(SUMPRODUCT((LK_GradeDerivation!$A$4:$A$135=N267)*(IF(O267="",0,O267)&gt;=LK_GradeDerivation!$B$4:$B$135)*(IF(O267="",0,O267)&lt;=LK_GradeDerivation!$C$4:$C$135)*LK_GradeDerivation!$E$4:$E$135),1)</f>
        <v>13</v>
      </c>
      <c r="R267" s="59" t="s">
        <v>3278</v>
      </c>
      <c r="S267" s="59" t="s">
        <v>3279</v>
      </c>
      <c r="T267" s="59" t="s">
        <v>1204</v>
      </c>
      <c r="U267" s="59" t="s">
        <v>3245</v>
      </c>
      <c r="V267" s="59" t="s">
        <v>3280</v>
      </c>
      <c r="W267" s="59" t="s">
        <v>285</v>
      </c>
      <c r="X267" s="59" t="s">
        <v>463</v>
      </c>
      <c r="Y267" s="59" t="s">
        <v>471</v>
      </c>
      <c r="Z267" s="64" t="str">
        <f>IFERROR(VLOOKUP(T267,LK_OrgMaster!$B$4:$H$89,5,FALSE()),"Administration")</f>
        <v>Administration</v>
      </c>
      <c r="AA267" s="65" t="str">
        <f>IFERROR(VLOOKUP(X267,LK_LocationMaster!$D$4:$G$157,4,FALSE()),"No")</f>
        <v>No</v>
      </c>
      <c r="AB267" s="65" t="str">
        <f t="shared" si="18"/>
        <v>No</v>
      </c>
      <c r="AC267" s="65" t="str">
        <f>IFERROR(VLOOKUP(X267,LK_LocationMaster!$D$4:$H$157,5,FALSE()),"No")</f>
        <v>No</v>
      </c>
      <c r="AD267" s="59" t="s">
        <v>3281</v>
      </c>
      <c r="AE267" s="59" t="s">
        <v>930</v>
      </c>
      <c r="AF267" s="59" t="s">
        <v>786</v>
      </c>
      <c r="AG267" s="59" t="s">
        <v>356</v>
      </c>
      <c r="AH267" s="59" t="s">
        <v>3282</v>
      </c>
      <c r="AI267" s="59" t="s">
        <v>285</v>
      </c>
      <c r="AJ267" s="59" t="s">
        <v>833</v>
      </c>
      <c r="AK267" s="59" t="s">
        <v>1550</v>
      </c>
      <c r="AL267" s="64" t="str">
        <f>IFERROR(INDEX(LK_BankMaster!$D$4:$D$23,MATCH(AJ267&amp;"|"&amp;AK267,LK_BankMaster!$H$4:$H$23,0)),"")</f>
        <v/>
      </c>
      <c r="AM267" s="59" t="s">
        <v>3283</v>
      </c>
      <c r="AN267" s="64" t="str">
        <f>IFERROR(VLOOKUP(AJ267,LK_BankMaster!$A$4:$E$23,5,FALSE()),"")</f>
        <v/>
      </c>
      <c r="AO267" s="59" t="s">
        <v>291</v>
      </c>
      <c r="AP267" s="66">
        <v>0</v>
      </c>
      <c r="AQ267" s="64" t="str">
        <f t="shared" si="19"/>
        <v>Position Allowance - Section Chief</v>
      </c>
      <c r="AR267" s="65" t="str">
        <f>IFERROR(VLOOKUP(T267,LK_OrgMaster!$B$4:$G$89,6,FALSE()),"No")</f>
        <v>No</v>
      </c>
      <c r="AS267" s="64" t="str">
        <f>IFERROR(VLOOKUP(T267,LK_OrgMaster!$B$4:$H$89,7,FALSE()),"None")</f>
        <v>None</v>
      </c>
      <c r="AT267" s="70">
        <v>45205</v>
      </c>
      <c r="AU267" s="70"/>
      <c r="AV267" s="70">
        <v>45205</v>
      </c>
      <c r="AW267" s="70">
        <v>46023</v>
      </c>
      <c r="AX267" s="71" t="s">
        <v>750</v>
      </c>
      <c r="AY267" s="72" t="s">
        <v>6260</v>
      </c>
    </row>
    <row r="268" spans="1:51" ht="15" customHeight="1" x14ac:dyDescent="0.3">
      <c r="A268" s="59" t="s">
        <v>3284</v>
      </c>
      <c r="B268" s="59" t="s">
        <v>772</v>
      </c>
      <c r="C268" s="59" t="s">
        <v>2203</v>
      </c>
      <c r="D268" s="59" t="s">
        <v>2375</v>
      </c>
      <c r="E268" s="59" t="s">
        <v>732</v>
      </c>
      <c r="F268" s="60">
        <v>27266</v>
      </c>
      <c r="G268" s="59" t="s">
        <v>3285</v>
      </c>
      <c r="H268" s="59" t="s">
        <v>3286</v>
      </c>
      <c r="I268" s="60">
        <v>42179</v>
      </c>
      <c r="J268" s="61">
        <f t="shared" ca="1" si="16"/>
        <v>10</v>
      </c>
      <c r="K268" s="62">
        <f t="shared" si="17"/>
        <v>49181</v>
      </c>
      <c r="L268" s="59" t="s">
        <v>735</v>
      </c>
      <c r="M268" s="59" t="s">
        <v>826</v>
      </c>
      <c r="N268" s="59" t="s">
        <v>758</v>
      </c>
      <c r="O268" s="63">
        <v>15</v>
      </c>
      <c r="P268" s="61">
        <f>IFERROR(SUMPRODUCT((LK_GradeDerivation!$A$4:$A$135=N268)*(IF(O268="",0,O268)&gt;=LK_GradeDerivation!$B$4:$B$135)*(IF(O268="",0,O268)&lt;=LK_GradeDerivation!$C$4:$C$135)*LK_GradeDerivation!$D$4:$D$135),1)</f>
        <v>5</v>
      </c>
      <c r="Q268" s="61">
        <f>IFERROR(SUMPRODUCT((LK_GradeDerivation!$A$4:$A$135=N268)*(IF(O268="",0,O268)&gt;=LK_GradeDerivation!$B$4:$B$135)*(IF(O268="",0,O268)&lt;=LK_GradeDerivation!$C$4:$C$135)*LK_GradeDerivation!$E$4:$E$135),1)</f>
        <v>8</v>
      </c>
      <c r="R268" s="59" t="s">
        <v>3287</v>
      </c>
      <c r="S268" s="59" t="s">
        <v>3288</v>
      </c>
      <c r="T268" s="59" t="s">
        <v>782</v>
      </c>
      <c r="U268" s="59" t="s">
        <v>1191</v>
      </c>
      <c r="V268" s="59" t="s">
        <v>1192</v>
      </c>
      <c r="W268" s="59" t="s">
        <v>285</v>
      </c>
      <c r="X268" s="59" t="s">
        <v>587</v>
      </c>
      <c r="Y268" s="59" t="s">
        <v>595</v>
      </c>
      <c r="Z268" s="64" t="str">
        <f>IFERROR(VLOOKUP(T268,LK_OrgMaster!$B$4:$H$89,5,FALSE()),"Administration")</f>
        <v>Medical</v>
      </c>
      <c r="AA268" s="65" t="str">
        <f>IFERROR(VLOOKUP(X268,LK_LocationMaster!$D$4:$G$157,4,FALSE()),"No")</f>
        <v>Yes</v>
      </c>
      <c r="AB268" s="65" t="str">
        <f t="shared" si="18"/>
        <v>No</v>
      </c>
      <c r="AC268" s="65" t="str">
        <f>IFERROR(VLOOKUP(X268,LK_LocationMaster!$D$4:$H$157,5,FALSE()),"No")</f>
        <v>Yes</v>
      </c>
      <c r="AD268" s="59" t="s">
        <v>3289</v>
      </c>
      <c r="AE268" s="59" t="s">
        <v>800</v>
      </c>
      <c r="AF268" s="59" t="s">
        <v>816</v>
      </c>
      <c r="AG268" s="59" t="s">
        <v>356</v>
      </c>
      <c r="AH268" s="59" t="s">
        <v>3290</v>
      </c>
      <c r="AI268" s="59" t="s">
        <v>285</v>
      </c>
      <c r="AJ268" s="59" t="s">
        <v>788</v>
      </c>
      <c r="AK268" s="59" t="s">
        <v>999</v>
      </c>
      <c r="AL268" s="64" t="str">
        <f>IFERROR(INDEX(LK_BankMaster!$D$4:$D$23,MATCH(AJ268&amp;"|"&amp;AK268,LK_BankMaster!$H$4:$H$23,0)),"")</f>
        <v/>
      </c>
      <c r="AM268" s="59" t="s">
        <v>3291</v>
      </c>
      <c r="AN268" s="64" t="str">
        <f>IFERROR(VLOOKUP(AJ268,LK_BankMaster!$A$4:$E$23,5,FALSE()),"")</f>
        <v/>
      </c>
      <c r="AO268" s="59" t="s">
        <v>314</v>
      </c>
      <c r="AP268" s="66">
        <v>1</v>
      </c>
      <c r="AQ268" s="64" t="str">
        <f t="shared" si="19"/>
        <v>Position Allowance - General Staff</v>
      </c>
      <c r="AR268" s="65" t="str">
        <f>IFERROR(VLOOKUP(T268,LK_OrgMaster!$B$4:$G$89,6,FALSE()),"No")</f>
        <v>No</v>
      </c>
      <c r="AS268" s="64" t="str">
        <f>IFERROR(VLOOKUP(T268,LK_OrgMaster!$B$4:$H$89,7,FALSE()),"None")</f>
        <v>Medical</v>
      </c>
      <c r="AT268" s="67">
        <v>42179</v>
      </c>
      <c r="AU268" s="67"/>
      <c r="AV268" s="67">
        <v>42179</v>
      </c>
      <c r="AW268" s="67">
        <v>46023</v>
      </c>
      <c r="AX268" s="68" t="s">
        <v>750</v>
      </c>
      <c r="AY268" s="69" t="s">
        <v>6260</v>
      </c>
    </row>
    <row r="269" spans="1:51" ht="15" customHeight="1" x14ac:dyDescent="0.3">
      <c r="A269" s="59" t="s">
        <v>3292</v>
      </c>
      <c r="B269" s="59" t="s">
        <v>772</v>
      </c>
      <c r="C269" s="59" t="s">
        <v>730</v>
      </c>
      <c r="D269" s="59" t="s">
        <v>1373</v>
      </c>
      <c r="E269" s="59" t="s">
        <v>732</v>
      </c>
      <c r="F269" s="60">
        <v>25631</v>
      </c>
      <c r="G269" s="59" t="s">
        <v>3293</v>
      </c>
      <c r="H269" s="59" t="s">
        <v>3294</v>
      </c>
      <c r="I269" s="60">
        <v>43462</v>
      </c>
      <c r="J269" s="61">
        <f t="shared" ca="1" si="16"/>
        <v>7</v>
      </c>
      <c r="K269" s="62">
        <f t="shared" si="17"/>
        <v>47546</v>
      </c>
      <c r="L269" s="59" t="s">
        <v>735</v>
      </c>
      <c r="M269" s="59" t="s">
        <v>893</v>
      </c>
      <c r="N269" s="59" t="s">
        <v>1081</v>
      </c>
      <c r="O269" s="63">
        <v>25</v>
      </c>
      <c r="P269" s="61">
        <f>IFERROR(SUMPRODUCT((LK_GradeDerivation!$A$4:$A$135=N269)*(IF(O269="",0,O269)&gt;=LK_GradeDerivation!$B$4:$B$135)*(IF(O269="",0,O269)&lt;=LK_GradeDerivation!$C$4:$C$135)*LK_GradeDerivation!$D$4:$D$135),1)</f>
        <v>3</v>
      </c>
      <c r="Q269" s="61">
        <f>IFERROR(SUMPRODUCT((LK_GradeDerivation!$A$4:$A$135=N269)*(IF(O269="",0,O269)&gt;=LK_GradeDerivation!$B$4:$B$135)*(IF(O269="",0,O269)&lt;=LK_GradeDerivation!$C$4:$C$135)*LK_GradeDerivation!$E$4:$E$135),1)</f>
        <v>13</v>
      </c>
      <c r="R269" s="59" t="s">
        <v>3295</v>
      </c>
      <c r="S269" s="59" t="s">
        <v>3296</v>
      </c>
      <c r="T269" s="59" t="s">
        <v>761</v>
      </c>
      <c r="U269" s="59" t="s">
        <v>1072</v>
      </c>
      <c r="V269" s="59" t="s">
        <v>3297</v>
      </c>
      <c r="W269" s="59" t="s">
        <v>285</v>
      </c>
      <c r="X269" s="59" t="s">
        <v>288</v>
      </c>
      <c r="Y269" s="59" t="s">
        <v>304</v>
      </c>
      <c r="Z269" s="64" t="str">
        <f>IFERROR(VLOOKUP(T269,LK_OrgMaster!$B$4:$H$89,5,FALSE()),"Administration")</f>
        <v>Administration</v>
      </c>
      <c r="AA269" s="65" t="str">
        <f>IFERROR(VLOOKUP(X269,LK_LocationMaster!$D$4:$G$157,4,FALSE()),"No")</f>
        <v>No</v>
      </c>
      <c r="AB269" s="65" t="str">
        <f t="shared" si="18"/>
        <v>No</v>
      </c>
      <c r="AC269" s="65" t="str">
        <f>IFERROR(VLOOKUP(X269,LK_LocationMaster!$D$4:$H$157,5,FALSE()),"No")</f>
        <v>No</v>
      </c>
      <c r="AD269" s="59" t="s">
        <v>3298</v>
      </c>
      <c r="AE269" s="59" t="s">
        <v>3299</v>
      </c>
      <c r="AF269" s="59" t="s">
        <v>969</v>
      </c>
      <c r="AG269" s="59" t="s">
        <v>340</v>
      </c>
      <c r="AH269" s="59" t="s">
        <v>3300</v>
      </c>
      <c r="AI269" s="59" t="s">
        <v>285</v>
      </c>
      <c r="AJ269" s="59" t="s">
        <v>788</v>
      </c>
      <c r="AK269" s="59" t="s">
        <v>999</v>
      </c>
      <c r="AL269" s="64" t="str">
        <f>IFERROR(INDEX(LK_BankMaster!$D$4:$D$23,MATCH(AJ269&amp;"|"&amp;AK269,LK_BankMaster!$H$4:$H$23,0)),"")</f>
        <v/>
      </c>
      <c r="AM269" s="59" t="s">
        <v>3301</v>
      </c>
      <c r="AN269" s="64" t="str">
        <f>IFERROR(VLOOKUP(AJ269,LK_BankMaster!$A$4:$E$23,5,FALSE()),"")</f>
        <v/>
      </c>
      <c r="AO269" s="59" t="s">
        <v>314</v>
      </c>
      <c r="AP269" s="66">
        <v>1</v>
      </c>
      <c r="AQ269" s="64" t="str">
        <f t="shared" si="19"/>
        <v>Position Allowance - General Staff</v>
      </c>
      <c r="AR269" s="65" t="str">
        <f>IFERROR(VLOOKUP(T269,LK_OrgMaster!$B$4:$G$89,6,FALSE()),"No")</f>
        <v>Yes</v>
      </c>
      <c r="AS269" s="64" t="str">
        <f>IFERROR(VLOOKUP(T269,LK_OrgMaster!$B$4:$H$89,7,FALSE()),"None")</f>
        <v>None</v>
      </c>
      <c r="AT269" s="70">
        <v>43462</v>
      </c>
      <c r="AU269" s="70"/>
      <c r="AV269" s="70">
        <v>43462</v>
      </c>
      <c r="AW269" s="70">
        <v>46023</v>
      </c>
      <c r="AX269" s="71" t="s">
        <v>750</v>
      </c>
      <c r="AY269" s="72" t="s">
        <v>6260</v>
      </c>
    </row>
    <row r="270" spans="1:51" ht="15" customHeight="1" x14ac:dyDescent="0.3">
      <c r="A270" s="59" t="s">
        <v>3302</v>
      </c>
      <c r="B270" s="59" t="s">
        <v>851</v>
      </c>
      <c r="C270" s="59" t="s">
        <v>1278</v>
      </c>
      <c r="D270" s="59" t="s">
        <v>1704</v>
      </c>
      <c r="E270" s="59" t="s">
        <v>775</v>
      </c>
      <c r="F270" s="60">
        <v>30593</v>
      </c>
      <c r="G270" s="59" t="s">
        <v>3303</v>
      </c>
      <c r="H270" s="59" t="s">
        <v>3304</v>
      </c>
      <c r="I270" s="60">
        <v>43293</v>
      </c>
      <c r="J270" s="61">
        <f t="shared" ca="1" si="16"/>
        <v>7</v>
      </c>
      <c r="K270" s="62">
        <f t="shared" si="17"/>
        <v>52508</v>
      </c>
      <c r="L270" s="59" t="s">
        <v>735</v>
      </c>
      <c r="M270" s="59" t="s">
        <v>1020</v>
      </c>
      <c r="N270" s="59" t="s">
        <v>737</v>
      </c>
      <c r="O270" s="63">
        <v>12</v>
      </c>
      <c r="P270" s="61">
        <f>IFERROR(SUMPRODUCT((LK_GradeDerivation!$A$4:$A$135=N270)*(IF(O270="",0,O270)&gt;=LK_GradeDerivation!$B$4:$B$135)*(IF(O270="",0,O270)&lt;=LK_GradeDerivation!$C$4:$C$135)*LK_GradeDerivation!$D$4:$D$135),1)</f>
        <v>4</v>
      </c>
      <c r="Q270" s="61">
        <f>IFERROR(SUMPRODUCT((LK_GradeDerivation!$A$4:$A$135=N270)*(IF(O270="",0,O270)&gt;=LK_GradeDerivation!$B$4:$B$135)*(IF(O270="",0,O270)&lt;=LK_GradeDerivation!$C$4:$C$135)*LK_GradeDerivation!$E$4:$E$135),1)</f>
        <v>7</v>
      </c>
      <c r="R270" s="59" t="s">
        <v>3305</v>
      </c>
      <c r="S270" s="59" t="s">
        <v>3306</v>
      </c>
      <c r="T270" s="59" t="s">
        <v>1096</v>
      </c>
      <c r="U270" s="59" t="s">
        <v>2369</v>
      </c>
      <c r="V270" s="59" t="s">
        <v>3070</v>
      </c>
      <c r="W270" s="59" t="s">
        <v>285</v>
      </c>
      <c r="X270" s="59" t="s">
        <v>356</v>
      </c>
      <c r="Y270" s="59" t="s">
        <v>358</v>
      </c>
      <c r="Z270" s="64" t="str">
        <f>IFERROR(VLOOKUP(T270,LK_OrgMaster!$B$4:$H$89,5,FALSE()),"Administration")</f>
        <v>Administration</v>
      </c>
      <c r="AA270" s="65" t="str">
        <f>IFERROR(VLOOKUP(X270,LK_LocationMaster!$D$4:$G$157,4,FALSE()),"No")</f>
        <v>Yes</v>
      </c>
      <c r="AB270" s="65" t="str">
        <f t="shared" si="18"/>
        <v>No</v>
      </c>
      <c r="AC270" s="65" t="str">
        <f>IFERROR(VLOOKUP(X270,LK_LocationMaster!$D$4:$H$157,5,FALSE()),"No")</f>
        <v>No</v>
      </c>
      <c r="AD270" s="59" t="s">
        <v>3307</v>
      </c>
      <c r="AE270" s="59" t="s">
        <v>930</v>
      </c>
      <c r="AF270" s="59" t="s">
        <v>901</v>
      </c>
      <c r="AG270" s="59" t="s">
        <v>356</v>
      </c>
      <c r="AH270" s="59" t="s">
        <v>3308</v>
      </c>
      <c r="AI270" s="59" t="s">
        <v>285</v>
      </c>
      <c r="AJ270" s="59" t="s">
        <v>788</v>
      </c>
      <c r="AK270" s="59" t="s">
        <v>789</v>
      </c>
      <c r="AL270" s="64" t="str">
        <f>IFERROR(INDEX(LK_BankMaster!$D$4:$D$23,MATCH(AJ270&amp;"|"&amp;AK270,LK_BankMaster!$H$4:$H$23,0)),"")</f>
        <v/>
      </c>
      <c r="AM270" s="59" t="s">
        <v>3309</v>
      </c>
      <c r="AN270" s="64" t="str">
        <f>IFERROR(VLOOKUP(AJ270,LK_BankMaster!$A$4:$E$23,5,FALSE()),"")</f>
        <v/>
      </c>
      <c r="AO270" s="59" t="s">
        <v>291</v>
      </c>
      <c r="AP270" s="66">
        <v>0</v>
      </c>
      <c r="AQ270" s="64" t="str">
        <f t="shared" si="19"/>
        <v>Position Allowance - Section Chief</v>
      </c>
      <c r="AR270" s="65" t="str">
        <f>IFERROR(VLOOKUP(T270,LK_OrgMaster!$B$4:$G$89,6,FALSE()),"No")</f>
        <v>No</v>
      </c>
      <c r="AS270" s="64" t="str">
        <f>IFERROR(VLOOKUP(T270,LK_OrgMaster!$B$4:$H$89,7,FALSE()),"None")</f>
        <v>None</v>
      </c>
      <c r="AT270" s="67">
        <v>43293</v>
      </c>
      <c r="AU270" s="67"/>
      <c r="AV270" s="67">
        <v>43293</v>
      </c>
      <c r="AW270" s="67">
        <v>46023</v>
      </c>
      <c r="AX270" s="68" t="s">
        <v>750</v>
      </c>
      <c r="AY270" s="69" t="s">
        <v>6260</v>
      </c>
    </row>
    <row r="271" spans="1:51" ht="15" customHeight="1" x14ac:dyDescent="0.3">
      <c r="A271" s="59" t="s">
        <v>3310</v>
      </c>
      <c r="B271" s="59" t="s">
        <v>772</v>
      </c>
      <c r="C271" s="59" t="s">
        <v>1429</v>
      </c>
      <c r="D271" s="59" t="s">
        <v>1160</v>
      </c>
      <c r="E271" s="59" t="s">
        <v>775</v>
      </c>
      <c r="F271" s="60">
        <v>35474</v>
      </c>
      <c r="G271" s="59" t="s">
        <v>3311</v>
      </c>
      <c r="H271" s="59" t="s">
        <v>3312</v>
      </c>
      <c r="I271" s="60">
        <v>33159</v>
      </c>
      <c r="J271" s="61">
        <f t="shared" ca="1" si="16"/>
        <v>35</v>
      </c>
      <c r="K271" s="62">
        <f t="shared" si="17"/>
        <v>57389</v>
      </c>
      <c r="L271" s="59" t="s">
        <v>735</v>
      </c>
      <c r="M271" s="59" t="s">
        <v>1020</v>
      </c>
      <c r="N271" s="59" t="s">
        <v>737</v>
      </c>
      <c r="O271" s="63">
        <v>0</v>
      </c>
      <c r="P271" s="61">
        <f>IFERROR(SUMPRODUCT((LK_GradeDerivation!$A$4:$A$135=N271)*(IF(O271="",0,O271)&gt;=LK_GradeDerivation!$B$4:$B$135)*(IF(O271="",0,O271)&lt;=LK_GradeDerivation!$C$4:$C$135)*LK_GradeDerivation!$D$4:$D$135),1)</f>
        <v>4</v>
      </c>
      <c r="Q271" s="61">
        <f>IFERROR(SUMPRODUCT((LK_GradeDerivation!$A$4:$A$135=N271)*(IF(O271="",0,O271)&gt;=LK_GradeDerivation!$B$4:$B$135)*(IF(O271="",0,O271)&lt;=LK_GradeDerivation!$C$4:$C$135)*LK_GradeDerivation!$E$4:$E$135),1)</f>
        <v>1</v>
      </c>
      <c r="R271" s="59" t="s">
        <v>3313</v>
      </c>
      <c r="S271" s="59" t="s">
        <v>3314</v>
      </c>
      <c r="T271" s="59" t="s">
        <v>979</v>
      </c>
      <c r="U271" s="59" t="s">
        <v>1272</v>
      </c>
      <c r="V271" s="59" t="s">
        <v>3315</v>
      </c>
      <c r="W271" s="59" t="s">
        <v>285</v>
      </c>
      <c r="X271" s="59" t="s">
        <v>408</v>
      </c>
      <c r="Y271" s="59" t="s">
        <v>421</v>
      </c>
      <c r="Z271" s="64" t="str">
        <f>IFERROR(VLOOKUP(T271,LK_OrgMaster!$B$4:$H$89,5,FALSE()),"Administration")</f>
        <v>Administration</v>
      </c>
      <c r="AA271" s="65" t="str">
        <f>IFERROR(VLOOKUP(X271,LK_LocationMaster!$D$4:$G$157,4,FALSE()),"No")</f>
        <v>Yes</v>
      </c>
      <c r="AB271" s="65" t="str">
        <f t="shared" si="18"/>
        <v>No</v>
      </c>
      <c r="AC271" s="65" t="str">
        <f>IFERROR(VLOOKUP(X271,LK_LocationMaster!$D$4:$H$157,5,FALSE()),"No")</f>
        <v>No</v>
      </c>
      <c r="AD271" s="59" t="s">
        <v>2020</v>
      </c>
      <c r="AE271" s="59" t="s">
        <v>800</v>
      </c>
      <c r="AF271" s="59" t="s">
        <v>816</v>
      </c>
      <c r="AG271" s="59" t="s">
        <v>329</v>
      </c>
      <c r="AH271" s="59" t="s">
        <v>3316</v>
      </c>
      <c r="AI271" s="59" t="s">
        <v>285</v>
      </c>
      <c r="AJ271" s="59" t="s">
        <v>788</v>
      </c>
      <c r="AK271" s="59" t="s">
        <v>1877</v>
      </c>
      <c r="AL271" s="64" t="str">
        <f>IFERROR(INDEX(LK_BankMaster!$D$4:$D$23,MATCH(AJ271&amp;"|"&amp;AK271,LK_BankMaster!$H$4:$H$23,0)),"")</f>
        <v/>
      </c>
      <c r="AM271" s="59" t="s">
        <v>3317</v>
      </c>
      <c r="AN271" s="64" t="str">
        <f>IFERROR(VLOOKUP(AJ271,LK_BankMaster!$A$4:$E$23,5,FALSE()),"")</f>
        <v/>
      </c>
      <c r="AO271" s="59" t="s">
        <v>314</v>
      </c>
      <c r="AP271" s="66">
        <v>3</v>
      </c>
      <c r="AQ271" s="64" t="str">
        <f t="shared" si="19"/>
        <v>Position Allowance - Section Chief</v>
      </c>
      <c r="AR271" s="65" t="str">
        <f>IFERROR(VLOOKUP(T271,LK_OrgMaster!$B$4:$G$89,6,FALSE()),"No")</f>
        <v>No</v>
      </c>
      <c r="AS271" s="64" t="str">
        <f>IFERROR(VLOOKUP(T271,LK_OrgMaster!$B$4:$H$89,7,FALSE()),"None")</f>
        <v>None</v>
      </c>
      <c r="AT271" s="70">
        <v>33159</v>
      </c>
      <c r="AU271" s="70"/>
      <c r="AV271" s="70">
        <v>33159</v>
      </c>
      <c r="AW271" s="70">
        <v>46023</v>
      </c>
      <c r="AX271" s="71" t="s">
        <v>750</v>
      </c>
      <c r="AY271" s="72" t="s">
        <v>6260</v>
      </c>
    </row>
    <row r="272" spans="1:51" ht="15" customHeight="1" x14ac:dyDescent="0.3">
      <c r="A272" s="59" t="s">
        <v>3318</v>
      </c>
      <c r="B272" s="59" t="s">
        <v>729</v>
      </c>
      <c r="C272" s="59" t="s">
        <v>1030</v>
      </c>
      <c r="D272" s="59" t="s">
        <v>1112</v>
      </c>
      <c r="E272" s="59" t="s">
        <v>732</v>
      </c>
      <c r="F272" s="60">
        <v>25707</v>
      </c>
      <c r="G272" s="59" t="s">
        <v>3319</v>
      </c>
      <c r="H272" s="59" t="s">
        <v>3320</v>
      </c>
      <c r="I272" s="60">
        <v>35627</v>
      </c>
      <c r="J272" s="61">
        <f t="shared" ca="1" si="16"/>
        <v>28</v>
      </c>
      <c r="K272" s="62">
        <f t="shared" si="17"/>
        <v>47622</v>
      </c>
      <c r="L272" s="59" t="s">
        <v>735</v>
      </c>
      <c r="M272" s="59" t="s">
        <v>1483</v>
      </c>
      <c r="N272" s="59" t="s">
        <v>779</v>
      </c>
      <c r="O272" s="63">
        <v>9</v>
      </c>
      <c r="P272" s="61">
        <f>IFERROR(SUMPRODUCT((LK_GradeDerivation!$A$4:$A$135=N272)*(IF(O272="",0,O272)&gt;=LK_GradeDerivation!$B$4:$B$135)*(IF(O272="",0,O272)&lt;=LK_GradeDerivation!$C$4:$C$135)*LK_GradeDerivation!$D$4:$D$135),1)</f>
        <v>2</v>
      </c>
      <c r="Q272" s="61">
        <f>IFERROR(SUMPRODUCT((LK_GradeDerivation!$A$4:$A$135=N272)*(IF(O272="",0,O272)&gt;=LK_GradeDerivation!$B$4:$B$135)*(IF(O272="",0,O272)&lt;=LK_GradeDerivation!$C$4:$C$135)*LK_GradeDerivation!$E$4:$E$135),1)</f>
        <v>5</v>
      </c>
      <c r="R272" s="59" t="s">
        <v>3321</v>
      </c>
      <c r="S272" s="59" t="s">
        <v>3322</v>
      </c>
      <c r="T272" s="59" t="s">
        <v>761</v>
      </c>
      <c r="U272" s="59" t="s">
        <v>1942</v>
      </c>
      <c r="V272" s="59" t="s">
        <v>1167</v>
      </c>
      <c r="W272" s="59" t="s">
        <v>285</v>
      </c>
      <c r="X272" s="59" t="s">
        <v>288</v>
      </c>
      <c r="Y272" s="59" t="s">
        <v>306</v>
      </c>
      <c r="Z272" s="64" t="str">
        <f>IFERROR(VLOOKUP(T272,LK_OrgMaster!$B$4:$H$89,5,FALSE()),"Administration")</f>
        <v>Administration</v>
      </c>
      <c r="AA272" s="65" t="str">
        <f>IFERROR(VLOOKUP(X272,LK_LocationMaster!$D$4:$G$157,4,FALSE()),"No")</f>
        <v>No</v>
      </c>
      <c r="AB272" s="65" t="str">
        <f t="shared" si="18"/>
        <v>No</v>
      </c>
      <c r="AC272" s="65" t="str">
        <f>IFERROR(VLOOKUP(X272,LK_LocationMaster!$D$4:$H$157,5,FALSE()),"No")</f>
        <v>No</v>
      </c>
      <c r="AD272" s="59" t="s">
        <v>3323</v>
      </c>
      <c r="AE272" s="59" t="s">
        <v>2677</v>
      </c>
      <c r="AF272" s="59" t="s">
        <v>901</v>
      </c>
      <c r="AG272" s="59" t="s">
        <v>391</v>
      </c>
      <c r="AH272" s="59" t="s">
        <v>3324</v>
      </c>
      <c r="AI272" s="59" t="s">
        <v>285</v>
      </c>
      <c r="AJ272" s="59" t="s">
        <v>788</v>
      </c>
      <c r="AK272" s="59" t="s">
        <v>1221</v>
      </c>
      <c r="AL272" s="64" t="str">
        <f>IFERROR(INDEX(LK_BankMaster!$D$4:$D$23,MATCH(AJ272&amp;"|"&amp;AK272,LK_BankMaster!$H$4:$H$23,0)),"")</f>
        <v/>
      </c>
      <c r="AM272" s="59" t="s">
        <v>3325</v>
      </c>
      <c r="AN272" s="64" t="str">
        <f>IFERROR(VLOOKUP(AJ272,LK_BankMaster!$A$4:$E$23,5,FALSE()),"")</f>
        <v/>
      </c>
      <c r="AO272" s="59" t="s">
        <v>314</v>
      </c>
      <c r="AP272" s="66">
        <v>1</v>
      </c>
      <c r="AQ272" s="64" t="str">
        <f t="shared" si="19"/>
        <v>Position Allowance - General Staff</v>
      </c>
      <c r="AR272" s="65" t="str">
        <f>IFERROR(VLOOKUP(T272,LK_OrgMaster!$B$4:$G$89,6,FALSE()),"No")</f>
        <v>Yes</v>
      </c>
      <c r="AS272" s="64" t="str">
        <f>IFERROR(VLOOKUP(T272,LK_OrgMaster!$B$4:$H$89,7,FALSE()),"None")</f>
        <v>None</v>
      </c>
      <c r="AT272" s="67">
        <v>35627</v>
      </c>
      <c r="AU272" s="67"/>
      <c r="AV272" s="67">
        <v>35627</v>
      </c>
      <c r="AW272" s="67">
        <v>46023</v>
      </c>
      <c r="AX272" s="68" t="s">
        <v>750</v>
      </c>
      <c r="AY272" s="69" t="s">
        <v>6260</v>
      </c>
    </row>
    <row r="273" spans="1:51" ht="15" customHeight="1" x14ac:dyDescent="0.3">
      <c r="A273" s="59" t="s">
        <v>3326</v>
      </c>
      <c r="B273" s="59" t="s">
        <v>851</v>
      </c>
      <c r="C273" s="59" t="s">
        <v>3327</v>
      </c>
      <c r="D273" s="59" t="s">
        <v>974</v>
      </c>
      <c r="E273" s="59" t="s">
        <v>775</v>
      </c>
      <c r="F273" s="60">
        <v>27093</v>
      </c>
      <c r="G273" s="59" t="s">
        <v>3328</v>
      </c>
      <c r="H273" s="59" t="s">
        <v>3329</v>
      </c>
      <c r="I273" s="60">
        <v>44053</v>
      </c>
      <c r="J273" s="61">
        <f t="shared" ca="1" si="16"/>
        <v>5</v>
      </c>
      <c r="K273" s="62">
        <f t="shared" si="17"/>
        <v>49008</v>
      </c>
      <c r="L273" s="59" t="s">
        <v>735</v>
      </c>
      <c r="M273" s="59" t="s">
        <v>1080</v>
      </c>
      <c r="N273" s="59" t="s">
        <v>1081</v>
      </c>
      <c r="O273" s="63">
        <v>25</v>
      </c>
      <c r="P273" s="61">
        <f>IFERROR(SUMPRODUCT((LK_GradeDerivation!$A$4:$A$135=N273)*(IF(O273="",0,O273)&gt;=LK_GradeDerivation!$B$4:$B$135)*(IF(O273="",0,O273)&lt;=LK_GradeDerivation!$C$4:$C$135)*LK_GradeDerivation!$D$4:$D$135),1)</f>
        <v>3</v>
      </c>
      <c r="Q273" s="61">
        <f>IFERROR(SUMPRODUCT((LK_GradeDerivation!$A$4:$A$135=N273)*(IF(O273="",0,O273)&gt;=LK_GradeDerivation!$B$4:$B$135)*(IF(O273="",0,O273)&lt;=LK_GradeDerivation!$C$4:$C$135)*LK_GradeDerivation!$E$4:$E$135),1)</f>
        <v>13</v>
      </c>
      <c r="R273" s="59" t="s">
        <v>3330</v>
      </c>
      <c r="S273" s="59" t="s">
        <v>3331</v>
      </c>
      <c r="T273" s="59" t="s">
        <v>1084</v>
      </c>
      <c r="U273" s="59" t="s">
        <v>1085</v>
      </c>
      <c r="V273" s="59" t="s">
        <v>1086</v>
      </c>
      <c r="W273" s="59" t="s">
        <v>285</v>
      </c>
      <c r="X273" s="59" t="s">
        <v>443</v>
      </c>
      <c r="Y273" s="59" t="s">
        <v>451</v>
      </c>
      <c r="Z273" s="64" t="str">
        <f>IFERROR(VLOOKUP(T273,LK_OrgMaster!$B$4:$H$89,5,FALSE()),"Administration")</f>
        <v>Finance</v>
      </c>
      <c r="AA273" s="65" t="str">
        <f>IFERROR(VLOOKUP(X273,LK_LocationMaster!$D$4:$G$157,4,FALSE()),"No")</f>
        <v>No</v>
      </c>
      <c r="AB273" s="65" t="str">
        <f t="shared" si="18"/>
        <v>No</v>
      </c>
      <c r="AC273" s="65" t="str">
        <f>IFERROR(VLOOKUP(X273,LK_LocationMaster!$D$4:$H$157,5,FALSE()),"No")</f>
        <v>No</v>
      </c>
      <c r="AD273" s="59" t="s">
        <v>3332</v>
      </c>
      <c r="AE273" s="59" t="s">
        <v>800</v>
      </c>
      <c r="AF273" s="59" t="s">
        <v>847</v>
      </c>
      <c r="AG273" s="59" t="s">
        <v>312</v>
      </c>
      <c r="AH273" s="59" t="s">
        <v>3333</v>
      </c>
      <c r="AI273" s="59" t="s">
        <v>285</v>
      </c>
      <c r="AJ273" s="59" t="s">
        <v>747</v>
      </c>
      <c r="AK273" s="59" t="s">
        <v>748</v>
      </c>
      <c r="AL273" s="64" t="str">
        <f>IFERROR(INDEX(LK_BankMaster!$D$4:$D$23,MATCH(AJ273&amp;"|"&amp;AK273,LK_BankMaster!$H$4:$H$23,0)),"")</f>
        <v/>
      </c>
      <c r="AM273" s="59" t="s">
        <v>3334</v>
      </c>
      <c r="AN273" s="64" t="str">
        <f>IFERROR(VLOOKUP(AJ273,LK_BankMaster!$A$4:$E$23,5,FALSE()),"")</f>
        <v/>
      </c>
      <c r="AO273" s="59" t="s">
        <v>314</v>
      </c>
      <c r="AP273" s="66">
        <v>3</v>
      </c>
      <c r="AQ273" s="64" t="str">
        <f t="shared" si="19"/>
        <v>Position Allowance - General Staff</v>
      </c>
      <c r="AR273" s="65" t="str">
        <f>IFERROR(VLOOKUP(T273,LK_OrgMaster!$B$4:$G$89,6,FALSE()),"No")</f>
        <v>No</v>
      </c>
      <c r="AS273" s="64" t="str">
        <f>IFERROR(VLOOKUP(T273,LK_OrgMaster!$B$4:$H$89,7,FALSE()),"None")</f>
        <v>None</v>
      </c>
      <c r="AT273" s="70">
        <v>44053</v>
      </c>
      <c r="AU273" s="70"/>
      <c r="AV273" s="70">
        <v>44053</v>
      </c>
      <c r="AW273" s="70">
        <v>46023</v>
      </c>
      <c r="AX273" s="71" t="s">
        <v>750</v>
      </c>
      <c r="AY273" s="72" t="s">
        <v>6260</v>
      </c>
    </row>
    <row r="274" spans="1:51" ht="15" customHeight="1" x14ac:dyDescent="0.3">
      <c r="A274" s="59" t="s">
        <v>3335</v>
      </c>
      <c r="B274" s="59" t="s">
        <v>752</v>
      </c>
      <c r="C274" s="59" t="s">
        <v>2894</v>
      </c>
      <c r="D274" s="59" t="s">
        <v>1430</v>
      </c>
      <c r="E274" s="59" t="s">
        <v>732</v>
      </c>
      <c r="F274" s="60">
        <v>34420</v>
      </c>
      <c r="G274" s="59" t="s">
        <v>3336</v>
      </c>
      <c r="H274" s="59" t="s">
        <v>3337</v>
      </c>
      <c r="I274" s="60">
        <v>35150</v>
      </c>
      <c r="J274" s="61">
        <f t="shared" ca="1" si="16"/>
        <v>29</v>
      </c>
      <c r="K274" s="62">
        <f t="shared" si="17"/>
        <v>56335</v>
      </c>
      <c r="L274" s="59" t="s">
        <v>735</v>
      </c>
      <c r="M274" s="59" t="s">
        <v>1483</v>
      </c>
      <c r="N274" s="59" t="s">
        <v>779</v>
      </c>
      <c r="O274" s="63">
        <v>0</v>
      </c>
      <c r="P274" s="61">
        <f>IFERROR(SUMPRODUCT((LK_GradeDerivation!$A$4:$A$135=N274)*(IF(O274="",0,O274)&gt;=LK_GradeDerivation!$B$4:$B$135)*(IF(O274="",0,O274)&lt;=LK_GradeDerivation!$C$4:$C$135)*LK_GradeDerivation!$D$4:$D$135),1)</f>
        <v>2</v>
      </c>
      <c r="Q274" s="61">
        <f>IFERROR(SUMPRODUCT((LK_GradeDerivation!$A$4:$A$135=N274)*(IF(O274="",0,O274)&gt;=LK_GradeDerivation!$B$4:$B$135)*(IF(O274="",0,O274)&lt;=LK_GradeDerivation!$C$4:$C$135)*LK_GradeDerivation!$E$4:$E$135),1)</f>
        <v>1</v>
      </c>
      <c r="R274" s="59" t="s">
        <v>3338</v>
      </c>
      <c r="S274" s="59" t="s">
        <v>3339</v>
      </c>
      <c r="T274" s="59" t="s">
        <v>1305</v>
      </c>
      <c r="U274" s="59" t="s">
        <v>2268</v>
      </c>
      <c r="V274" s="59" t="s">
        <v>3340</v>
      </c>
      <c r="W274" s="59" t="s">
        <v>285</v>
      </c>
      <c r="X274" s="59" t="s">
        <v>329</v>
      </c>
      <c r="Y274" s="59" t="s">
        <v>336</v>
      </c>
      <c r="Z274" s="64" t="str">
        <f>IFERROR(VLOOKUP(T274,LK_OrgMaster!$B$4:$H$89,5,FALSE()),"Administration")</f>
        <v>Administration</v>
      </c>
      <c r="AA274" s="65" t="str">
        <f>IFERROR(VLOOKUP(X274,LK_LocationMaster!$D$4:$G$157,4,FALSE()),"No")</f>
        <v>Yes</v>
      </c>
      <c r="AB274" s="65" t="str">
        <f t="shared" si="18"/>
        <v>No</v>
      </c>
      <c r="AC274" s="65" t="str">
        <f>IFERROR(VLOOKUP(X274,LK_LocationMaster!$D$4:$H$157,5,FALSE()),"No")</f>
        <v>No</v>
      </c>
      <c r="AD274" s="59" t="s">
        <v>3341</v>
      </c>
      <c r="AE274" s="59" t="s">
        <v>765</v>
      </c>
      <c r="AF274" s="59" t="s">
        <v>786</v>
      </c>
      <c r="AG274" s="59" t="s">
        <v>356</v>
      </c>
      <c r="AH274" s="59" t="s">
        <v>3342</v>
      </c>
      <c r="AI274" s="59" t="s">
        <v>285</v>
      </c>
      <c r="AJ274" s="59" t="s">
        <v>768</v>
      </c>
      <c r="AK274" s="59" t="s">
        <v>769</v>
      </c>
      <c r="AL274" s="64" t="str">
        <f>IFERROR(INDEX(LK_BankMaster!$D$4:$D$23,MATCH(AJ274&amp;"|"&amp;AK274,LK_BankMaster!$H$4:$H$23,0)),"")</f>
        <v/>
      </c>
      <c r="AM274" s="59" t="s">
        <v>3343</v>
      </c>
      <c r="AN274" s="64" t="str">
        <f>IFERROR(VLOOKUP(AJ274,LK_BankMaster!$A$4:$E$23,5,FALSE()),"")</f>
        <v/>
      </c>
      <c r="AO274" s="59" t="s">
        <v>291</v>
      </c>
      <c r="AP274" s="66">
        <v>0</v>
      </c>
      <c r="AQ274" s="64" t="str">
        <f t="shared" si="19"/>
        <v>Position Allowance - General Staff</v>
      </c>
      <c r="AR274" s="65" t="str">
        <f>IFERROR(VLOOKUP(T274,LK_OrgMaster!$B$4:$G$89,6,FALSE()),"No")</f>
        <v>No</v>
      </c>
      <c r="AS274" s="64" t="str">
        <f>IFERROR(VLOOKUP(T274,LK_OrgMaster!$B$4:$H$89,7,FALSE()),"None")</f>
        <v>None</v>
      </c>
      <c r="AT274" s="67">
        <v>35150</v>
      </c>
      <c r="AU274" s="67"/>
      <c r="AV274" s="67">
        <v>35150</v>
      </c>
      <c r="AW274" s="67">
        <v>46023</v>
      </c>
      <c r="AX274" s="68" t="s">
        <v>750</v>
      </c>
      <c r="AY274" s="69" t="s">
        <v>6260</v>
      </c>
    </row>
    <row r="275" spans="1:51" ht="15" customHeight="1" x14ac:dyDescent="0.3">
      <c r="A275" s="59" t="s">
        <v>3344</v>
      </c>
      <c r="B275" s="59" t="s">
        <v>752</v>
      </c>
      <c r="C275" s="59" t="s">
        <v>1041</v>
      </c>
      <c r="D275" s="59" t="s">
        <v>1759</v>
      </c>
      <c r="E275" s="59" t="s">
        <v>732</v>
      </c>
      <c r="F275" s="60">
        <v>37126</v>
      </c>
      <c r="G275" s="59" t="s">
        <v>3345</v>
      </c>
      <c r="H275" s="59" t="s">
        <v>3346</v>
      </c>
      <c r="I275" s="60">
        <v>42324</v>
      </c>
      <c r="J275" s="61">
        <f t="shared" ca="1" si="16"/>
        <v>10</v>
      </c>
      <c r="K275" s="62">
        <f t="shared" si="17"/>
        <v>59041</v>
      </c>
      <c r="L275" s="59" t="s">
        <v>735</v>
      </c>
      <c r="M275" s="59" t="s">
        <v>1743</v>
      </c>
      <c r="N275" s="59" t="s">
        <v>779</v>
      </c>
      <c r="O275" s="63">
        <v>0</v>
      </c>
      <c r="P275" s="61">
        <f>IFERROR(SUMPRODUCT((LK_GradeDerivation!$A$4:$A$135=N275)*(IF(O275="",0,O275)&gt;=LK_GradeDerivation!$B$4:$B$135)*(IF(O275="",0,O275)&lt;=LK_GradeDerivation!$C$4:$C$135)*LK_GradeDerivation!$D$4:$D$135),1)</f>
        <v>2</v>
      </c>
      <c r="Q275" s="61">
        <f>IFERROR(SUMPRODUCT((LK_GradeDerivation!$A$4:$A$135=N275)*(IF(O275="",0,O275)&gt;=LK_GradeDerivation!$B$4:$B$135)*(IF(O275="",0,O275)&lt;=LK_GradeDerivation!$C$4:$C$135)*LK_GradeDerivation!$E$4:$E$135),1)</f>
        <v>1</v>
      </c>
      <c r="R275" s="59" t="s">
        <v>3347</v>
      </c>
      <c r="S275" s="59" t="s">
        <v>3348</v>
      </c>
      <c r="T275" s="59" t="s">
        <v>882</v>
      </c>
      <c r="U275" s="59" t="s">
        <v>1658</v>
      </c>
      <c r="V275" s="59" t="s">
        <v>3349</v>
      </c>
      <c r="W275" s="59" t="s">
        <v>285</v>
      </c>
      <c r="X275" s="59" t="s">
        <v>554</v>
      </c>
      <c r="Y275" s="59" t="s">
        <v>564</v>
      </c>
      <c r="Z275" s="64" t="str">
        <f>IFERROR(VLOOKUP(T275,LK_OrgMaster!$B$4:$H$89,5,FALSE()),"Administration")</f>
        <v>Legal</v>
      </c>
      <c r="AA275" s="65" t="str">
        <f>IFERROR(VLOOKUP(X275,LK_LocationMaster!$D$4:$G$157,4,FALSE()),"No")</f>
        <v>No</v>
      </c>
      <c r="AB275" s="65" t="str">
        <f t="shared" si="18"/>
        <v>No</v>
      </c>
      <c r="AC275" s="65" t="str">
        <f>IFERROR(VLOOKUP(X275,LK_LocationMaster!$D$4:$H$157,5,FALSE()),"No")</f>
        <v>No</v>
      </c>
      <c r="AD275" s="59" t="s">
        <v>3350</v>
      </c>
      <c r="AE275" s="59" t="s">
        <v>930</v>
      </c>
      <c r="AF275" s="59" t="s">
        <v>915</v>
      </c>
      <c r="AG275" s="59" t="s">
        <v>312</v>
      </c>
      <c r="AH275" s="59" t="s">
        <v>3351</v>
      </c>
      <c r="AI275" s="59" t="s">
        <v>285</v>
      </c>
      <c r="AJ275" s="59" t="s">
        <v>747</v>
      </c>
      <c r="AK275" s="59" t="s">
        <v>748</v>
      </c>
      <c r="AL275" s="64" t="str">
        <f>IFERROR(INDEX(LK_BankMaster!$D$4:$D$23,MATCH(AJ275&amp;"|"&amp;AK275,LK_BankMaster!$H$4:$H$23,0)),"")</f>
        <v/>
      </c>
      <c r="AM275" s="59" t="s">
        <v>3352</v>
      </c>
      <c r="AN275" s="64" t="str">
        <f>IFERROR(VLOOKUP(AJ275,LK_BankMaster!$A$4:$E$23,5,FALSE()),"")</f>
        <v/>
      </c>
      <c r="AO275" s="59" t="s">
        <v>291</v>
      </c>
      <c r="AP275" s="66">
        <v>0</v>
      </c>
      <c r="AQ275" s="64" t="str">
        <f t="shared" si="19"/>
        <v>Position Allowance - General Staff</v>
      </c>
      <c r="AR275" s="65" t="str">
        <f>IFERROR(VLOOKUP(T275,LK_OrgMaster!$B$4:$G$89,6,FALSE()),"No")</f>
        <v>No</v>
      </c>
      <c r="AS275" s="64" t="str">
        <f>IFERROR(VLOOKUP(T275,LK_OrgMaster!$B$4:$H$89,7,FALSE()),"None")</f>
        <v>None</v>
      </c>
      <c r="AT275" s="70">
        <v>42324</v>
      </c>
      <c r="AU275" s="70"/>
      <c r="AV275" s="70">
        <v>42324</v>
      </c>
      <c r="AW275" s="70">
        <v>46023</v>
      </c>
      <c r="AX275" s="71" t="s">
        <v>750</v>
      </c>
      <c r="AY275" s="72" t="s">
        <v>6260</v>
      </c>
    </row>
    <row r="276" spans="1:51" ht="15" customHeight="1" x14ac:dyDescent="0.3">
      <c r="A276" s="59" t="s">
        <v>3353</v>
      </c>
      <c r="B276" s="59" t="s">
        <v>851</v>
      </c>
      <c r="C276" s="59" t="s">
        <v>1429</v>
      </c>
      <c r="D276" s="59" t="s">
        <v>1300</v>
      </c>
      <c r="E276" s="59" t="s">
        <v>775</v>
      </c>
      <c r="F276" s="60">
        <v>24689</v>
      </c>
      <c r="G276" s="59" t="s">
        <v>3354</v>
      </c>
      <c r="H276" s="59" t="s">
        <v>3355</v>
      </c>
      <c r="I276" s="60">
        <v>41315</v>
      </c>
      <c r="J276" s="61">
        <f t="shared" ca="1" si="16"/>
        <v>13</v>
      </c>
      <c r="K276" s="62">
        <f t="shared" si="17"/>
        <v>46604</v>
      </c>
      <c r="L276" s="59" t="s">
        <v>735</v>
      </c>
      <c r="M276" s="59" t="s">
        <v>1950</v>
      </c>
      <c r="N276" s="59" t="s">
        <v>758</v>
      </c>
      <c r="O276" s="63">
        <v>20</v>
      </c>
      <c r="P276" s="61">
        <f>IFERROR(SUMPRODUCT((LK_GradeDerivation!$A$4:$A$135=N276)*(IF(O276="",0,O276)&gt;=LK_GradeDerivation!$B$4:$B$135)*(IF(O276="",0,O276)&lt;=LK_GradeDerivation!$C$4:$C$135)*LK_GradeDerivation!$D$4:$D$135),1)</f>
        <v>5</v>
      </c>
      <c r="Q276" s="61">
        <f>IFERROR(SUMPRODUCT((LK_GradeDerivation!$A$4:$A$135=N276)*(IF(O276="",0,O276)&gt;=LK_GradeDerivation!$B$4:$B$135)*(IF(O276="",0,O276)&lt;=LK_GradeDerivation!$C$4:$C$135)*LK_GradeDerivation!$E$4:$E$135),1)</f>
        <v>11</v>
      </c>
      <c r="R276" s="59" t="s">
        <v>3356</v>
      </c>
      <c r="S276" s="59" t="s">
        <v>3357</v>
      </c>
      <c r="T276" s="59" t="s">
        <v>740</v>
      </c>
      <c r="U276" s="59" t="s">
        <v>741</v>
      </c>
      <c r="V276" s="59" t="s">
        <v>1367</v>
      </c>
      <c r="W276" s="59" t="s">
        <v>285</v>
      </c>
      <c r="X276" s="59" t="s">
        <v>288</v>
      </c>
      <c r="Y276" s="59" t="s">
        <v>296</v>
      </c>
      <c r="Z276" s="64" t="str">
        <f>IFERROR(VLOOKUP(T276,LK_OrgMaster!$B$4:$H$89,5,FALSE()),"Administration")</f>
        <v>Teacher</v>
      </c>
      <c r="AA276" s="65" t="str">
        <f>IFERROR(VLOOKUP(X276,LK_LocationMaster!$D$4:$G$157,4,FALSE()),"No")</f>
        <v>No</v>
      </c>
      <c r="AB276" s="65" t="str">
        <f t="shared" si="18"/>
        <v>No</v>
      </c>
      <c r="AC276" s="65" t="str">
        <f>IFERROR(VLOOKUP(X276,LK_LocationMaster!$D$4:$H$157,5,FALSE()),"No")</f>
        <v>No</v>
      </c>
      <c r="AD276" s="59" t="s">
        <v>3358</v>
      </c>
      <c r="AE276" s="59" t="s">
        <v>2667</v>
      </c>
      <c r="AF276" s="59" t="s">
        <v>915</v>
      </c>
      <c r="AG276" s="59" t="s">
        <v>288</v>
      </c>
      <c r="AH276" s="59" t="s">
        <v>3359</v>
      </c>
      <c r="AI276" s="59" t="s">
        <v>285</v>
      </c>
      <c r="AJ276" s="59" t="s">
        <v>833</v>
      </c>
      <c r="AK276" s="59" t="s">
        <v>917</v>
      </c>
      <c r="AL276" s="64" t="str">
        <f>IFERROR(INDEX(LK_BankMaster!$D$4:$D$23,MATCH(AJ276&amp;"|"&amp;AK276,LK_BankMaster!$H$4:$H$23,0)),"")</f>
        <v/>
      </c>
      <c r="AM276" s="59" t="s">
        <v>3360</v>
      </c>
      <c r="AN276" s="64" t="str">
        <f>IFERROR(VLOOKUP(AJ276,LK_BankMaster!$A$4:$E$23,5,FALSE()),"")</f>
        <v/>
      </c>
      <c r="AO276" s="59" t="s">
        <v>291</v>
      </c>
      <c r="AP276" s="66">
        <v>0</v>
      </c>
      <c r="AQ276" s="64" t="str">
        <f t="shared" si="19"/>
        <v>Position Allowance - General Staff</v>
      </c>
      <c r="AR276" s="65" t="str">
        <f>IFERROR(VLOOKUP(T276,LK_OrgMaster!$B$4:$G$89,6,FALSE()),"No")</f>
        <v>No</v>
      </c>
      <c r="AS276" s="64" t="str">
        <f>IFERROR(VLOOKUP(T276,LK_OrgMaster!$B$4:$H$89,7,FALSE()),"None")</f>
        <v>Teaching</v>
      </c>
      <c r="AT276" s="67">
        <v>41315</v>
      </c>
      <c r="AU276" s="67"/>
      <c r="AV276" s="67">
        <v>41315</v>
      </c>
      <c r="AW276" s="67">
        <v>46023</v>
      </c>
      <c r="AX276" s="68" t="s">
        <v>750</v>
      </c>
      <c r="AY276" s="69" t="s">
        <v>6260</v>
      </c>
    </row>
    <row r="277" spans="1:51" ht="15" customHeight="1" x14ac:dyDescent="0.3">
      <c r="A277" s="59" t="s">
        <v>3361</v>
      </c>
      <c r="B277" s="59" t="s">
        <v>851</v>
      </c>
      <c r="C277" s="59" t="s">
        <v>1255</v>
      </c>
      <c r="D277" s="59" t="s">
        <v>823</v>
      </c>
      <c r="E277" s="59" t="s">
        <v>775</v>
      </c>
      <c r="F277" s="60">
        <v>25793</v>
      </c>
      <c r="G277" s="59" t="s">
        <v>3362</v>
      </c>
      <c r="H277" s="59" t="s">
        <v>3363</v>
      </c>
      <c r="I277" s="60">
        <v>32995</v>
      </c>
      <c r="J277" s="61">
        <f t="shared" ca="1" si="16"/>
        <v>35</v>
      </c>
      <c r="K277" s="62">
        <f t="shared" si="17"/>
        <v>47708</v>
      </c>
      <c r="L277" s="59" t="s">
        <v>735</v>
      </c>
      <c r="M277" s="59" t="s">
        <v>757</v>
      </c>
      <c r="N277" s="59" t="s">
        <v>758</v>
      </c>
      <c r="O277" s="63">
        <v>0</v>
      </c>
      <c r="P277" s="61">
        <f>IFERROR(SUMPRODUCT((LK_GradeDerivation!$A$4:$A$135=N277)*(IF(O277="",0,O277)&gt;=LK_GradeDerivation!$B$4:$B$135)*(IF(O277="",0,O277)&lt;=LK_GradeDerivation!$C$4:$C$135)*LK_GradeDerivation!$D$4:$D$135),1)</f>
        <v>5</v>
      </c>
      <c r="Q277" s="61">
        <f>IFERROR(SUMPRODUCT((LK_GradeDerivation!$A$4:$A$135=N277)*(IF(O277="",0,O277)&gt;=LK_GradeDerivation!$B$4:$B$135)*(IF(O277="",0,O277)&lt;=LK_GradeDerivation!$C$4:$C$135)*LK_GradeDerivation!$E$4:$E$135),1)</f>
        <v>1</v>
      </c>
      <c r="R277" s="59" t="s">
        <v>3364</v>
      </c>
      <c r="S277" s="59" t="s">
        <v>3365</v>
      </c>
      <c r="T277" s="59" t="s">
        <v>979</v>
      </c>
      <c r="U277" s="59" t="s">
        <v>980</v>
      </c>
      <c r="V277" s="59" t="s">
        <v>763</v>
      </c>
      <c r="W277" s="59" t="s">
        <v>285</v>
      </c>
      <c r="X277" s="59" t="s">
        <v>554</v>
      </c>
      <c r="Y277" s="59" t="s">
        <v>562</v>
      </c>
      <c r="Z277" s="64" t="str">
        <f>IFERROR(VLOOKUP(T277,LK_OrgMaster!$B$4:$H$89,5,FALSE()),"Administration")</f>
        <v>Administration</v>
      </c>
      <c r="AA277" s="65" t="str">
        <f>IFERROR(VLOOKUP(X277,LK_LocationMaster!$D$4:$G$157,4,FALSE()),"No")</f>
        <v>No</v>
      </c>
      <c r="AB277" s="65" t="str">
        <f t="shared" si="18"/>
        <v>No</v>
      </c>
      <c r="AC277" s="65" t="str">
        <f>IFERROR(VLOOKUP(X277,LK_LocationMaster!$D$4:$H$157,5,FALSE()),"No")</f>
        <v>No</v>
      </c>
      <c r="AD277" s="59" t="s">
        <v>2451</v>
      </c>
      <c r="AE277" s="59" t="s">
        <v>930</v>
      </c>
      <c r="AF277" s="59" t="s">
        <v>801</v>
      </c>
      <c r="AG277" s="59" t="s">
        <v>391</v>
      </c>
      <c r="AH277" s="59" t="s">
        <v>3366</v>
      </c>
      <c r="AI277" s="59" t="s">
        <v>285</v>
      </c>
      <c r="AJ277" s="59" t="s">
        <v>788</v>
      </c>
      <c r="AK277" s="59" t="s">
        <v>1877</v>
      </c>
      <c r="AL277" s="64" t="str">
        <f>IFERROR(INDEX(LK_BankMaster!$D$4:$D$23,MATCH(AJ277&amp;"|"&amp;AK277,LK_BankMaster!$H$4:$H$23,0)),"")</f>
        <v/>
      </c>
      <c r="AM277" s="59" t="s">
        <v>3367</v>
      </c>
      <c r="AN277" s="64" t="str">
        <f>IFERROR(VLOOKUP(AJ277,LK_BankMaster!$A$4:$E$23,5,FALSE()),"")</f>
        <v/>
      </c>
      <c r="AO277" s="59" t="s">
        <v>314</v>
      </c>
      <c r="AP277" s="66">
        <v>3</v>
      </c>
      <c r="AQ277" s="64" t="str">
        <f t="shared" si="19"/>
        <v>Position Allowance - General Staff</v>
      </c>
      <c r="AR277" s="65" t="str">
        <f>IFERROR(VLOOKUP(T277,LK_OrgMaster!$B$4:$G$89,6,FALSE()),"No")</f>
        <v>No</v>
      </c>
      <c r="AS277" s="64" t="str">
        <f>IFERROR(VLOOKUP(T277,LK_OrgMaster!$B$4:$H$89,7,FALSE()),"None")</f>
        <v>None</v>
      </c>
      <c r="AT277" s="70">
        <v>32995</v>
      </c>
      <c r="AU277" s="70"/>
      <c r="AV277" s="70">
        <v>32995</v>
      </c>
      <c r="AW277" s="70">
        <v>46023</v>
      </c>
      <c r="AX277" s="71" t="s">
        <v>750</v>
      </c>
      <c r="AY277" s="72" t="s">
        <v>6260</v>
      </c>
    </row>
    <row r="278" spans="1:51" ht="15" customHeight="1" x14ac:dyDescent="0.3">
      <c r="A278" s="59" t="s">
        <v>3368</v>
      </c>
      <c r="B278" s="59" t="s">
        <v>851</v>
      </c>
      <c r="C278" s="59" t="s">
        <v>2003</v>
      </c>
      <c r="D278" s="59" t="s">
        <v>2794</v>
      </c>
      <c r="E278" s="59" t="s">
        <v>775</v>
      </c>
      <c r="F278" s="60">
        <v>26959</v>
      </c>
      <c r="G278" s="59" t="s">
        <v>3369</v>
      </c>
      <c r="H278" s="59" t="s">
        <v>3370</v>
      </c>
      <c r="I278" s="60">
        <v>40794</v>
      </c>
      <c r="J278" s="61">
        <f t="shared" ca="1" si="16"/>
        <v>14</v>
      </c>
      <c r="K278" s="62">
        <f t="shared" si="17"/>
        <v>48874</v>
      </c>
      <c r="L278" s="59" t="s">
        <v>735</v>
      </c>
      <c r="M278" s="59" t="s">
        <v>810</v>
      </c>
      <c r="N278" s="59" t="s">
        <v>1081</v>
      </c>
      <c r="O278" s="63">
        <v>17</v>
      </c>
      <c r="P278" s="61">
        <f>IFERROR(SUMPRODUCT((LK_GradeDerivation!$A$4:$A$135=N278)*(IF(O278="",0,O278)&gt;=LK_GradeDerivation!$B$4:$B$135)*(IF(O278="",0,O278)&lt;=LK_GradeDerivation!$C$4:$C$135)*LK_GradeDerivation!$D$4:$D$135),1)</f>
        <v>3</v>
      </c>
      <c r="Q278" s="61">
        <f>IFERROR(SUMPRODUCT((LK_GradeDerivation!$A$4:$A$135=N278)*(IF(O278="",0,O278)&gt;=LK_GradeDerivation!$B$4:$B$135)*(IF(O278="",0,O278)&lt;=LK_GradeDerivation!$C$4:$C$135)*LK_GradeDerivation!$E$4:$E$135),1)</f>
        <v>9</v>
      </c>
      <c r="R278" s="59" t="s">
        <v>3371</v>
      </c>
      <c r="S278" s="59" t="s">
        <v>3372</v>
      </c>
      <c r="T278" s="59" t="s">
        <v>782</v>
      </c>
      <c r="U278" s="59" t="s">
        <v>1772</v>
      </c>
      <c r="V278" s="59" t="s">
        <v>763</v>
      </c>
      <c r="W278" s="59" t="s">
        <v>285</v>
      </c>
      <c r="X278" s="59" t="s">
        <v>544</v>
      </c>
      <c r="Y278" s="59" t="s">
        <v>548</v>
      </c>
      <c r="Z278" s="64" t="str">
        <f>IFERROR(VLOOKUP(T278,LK_OrgMaster!$B$4:$H$89,5,FALSE()),"Administration")</f>
        <v>Medical</v>
      </c>
      <c r="AA278" s="65" t="str">
        <f>IFERROR(VLOOKUP(X278,LK_LocationMaster!$D$4:$G$157,4,FALSE()),"No")</f>
        <v>Yes</v>
      </c>
      <c r="AB278" s="65" t="str">
        <f t="shared" si="18"/>
        <v>No</v>
      </c>
      <c r="AC278" s="65" t="str">
        <f>IFERROR(VLOOKUP(X278,LK_LocationMaster!$D$4:$H$157,5,FALSE()),"No")</f>
        <v>Yes</v>
      </c>
      <c r="AD278" s="59" t="s">
        <v>3373</v>
      </c>
      <c r="AE278" s="59" t="s">
        <v>886</v>
      </c>
      <c r="AF278" s="59" t="s">
        <v>847</v>
      </c>
      <c r="AG278" s="59" t="s">
        <v>329</v>
      </c>
      <c r="AH278" s="59" t="s">
        <v>3374</v>
      </c>
      <c r="AI278" s="59" t="s">
        <v>285</v>
      </c>
      <c r="AJ278" s="59" t="s">
        <v>768</v>
      </c>
      <c r="AK278" s="59" t="s">
        <v>803</v>
      </c>
      <c r="AL278" s="64" t="str">
        <f>IFERROR(INDEX(LK_BankMaster!$D$4:$D$23,MATCH(AJ278&amp;"|"&amp;AK278,LK_BankMaster!$H$4:$H$23,0)),"")</f>
        <v/>
      </c>
      <c r="AM278" s="59" t="s">
        <v>3375</v>
      </c>
      <c r="AN278" s="64" t="str">
        <f>IFERROR(VLOOKUP(AJ278,LK_BankMaster!$A$4:$E$23,5,FALSE()),"")</f>
        <v/>
      </c>
      <c r="AO278" s="59" t="s">
        <v>291</v>
      </c>
      <c r="AP278" s="66">
        <v>0</v>
      </c>
      <c r="AQ278" s="64" t="str">
        <f t="shared" si="19"/>
        <v>Position Allowance - General Staff</v>
      </c>
      <c r="AR278" s="65" t="str">
        <f>IFERROR(VLOOKUP(T278,LK_OrgMaster!$B$4:$G$89,6,FALSE()),"No")</f>
        <v>No</v>
      </c>
      <c r="AS278" s="64" t="str">
        <f>IFERROR(VLOOKUP(T278,LK_OrgMaster!$B$4:$H$89,7,FALSE()),"None")</f>
        <v>Medical</v>
      </c>
      <c r="AT278" s="67">
        <v>40794</v>
      </c>
      <c r="AU278" s="67"/>
      <c r="AV278" s="67">
        <v>40794</v>
      </c>
      <c r="AW278" s="67">
        <v>46023</v>
      </c>
      <c r="AX278" s="68" t="s">
        <v>750</v>
      </c>
      <c r="AY278" s="69" t="s">
        <v>6260</v>
      </c>
    </row>
    <row r="279" spans="1:51" ht="15" customHeight="1" x14ac:dyDescent="0.3">
      <c r="A279" s="59" t="s">
        <v>3376</v>
      </c>
      <c r="B279" s="59" t="s">
        <v>772</v>
      </c>
      <c r="C279" s="59" t="s">
        <v>2003</v>
      </c>
      <c r="D279" s="59" t="s">
        <v>960</v>
      </c>
      <c r="E279" s="59" t="s">
        <v>775</v>
      </c>
      <c r="F279" s="60">
        <v>25813</v>
      </c>
      <c r="G279" s="59" t="s">
        <v>3377</v>
      </c>
      <c r="H279" s="59" t="s">
        <v>3378</v>
      </c>
      <c r="I279" s="60">
        <v>38814</v>
      </c>
      <c r="J279" s="61">
        <f t="shared" ca="1" si="16"/>
        <v>19</v>
      </c>
      <c r="K279" s="62">
        <f t="shared" si="17"/>
        <v>47728</v>
      </c>
      <c r="L279" s="59" t="s">
        <v>735</v>
      </c>
      <c r="M279" s="59" t="s">
        <v>1248</v>
      </c>
      <c r="N279" s="59" t="s">
        <v>758</v>
      </c>
      <c r="O279" s="63">
        <v>10</v>
      </c>
      <c r="P279" s="61">
        <f>IFERROR(SUMPRODUCT((LK_GradeDerivation!$A$4:$A$135=N279)*(IF(O279="",0,O279)&gt;=LK_GradeDerivation!$B$4:$B$135)*(IF(O279="",0,O279)&lt;=LK_GradeDerivation!$C$4:$C$135)*LK_GradeDerivation!$D$4:$D$135),1)</f>
        <v>5</v>
      </c>
      <c r="Q279" s="61">
        <f>IFERROR(SUMPRODUCT((LK_GradeDerivation!$A$4:$A$135=N279)*(IF(O279="",0,O279)&gt;=LK_GradeDerivation!$B$4:$B$135)*(IF(O279="",0,O279)&lt;=LK_GradeDerivation!$C$4:$C$135)*LK_GradeDerivation!$E$4:$E$135),1)</f>
        <v>6</v>
      </c>
      <c r="R279" s="59" t="s">
        <v>3379</v>
      </c>
      <c r="S279" s="59" t="s">
        <v>3380</v>
      </c>
      <c r="T279" s="59" t="s">
        <v>1118</v>
      </c>
      <c r="U279" s="59" t="s">
        <v>2930</v>
      </c>
      <c r="V279" s="59" t="s">
        <v>2931</v>
      </c>
      <c r="W279" s="59" t="s">
        <v>285</v>
      </c>
      <c r="X279" s="59" t="s">
        <v>429</v>
      </c>
      <c r="Y279" s="59" t="s">
        <v>435</v>
      </c>
      <c r="Z279" s="64" t="str">
        <f>IFERROR(VLOOKUP(T279,LK_OrgMaster!$B$4:$H$89,5,FALSE()),"Administration")</f>
        <v>Diplomatic</v>
      </c>
      <c r="AA279" s="65" t="str">
        <f>IFERROR(VLOOKUP(X279,LK_LocationMaster!$D$4:$G$157,4,FALSE()),"No")</f>
        <v>Yes</v>
      </c>
      <c r="AB279" s="65" t="str">
        <f t="shared" si="18"/>
        <v>No</v>
      </c>
      <c r="AC279" s="65" t="str">
        <f>IFERROR(VLOOKUP(X279,LK_LocationMaster!$D$4:$H$157,5,FALSE()),"No")</f>
        <v>Yes</v>
      </c>
      <c r="AD279" s="59" t="s">
        <v>3381</v>
      </c>
      <c r="AE279" s="59" t="s">
        <v>930</v>
      </c>
      <c r="AF279" s="59" t="s">
        <v>969</v>
      </c>
      <c r="AG279" s="59" t="s">
        <v>312</v>
      </c>
      <c r="AH279" s="59" t="s">
        <v>3382</v>
      </c>
      <c r="AI279" s="59" t="s">
        <v>285</v>
      </c>
      <c r="AJ279" s="59" t="s">
        <v>833</v>
      </c>
      <c r="AK279" s="59" t="s">
        <v>917</v>
      </c>
      <c r="AL279" s="64" t="str">
        <f>IFERROR(INDEX(LK_BankMaster!$D$4:$D$23,MATCH(AJ279&amp;"|"&amp;AK279,LK_BankMaster!$H$4:$H$23,0)),"")</f>
        <v/>
      </c>
      <c r="AM279" s="59" t="s">
        <v>3383</v>
      </c>
      <c r="AN279" s="64" t="str">
        <f>IFERROR(VLOOKUP(AJ279,LK_BankMaster!$A$4:$E$23,5,FALSE()),"")</f>
        <v/>
      </c>
      <c r="AO279" s="59" t="s">
        <v>291</v>
      </c>
      <c r="AP279" s="66">
        <v>0</v>
      </c>
      <c r="AQ279" s="64" t="str">
        <f t="shared" si="19"/>
        <v>Position Allowance - General Staff</v>
      </c>
      <c r="AR279" s="65" t="str">
        <f>IFERROR(VLOOKUP(T279,LK_OrgMaster!$B$4:$G$89,6,FALSE()),"No")</f>
        <v>No</v>
      </c>
      <c r="AS279" s="64" t="str">
        <f>IFERROR(VLOOKUP(T279,LK_OrgMaster!$B$4:$H$89,7,FALSE()),"None")</f>
        <v>None</v>
      </c>
      <c r="AT279" s="70">
        <v>38814</v>
      </c>
      <c r="AU279" s="70"/>
      <c r="AV279" s="70">
        <v>38814</v>
      </c>
      <c r="AW279" s="70">
        <v>46023</v>
      </c>
      <c r="AX279" s="71" t="s">
        <v>750</v>
      </c>
      <c r="AY279" s="72" t="s">
        <v>6260</v>
      </c>
    </row>
    <row r="280" spans="1:51" ht="15" customHeight="1" x14ac:dyDescent="0.3">
      <c r="A280" s="59" t="s">
        <v>3384</v>
      </c>
      <c r="B280" s="59" t="s">
        <v>729</v>
      </c>
      <c r="C280" s="59" t="s">
        <v>2894</v>
      </c>
      <c r="D280" s="59" t="s">
        <v>2444</v>
      </c>
      <c r="E280" s="59" t="s">
        <v>732</v>
      </c>
      <c r="F280" s="60">
        <v>30945</v>
      </c>
      <c r="G280" s="59" t="s">
        <v>3385</v>
      </c>
      <c r="H280" s="59" t="s">
        <v>3386</v>
      </c>
      <c r="I280" s="60">
        <v>42732</v>
      </c>
      <c r="J280" s="61">
        <f t="shared" ca="1" si="16"/>
        <v>9</v>
      </c>
      <c r="K280" s="62">
        <f t="shared" si="17"/>
        <v>52860</v>
      </c>
      <c r="L280" s="59" t="s">
        <v>735</v>
      </c>
      <c r="M280" s="59" t="s">
        <v>1201</v>
      </c>
      <c r="N280" s="59" t="s">
        <v>737</v>
      </c>
      <c r="O280" s="63">
        <v>10</v>
      </c>
      <c r="P280" s="61">
        <f>IFERROR(SUMPRODUCT((LK_GradeDerivation!$A$4:$A$135=N280)*(IF(O280="",0,O280)&gt;=LK_GradeDerivation!$B$4:$B$135)*(IF(O280="",0,O280)&lt;=LK_GradeDerivation!$C$4:$C$135)*LK_GradeDerivation!$D$4:$D$135),1)</f>
        <v>4</v>
      </c>
      <c r="Q280" s="61">
        <f>IFERROR(SUMPRODUCT((LK_GradeDerivation!$A$4:$A$135=N280)*(IF(O280="",0,O280)&gt;=LK_GradeDerivation!$B$4:$B$135)*(IF(O280="",0,O280)&lt;=LK_GradeDerivation!$C$4:$C$135)*LK_GradeDerivation!$E$4:$E$135),1)</f>
        <v>6</v>
      </c>
      <c r="R280" s="59" t="s">
        <v>3387</v>
      </c>
      <c r="S280" s="59" t="s">
        <v>3388</v>
      </c>
      <c r="T280" s="59" t="s">
        <v>1204</v>
      </c>
      <c r="U280" s="59" t="s">
        <v>3245</v>
      </c>
      <c r="V280" s="59" t="s">
        <v>3389</v>
      </c>
      <c r="W280" s="59" t="s">
        <v>285</v>
      </c>
      <c r="X280" s="59" t="s">
        <v>312</v>
      </c>
      <c r="Y280" s="59" t="s">
        <v>321</v>
      </c>
      <c r="Z280" s="64" t="str">
        <f>IFERROR(VLOOKUP(T280,LK_OrgMaster!$B$4:$H$89,5,FALSE()),"Administration")</f>
        <v>Administration</v>
      </c>
      <c r="AA280" s="65" t="str">
        <f>IFERROR(VLOOKUP(X280,LK_LocationMaster!$D$4:$G$157,4,FALSE()),"No")</f>
        <v>Yes</v>
      </c>
      <c r="AB280" s="65" t="str">
        <f t="shared" si="18"/>
        <v>No</v>
      </c>
      <c r="AC280" s="65" t="str">
        <f>IFERROR(VLOOKUP(X280,LK_LocationMaster!$D$4:$H$157,5,FALSE()),"No")</f>
        <v>No</v>
      </c>
      <c r="AD280" s="59" t="s">
        <v>3390</v>
      </c>
      <c r="AE280" s="59" t="s">
        <v>765</v>
      </c>
      <c r="AF280" s="59" t="s">
        <v>847</v>
      </c>
      <c r="AG280" s="59" t="s">
        <v>288</v>
      </c>
      <c r="AH280" s="59" t="s">
        <v>3108</v>
      </c>
      <c r="AI280" s="59" t="s">
        <v>285</v>
      </c>
      <c r="AJ280" s="59" t="s">
        <v>818</v>
      </c>
      <c r="AK280" s="59" t="s">
        <v>819</v>
      </c>
      <c r="AL280" s="64" t="str">
        <f>IFERROR(INDEX(LK_BankMaster!$D$4:$D$23,MATCH(AJ280&amp;"|"&amp;AK280,LK_BankMaster!$H$4:$H$23,0)),"")</f>
        <v/>
      </c>
      <c r="AM280" s="59" t="s">
        <v>3391</v>
      </c>
      <c r="AN280" s="64" t="str">
        <f>IFERROR(VLOOKUP(AJ280,LK_BankMaster!$A$4:$E$23,5,FALSE()),"")</f>
        <v/>
      </c>
      <c r="AO280" s="59" t="s">
        <v>291</v>
      </c>
      <c r="AP280" s="66">
        <v>0</v>
      </c>
      <c r="AQ280" s="64" t="str">
        <f t="shared" si="19"/>
        <v>Position Allowance - General Staff</v>
      </c>
      <c r="AR280" s="65" t="str">
        <f>IFERROR(VLOOKUP(T280,LK_OrgMaster!$B$4:$G$89,6,FALSE()),"No")</f>
        <v>No</v>
      </c>
      <c r="AS280" s="64" t="str">
        <f>IFERROR(VLOOKUP(T280,LK_OrgMaster!$B$4:$H$89,7,FALSE()),"None")</f>
        <v>None</v>
      </c>
      <c r="AT280" s="67">
        <v>42732</v>
      </c>
      <c r="AU280" s="67"/>
      <c r="AV280" s="67">
        <v>42732</v>
      </c>
      <c r="AW280" s="67">
        <v>46023</v>
      </c>
      <c r="AX280" s="68" t="s">
        <v>750</v>
      </c>
      <c r="AY280" s="69" t="s">
        <v>6260</v>
      </c>
    </row>
    <row r="281" spans="1:51" ht="15" customHeight="1" x14ac:dyDescent="0.3">
      <c r="A281" s="59" t="s">
        <v>3392</v>
      </c>
      <c r="B281" s="59" t="s">
        <v>772</v>
      </c>
      <c r="C281" s="59" t="s">
        <v>1859</v>
      </c>
      <c r="D281" s="59" t="s">
        <v>2194</v>
      </c>
      <c r="E281" s="59" t="s">
        <v>732</v>
      </c>
      <c r="F281" s="60">
        <v>33667</v>
      </c>
      <c r="G281" s="59" t="s">
        <v>3393</v>
      </c>
      <c r="H281" s="59" t="s">
        <v>3394</v>
      </c>
      <c r="I281" s="60">
        <v>37434</v>
      </c>
      <c r="J281" s="61">
        <f t="shared" ca="1" si="16"/>
        <v>23</v>
      </c>
      <c r="K281" s="62">
        <f t="shared" si="17"/>
        <v>55582</v>
      </c>
      <c r="L281" s="59" t="s">
        <v>735</v>
      </c>
      <c r="M281" s="59" t="s">
        <v>2927</v>
      </c>
      <c r="N281" s="59" t="s">
        <v>737</v>
      </c>
      <c r="O281" s="63">
        <v>0</v>
      </c>
      <c r="P281" s="61">
        <f>IFERROR(SUMPRODUCT((LK_GradeDerivation!$A$4:$A$135=N281)*(IF(O281="",0,O281)&gt;=LK_GradeDerivation!$B$4:$B$135)*(IF(O281="",0,O281)&lt;=LK_GradeDerivation!$C$4:$C$135)*LK_GradeDerivation!$D$4:$D$135),1)</f>
        <v>4</v>
      </c>
      <c r="Q281" s="61">
        <f>IFERROR(SUMPRODUCT((LK_GradeDerivation!$A$4:$A$135=N281)*(IF(O281="",0,O281)&gt;=LK_GradeDerivation!$B$4:$B$135)*(IF(O281="",0,O281)&lt;=LK_GradeDerivation!$C$4:$C$135)*LK_GradeDerivation!$E$4:$E$135),1)</f>
        <v>1</v>
      </c>
      <c r="R281" s="59" t="s">
        <v>3395</v>
      </c>
      <c r="S281" s="59" t="s">
        <v>3396</v>
      </c>
      <c r="T281" s="59" t="s">
        <v>1118</v>
      </c>
      <c r="U281" s="59" t="s">
        <v>1874</v>
      </c>
      <c r="V281" s="59" t="s">
        <v>2091</v>
      </c>
      <c r="W281" s="59" t="s">
        <v>285</v>
      </c>
      <c r="X281" s="59" t="s">
        <v>527</v>
      </c>
      <c r="Y281" s="59" t="s">
        <v>527</v>
      </c>
      <c r="Z281" s="64" t="str">
        <f>IFERROR(VLOOKUP(T281,LK_OrgMaster!$B$4:$H$89,5,FALSE()),"Administration")</f>
        <v>Diplomatic</v>
      </c>
      <c r="AA281" s="65" t="str">
        <f>IFERROR(VLOOKUP(X281,LK_LocationMaster!$D$4:$G$157,4,FALSE()),"No")</f>
        <v>No</v>
      </c>
      <c r="AB281" s="65" t="str">
        <f t="shared" si="18"/>
        <v>No</v>
      </c>
      <c r="AC281" s="65" t="str">
        <f>IFERROR(VLOOKUP(X281,LK_LocationMaster!$D$4:$H$157,5,FALSE()),"No")</f>
        <v>No</v>
      </c>
      <c r="AD281" s="59" t="s">
        <v>3114</v>
      </c>
      <c r="AE281" s="59" t="s">
        <v>800</v>
      </c>
      <c r="AF281" s="59" t="s">
        <v>901</v>
      </c>
      <c r="AG281" s="59" t="s">
        <v>368</v>
      </c>
      <c r="AH281" s="59" t="s">
        <v>3397</v>
      </c>
      <c r="AI281" s="59" t="s">
        <v>285</v>
      </c>
      <c r="AJ281" s="59" t="s">
        <v>833</v>
      </c>
      <c r="AK281" s="59" t="s">
        <v>1013</v>
      </c>
      <c r="AL281" s="64" t="str">
        <f>IFERROR(INDEX(LK_BankMaster!$D$4:$D$23,MATCH(AJ281&amp;"|"&amp;AK281,LK_BankMaster!$H$4:$H$23,0)),"")</f>
        <v/>
      </c>
      <c r="AM281" s="59" t="s">
        <v>3398</v>
      </c>
      <c r="AN281" s="64" t="str">
        <f>IFERROR(VLOOKUP(AJ281,LK_BankMaster!$A$4:$E$23,5,FALSE()),"")</f>
        <v/>
      </c>
      <c r="AO281" s="59" t="s">
        <v>314</v>
      </c>
      <c r="AP281" s="66">
        <v>1</v>
      </c>
      <c r="AQ281" s="64" t="str">
        <f t="shared" si="19"/>
        <v>Position Allowance - General Staff</v>
      </c>
      <c r="AR281" s="65" t="str">
        <f>IFERROR(VLOOKUP(T281,LK_OrgMaster!$B$4:$G$89,6,FALSE()),"No")</f>
        <v>No</v>
      </c>
      <c r="AS281" s="64" t="str">
        <f>IFERROR(VLOOKUP(T281,LK_OrgMaster!$B$4:$H$89,7,FALSE()),"None")</f>
        <v>None</v>
      </c>
      <c r="AT281" s="70">
        <v>37434</v>
      </c>
      <c r="AU281" s="70"/>
      <c r="AV281" s="70">
        <v>37434</v>
      </c>
      <c r="AW281" s="70">
        <v>46023</v>
      </c>
      <c r="AX281" s="71" t="s">
        <v>750</v>
      </c>
      <c r="AY281" s="72" t="s">
        <v>6260</v>
      </c>
    </row>
    <row r="282" spans="1:51" ht="15" customHeight="1" x14ac:dyDescent="0.3">
      <c r="A282" s="59" t="s">
        <v>3399</v>
      </c>
      <c r="B282" s="59" t="s">
        <v>772</v>
      </c>
      <c r="C282" s="59" t="s">
        <v>1101</v>
      </c>
      <c r="D282" s="59" t="s">
        <v>876</v>
      </c>
      <c r="E282" s="59" t="s">
        <v>775</v>
      </c>
      <c r="F282" s="60">
        <v>24922</v>
      </c>
      <c r="G282" s="59" t="s">
        <v>3400</v>
      </c>
      <c r="H282" s="59" t="s">
        <v>3401</v>
      </c>
      <c r="I282" s="60">
        <v>37271</v>
      </c>
      <c r="J282" s="61">
        <f t="shared" ca="1" si="16"/>
        <v>24</v>
      </c>
      <c r="K282" s="62">
        <f t="shared" si="17"/>
        <v>46837</v>
      </c>
      <c r="L282" s="59" t="s">
        <v>735</v>
      </c>
      <c r="M282" s="59" t="s">
        <v>757</v>
      </c>
      <c r="N282" s="59" t="s">
        <v>758</v>
      </c>
      <c r="O282" s="63">
        <v>8</v>
      </c>
      <c r="P282" s="61">
        <f>IFERROR(SUMPRODUCT((LK_GradeDerivation!$A$4:$A$135=N282)*(IF(O282="",0,O282)&gt;=LK_GradeDerivation!$B$4:$B$135)*(IF(O282="",0,O282)&lt;=LK_GradeDerivation!$C$4:$C$135)*LK_GradeDerivation!$D$4:$D$135),1)</f>
        <v>5</v>
      </c>
      <c r="Q282" s="61">
        <f>IFERROR(SUMPRODUCT((LK_GradeDerivation!$A$4:$A$135=N282)*(IF(O282="",0,O282)&gt;=LK_GradeDerivation!$B$4:$B$135)*(IF(O282="",0,O282)&lt;=LK_GradeDerivation!$C$4:$C$135)*LK_GradeDerivation!$E$4:$E$135),1)</f>
        <v>5</v>
      </c>
      <c r="R282" s="59" t="s">
        <v>3402</v>
      </c>
      <c r="S282" s="59" t="s">
        <v>3403</v>
      </c>
      <c r="T282" s="59" t="s">
        <v>844</v>
      </c>
      <c r="U282" s="59" t="s">
        <v>1961</v>
      </c>
      <c r="V282" s="59" t="s">
        <v>763</v>
      </c>
      <c r="W282" s="59" t="s">
        <v>285</v>
      </c>
      <c r="X282" s="59" t="s">
        <v>587</v>
      </c>
      <c r="Y282" s="59" t="s">
        <v>589</v>
      </c>
      <c r="Z282" s="64" t="str">
        <f>IFERROR(VLOOKUP(T282,LK_OrgMaster!$B$4:$H$89,5,FALSE()),"Administration")</f>
        <v>Administration</v>
      </c>
      <c r="AA282" s="65" t="str">
        <f>IFERROR(VLOOKUP(X282,LK_LocationMaster!$D$4:$G$157,4,FALSE()),"No")</f>
        <v>Yes</v>
      </c>
      <c r="AB282" s="65" t="str">
        <f t="shared" si="18"/>
        <v>No</v>
      </c>
      <c r="AC282" s="65" t="str">
        <f>IFERROR(VLOOKUP(X282,LK_LocationMaster!$D$4:$H$157,5,FALSE()),"No")</f>
        <v>Yes</v>
      </c>
      <c r="AD282" s="59" t="s">
        <v>3404</v>
      </c>
      <c r="AE282" s="59" t="s">
        <v>765</v>
      </c>
      <c r="AF282" s="59" t="s">
        <v>969</v>
      </c>
      <c r="AG282" s="59" t="s">
        <v>391</v>
      </c>
      <c r="AH282" s="59" t="s">
        <v>3405</v>
      </c>
      <c r="AI282" s="59" t="s">
        <v>285</v>
      </c>
      <c r="AJ282" s="59" t="s">
        <v>788</v>
      </c>
      <c r="AK282" s="59" t="s">
        <v>1460</v>
      </c>
      <c r="AL282" s="64" t="str">
        <f>IFERROR(INDEX(LK_BankMaster!$D$4:$D$23,MATCH(AJ282&amp;"|"&amp;AK282,LK_BankMaster!$H$4:$H$23,0)),"")</f>
        <v/>
      </c>
      <c r="AM282" s="59" t="s">
        <v>3406</v>
      </c>
      <c r="AN282" s="64" t="str">
        <f>IFERROR(VLOOKUP(AJ282,LK_BankMaster!$A$4:$E$23,5,FALSE()),"")</f>
        <v/>
      </c>
      <c r="AO282" s="59" t="s">
        <v>314</v>
      </c>
      <c r="AP282" s="66">
        <v>1</v>
      </c>
      <c r="AQ282" s="64" t="str">
        <f t="shared" si="19"/>
        <v>Position Allowance - General Staff</v>
      </c>
      <c r="AR282" s="65" t="str">
        <f>IFERROR(VLOOKUP(T282,LK_OrgMaster!$B$4:$G$89,6,FALSE()),"No")</f>
        <v>No</v>
      </c>
      <c r="AS282" s="64" t="str">
        <f>IFERROR(VLOOKUP(T282,LK_OrgMaster!$B$4:$H$89,7,FALSE()),"None")</f>
        <v>None</v>
      </c>
      <c r="AT282" s="67">
        <v>37271</v>
      </c>
      <c r="AU282" s="67"/>
      <c r="AV282" s="67">
        <v>37271</v>
      </c>
      <c r="AW282" s="67">
        <v>46023</v>
      </c>
      <c r="AX282" s="68" t="s">
        <v>750</v>
      </c>
      <c r="AY282" s="69" t="s">
        <v>6260</v>
      </c>
    </row>
    <row r="283" spans="1:51" ht="15" customHeight="1" x14ac:dyDescent="0.3">
      <c r="A283" s="59" t="s">
        <v>3407</v>
      </c>
      <c r="B283" s="59" t="s">
        <v>772</v>
      </c>
      <c r="C283" s="59" t="s">
        <v>1703</v>
      </c>
      <c r="D283" s="59" t="s">
        <v>793</v>
      </c>
      <c r="E283" s="59" t="s">
        <v>732</v>
      </c>
      <c r="F283" s="60">
        <v>29133</v>
      </c>
      <c r="G283" s="59" t="s">
        <v>3408</v>
      </c>
      <c r="H283" s="59" t="s">
        <v>3409</v>
      </c>
      <c r="I283" s="60">
        <v>45794</v>
      </c>
      <c r="J283" s="61">
        <f t="shared" ca="1" si="16"/>
        <v>0</v>
      </c>
      <c r="K283" s="62">
        <f t="shared" si="17"/>
        <v>51048</v>
      </c>
      <c r="L283" s="59" t="s">
        <v>735</v>
      </c>
      <c r="M283" s="59" t="s">
        <v>910</v>
      </c>
      <c r="N283" s="59" t="s">
        <v>758</v>
      </c>
      <c r="O283" s="63">
        <v>20</v>
      </c>
      <c r="P283" s="61">
        <f>IFERROR(SUMPRODUCT((LK_GradeDerivation!$A$4:$A$135=N283)*(IF(O283="",0,O283)&gt;=LK_GradeDerivation!$B$4:$B$135)*(IF(O283="",0,O283)&lt;=LK_GradeDerivation!$C$4:$C$135)*LK_GradeDerivation!$D$4:$D$135),1)</f>
        <v>5</v>
      </c>
      <c r="Q283" s="61">
        <f>IFERROR(SUMPRODUCT((LK_GradeDerivation!$A$4:$A$135=N283)*(IF(O283="",0,O283)&gt;=LK_GradeDerivation!$B$4:$B$135)*(IF(O283="",0,O283)&lt;=LK_GradeDerivation!$C$4:$C$135)*LK_GradeDerivation!$E$4:$E$135),1)</f>
        <v>11</v>
      </c>
      <c r="R283" s="59" t="s">
        <v>3410</v>
      </c>
      <c r="S283" s="59" t="s">
        <v>3411</v>
      </c>
      <c r="T283" s="59" t="s">
        <v>979</v>
      </c>
      <c r="U283" s="59" t="s">
        <v>980</v>
      </c>
      <c r="V283" s="59" t="s">
        <v>763</v>
      </c>
      <c r="W283" s="59" t="s">
        <v>285</v>
      </c>
      <c r="X283" s="59" t="s">
        <v>391</v>
      </c>
      <c r="Y283" s="59" t="s">
        <v>402</v>
      </c>
      <c r="Z283" s="64" t="str">
        <f>IFERROR(VLOOKUP(T283,LK_OrgMaster!$B$4:$H$89,5,FALSE()),"Administration")</f>
        <v>Administration</v>
      </c>
      <c r="AA283" s="65" t="str">
        <f>IFERROR(VLOOKUP(X283,LK_LocationMaster!$D$4:$G$157,4,FALSE()),"No")</f>
        <v>Yes</v>
      </c>
      <c r="AB283" s="65" t="str">
        <f t="shared" si="18"/>
        <v>No</v>
      </c>
      <c r="AC283" s="65" t="str">
        <f>IFERROR(VLOOKUP(X283,LK_LocationMaster!$D$4:$H$157,5,FALSE()),"No")</f>
        <v>Yes</v>
      </c>
      <c r="AD283" s="59" t="s">
        <v>1326</v>
      </c>
      <c r="AE283" s="59" t="s">
        <v>886</v>
      </c>
      <c r="AF283" s="59" t="s">
        <v>816</v>
      </c>
      <c r="AG283" s="59" t="s">
        <v>312</v>
      </c>
      <c r="AH283" s="59" t="s">
        <v>3412</v>
      </c>
      <c r="AI283" s="59" t="s">
        <v>285</v>
      </c>
      <c r="AJ283" s="59" t="s">
        <v>747</v>
      </c>
      <c r="AK283" s="59" t="s">
        <v>748</v>
      </c>
      <c r="AL283" s="64" t="str">
        <f>IFERROR(INDEX(LK_BankMaster!$D$4:$D$23,MATCH(AJ283&amp;"|"&amp;AK283,LK_BankMaster!$H$4:$H$23,0)),"")</f>
        <v/>
      </c>
      <c r="AM283" s="59" t="s">
        <v>3413</v>
      </c>
      <c r="AN283" s="64" t="str">
        <f>IFERROR(VLOOKUP(AJ283,LK_BankMaster!$A$4:$E$23,5,FALSE()),"")</f>
        <v/>
      </c>
      <c r="AO283" s="59" t="s">
        <v>314</v>
      </c>
      <c r="AP283" s="66">
        <v>3</v>
      </c>
      <c r="AQ283" s="64" t="str">
        <f t="shared" si="19"/>
        <v>Position Allowance - Division Chief</v>
      </c>
      <c r="AR283" s="65" t="str">
        <f>IFERROR(VLOOKUP(T283,LK_OrgMaster!$B$4:$G$89,6,FALSE()),"No")</f>
        <v>No</v>
      </c>
      <c r="AS283" s="64" t="str">
        <f>IFERROR(VLOOKUP(T283,LK_OrgMaster!$B$4:$H$89,7,FALSE()),"None")</f>
        <v>None</v>
      </c>
      <c r="AT283" s="70">
        <v>45794</v>
      </c>
      <c r="AU283" s="70"/>
      <c r="AV283" s="70">
        <v>45794</v>
      </c>
      <c r="AW283" s="70">
        <v>46023</v>
      </c>
      <c r="AX283" s="71" t="s">
        <v>750</v>
      </c>
      <c r="AY283" s="72" t="s">
        <v>6260</v>
      </c>
    </row>
    <row r="284" spans="1:51" ht="15" customHeight="1" x14ac:dyDescent="0.3">
      <c r="A284" s="59" t="s">
        <v>3414</v>
      </c>
      <c r="B284" s="59" t="s">
        <v>772</v>
      </c>
      <c r="C284" s="59" t="s">
        <v>837</v>
      </c>
      <c r="D284" s="59" t="s">
        <v>774</v>
      </c>
      <c r="E284" s="59" t="s">
        <v>775</v>
      </c>
      <c r="F284" s="60">
        <v>33500</v>
      </c>
      <c r="G284" s="59" t="s">
        <v>3415</v>
      </c>
      <c r="H284" s="59" t="s">
        <v>3416</v>
      </c>
      <c r="I284" s="60">
        <v>45317</v>
      </c>
      <c r="J284" s="61">
        <f t="shared" ca="1" si="16"/>
        <v>2</v>
      </c>
      <c r="K284" s="62">
        <f t="shared" si="17"/>
        <v>55415</v>
      </c>
      <c r="L284" s="59" t="s">
        <v>735</v>
      </c>
      <c r="M284" s="59" t="s">
        <v>992</v>
      </c>
      <c r="N284" s="59" t="s">
        <v>1081</v>
      </c>
      <c r="O284" s="63">
        <v>12</v>
      </c>
      <c r="P284" s="61">
        <f>IFERROR(SUMPRODUCT((LK_GradeDerivation!$A$4:$A$135=N284)*(IF(O284="",0,O284)&gt;=LK_GradeDerivation!$B$4:$B$135)*(IF(O284="",0,O284)&lt;=LK_GradeDerivation!$C$4:$C$135)*LK_GradeDerivation!$D$4:$D$135),1)</f>
        <v>3</v>
      </c>
      <c r="Q284" s="61">
        <f>IFERROR(SUMPRODUCT((LK_GradeDerivation!$A$4:$A$135=N284)*(IF(O284="",0,O284)&gt;=LK_GradeDerivation!$B$4:$B$135)*(IF(O284="",0,O284)&lt;=LK_GradeDerivation!$C$4:$C$135)*LK_GradeDerivation!$E$4:$E$135),1)</f>
        <v>7</v>
      </c>
      <c r="R284" s="59" t="s">
        <v>3417</v>
      </c>
      <c r="S284" s="59" t="s">
        <v>3418</v>
      </c>
      <c r="T284" s="59" t="s">
        <v>740</v>
      </c>
      <c r="U284" s="59" t="s">
        <v>1154</v>
      </c>
      <c r="V284" s="59" t="s">
        <v>2711</v>
      </c>
      <c r="W284" s="59" t="s">
        <v>285</v>
      </c>
      <c r="X284" s="59" t="s">
        <v>443</v>
      </c>
      <c r="Y284" s="59" t="s">
        <v>457</v>
      </c>
      <c r="Z284" s="64" t="str">
        <f>IFERROR(VLOOKUP(T284,LK_OrgMaster!$B$4:$H$89,5,FALSE()),"Administration")</f>
        <v>Teacher</v>
      </c>
      <c r="AA284" s="65" t="str">
        <f>IFERROR(VLOOKUP(X284,LK_LocationMaster!$D$4:$G$157,4,FALSE()),"No")</f>
        <v>No</v>
      </c>
      <c r="AB284" s="65" t="str">
        <f t="shared" si="18"/>
        <v>No</v>
      </c>
      <c r="AC284" s="65" t="str">
        <f>IFERROR(VLOOKUP(X284,LK_LocationMaster!$D$4:$H$157,5,FALSE()),"No")</f>
        <v>No</v>
      </c>
      <c r="AD284" s="59" t="s">
        <v>3419</v>
      </c>
      <c r="AE284" s="59" t="s">
        <v>930</v>
      </c>
      <c r="AF284" s="59" t="s">
        <v>801</v>
      </c>
      <c r="AG284" s="59" t="s">
        <v>368</v>
      </c>
      <c r="AH284" s="59" t="s">
        <v>3420</v>
      </c>
      <c r="AI284" s="59" t="s">
        <v>285</v>
      </c>
      <c r="AJ284" s="59" t="s">
        <v>747</v>
      </c>
      <c r="AK284" s="59" t="s">
        <v>748</v>
      </c>
      <c r="AL284" s="64" t="str">
        <f>IFERROR(INDEX(LK_BankMaster!$D$4:$D$23,MATCH(AJ284&amp;"|"&amp;AK284,LK_BankMaster!$H$4:$H$23,0)),"")</f>
        <v/>
      </c>
      <c r="AM284" s="59" t="s">
        <v>3421</v>
      </c>
      <c r="AN284" s="64" t="str">
        <f>IFERROR(VLOOKUP(AJ284,LK_BankMaster!$A$4:$E$23,5,FALSE()),"")</f>
        <v/>
      </c>
      <c r="AO284" s="59" t="s">
        <v>314</v>
      </c>
      <c r="AP284" s="66">
        <v>2</v>
      </c>
      <c r="AQ284" s="64" t="str">
        <f t="shared" si="19"/>
        <v>Position Allowance - General Staff</v>
      </c>
      <c r="AR284" s="65" t="str">
        <f>IFERROR(VLOOKUP(T284,LK_OrgMaster!$B$4:$G$89,6,FALSE()),"No")</f>
        <v>No</v>
      </c>
      <c r="AS284" s="64" t="str">
        <f>IFERROR(VLOOKUP(T284,LK_OrgMaster!$B$4:$H$89,7,FALSE()),"None")</f>
        <v>Teaching</v>
      </c>
      <c r="AT284" s="67">
        <v>45317</v>
      </c>
      <c r="AU284" s="67"/>
      <c r="AV284" s="67">
        <v>45317</v>
      </c>
      <c r="AW284" s="67">
        <v>46023</v>
      </c>
      <c r="AX284" s="68" t="s">
        <v>750</v>
      </c>
      <c r="AY284" s="69" t="s">
        <v>6260</v>
      </c>
    </row>
    <row r="285" spans="1:51" ht="15" customHeight="1" x14ac:dyDescent="0.3">
      <c r="A285" s="59" t="s">
        <v>3422</v>
      </c>
      <c r="B285" s="59" t="s">
        <v>772</v>
      </c>
      <c r="C285" s="59" t="s">
        <v>2638</v>
      </c>
      <c r="D285" s="59" t="s">
        <v>807</v>
      </c>
      <c r="E285" s="59" t="s">
        <v>732</v>
      </c>
      <c r="F285" s="60">
        <v>32107</v>
      </c>
      <c r="G285" s="59" t="s">
        <v>3423</v>
      </c>
      <c r="H285" s="59" t="s">
        <v>3424</v>
      </c>
      <c r="I285" s="60">
        <v>37751</v>
      </c>
      <c r="J285" s="61">
        <f t="shared" ca="1" si="16"/>
        <v>22</v>
      </c>
      <c r="K285" s="62">
        <f t="shared" si="17"/>
        <v>54022</v>
      </c>
      <c r="L285" s="59" t="s">
        <v>735</v>
      </c>
      <c r="M285" s="59" t="s">
        <v>992</v>
      </c>
      <c r="N285" s="59" t="s">
        <v>737</v>
      </c>
      <c r="O285" s="63">
        <v>0</v>
      </c>
      <c r="P285" s="61">
        <f>IFERROR(SUMPRODUCT((LK_GradeDerivation!$A$4:$A$135=N285)*(IF(O285="",0,O285)&gt;=LK_GradeDerivation!$B$4:$B$135)*(IF(O285="",0,O285)&lt;=LK_GradeDerivation!$C$4:$C$135)*LK_GradeDerivation!$D$4:$D$135),1)</f>
        <v>4</v>
      </c>
      <c r="Q285" s="61">
        <f>IFERROR(SUMPRODUCT((LK_GradeDerivation!$A$4:$A$135=N285)*(IF(O285="",0,O285)&gt;=LK_GradeDerivation!$B$4:$B$135)*(IF(O285="",0,O285)&lt;=LK_GradeDerivation!$C$4:$C$135)*LK_GradeDerivation!$E$4:$E$135),1)</f>
        <v>1</v>
      </c>
      <c r="R285" s="59" t="s">
        <v>3425</v>
      </c>
      <c r="S285" s="59" t="s">
        <v>3426</v>
      </c>
      <c r="T285" s="59" t="s">
        <v>740</v>
      </c>
      <c r="U285" s="59" t="s">
        <v>1154</v>
      </c>
      <c r="V285" s="59" t="s">
        <v>1864</v>
      </c>
      <c r="W285" s="59" t="s">
        <v>285</v>
      </c>
      <c r="X285" s="59" t="s">
        <v>356</v>
      </c>
      <c r="Y285" s="59" t="s">
        <v>364</v>
      </c>
      <c r="Z285" s="64" t="str">
        <f>IFERROR(VLOOKUP(T285,LK_OrgMaster!$B$4:$H$89,5,FALSE()),"Administration")</f>
        <v>Teacher</v>
      </c>
      <c r="AA285" s="65" t="str">
        <f>IFERROR(VLOOKUP(X285,LK_LocationMaster!$D$4:$G$157,4,FALSE()),"No")</f>
        <v>Yes</v>
      </c>
      <c r="AB285" s="65" t="str">
        <f t="shared" si="18"/>
        <v>No</v>
      </c>
      <c r="AC285" s="65" t="str">
        <f>IFERROR(VLOOKUP(X285,LK_LocationMaster!$D$4:$H$157,5,FALSE()),"No")</f>
        <v>No</v>
      </c>
      <c r="AD285" s="59" t="s">
        <v>3427</v>
      </c>
      <c r="AE285" s="59" t="s">
        <v>800</v>
      </c>
      <c r="AF285" s="59" t="s">
        <v>816</v>
      </c>
      <c r="AG285" s="59" t="s">
        <v>408</v>
      </c>
      <c r="AH285" s="59" t="s">
        <v>3428</v>
      </c>
      <c r="AI285" s="59" t="s">
        <v>285</v>
      </c>
      <c r="AJ285" s="59" t="s">
        <v>747</v>
      </c>
      <c r="AK285" s="59" t="s">
        <v>748</v>
      </c>
      <c r="AL285" s="64" t="str">
        <f>IFERROR(INDEX(LK_BankMaster!$D$4:$D$23,MATCH(AJ285&amp;"|"&amp;AK285,LK_BankMaster!$H$4:$H$23,0)),"")</f>
        <v/>
      </c>
      <c r="AM285" s="59" t="s">
        <v>3429</v>
      </c>
      <c r="AN285" s="64" t="str">
        <f>IFERROR(VLOOKUP(AJ285,LK_BankMaster!$A$4:$E$23,5,FALSE()),"")</f>
        <v/>
      </c>
      <c r="AO285" s="59" t="s">
        <v>314</v>
      </c>
      <c r="AP285" s="66">
        <v>3</v>
      </c>
      <c r="AQ285" s="64" t="str">
        <f t="shared" si="19"/>
        <v>Position Allowance - General Staff</v>
      </c>
      <c r="AR285" s="65" t="str">
        <f>IFERROR(VLOOKUP(T285,LK_OrgMaster!$B$4:$G$89,6,FALSE()),"No")</f>
        <v>No</v>
      </c>
      <c r="AS285" s="64" t="str">
        <f>IFERROR(VLOOKUP(T285,LK_OrgMaster!$B$4:$H$89,7,FALSE()),"None")</f>
        <v>Teaching</v>
      </c>
      <c r="AT285" s="70">
        <v>37751</v>
      </c>
      <c r="AU285" s="70"/>
      <c r="AV285" s="70">
        <v>37751</v>
      </c>
      <c r="AW285" s="70">
        <v>46023</v>
      </c>
      <c r="AX285" s="71" t="s">
        <v>750</v>
      </c>
      <c r="AY285" s="72" t="s">
        <v>6260</v>
      </c>
    </row>
    <row r="286" spans="1:51" ht="15" customHeight="1" x14ac:dyDescent="0.3">
      <c r="A286" s="59" t="s">
        <v>3430</v>
      </c>
      <c r="B286" s="59" t="s">
        <v>752</v>
      </c>
      <c r="C286" s="59" t="s">
        <v>1542</v>
      </c>
      <c r="D286" s="59" t="s">
        <v>1300</v>
      </c>
      <c r="E286" s="59" t="s">
        <v>732</v>
      </c>
      <c r="F286" s="60">
        <v>28750</v>
      </c>
      <c r="G286" s="59" t="s">
        <v>3431</v>
      </c>
      <c r="H286" s="59" t="s">
        <v>3432</v>
      </c>
      <c r="I286" s="60">
        <v>33804</v>
      </c>
      <c r="J286" s="61">
        <f t="shared" ca="1" si="16"/>
        <v>33</v>
      </c>
      <c r="K286" s="62">
        <f t="shared" si="17"/>
        <v>50665</v>
      </c>
      <c r="L286" s="59" t="s">
        <v>735</v>
      </c>
      <c r="M286" s="59" t="s">
        <v>893</v>
      </c>
      <c r="N286" s="59" t="s">
        <v>779</v>
      </c>
      <c r="O286" s="63">
        <v>0</v>
      </c>
      <c r="P286" s="61">
        <f>IFERROR(SUMPRODUCT((LK_GradeDerivation!$A$4:$A$135=N286)*(IF(O286="",0,O286)&gt;=LK_GradeDerivation!$B$4:$B$135)*(IF(O286="",0,O286)&lt;=LK_GradeDerivation!$C$4:$C$135)*LK_GradeDerivation!$D$4:$D$135),1)</f>
        <v>2</v>
      </c>
      <c r="Q286" s="61">
        <f>IFERROR(SUMPRODUCT((LK_GradeDerivation!$A$4:$A$135=N286)*(IF(O286="",0,O286)&gt;=LK_GradeDerivation!$B$4:$B$135)*(IF(O286="",0,O286)&lt;=LK_GradeDerivation!$C$4:$C$135)*LK_GradeDerivation!$E$4:$E$135),1)</f>
        <v>1</v>
      </c>
      <c r="R286" s="59" t="s">
        <v>3433</v>
      </c>
      <c r="S286" s="59" t="s">
        <v>3434</v>
      </c>
      <c r="T286" s="59" t="s">
        <v>844</v>
      </c>
      <c r="U286" s="59" t="s">
        <v>845</v>
      </c>
      <c r="V286" s="59" t="s">
        <v>2156</v>
      </c>
      <c r="W286" s="59" t="s">
        <v>285</v>
      </c>
      <c r="X286" s="59" t="s">
        <v>429</v>
      </c>
      <c r="Y286" s="59" t="s">
        <v>439</v>
      </c>
      <c r="Z286" s="64" t="str">
        <f>IFERROR(VLOOKUP(T286,LK_OrgMaster!$B$4:$H$89,5,FALSE()),"Administration")</f>
        <v>Administration</v>
      </c>
      <c r="AA286" s="65" t="str">
        <f>IFERROR(VLOOKUP(X286,LK_LocationMaster!$D$4:$G$157,4,FALSE()),"No")</f>
        <v>Yes</v>
      </c>
      <c r="AB286" s="65" t="str">
        <f t="shared" si="18"/>
        <v>No</v>
      </c>
      <c r="AC286" s="65" t="str">
        <f>IFERROR(VLOOKUP(X286,LK_LocationMaster!$D$4:$H$157,5,FALSE()),"No")</f>
        <v>Yes</v>
      </c>
      <c r="AD286" s="59" t="s">
        <v>1560</v>
      </c>
      <c r="AE286" s="59" t="s">
        <v>765</v>
      </c>
      <c r="AF286" s="59" t="s">
        <v>766</v>
      </c>
      <c r="AG286" s="59" t="s">
        <v>391</v>
      </c>
      <c r="AH286" s="59" t="s">
        <v>3435</v>
      </c>
      <c r="AI286" s="59" t="s">
        <v>285</v>
      </c>
      <c r="AJ286" s="59" t="s">
        <v>818</v>
      </c>
      <c r="AK286" s="59" t="s">
        <v>944</v>
      </c>
      <c r="AL286" s="64" t="str">
        <f>IFERROR(INDEX(LK_BankMaster!$D$4:$D$23,MATCH(AJ286&amp;"|"&amp;AK286,LK_BankMaster!$H$4:$H$23,0)),"")</f>
        <v/>
      </c>
      <c r="AM286" s="59" t="s">
        <v>3436</v>
      </c>
      <c r="AN286" s="64" t="str">
        <f>IFERROR(VLOOKUP(AJ286,LK_BankMaster!$A$4:$E$23,5,FALSE()),"")</f>
        <v/>
      </c>
      <c r="AO286" s="59" t="s">
        <v>291</v>
      </c>
      <c r="AP286" s="66">
        <v>0</v>
      </c>
      <c r="AQ286" s="64" t="str">
        <f t="shared" si="19"/>
        <v>Position Allowance - General Staff</v>
      </c>
      <c r="AR286" s="65" t="str">
        <f>IFERROR(VLOOKUP(T286,LK_OrgMaster!$B$4:$G$89,6,FALSE()),"No")</f>
        <v>No</v>
      </c>
      <c r="AS286" s="64" t="str">
        <f>IFERROR(VLOOKUP(T286,LK_OrgMaster!$B$4:$H$89,7,FALSE()),"None")</f>
        <v>None</v>
      </c>
      <c r="AT286" s="67">
        <v>33804</v>
      </c>
      <c r="AU286" s="67"/>
      <c r="AV286" s="67">
        <v>33804</v>
      </c>
      <c r="AW286" s="67">
        <v>46023</v>
      </c>
      <c r="AX286" s="68" t="s">
        <v>750</v>
      </c>
      <c r="AY286" s="69" t="s">
        <v>6260</v>
      </c>
    </row>
    <row r="287" spans="1:51" ht="15" customHeight="1" x14ac:dyDescent="0.3">
      <c r="A287" s="59" t="s">
        <v>3437</v>
      </c>
      <c r="B287" s="59" t="s">
        <v>851</v>
      </c>
      <c r="C287" s="59" t="s">
        <v>920</v>
      </c>
      <c r="D287" s="59" t="s">
        <v>774</v>
      </c>
      <c r="E287" s="59" t="s">
        <v>775</v>
      </c>
      <c r="F287" s="60">
        <v>26188</v>
      </c>
      <c r="G287" s="59" t="s">
        <v>3438</v>
      </c>
      <c r="H287" s="59" t="s">
        <v>3439</v>
      </c>
      <c r="I287" s="60">
        <v>45266</v>
      </c>
      <c r="J287" s="61">
        <f t="shared" ca="1" si="16"/>
        <v>2</v>
      </c>
      <c r="K287" s="62">
        <f t="shared" si="17"/>
        <v>48103</v>
      </c>
      <c r="L287" s="59" t="s">
        <v>735</v>
      </c>
      <c r="M287" s="59" t="s">
        <v>1574</v>
      </c>
      <c r="N287" s="59" t="s">
        <v>758</v>
      </c>
      <c r="O287" s="63">
        <v>25</v>
      </c>
      <c r="P287" s="61">
        <f>IFERROR(SUMPRODUCT((LK_GradeDerivation!$A$4:$A$135=N287)*(IF(O287="",0,O287)&gt;=LK_GradeDerivation!$B$4:$B$135)*(IF(O287="",0,O287)&lt;=LK_GradeDerivation!$C$4:$C$135)*LK_GradeDerivation!$D$4:$D$135),1)</f>
        <v>5</v>
      </c>
      <c r="Q287" s="61">
        <f>IFERROR(SUMPRODUCT((LK_GradeDerivation!$A$4:$A$135=N287)*(IF(O287="",0,O287)&gt;=LK_GradeDerivation!$B$4:$B$135)*(IF(O287="",0,O287)&lt;=LK_GradeDerivation!$C$4:$C$135)*LK_GradeDerivation!$E$4:$E$135),1)</f>
        <v>13</v>
      </c>
      <c r="R287" s="59" t="s">
        <v>3440</v>
      </c>
      <c r="S287" s="59" t="s">
        <v>3441</v>
      </c>
      <c r="T287" s="59" t="s">
        <v>979</v>
      </c>
      <c r="U287" s="59" t="s">
        <v>1272</v>
      </c>
      <c r="V287" s="59" t="s">
        <v>763</v>
      </c>
      <c r="W287" s="59" t="s">
        <v>285</v>
      </c>
      <c r="X287" s="59" t="s">
        <v>340</v>
      </c>
      <c r="Y287" s="59" t="s">
        <v>350</v>
      </c>
      <c r="Z287" s="64" t="str">
        <f>IFERROR(VLOOKUP(T287,LK_OrgMaster!$B$4:$H$89,5,FALSE()),"Administration")</f>
        <v>Administration</v>
      </c>
      <c r="AA287" s="65" t="str">
        <f>IFERROR(VLOOKUP(X287,LK_LocationMaster!$D$4:$G$157,4,FALSE()),"No")</f>
        <v>No</v>
      </c>
      <c r="AB287" s="65" t="str">
        <f t="shared" si="18"/>
        <v>No</v>
      </c>
      <c r="AC287" s="65" t="str">
        <f>IFERROR(VLOOKUP(X287,LK_LocationMaster!$D$4:$H$157,5,FALSE()),"No")</f>
        <v>No</v>
      </c>
      <c r="AD287" s="59" t="s">
        <v>3442</v>
      </c>
      <c r="AE287" s="59" t="s">
        <v>886</v>
      </c>
      <c r="AF287" s="59" t="s">
        <v>901</v>
      </c>
      <c r="AG287" s="59" t="s">
        <v>329</v>
      </c>
      <c r="AH287" s="59" t="s">
        <v>3443</v>
      </c>
      <c r="AI287" s="59" t="s">
        <v>285</v>
      </c>
      <c r="AJ287" s="59" t="s">
        <v>818</v>
      </c>
      <c r="AK287" s="59" t="s">
        <v>819</v>
      </c>
      <c r="AL287" s="64" t="str">
        <f>IFERROR(INDEX(LK_BankMaster!$D$4:$D$23,MATCH(AJ287&amp;"|"&amp;AK287,LK_BankMaster!$H$4:$H$23,0)),"")</f>
        <v/>
      </c>
      <c r="AM287" s="59" t="s">
        <v>3444</v>
      </c>
      <c r="AN287" s="64" t="str">
        <f>IFERROR(VLOOKUP(AJ287,LK_BankMaster!$A$4:$E$23,5,FALSE()),"")</f>
        <v/>
      </c>
      <c r="AO287" s="59" t="s">
        <v>314</v>
      </c>
      <c r="AP287" s="66">
        <v>2</v>
      </c>
      <c r="AQ287" s="64" t="str">
        <f t="shared" si="19"/>
        <v>Position Allowance - Deputy Director</v>
      </c>
      <c r="AR287" s="65" t="str">
        <f>IFERROR(VLOOKUP(T287,LK_OrgMaster!$B$4:$G$89,6,FALSE()),"No")</f>
        <v>No</v>
      </c>
      <c r="AS287" s="64" t="str">
        <f>IFERROR(VLOOKUP(T287,LK_OrgMaster!$B$4:$H$89,7,FALSE()),"None")</f>
        <v>None</v>
      </c>
      <c r="AT287" s="70">
        <v>45266</v>
      </c>
      <c r="AU287" s="70"/>
      <c r="AV287" s="70">
        <v>45266</v>
      </c>
      <c r="AW287" s="70">
        <v>46023</v>
      </c>
      <c r="AX287" s="71" t="s">
        <v>750</v>
      </c>
      <c r="AY287" s="72" t="s">
        <v>6260</v>
      </c>
    </row>
    <row r="288" spans="1:51" ht="15" customHeight="1" x14ac:dyDescent="0.3">
      <c r="A288" s="59" t="s">
        <v>3445</v>
      </c>
      <c r="B288" s="59" t="s">
        <v>772</v>
      </c>
      <c r="C288" s="59" t="s">
        <v>934</v>
      </c>
      <c r="D288" s="59" t="s">
        <v>587</v>
      </c>
      <c r="E288" s="59" t="s">
        <v>775</v>
      </c>
      <c r="F288" s="60">
        <v>30666</v>
      </c>
      <c r="G288" s="59" t="s">
        <v>935</v>
      </c>
      <c r="H288" s="59" t="s">
        <v>3446</v>
      </c>
      <c r="I288" s="60">
        <v>40995</v>
      </c>
      <c r="J288" s="61">
        <f t="shared" ca="1" si="16"/>
        <v>13</v>
      </c>
      <c r="K288" s="62">
        <f t="shared" si="17"/>
        <v>52581</v>
      </c>
      <c r="L288" s="59" t="s">
        <v>735</v>
      </c>
      <c r="M288" s="59" t="s">
        <v>2006</v>
      </c>
      <c r="N288" s="59" t="s">
        <v>1081</v>
      </c>
      <c r="O288" s="63">
        <v>8</v>
      </c>
      <c r="P288" s="61">
        <f>IFERROR(SUMPRODUCT((LK_GradeDerivation!$A$4:$A$135=N288)*(IF(O288="",0,O288)&gt;=LK_GradeDerivation!$B$4:$B$135)*(IF(O288="",0,O288)&lt;=LK_GradeDerivation!$C$4:$C$135)*LK_GradeDerivation!$D$4:$D$135),1)</f>
        <v>3</v>
      </c>
      <c r="Q288" s="61">
        <f>IFERROR(SUMPRODUCT((LK_GradeDerivation!$A$4:$A$135=N288)*(IF(O288="",0,O288)&gt;=LK_GradeDerivation!$B$4:$B$135)*(IF(O288="",0,O288)&lt;=LK_GradeDerivation!$C$4:$C$135)*LK_GradeDerivation!$E$4:$E$135),1)</f>
        <v>5</v>
      </c>
      <c r="R288" s="59" t="s">
        <v>3447</v>
      </c>
      <c r="S288" s="59" t="s">
        <v>3448</v>
      </c>
      <c r="T288" s="59" t="s">
        <v>882</v>
      </c>
      <c r="U288" s="59" t="s">
        <v>1658</v>
      </c>
      <c r="V288" s="59" t="s">
        <v>763</v>
      </c>
      <c r="W288" s="59" t="s">
        <v>285</v>
      </c>
      <c r="X288" s="59" t="s">
        <v>587</v>
      </c>
      <c r="Y288" s="59" t="s">
        <v>593</v>
      </c>
      <c r="Z288" s="64" t="str">
        <f>IFERROR(VLOOKUP(T288,LK_OrgMaster!$B$4:$H$89,5,FALSE()),"Administration")</f>
        <v>Legal</v>
      </c>
      <c r="AA288" s="65" t="str">
        <f>IFERROR(VLOOKUP(X288,LK_LocationMaster!$D$4:$G$157,4,FALSE()),"No")</f>
        <v>Yes</v>
      </c>
      <c r="AB288" s="65" t="str">
        <f t="shared" si="18"/>
        <v>No</v>
      </c>
      <c r="AC288" s="65" t="str">
        <f>IFERROR(VLOOKUP(X288,LK_LocationMaster!$D$4:$H$157,5,FALSE()),"No")</f>
        <v>Yes</v>
      </c>
      <c r="AD288" s="59" t="s">
        <v>3449</v>
      </c>
      <c r="AE288" s="59" t="s">
        <v>2592</v>
      </c>
      <c r="AF288" s="59" t="s">
        <v>786</v>
      </c>
      <c r="AG288" s="59" t="s">
        <v>391</v>
      </c>
      <c r="AH288" s="59" t="s">
        <v>3450</v>
      </c>
      <c r="AI288" s="59" t="s">
        <v>285</v>
      </c>
      <c r="AJ288" s="59" t="s">
        <v>788</v>
      </c>
      <c r="AK288" s="59" t="s">
        <v>1877</v>
      </c>
      <c r="AL288" s="64" t="str">
        <f>IFERROR(INDEX(LK_BankMaster!$D$4:$D$23,MATCH(AJ288&amp;"|"&amp;AK288,LK_BankMaster!$H$4:$H$23,0)),"")</f>
        <v/>
      </c>
      <c r="AM288" s="59" t="s">
        <v>3451</v>
      </c>
      <c r="AN288" s="64" t="str">
        <f>IFERROR(VLOOKUP(AJ288,LK_BankMaster!$A$4:$E$23,5,FALSE()),"")</f>
        <v/>
      </c>
      <c r="AO288" s="59" t="s">
        <v>314</v>
      </c>
      <c r="AP288" s="66">
        <v>2</v>
      </c>
      <c r="AQ288" s="64" t="str">
        <f t="shared" si="19"/>
        <v>Position Allowance - General Staff</v>
      </c>
      <c r="AR288" s="65" t="str">
        <f>IFERROR(VLOOKUP(T288,LK_OrgMaster!$B$4:$G$89,6,FALSE()),"No")</f>
        <v>No</v>
      </c>
      <c r="AS288" s="64" t="str">
        <f>IFERROR(VLOOKUP(T288,LK_OrgMaster!$B$4:$H$89,7,FALSE()),"None")</f>
        <v>None</v>
      </c>
      <c r="AT288" s="67">
        <v>40995</v>
      </c>
      <c r="AU288" s="67"/>
      <c r="AV288" s="67">
        <v>40995</v>
      </c>
      <c r="AW288" s="67">
        <v>46023</v>
      </c>
      <c r="AX288" s="68" t="s">
        <v>750</v>
      </c>
      <c r="AY288" s="69" t="s">
        <v>6260</v>
      </c>
    </row>
    <row r="289" spans="1:51" ht="15" customHeight="1" x14ac:dyDescent="0.3">
      <c r="A289" s="59" t="s">
        <v>3452</v>
      </c>
      <c r="B289" s="59" t="s">
        <v>729</v>
      </c>
      <c r="C289" s="59" t="s">
        <v>1125</v>
      </c>
      <c r="D289" s="59" t="s">
        <v>731</v>
      </c>
      <c r="E289" s="59" t="s">
        <v>732</v>
      </c>
      <c r="F289" s="60">
        <v>27563</v>
      </c>
      <c r="G289" s="59" t="s">
        <v>3453</v>
      </c>
      <c r="H289" s="59" t="s">
        <v>3454</v>
      </c>
      <c r="I289" s="60">
        <v>36994</v>
      </c>
      <c r="J289" s="61">
        <f t="shared" ca="1" si="16"/>
        <v>24</v>
      </c>
      <c r="K289" s="62">
        <f t="shared" si="17"/>
        <v>49478</v>
      </c>
      <c r="L289" s="59" t="s">
        <v>735</v>
      </c>
      <c r="M289" s="59" t="s">
        <v>2006</v>
      </c>
      <c r="N289" s="59" t="s">
        <v>737</v>
      </c>
      <c r="O289" s="63">
        <v>3</v>
      </c>
      <c r="P289" s="61">
        <f>IFERROR(SUMPRODUCT((LK_GradeDerivation!$A$4:$A$135=N289)*(IF(O289="",0,O289)&gt;=LK_GradeDerivation!$B$4:$B$135)*(IF(O289="",0,O289)&lt;=LK_GradeDerivation!$C$4:$C$135)*LK_GradeDerivation!$D$4:$D$135),1)</f>
        <v>4</v>
      </c>
      <c r="Q289" s="61">
        <f>IFERROR(SUMPRODUCT((LK_GradeDerivation!$A$4:$A$135=N289)*(IF(O289="",0,O289)&gt;=LK_GradeDerivation!$B$4:$B$135)*(IF(O289="",0,O289)&lt;=LK_GradeDerivation!$C$4:$C$135)*LK_GradeDerivation!$E$4:$E$135),1)</f>
        <v>2</v>
      </c>
      <c r="R289" s="59" t="s">
        <v>3455</v>
      </c>
      <c r="S289" s="59" t="s">
        <v>3456</v>
      </c>
      <c r="T289" s="59" t="s">
        <v>882</v>
      </c>
      <c r="U289" s="59" t="s">
        <v>1619</v>
      </c>
      <c r="V289" s="59" t="s">
        <v>763</v>
      </c>
      <c r="W289" s="59" t="s">
        <v>285</v>
      </c>
      <c r="X289" s="59" t="s">
        <v>575</v>
      </c>
      <c r="Y289" s="59" t="s">
        <v>581</v>
      </c>
      <c r="Z289" s="64" t="str">
        <f>IFERROR(VLOOKUP(T289,LK_OrgMaster!$B$4:$H$89,5,FALSE()),"Administration")</f>
        <v>Legal</v>
      </c>
      <c r="AA289" s="65" t="str">
        <f>IFERROR(VLOOKUP(X289,LK_LocationMaster!$D$4:$G$157,4,FALSE()),"No")</f>
        <v>Yes</v>
      </c>
      <c r="AB289" s="65" t="str">
        <f t="shared" si="18"/>
        <v>No</v>
      </c>
      <c r="AC289" s="65" t="str">
        <f>IFERROR(VLOOKUP(X289,LK_LocationMaster!$D$4:$H$157,5,FALSE()),"No")</f>
        <v>Yes</v>
      </c>
      <c r="AD289" s="59" t="s">
        <v>3457</v>
      </c>
      <c r="AE289" s="59" t="s">
        <v>3458</v>
      </c>
      <c r="AF289" s="59" t="s">
        <v>969</v>
      </c>
      <c r="AG289" s="59" t="s">
        <v>312</v>
      </c>
      <c r="AH289" s="59" t="s">
        <v>3459</v>
      </c>
      <c r="AI289" s="59" t="s">
        <v>285</v>
      </c>
      <c r="AJ289" s="59" t="s">
        <v>788</v>
      </c>
      <c r="AK289" s="59" t="s">
        <v>1370</v>
      </c>
      <c r="AL289" s="64" t="str">
        <f>IFERROR(INDEX(LK_BankMaster!$D$4:$D$23,MATCH(AJ289&amp;"|"&amp;AK289,LK_BankMaster!$H$4:$H$23,0)),"")</f>
        <v/>
      </c>
      <c r="AM289" s="59" t="s">
        <v>3460</v>
      </c>
      <c r="AN289" s="64" t="str">
        <f>IFERROR(VLOOKUP(AJ289,LK_BankMaster!$A$4:$E$23,5,FALSE()),"")</f>
        <v/>
      </c>
      <c r="AO289" s="59" t="s">
        <v>314</v>
      </c>
      <c r="AP289" s="66">
        <v>2</v>
      </c>
      <c r="AQ289" s="64" t="str">
        <f t="shared" si="19"/>
        <v>Position Allowance - General Staff</v>
      </c>
      <c r="AR289" s="65" t="str">
        <f>IFERROR(VLOOKUP(T289,LK_OrgMaster!$B$4:$G$89,6,FALSE()),"No")</f>
        <v>No</v>
      </c>
      <c r="AS289" s="64" t="str">
        <f>IFERROR(VLOOKUP(T289,LK_OrgMaster!$B$4:$H$89,7,FALSE()),"None")</f>
        <v>None</v>
      </c>
      <c r="AT289" s="70">
        <v>36994</v>
      </c>
      <c r="AU289" s="70"/>
      <c r="AV289" s="70">
        <v>36994</v>
      </c>
      <c r="AW289" s="70">
        <v>46023</v>
      </c>
      <c r="AX289" s="71" t="s">
        <v>750</v>
      </c>
      <c r="AY289" s="72" t="s">
        <v>6260</v>
      </c>
    </row>
    <row r="290" spans="1:51" ht="15" customHeight="1" x14ac:dyDescent="0.3">
      <c r="A290" s="59" t="s">
        <v>3461</v>
      </c>
      <c r="B290" s="59" t="s">
        <v>851</v>
      </c>
      <c r="C290" s="59" t="s">
        <v>1921</v>
      </c>
      <c r="D290" s="59" t="s">
        <v>1137</v>
      </c>
      <c r="E290" s="59" t="s">
        <v>775</v>
      </c>
      <c r="F290" s="60">
        <v>32431</v>
      </c>
      <c r="G290" s="59" t="s">
        <v>3462</v>
      </c>
      <c r="H290" s="59" t="s">
        <v>3463</v>
      </c>
      <c r="I290" s="60">
        <v>40539</v>
      </c>
      <c r="J290" s="61">
        <f t="shared" ca="1" si="16"/>
        <v>15</v>
      </c>
      <c r="K290" s="62">
        <f t="shared" si="17"/>
        <v>54346</v>
      </c>
      <c r="L290" s="59" t="s">
        <v>735</v>
      </c>
      <c r="M290" s="59" t="s">
        <v>1201</v>
      </c>
      <c r="N290" s="59" t="s">
        <v>1081</v>
      </c>
      <c r="O290" s="63">
        <v>2</v>
      </c>
      <c r="P290" s="61">
        <f>IFERROR(SUMPRODUCT((LK_GradeDerivation!$A$4:$A$135=N290)*(IF(O290="",0,O290)&gt;=LK_GradeDerivation!$B$4:$B$135)*(IF(O290="",0,O290)&lt;=LK_GradeDerivation!$C$4:$C$135)*LK_GradeDerivation!$D$4:$D$135),1)</f>
        <v>3</v>
      </c>
      <c r="Q290" s="61">
        <f>IFERROR(SUMPRODUCT((LK_GradeDerivation!$A$4:$A$135=N290)*(IF(O290="",0,O290)&gt;=LK_GradeDerivation!$B$4:$B$135)*(IF(O290="",0,O290)&lt;=LK_GradeDerivation!$C$4:$C$135)*LK_GradeDerivation!$E$4:$E$135),1)</f>
        <v>2</v>
      </c>
      <c r="R290" s="59" t="s">
        <v>3464</v>
      </c>
      <c r="S290" s="59" t="s">
        <v>3465</v>
      </c>
      <c r="T290" s="59" t="s">
        <v>979</v>
      </c>
      <c r="U290" s="59" t="s">
        <v>1475</v>
      </c>
      <c r="V290" s="59" t="s">
        <v>763</v>
      </c>
      <c r="W290" s="59" t="s">
        <v>285</v>
      </c>
      <c r="X290" s="59" t="s">
        <v>587</v>
      </c>
      <c r="Y290" s="59" t="s">
        <v>597</v>
      </c>
      <c r="Z290" s="64" t="str">
        <f>IFERROR(VLOOKUP(T290,LK_OrgMaster!$B$4:$H$89,5,FALSE()),"Administration")</f>
        <v>Administration</v>
      </c>
      <c r="AA290" s="65" t="str">
        <f>IFERROR(VLOOKUP(X290,LK_LocationMaster!$D$4:$G$157,4,FALSE()),"No")</f>
        <v>Yes</v>
      </c>
      <c r="AB290" s="65" t="str">
        <f t="shared" si="18"/>
        <v>No</v>
      </c>
      <c r="AC290" s="65" t="str">
        <f>IFERROR(VLOOKUP(X290,LK_LocationMaster!$D$4:$H$157,5,FALSE()),"No")</f>
        <v>Yes</v>
      </c>
      <c r="AD290" s="59" t="s">
        <v>2030</v>
      </c>
      <c r="AE290" s="59" t="s">
        <v>997</v>
      </c>
      <c r="AF290" s="59" t="s">
        <v>901</v>
      </c>
      <c r="AG290" s="59" t="s">
        <v>329</v>
      </c>
      <c r="AH290" s="59" t="s">
        <v>3466</v>
      </c>
      <c r="AI290" s="59" t="s">
        <v>285</v>
      </c>
      <c r="AJ290" s="59" t="s">
        <v>768</v>
      </c>
      <c r="AK290" s="59" t="s">
        <v>803</v>
      </c>
      <c r="AL290" s="64" t="str">
        <f>IFERROR(INDEX(LK_BankMaster!$D$4:$D$23,MATCH(AJ290&amp;"|"&amp;AK290,LK_BankMaster!$H$4:$H$23,0)),"")</f>
        <v/>
      </c>
      <c r="AM290" s="59" t="s">
        <v>3467</v>
      </c>
      <c r="AN290" s="64" t="str">
        <f>IFERROR(VLOOKUP(AJ290,LK_BankMaster!$A$4:$E$23,5,FALSE()),"")</f>
        <v/>
      </c>
      <c r="AO290" s="59" t="s">
        <v>314</v>
      </c>
      <c r="AP290" s="66">
        <v>0</v>
      </c>
      <c r="AQ290" s="64" t="str">
        <f t="shared" si="19"/>
        <v>Position Allowance - General Staff</v>
      </c>
      <c r="AR290" s="65" t="str">
        <f>IFERROR(VLOOKUP(T290,LK_OrgMaster!$B$4:$G$89,6,FALSE()),"No")</f>
        <v>No</v>
      </c>
      <c r="AS290" s="64" t="str">
        <f>IFERROR(VLOOKUP(T290,LK_OrgMaster!$B$4:$H$89,7,FALSE()),"None")</f>
        <v>None</v>
      </c>
      <c r="AT290" s="67">
        <v>40539</v>
      </c>
      <c r="AU290" s="67"/>
      <c r="AV290" s="67">
        <v>40539</v>
      </c>
      <c r="AW290" s="67">
        <v>46023</v>
      </c>
      <c r="AX290" s="68" t="s">
        <v>750</v>
      </c>
      <c r="AY290" s="69" t="s">
        <v>6260</v>
      </c>
    </row>
    <row r="291" spans="1:51" ht="15" customHeight="1" x14ac:dyDescent="0.3">
      <c r="A291" s="59" t="s">
        <v>3468</v>
      </c>
      <c r="B291" s="59" t="s">
        <v>851</v>
      </c>
      <c r="C291" s="59" t="s">
        <v>2114</v>
      </c>
      <c r="D291" s="59" t="s">
        <v>921</v>
      </c>
      <c r="E291" s="59" t="s">
        <v>775</v>
      </c>
      <c r="F291" s="60">
        <v>33007</v>
      </c>
      <c r="G291" s="59" t="s">
        <v>3469</v>
      </c>
      <c r="H291" s="59" t="s">
        <v>3470</v>
      </c>
      <c r="I291" s="60">
        <v>39849</v>
      </c>
      <c r="J291" s="61">
        <f t="shared" ca="1" si="16"/>
        <v>17</v>
      </c>
      <c r="K291" s="62">
        <f t="shared" si="17"/>
        <v>54922</v>
      </c>
      <c r="L291" s="59" t="s">
        <v>735</v>
      </c>
      <c r="M291" s="59" t="s">
        <v>826</v>
      </c>
      <c r="N291" s="59" t="s">
        <v>737</v>
      </c>
      <c r="O291" s="63">
        <v>0</v>
      </c>
      <c r="P291" s="61">
        <f>IFERROR(SUMPRODUCT((LK_GradeDerivation!$A$4:$A$135=N291)*(IF(O291="",0,O291)&gt;=LK_GradeDerivation!$B$4:$B$135)*(IF(O291="",0,O291)&lt;=LK_GradeDerivation!$C$4:$C$135)*LK_GradeDerivation!$D$4:$D$135),1)</f>
        <v>4</v>
      </c>
      <c r="Q291" s="61">
        <f>IFERROR(SUMPRODUCT((LK_GradeDerivation!$A$4:$A$135=N291)*(IF(O291="",0,O291)&gt;=LK_GradeDerivation!$B$4:$B$135)*(IF(O291="",0,O291)&lt;=LK_GradeDerivation!$C$4:$C$135)*LK_GradeDerivation!$E$4:$E$135),1)</f>
        <v>1</v>
      </c>
      <c r="R291" s="59" t="s">
        <v>3471</v>
      </c>
      <c r="S291" s="59" t="s">
        <v>3472</v>
      </c>
      <c r="T291" s="59" t="s">
        <v>782</v>
      </c>
      <c r="U291" s="59" t="s">
        <v>1191</v>
      </c>
      <c r="V291" s="59" t="s">
        <v>3473</v>
      </c>
      <c r="W291" s="59" t="s">
        <v>285</v>
      </c>
      <c r="X291" s="59" t="s">
        <v>312</v>
      </c>
      <c r="Y291" s="59" t="s">
        <v>323</v>
      </c>
      <c r="Z291" s="64" t="str">
        <f>IFERROR(VLOOKUP(T291,LK_OrgMaster!$B$4:$H$89,5,FALSE()),"Administration")</f>
        <v>Medical</v>
      </c>
      <c r="AA291" s="65" t="str">
        <f>IFERROR(VLOOKUP(X291,LK_LocationMaster!$D$4:$G$157,4,FALSE()),"No")</f>
        <v>Yes</v>
      </c>
      <c r="AB291" s="65" t="str">
        <f t="shared" si="18"/>
        <v>No</v>
      </c>
      <c r="AC291" s="65" t="str">
        <f>IFERROR(VLOOKUP(X291,LK_LocationMaster!$D$4:$H$157,5,FALSE()),"No")</f>
        <v>No</v>
      </c>
      <c r="AD291" s="59" t="s">
        <v>3474</v>
      </c>
      <c r="AE291" s="59" t="s">
        <v>800</v>
      </c>
      <c r="AF291" s="59" t="s">
        <v>901</v>
      </c>
      <c r="AG291" s="59" t="s">
        <v>312</v>
      </c>
      <c r="AH291" s="59" t="s">
        <v>3475</v>
      </c>
      <c r="AI291" s="59" t="s">
        <v>285</v>
      </c>
      <c r="AJ291" s="59" t="s">
        <v>768</v>
      </c>
      <c r="AK291" s="59" t="s">
        <v>1122</v>
      </c>
      <c r="AL291" s="64" t="str">
        <f>IFERROR(INDEX(LK_BankMaster!$D$4:$D$23,MATCH(AJ291&amp;"|"&amp;AK291,LK_BankMaster!$H$4:$H$23,0)),"")</f>
        <v/>
      </c>
      <c r="AM291" s="59" t="s">
        <v>3476</v>
      </c>
      <c r="AN291" s="64" t="str">
        <f>IFERROR(VLOOKUP(AJ291,LK_BankMaster!$A$4:$E$23,5,FALSE()),"")</f>
        <v/>
      </c>
      <c r="AO291" s="59" t="s">
        <v>291</v>
      </c>
      <c r="AP291" s="66">
        <v>0</v>
      </c>
      <c r="AQ291" s="64" t="str">
        <f t="shared" si="19"/>
        <v>Position Allowance - General Staff</v>
      </c>
      <c r="AR291" s="65" t="str">
        <f>IFERROR(VLOOKUP(T291,LK_OrgMaster!$B$4:$G$89,6,FALSE()),"No")</f>
        <v>No</v>
      </c>
      <c r="AS291" s="64" t="str">
        <f>IFERROR(VLOOKUP(T291,LK_OrgMaster!$B$4:$H$89,7,FALSE()),"None")</f>
        <v>Medical</v>
      </c>
      <c r="AT291" s="70">
        <v>39849</v>
      </c>
      <c r="AU291" s="70"/>
      <c r="AV291" s="70">
        <v>39849</v>
      </c>
      <c r="AW291" s="70">
        <v>46023</v>
      </c>
      <c r="AX291" s="71" t="s">
        <v>750</v>
      </c>
      <c r="AY291" s="72" t="s">
        <v>6260</v>
      </c>
    </row>
    <row r="292" spans="1:51" ht="15" customHeight="1" x14ac:dyDescent="0.3">
      <c r="A292" s="59" t="s">
        <v>3477</v>
      </c>
      <c r="B292" s="59" t="s">
        <v>851</v>
      </c>
      <c r="C292" s="59" t="s">
        <v>3478</v>
      </c>
      <c r="D292" s="59" t="s">
        <v>807</v>
      </c>
      <c r="E292" s="59" t="s">
        <v>775</v>
      </c>
      <c r="F292" s="60">
        <v>25214</v>
      </c>
      <c r="G292" s="59" t="s">
        <v>3479</v>
      </c>
      <c r="H292" s="59" t="s">
        <v>3480</v>
      </c>
      <c r="I292" s="60">
        <v>36931</v>
      </c>
      <c r="J292" s="61">
        <f t="shared" ca="1" si="16"/>
        <v>25</v>
      </c>
      <c r="K292" s="62">
        <f t="shared" si="17"/>
        <v>47129</v>
      </c>
      <c r="L292" s="59" t="s">
        <v>735</v>
      </c>
      <c r="M292" s="59" t="s">
        <v>893</v>
      </c>
      <c r="N292" s="59" t="s">
        <v>737</v>
      </c>
      <c r="O292" s="63">
        <v>10</v>
      </c>
      <c r="P292" s="61">
        <f>IFERROR(SUMPRODUCT((LK_GradeDerivation!$A$4:$A$135=N292)*(IF(O292="",0,O292)&gt;=LK_GradeDerivation!$B$4:$B$135)*(IF(O292="",0,O292)&lt;=LK_GradeDerivation!$C$4:$C$135)*LK_GradeDerivation!$D$4:$D$135),1)</f>
        <v>4</v>
      </c>
      <c r="Q292" s="61">
        <f>IFERROR(SUMPRODUCT((LK_GradeDerivation!$A$4:$A$135=N292)*(IF(O292="",0,O292)&gt;=LK_GradeDerivation!$B$4:$B$135)*(IF(O292="",0,O292)&lt;=LK_GradeDerivation!$C$4:$C$135)*LK_GradeDerivation!$E$4:$E$135),1)</f>
        <v>6</v>
      </c>
      <c r="R292" s="59" t="s">
        <v>3481</v>
      </c>
      <c r="S292" s="59" t="s">
        <v>3482</v>
      </c>
      <c r="T292" s="59" t="s">
        <v>1204</v>
      </c>
      <c r="U292" s="59" t="s">
        <v>2100</v>
      </c>
      <c r="V292" s="59" t="s">
        <v>3483</v>
      </c>
      <c r="W292" s="59" t="s">
        <v>285</v>
      </c>
      <c r="X292" s="59" t="s">
        <v>527</v>
      </c>
      <c r="Y292" s="59" t="s">
        <v>530</v>
      </c>
      <c r="Z292" s="64" t="str">
        <f>IFERROR(VLOOKUP(T292,LK_OrgMaster!$B$4:$H$89,5,FALSE()),"Administration")</f>
        <v>Administration</v>
      </c>
      <c r="AA292" s="65" t="str">
        <f>IFERROR(VLOOKUP(X292,LK_LocationMaster!$D$4:$G$157,4,FALSE()),"No")</f>
        <v>No</v>
      </c>
      <c r="AB292" s="65" t="str">
        <f t="shared" si="18"/>
        <v>No</v>
      </c>
      <c r="AC292" s="65" t="str">
        <f>IFERROR(VLOOKUP(X292,LK_LocationMaster!$D$4:$H$157,5,FALSE()),"No")</f>
        <v>No</v>
      </c>
      <c r="AD292" s="59" t="s">
        <v>3484</v>
      </c>
      <c r="AE292" s="59" t="s">
        <v>983</v>
      </c>
      <c r="AF292" s="59" t="s">
        <v>786</v>
      </c>
      <c r="AG292" s="59" t="s">
        <v>312</v>
      </c>
      <c r="AH292" s="59" t="s">
        <v>3485</v>
      </c>
      <c r="AI292" s="59" t="s">
        <v>285</v>
      </c>
      <c r="AJ292" s="59" t="s">
        <v>818</v>
      </c>
      <c r="AK292" s="59" t="s">
        <v>819</v>
      </c>
      <c r="AL292" s="64" t="str">
        <f>IFERROR(INDEX(LK_BankMaster!$D$4:$D$23,MATCH(AJ292&amp;"|"&amp;AK292,LK_BankMaster!$H$4:$H$23,0)),"")</f>
        <v/>
      </c>
      <c r="AM292" s="59" t="s">
        <v>3486</v>
      </c>
      <c r="AN292" s="64" t="str">
        <f>IFERROR(VLOOKUP(AJ292,LK_BankMaster!$A$4:$E$23,5,FALSE()),"")</f>
        <v/>
      </c>
      <c r="AO292" s="59" t="s">
        <v>291</v>
      </c>
      <c r="AP292" s="66">
        <v>0</v>
      </c>
      <c r="AQ292" s="64" t="str">
        <f t="shared" si="19"/>
        <v>Position Allowance - General Staff</v>
      </c>
      <c r="AR292" s="65" t="str">
        <f>IFERROR(VLOOKUP(T292,LK_OrgMaster!$B$4:$G$89,6,FALSE()),"No")</f>
        <v>No</v>
      </c>
      <c r="AS292" s="64" t="str">
        <f>IFERROR(VLOOKUP(T292,LK_OrgMaster!$B$4:$H$89,7,FALSE()),"None")</f>
        <v>None</v>
      </c>
      <c r="AT292" s="67">
        <v>36931</v>
      </c>
      <c r="AU292" s="67"/>
      <c r="AV292" s="67">
        <v>36931</v>
      </c>
      <c r="AW292" s="67">
        <v>46023</v>
      </c>
      <c r="AX292" s="68" t="s">
        <v>750</v>
      </c>
      <c r="AY292" s="69" t="s">
        <v>6260</v>
      </c>
    </row>
    <row r="293" spans="1:51" ht="15" customHeight="1" x14ac:dyDescent="0.3">
      <c r="A293" s="59" t="s">
        <v>3487</v>
      </c>
      <c r="B293" s="59" t="s">
        <v>772</v>
      </c>
      <c r="C293" s="59" t="s">
        <v>1002</v>
      </c>
      <c r="D293" s="59" t="s">
        <v>1395</v>
      </c>
      <c r="E293" s="59" t="s">
        <v>732</v>
      </c>
      <c r="F293" s="60">
        <v>28598</v>
      </c>
      <c r="G293" s="59" t="s">
        <v>3488</v>
      </c>
      <c r="H293" s="59" t="s">
        <v>3489</v>
      </c>
      <c r="I293" s="60">
        <v>33323</v>
      </c>
      <c r="J293" s="61">
        <f t="shared" ca="1" si="16"/>
        <v>34</v>
      </c>
      <c r="K293" s="62">
        <f t="shared" si="17"/>
        <v>50513</v>
      </c>
      <c r="L293" s="59" t="s">
        <v>735</v>
      </c>
      <c r="M293" s="59" t="s">
        <v>856</v>
      </c>
      <c r="N293" s="59" t="s">
        <v>779</v>
      </c>
      <c r="O293" s="63">
        <v>0</v>
      </c>
      <c r="P293" s="61">
        <f>IFERROR(SUMPRODUCT((LK_GradeDerivation!$A$4:$A$135=N293)*(IF(O293="",0,O293)&gt;=LK_GradeDerivation!$B$4:$B$135)*(IF(O293="",0,O293)&lt;=LK_GradeDerivation!$C$4:$C$135)*LK_GradeDerivation!$D$4:$D$135),1)</f>
        <v>2</v>
      </c>
      <c r="Q293" s="61">
        <f>IFERROR(SUMPRODUCT((LK_GradeDerivation!$A$4:$A$135=N293)*(IF(O293="",0,O293)&gt;=LK_GradeDerivation!$B$4:$B$135)*(IF(O293="",0,O293)&lt;=LK_GradeDerivation!$C$4:$C$135)*LK_GradeDerivation!$E$4:$E$135),1)</f>
        <v>1</v>
      </c>
      <c r="R293" s="59" t="s">
        <v>3490</v>
      </c>
      <c r="S293" s="59" t="s">
        <v>3491</v>
      </c>
      <c r="T293" s="59" t="s">
        <v>1023</v>
      </c>
      <c r="U293" s="59" t="s">
        <v>1130</v>
      </c>
      <c r="V293" s="59" t="s">
        <v>763</v>
      </c>
      <c r="W293" s="59" t="s">
        <v>285</v>
      </c>
      <c r="X293" s="59" t="s">
        <v>587</v>
      </c>
      <c r="Y293" s="59" t="s">
        <v>595</v>
      </c>
      <c r="Z293" s="64" t="str">
        <f>IFERROR(VLOOKUP(T293,LK_OrgMaster!$B$4:$H$89,5,FALSE()),"Administration")</f>
        <v>Technical</v>
      </c>
      <c r="AA293" s="65" t="str">
        <f>IFERROR(VLOOKUP(X293,LK_LocationMaster!$D$4:$G$157,4,FALSE()),"No")</f>
        <v>Yes</v>
      </c>
      <c r="AB293" s="65" t="str">
        <f t="shared" si="18"/>
        <v>No</v>
      </c>
      <c r="AC293" s="65" t="str">
        <f>IFERROR(VLOOKUP(X293,LK_LocationMaster!$D$4:$H$157,5,FALSE()),"No")</f>
        <v>Yes</v>
      </c>
      <c r="AD293" s="59" t="s">
        <v>3492</v>
      </c>
      <c r="AE293" s="59" t="s">
        <v>800</v>
      </c>
      <c r="AF293" s="59" t="s">
        <v>745</v>
      </c>
      <c r="AG293" s="59" t="s">
        <v>329</v>
      </c>
      <c r="AH293" s="59" t="s">
        <v>3493</v>
      </c>
      <c r="AI293" s="59" t="s">
        <v>285</v>
      </c>
      <c r="AJ293" s="59" t="s">
        <v>788</v>
      </c>
      <c r="AK293" s="59" t="s">
        <v>1877</v>
      </c>
      <c r="AL293" s="64" t="str">
        <f>IFERROR(INDEX(LK_BankMaster!$D$4:$D$23,MATCH(AJ293&amp;"|"&amp;AK293,LK_BankMaster!$H$4:$H$23,0)),"")</f>
        <v/>
      </c>
      <c r="AM293" s="59" t="s">
        <v>3494</v>
      </c>
      <c r="AN293" s="64" t="str">
        <f>IFERROR(VLOOKUP(AJ293,LK_BankMaster!$A$4:$E$23,5,FALSE()),"")</f>
        <v/>
      </c>
      <c r="AO293" s="59" t="s">
        <v>314</v>
      </c>
      <c r="AP293" s="66">
        <v>3</v>
      </c>
      <c r="AQ293" s="64" t="str">
        <f t="shared" si="19"/>
        <v>Position Allowance - General Staff</v>
      </c>
      <c r="AR293" s="65" t="str">
        <f>IFERROR(VLOOKUP(T293,LK_OrgMaster!$B$4:$G$89,6,FALSE()),"No")</f>
        <v>No</v>
      </c>
      <c r="AS293" s="64" t="str">
        <f>IFERROR(VLOOKUP(T293,LK_OrgMaster!$B$4:$H$89,7,FALSE()),"None")</f>
        <v>None</v>
      </c>
      <c r="AT293" s="70">
        <v>33323</v>
      </c>
      <c r="AU293" s="70"/>
      <c r="AV293" s="70">
        <v>33323</v>
      </c>
      <c r="AW293" s="70">
        <v>46023</v>
      </c>
      <c r="AX293" s="71" t="s">
        <v>750</v>
      </c>
      <c r="AY293" s="72" t="s">
        <v>6260</v>
      </c>
    </row>
    <row r="294" spans="1:51" ht="15" customHeight="1" x14ac:dyDescent="0.3">
      <c r="A294" s="59" t="s">
        <v>3495</v>
      </c>
      <c r="B294" s="59" t="s">
        <v>772</v>
      </c>
      <c r="C294" s="59" t="s">
        <v>806</v>
      </c>
      <c r="D294" s="59" t="s">
        <v>1592</v>
      </c>
      <c r="E294" s="59" t="s">
        <v>732</v>
      </c>
      <c r="F294" s="60">
        <v>36436</v>
      </c>
      <c r="G294" s="59" t="s">
        <v>3496</v>
      </c>
      <c r="H294" s="59" t="s">
        <v>3497</v>
      </c>
      <c r="I294" s="60">
        <v>42356</v>
      </c>
      <c r="J294" s="61">
        <f t="shared" ca="1" si="16"/>
        <v>10</v>
      </c>
      <c r="K294" s="62">
        <f t="shared" si="17"/>
        <v>58351</v>
      </c>
      <c r="L294" s="59" t="s">
        <v>735</v>
      </c>
      <c r="M294" s="59" t="s">
        <v>2545</v>
      </c>
      <c r="N294" s="59" t="s">
        <v>758</v>
      </c>
      <c r="O294" s="63">
        <v>0</v>
      </c>
      <c r="P294" s="61">
        <f>IFERROR(SUMPRODUCT((LK_GradeDerivation!$A$4:$A$135=N294)*(IF(O294="",0,O294)&gt;=LK_GradeDerivation!$B$4:$B$135)*(IF(O294="",0,O294)&lt;=LK_GradeDerivation!$C$4:$C$135)*LK_GradeDerivation!$D$4:$D$135),1)</f>
        <v>5</v>
      </c>
      <c r="Q294" s="61">
        <f>IFERROR(SUMPRODUCT((LK_GradeDerivation!$A$4:$A$135=N294)*(IF(O294="",0,O294)&gt;=LK_GradeDerivation!$B$4:$B$135)*(IF(O294="",0,O294)&lt;=LK_GradeDerivation!$C$4:$C$135)*LK_GradeDerivation!$E$4:$E$135),1)</f>
        <v>1</v>
      </c>
      <c r="R294" s="59" t="s">
        <v>3498</v>
      </c>
      <c r="S294" s="59" t="s">
        <v>3499</v>
      </c>
      <c r="T294" s="59" t="s">
        <v>782</v>
      </c>
      <c r="U294" s="59" t="s">
        <v>783</v>
      </c>
      <c r="V294" s="59" t="s">
        <v>763</v>
      </c>
      <c r="W294" s="59" t="s">
        <v>285</v>
      </c>
      <c r="X294" s="59" t="s">
        <v>500</v>
      </c>
      <c r="Y294" s="59" t="s">
        <v>523</v>
      </c>
      <c r="Z294" s="64" t="str">
        <f>IFERROR(VLOOKUP(T294,LK_OrgMaster!$B$4:$H$89,5,FALSE()),"Administration")</f>
        <v>Medical</v>
      </c>
      <c r="AA294" s="65" t="str">
        <f>IFERROR(VLOOKUP(X294,LK_LocationMaster!$D$4:$G$157,4,FALSE()),"No")</f>
        <v>No</v>
      </c>
      <c r="AB294" s="65" t="str">
        <f t="shared" si="18"/>
        <v>No</v>
      </c>
      <c r="AC294" s="65" t="str">
        <f>IFERROR(VLOOKUP(X294,LK_LocationMaster!$D$4:$H$157,5,FALSE()),"No")</f>
        <v>Yes</v>
      </c>
      <c r="AD294" s="59" t="s">
        <v>3155</v>
      </c>
      <c r="AE294" s="59" t="s">
        <v>886</v>
      </c>
      <c r="AF294" s="59" t="s">
        <v>745</v>
      </c>
      <c r="AG294" s="59" t="s">
        <v>368</v>
      </c>
      <c r="AH294" s="59" t="s">
        <v>3500</v>
      </c>
      <c r="AI294" s="59" t="s">
        <v>285</v>
      </c>
      <c r="AJ294" s="59" t="s">
        <v>788</v>
      </c>
      <c r="AK294" s="59" t="s">
        <v>1370</v>
      </c>
      <c r="AL294" s="64" t="str">
        <f>IFERROR(INDEX(LK_BankMaster!$D$4:$D$23,MATCH(AJ294&amp;"|"&amp;AK294,LK_BankMaster!$H$4:$H$23,0)),"")</f>
        <v/>
      </c>
      <c r="AM294" s="59" t="s">
        <v>3501</v>
      </c>
      <c r="AN294" s="64" t="str">
        <f>IFERROR(VLOOKUP(AJ294,LK_BankMaster!$A$4:$E$23,5,FALSE()),"")</f>
        <v/>
      </c>
      <c r="AO294" s="59" t="s">
        <v>314</v>
      </c>
      <c r="AP294" s="66">
        <v>2</v>
      </c>
      <c r="AQ294" s="64" t="str">
        <f t="shared" si="19"/>
        <v>Position Allowance - General Staff</v>
      </c>
      <c r="AR294" s="65" t="str">
        <f>IFERROR(VLOOKUP(T294,LK_OrgMaster!$B$4:$G$89,6,FALSE()),"No")</f>
        <v>No</v>
      </c>
      <c r="AS294" s="64" t="str">
        <f>IFERROR(VLOOKUP(T294,LK_OrgMaster!$B$4:$H$89,7,FALSE()),"None")</f>
        <v>Medical</v>
      </c>
      <c r="AT294" s="67">
        <v>42356</v>
      </c>
      <c r="AU294" s="67"/>
      <c r="AV294" s="67">
        <v>42356</v>
      </c>
      <c r="AW294" s="67">
        <v>46023</v>
      </c>
      <c r="AX294" s="68" t="s">
        <v>750</v>
      </c>
      <c r="AY294" s="69" t="s">
        <v>6260</v>
      </c>
    </row>
    <row r="295" spans="1:51" ht="15" customHeight="1" x14ac:dyDescent="0.3">
      <c r="A295" s="59" t="s">
        <v>3502</v>
      </c>
      <c r="B295" s="59" t="s">
        <v>729</v>
      </c>
      <c r="C295" s="59" t="s">
        <v>2638</v>
      </c>
      <c r="D295" s="59" t="s">
        <v>1592</v>
      </c>
      <c r="E295" s="59" t="s">
        <v>732</v>
      </c>
      <c r="F295" s="60">
        <v>36815</v>
      </c>
      <c r="G295" s="59" t="s">
        <v>3503</v>
      </c>
      <c r="H295" s="59" t="s">
        <v>3504</v>
      </c>
      <c r="I295" s="60">
        <v>43040</v>
      </c>
      <c r="J295" s="61">
        <f t="shared" ca="1" si="16"/>
        <v>8</v>
      </c>
      <c r="K295" s="62">
        <f t="shared" si="17"/>
        <v>58730</v>
      </c>
      <c r="L295" s="59" t="s">
        <v>735</v>
      </c>
      <c r="M295" s="59" t="s">
        <v>1237</v>
      </c>
      <c r="N295" s="59" t="s">
        <v>1081</v>
      </c>
      <c r="O295" s="63">
        <v>0</v>
      </c>
      <c r="P295" s="61">
        <f>IFERROR(SUMPRODUCT((LK_GradeDerivation!$A$4:$A$135=N295)*(IF(O295="",0,O295)&gt;=LK_GradeDerivation!$B$4:$B$135)*(IF(O295="",0,O295)&lt;=LK_GradeDerivation!$C$4:$C$135)*LK_GradeDerivation!$D$4:$D$135),1)</f>
        <v>3</v>
      </c>
      <c r="Q295" s="61">
        <f>IFERROR(SUMPRODUCT((LK_GradeDerivation!$A$4:$A$135=N295)*(IF(O295="",0,O295)&gt;=LK_GradeDerivation!$B$4:$B$135)*(IF(O295="",0,O295)&lt;=LK_GradeDerivation!$C$4:$C$135)*LK_GradeDerivation!$E$4:$E$135),1)</f>
        <v>1</v>
      </c>
      <c r="R295" s="59" t="s">
        <v>3505</v>
      </c>
      <c r="S295" s="59" t="s">
        <v>3506</v>
      </c>
      <c r="T295" s="59" t="s">
        <v>782</v>
      </c>
      <c r="U295" s="59" t="s">
        <v>1191</v>
      </c>
      <c r="V295" s="59" t="s">
        <v>1424</v>
      </c>
      <c r="W295" s="59" t="s">
        <v>285</v>
      </c>
      <c r="X295" s="59" t="s">
        <v>312</v>
      </c>
      <c r="Y295" s="59" t="s">
        <v>325</v>
      </c>
      <c r="Z295" s="64" t="str">
        <f>IFERROR(VLOOKUP(T295,LK_OrgMaster!$B$4:$H$89,5,FALSE()),"Administration")</f>
        <v>Medical</v>
      </c>
      <c r="AA295" s="65" t="str">
        <f>IFERROR(VLOOKUP(X295,LK_LocationMaster!$D$4:$G$157,4,FALSE()),"No")</f>
        <v>Yes</v>
      </c>
      <c r="AB295" s="65" t="str">
        <f t="shared" si="18"/>
        <v>No</v>
      </c>
      <c r="AC295" s="65" t="str">
        <f>IFERROR(VLOOKUP(X295,LK_LocationMaster!$D$4:$H$157,5,FALSE()),"No")</f>
        <v>No</v>
      </c>
      <c r="AD295" s="59" t="s">
        <v>3507</v>
      </c>
      <c r="AE295" s="59" t="s">
        <v>930</v>
      </c>
      <c r="AF295" s="59" t="s">
        <v>766</v>
      </c>
      <c r="AG295" s="59" t="s">
        <v>312</v>
      </c>
      <c r="AH295" s="59" t="s">
        <v>3508</v>
      </c>
      <c r="AI295" s="59" t="s">
        <v>285</v>
      </c>
      <c r="AJ295" s="59" t="s">
        <v>833</v>
      </c>
      <c r="AK295" s="59" t="s">
        <v>1013</v>
      </c>
      <c r="AL295" s="64" t="str">
        <f>IFERROR(INDEX(LK_BankMaster!$D$4:$D$23,MATCH(AJ295&amp;"|"&amp;AK295,LK_BankMaster!$H$4:$H$23,0)),"")</f>
        <v/>
      </c>
      <c r="AM295" s="59" t="s">
        <v>3509</v>
      </c>
      <c r="AN295" s="64" t="str">
        <f>IFERROR(VLOOKUP(AJ295,LK_BankMaster!$A$4:$E$23,5,FALSE()),"")</f>
        <v/>
      </c>
      <c r="AO295" s="59" t="s">
        <v>291</v>
      </c>
      <c r="AP295" s="66">
        <v>0</v>
      </c>
      <c r="AQ295" s="64" t="str">
        <f t="shared" si="19"/>
        <v>Position Allowance - General Staff</v>
      </c>
      <c r="AR295" s="65" t="str">
        <f>IFERROR(VLOOKUP(T295,LK_OrgMaster!$B$4:$G$89,6,FALSE()),"No")</f>
        <v>No</v>
      </c>
      <c r="AS295" s="64" t="str">
        <f>IFERROR(VLOOKUP(T295,LK_OrgMaster!$B$4:$H$89,7,FALSE()),"None")</f>
        <v>Medical</v>
      </c>
      <c r="AT295" s="70">
        <v>43040</v>
      </c>
      <c r="AU295" s="70"/>
      <c r="AV295" s="70">
        <v>43040</v>
      </c>
      <c r="AW295" s="70">
        <v>46023</v>
      </c>
      <c r="AX295" s="71" t="s">
        <v>750</v>
      </c>
      <c r="AY295" s="72" t="s">
        <v>6260</v>
      </c>
    </row>
    <row r="296" spans="1:51" ht="15" customHeight="1" x14ac:dyDescent="0.3">
      <c r="A296" s="59" t="s">
        <v>3510</v>
      </c>
      <c r="B296" s="59" t="s">
        <v>729</v>
      </c>
      <c r="C296" s="59" t="s">
        <v>2517</v>
      </c>
      <c r="D296" s="59" t="s">
        <v>960</v>
      </c>
      <c r="E296" s="59" t="s">
        <v>732</v>
      </c>
      <c r="F296" s="60">
        <v>36996</v>
      </c>
      <c r="G296" s="59" t="s">
        <v>3511</v>
      </c>
      <c r="H296" s="59" t="s">
        <v>3512</v>
      </c>
      <c r="I296" s="60">
        <v>43324</v>
      </c>
      <c r="J296" s="61">
        <f t="shared" ca="1" si="16"/>
        <v>7</v>
      </c>
      <c r="K296" s="62">
        <f t="shared" si="17"/>
        <v>58911</v>
      </c>
      <c r="L296" s="59" t="s">
        <v>735</v>
      </c>
      <c r="M296" s="59" t="s">
        <v>757</v>
      </c>
      <c r="N296" s="59" t="s">
        <v>737</v>
      </c>
      <c r="O296" s="63">
        <v>0</v>
      </c>
      <c r="P296" s="61">
        <f>IFERROR(SUMPRODUCT((LK_GradeDerivation!$A$4:$A$135=N296)*(IF(O296="",0,O296)&gt;=LK_GradeDerivation!$B$4:$B$135)*(IF(O296="",0,O296)&lt;=LK_GradeDerivation!$C$4:$C$135)*LK_GradeDerivation!$D$4:$D$135),1)</f>
        <v>4</v>
      </c>
      <c r="Q296" s="61">
        <f>IFERROR(SUMPRODUCT((LK_GradeDerivation!$A$4:$A$135=N296)*(IF(O296="",0,O296)&gt;=LK_GradeDerivation!$B$4:$B$135)*(IF(O296="",0,O296)&lt;=LK_GradeDerivation!$C$4:$C$135)*LK_GradeDerivation!$E$4:$E$135),1)</f>
        <v>1</v>
      </c>
      <c r="R296" s="59" t="s">
        <v>3513</v>
      </c>
      <c r="S296" s="59" t="s">
        <v>3514</v>
      </c>
      <c r="T296" s="59" t="s">
        <v>1204</v>
      </c>
      <c r="U296" s="59" t="s">
        <v>2100</v>
      </c>
      <c r="V296" s="59" t="s">
        <v>3483</v>
      </c>
      <c r="W296" s="59" t="s">
        <v>285</v>
      </c>
      <c r="X296" s="59" t="s">
        <v>312</v>
      </c>
      <c r="Y296" s="59" t="s">
        <v>327</v>
      </c>
      <c r="Z296" s="64" t="str">
        <f>IFERROR(VLOOKUP(T296,LK_OrgMaster!$B$4:$H$89,5,FALSE()),"Administration")</f>
        <v>Administration</v>
      </c>
      <c r="AA296" s="65" t="str">
        <f>IFERROR(VLOOKUP(X296,LK_LocationMaster!$D$4:$G$157,4,FALSE()),"No")</f>
        <v>Yes</v>
      </c>
      <c r="AB296" s="65" t="str">
        <f t="shared" si="18"/>
        <v>No</v>
      </c>
      <c r="AC296" s="65" t="str">
        <f>IFERROR(VLOOKUP(X296,LK_LocationMaster!$D$4:$H$157,5,FALSE()),"No")</f>
        <v>No</v>
      </c>
      <c r="AD296" s="59" t="s">
        <v>1026</v>
      </c>
      <c r="AE296" s="59" t="s">
        <v>886</v>
      </c>
      <c r="AF296" s="59" t="s">
        <v>984</v>
      </c>
      <c r="AG296" s="59" t="s">
        <v>340</v>
      </c>
      <c r="AH296" s="59" t="s">
        <v>3515</v>
      </c>
      <c r="AI296" s="59" t="s">
        <v>285</v>
      </c>
      <c r="AJ296" s="59" t="s">
        <v>768</v>
      </c>
      <c r="AK296" s="59" t="s">
        <v>769</v>
      </c>
      <c r="AL296" s="64" t="str">
        <f>IFERROR(INDEX(LK_BankMaster!$D$4:$D$23,MATCH(AJ296&amp;"|"&amp;AK296,LK_BankMaster!$H$4:$H$23,0)),"")</f>
        <v/>
      </c>
      <c r="AM296" s="59" t="s">
        <v>3516</v>
      </c>
      <c r="AN296" s="64" t="str">
        <f>IFERROR(VLOOKUP(AJ296,LK_BankMaster!$A$4:$E$23,5,FALSE()),"")</f>
        <v/>
      </c>
      <c r="AO296" s="59" t="s">
        <v>314</v>
      </c>
      <c r="AP296" s="66">
        <v>3</v>
      </c>
      <c r="AQ296" s="64" t="str">
        <f t="shared" si="19"/>
        <v>Position Allowance - General Staff</v>
      </c>
      <c r="AR296" s="65" t="str">
        <f>IFERROR(VLOOKUP(T296,LK_OrgMaster!$B$4:$G$89,6,FALSE()),"No")</f>
        <v>No</v>
      </c>
      <c r="AS296" s="64" t="str">
        <f>IFERROR(VLOOKUP(T296,LK_OrgMaster!$B$4:$H$89,7,FALSE()),"None")</f>
        <v>None</v>
      </c>
      <c r="AT296" s="67">
        <v>43324</v>
      </c>
      <c r="AU296" s="67"/>
      <c r="AV296" s="67">
        <v>43324</v>
      </c>
      <c r="AW296" s="67">
        <v>46023</v>
      </c>
      <c r="AX296" s="68" t="s">
        <v>750</v>
      </c>
      <c r="AY296" s="69" t="s">
        <v>6260</v>
      </c>
    </row>
    <row r="297" spans="1:51" ht="15" customHeight="1" x14ac:dyDescent="0.3">
      <c r="A297" s="59" t="s">
        <v>3517</v>
      </c>
      <c r="B297" s="59" t="s">
        <v>772</v>
      </c>
      <c r="C297" s="59" t="s">
        <v>3478</v>
      </c>
      <c r="D297" s="59" t="s">
        <v>1395</v>
      </c>
      <c r="E297" s="59" t="s">
        <v>775</v>
      </c>
      <c r="F297" s="60">
        <v>25315</v>
      </c>
      <c r="G297" s="59" t="s">
        <v>3518</v>
      </c>
      <c r="H297" s="59" t="s">
        <v>3519</v>
      </c>
      <c r="I297" s="60">
        <v>34411</v>
      </c>
      <c r="J297" s="61">
        <f t="shared" ca="1" si="16"/>
        <v>31</v>
      </c>
      <c r="K297" s="62">
        <f t="shared" si="17"/>
        <v>47230</v>
      </c>
      <c r="L297" s="59" t="s">
        <v>735</v>
      </c>
      <c r="M297" s="59" t="s">
        <v>1045</v>
      </c>
      <c r="N297" s="59" t="s">
        <v>758</v>
      </c>
      <c r="O297" s="63">
        <v>0</v>
      </c>
      <c r="P297" s="61">
        <f>IFERROR(SUMPRODUCT((LK_GradeDerivation!$A$4:$A$135=N297)*(IF(O297="",0,O297)&gt;=LK_GradeDerivation!$B$4:$B$135)*(IF(O297="",0,O297)&lt;=LK_GradeDerivation!$C$4:$C$135)*LK_GradeDerivation!$D$4:$D$135),1)</f>
        <v>5</v>
      </c>
      <c r="Q297" s="61">
        <f>IFERROR(SUMPRODUCT((LK_GradeDerivation!$A$4:$A$135=N297)*(IF(O297="",0,O297)&gt;=LK_GradeDerivation!$B$4:$B$135)*(IF(O297="",0,O297)&lt;=LK_GradeDerivation!$C$4:$C$135)*LK_GradeDerivation!$E$4:$E$135),1)</f>
        <v>1</v>
      </c>
      <c r="R297" s="59" t="s">
        <v>3520</v>
      </c>
      <c r="S297" s="59" t="s">
        <v>3521</v>
      </c>
      <c r="T297" s="59" t="s">
        <v>896</v>
      </c>
      <c r="U297" s="59" t="s">
        <v>940</v>
      </c>
      <c r="V297" s="59" t="s">
        <v>1010</v>
      </c>
      <c r="W297" s="59" t="s">
        <v>285</v>
      </c>
      <c r="X297" s="59" t="s">
        <v>288</v>
      </c>
      <c r="Y297" s="59" t="s">
        <v>298</v>
      </c>
      <c r="Z297" s="64" t="str">
        <f>IFERROR(VLOOKUP(T297,LK_OrgMaster!$B$4:$H$89,5,FALSE()),"Administration")</f>
        <v>Administration</v>
      </c>
      <c r="AA297" s="65" t="str">
        <f>IFERROR(VLOOKUP(X297,LK_LocationMaster!$D$4:$G$157,4,FALSE()),"No")</f>
        <v>No</v>
      </c>
      <c r="AB297" s="65" t="str">
        <f t="shared" si="18"/>
        <v>No</v>
      </c>
      <c r="AC297" s="65" t="str">
        <f>IFERROR(VLOOKUP(X297,LK_LocationMaster!$D$4:$H$157,5,FALSE()),"No")</f>
        <v>No</v>
      </c>
      <c r="AD297" s="59" t="s">
        <v>3522</v>
      </c>
      <c r="AE297" s="59" t="s">
        <v>930</v>
      </c>
      <c r="AF297" s="59" t="s">
        <v>766</v>
      </c>
      <c r="AG297" s="59" t="s">
        <v>356</v>
      </c>
      <c r="AH297" s="59" t="s">
        <v>3523</v>
      </c>
      <c r="AI297" s="59" t="s">
        <v>285</v>
      </c>
      <c r="AJ297" s="59" t="s">
        <v>788</v>
      </c>
      <c r="AK297" s="59" t="s">
        <v>1370</v>
      </c>
      <c r="AL297" s="64" t="str">
        <f>IFERROR(INDEX(LK_BankMaster!$D$4:$D$23,MATCH(AJ297&amp;"|"&amp;AK297,LK_BankMaster!$H$4:$H$23,0)),"")</f>
        <v/>
      </c>
      <c r="AM297" s="59" t="s">
        <v>3524</v>
      </c>
      <c r="AN297" s="64" t="str">
        <f>IFERROR(VLOOKUP(AJ297,LK_BankMaster!$A$4:$E$23,5,FALSE()),"")</f>
        <v/>
      </c>
      <c r="AO297" s="59" t="s">
        <v>314</v>
      </c>
      <c r="AP297" s="66">
        <v>2</v>
      </c>
      <c r="AQ297" s="64" t="str">
        <f t="shared" si="19"/>
        <v>Position Allowance - General Staff</v>
      </c>
      <c r="AR297" s="65" t="str">
        <f>IFERROR(VLOOKUP(T297,LK_OrgMaster!$B$4:$G$89,6,FALSE()),"No")</f>
        <v>No</v>
      </c>
      <c r="AS297" s="64" t="str">
        <f>IFERROR(VLOOKUP(T297,LK_OrgMaster!$B$4:$H$89,7,FALSE()),"None")</f>
        <v>None</v>
      </c>
      <c r="AT297" s="70">
        <v>34411</v>
      </c>
      <c r="AU297" s="70"/>
      <c r="AV297" s="70">
        <v>34411</v>
      </c>
      <c r="AW297" s="70">
        <v>46023</v>
      </c>
      <c r="AX297" s="71" t="s">
        <v>750</v>
      </c>
      <c r="AY297" s="72" t="s">
        <v>6260</v>
      </c>
    </row>
    <row r="298" spans="1:51" ht="15" customHeight="1" x14ac:dyDescent="0.3">
      <c r="A298" s="59" t="s">
        <v>3525</v>
      </c>
      <c r="B298" s="59" t="s">
        <v>851</v>
      </c>
      <c r="C298" s="59" t="s">
        <v>1806</v>
      </c>
      <c r="D298" s="59" t="s">
        <v>838</v>
      </c>
      <c r="E298" s="59" t="s">
        <v>775</v>
      </c>
      <c r="F298" s="60">
        <v>27652</v>
      </c>
      <c r="G298" s="59" t="s">
        <v>1807</v>
      </c>
      <c r="H298" s="59" t="s">
        <v>3526</v>
      </c>
      <c r="I298" s="60">
        <v>39500</v>
      </c>
      <c r="J298" s="61">
        <f t="shared" ca="1" si="16"/>
        <v>18</v>
      </c>
      <c r="K298" s="62">
        <f t="shared" si="17"/>
        <v>49567</v>
      </c>
      <c r="L298" s="59" t="s">
        <v>735</v>
      </c>
      <c r="M298" s="59" t="s">
        <v>1607</v>
      </c>
      <c r="N298" s="59" t="s">
        <v>1081</v>
      </c>
      <c r="O298" s="63">
        <v>12</v>
      </c>
      <c r="P298" s="61">
        <f>IFERROR(SUMPRODUCT((LK_GradeDerivation!$A$4:$A$135=N298)*(IF(O298="",0,O298)&gt;=LK_GradeDerivation!$B$4:$B$135)*(IF(O298="",0,O298)&lt;=LK_GradeDerivation!$C$4:$C$135)*LK_GradeDerivation!$D$4:$D$135),1)</f>
        <v>3</v>
      </c>
      <c r="Q298" s="61">
        <f>IFERROR(SUMPRODUCT((LK_GradeDerivation!$A$4:$A$135=N298)*(IF(O298="",0,O298)&gt;=LK_GradeDerivation!$B$4:$B$135)*(IF(O298="",0,O298)&lt;=LK_GradeDerivation!$C$4:$C$135)*LK_GradeDerivation!$E$4:$E$135),1)</f>
        <v>7</v>
      </c>
      <c r="R298" s="59" t="s">
        <v>3527</v>
      </c>
      <c r="S298" s="59" t="s">
        <v>3528</v>
      </c>
      <c r="T298" s="59" t="s">
        <v>1023</v>
      </c>
      <c r="U298" s="59" t="s">
        <v>1130</v>
      </c>
      <c r="V298" s="59" t="s">
        <v>763</v>
      </c>
      <c r="W298" s="59" t="s">
        <v>285</v>
      </c>
      <c r="X298" s="59" t="s">
        <v>575</v>
      </c>
      <c r="Y298" s="59" t="s">
        <v>577</v>
      </c>
      <c r="Z298" s="64" t="str">
        <f>IFERROR(VLOOKUP(T298,LK_OrgMaster!$B$4:$H$89,5,FALSE()),"Administration")</f>
        <v>Technical</v>
      </c>
      <c r="AA298" s="65" t="str">
        <f>IFERROR(VLOOKUP(X298,LK_LocationMaster!$D$4:$G$157,4,FALSE()),"No")</f>
        <v>Yes</v>
      </c>
      <c r="AB298" s="65" t="str">
        <f t="shared" si="18"/>
        <v>No</v>
      </c>
      <c r="AC298" s="65" t="str">
        <f>IFERROR(VLOOKUP(X298,LK_LocationMaster!$D$4:$H$157,5,FALSE()),"No")</f>
        <v>Yes</v>
      </c>
      <c r="AD298" s="59" t="s">
        <v>3529</v>
      </c>
      <c r="AE298" s="59" t="s">
        <v>765</v>
      </c>
      <c r="AF298" s="59" t="s">
        <v>901</v>
      </c>
      <c r="AG298" s="59" t="s">
        <v>368</v>
      </c>
      <c r="AH298" s="59" t="s">
        <v>3530</v>
      </c>
      <c r="AI298" s="59" t="s">
        <v>285</v>
      </c>
      <c r="AJ298" s="59" t="s">
        <v>833</v>
      </c>
      <c r="AK298" s="59" t="s">
        <v>1550</v>
      </c>
      <c r="AL298" s="64" t="str">
        <f>IFERROR(INDEX(LK_BankMaster!$D$4:$D$23,MATCH(AJ298&amp;"|"&amp;AK298,LK_BankMaster!$H$4:$H$23,0)),"")</f>
        <v/>
      </c>
      <c r="AM298" s="59" t="s">
        <v>3531</v>
      </c>
      <c r="AN298" s="64" t="str">
        <f>IFERROR(VLOOKUP(AJ298,LK_BankMaster!$A$4:$E$23,5,FALSE()),"")</f>
        <v/>
      </c>
      <c r="AO298" s="59" t="s">
        <v>291</v>
      </c>
      <c r="AP298" s="66">
        <v>0</v>
      </c>
      <c r="AQ298" s="64" t="str">
        <f t="shared" si="19"/>
        <v>Position Allowance - General Staff</v>
      </c>
      <c r="AR298" s="65" t="str">
        <f>IFERROR(VLOOKUP(T298,LK_OrgMaster!$B$4:$G$89,6,FALSE()),"No")</f>
        <v>No</v>
      </c>
      <c r="AS298" s="64" t="str">
        <f>IFERROR(VLOOKUP(T298,LK_OrgMaster!$B$4:$H$89,7,FALSE()),"None")</f>
        <v>None</v>
      </c>
      <c r="AT298" s="67">
        <v>39500</v>
      </c>
      <c r="AU298" s="67"/>
      <c r="AV298" s="67">
        <v>39500</v>
      </c>
      <c r="AW298" s="67">
        <v>46023</v>
      </c>
      <c r="AX298" s="68" t="s">
        <v>750</v>
      </c>
      <c r="AY298" s="69" t="s">
        <v>6260</v>
      </c>
    </row>
    <row r="299" spans="1:51" ht="15" customHeight="1" x14ac:dyDescent="0.3">
      <c r="A299" s="59" t="s">
        <v>3532</v>
      </c>
      <c r="B299" s="59" t="s">
        <v>851</v>
      </c>
      <c r="C299" s="59" t="s">
        <v>1149</v>
      </c>
      <c r="D299" s="59" t="s">
        <v>876</v>
      </c>
      <c r="E299" s="59" t="s">
        <v>775</v>
      </c>
      <c r="F299" s="60">
        <v>33563</v>
      </c>
      <c r="G299" s="59" t="s">
        <v>3533</v>
      </c>
      <c r="H299" s="59" t="s">
        <v>3534</v>
      </c>
      <c r="I299" s="60">
        <v>38110</v>
      </c>
      <c r="J299" s="61">
        <f t="shared" ca="1" si="16"/>
        <v>21</v>
      </c>
      <c r="K299" s="62">
        <f t="shared" si="17"/>
        <v>55478</v>
      </c>
      <c r="L299" s="59" t="s">
        <v>735</v>
      </c>
      <c r="M299" s="59" t="s">
        <v>1421</v>
      </c>
      <c r="N299" s="59" t="s">
        <v>779</v>
      </c>
      <c r="O299" s="63">
        <v>0</v>
      </c>
      <c r="P299" s="61">
        <f>IFERROR(SUMPRODUCT((LK_GradeDerivation!$A$4:$A$135=N299)*(IF(O299="",0,O299)&gt;=LK_GradeDerivation!$B$4:$B$135)*(IF(O299="",0,O299)&lt;=LK_GradeDerivation!$C$4:$C$135)*LK_GradeDerivation!$D$4:$D$135),1)</f>
        <v>2</v>
      </c>
      <c r="Q299" s="61">
        <f>IFERROR(SUMPRODUCT((LK_GradeDerivation!$A$4:$A$135=N299)*(IF(O299="",0,O299)&gt;=LK_GradeDerivation!$B$4:$B$135)*(IF(O299="",0,O299)&lt;=LK_GradeDerivation!$C$4:$C$135)*LK_GradeDerivation!$E$4:$E$135),1)</f>
        <v>1</v>
      </c>
      <c r="R299" s="59" t="s">
        <v>3535</v>
      </c>
      <c r="S299" s="59" t="s">
        <v>3536</v>
      </c>
      <c r="T299" s="59" t="s">
        <v>782</v>
      </c>
      <c r="U299" s="59" t="s">
        <v>829</v>
      </c>
      <c r="V299" s="59" t="s">
        <v>830</v>
      </c>
      <c r="W299" s="59" t="s">
        <v>285</v>
      </c>
      <c r="X299" s="59" t="s">
        <v>575</v>
      </c>
      <c r="Y299" s="59" t="s">
        <v>583</v>
      </c>
      <c r="Z299" s="64" t="str">
        <f>IFERROR(VLOOKUP(T299,LK_OrgMaster!$B$4:$H$89,5,FALSE()),"Administration")</f>
        <v>Medical</v>
      </c>
      <c r="AA299" s="65" t="str">
        <f>IFERROR(VLOOKUP(X299,LK_LocationMaster!$D$4:$G$157,4,FALSE()),"No")</f>
        <v>Yes</v>
      </c>
      <c r="AB299" s="65" t="str">
        <f t="shared" si="18"/>
        <v>No</v>
      </c>
      <c r="AC299" s="65" t="str">
        <f>IFERROR(VLOOKUP(X299,LK_LocationMaster!$D$4:$H$157,5,FALSE()),"No")</f>
        <v>Yes</v>
      </c>
      <c r="AD299" s="59" t="s">
        <v>3537</v>
      </c>
      <c r="AE299" s="59" t="s">
        <v>3538</v>
      </c>
      <c r="AF299" s="59" t="s">
        <v>915</v>
      </c>
      <c r="AG299" s="59" t="s">
        <v>288</v>
      </c>
      <c r="AH299" s="59" t="s">
        <v>3539</v>
      </c>
      <c r="AI299" s="59" t="s">
        <v>285</v>
      </c>
      <c r="AJ299" s="59" t="s">
        <v>788</v>
      </c>
      <c r="AK299" s="59" t="s">
        <v>1460</v>
      </c>
      <c r="AL299" s="64" t="str">
        <f>IFERROR(INDEX(LK_BankMaster!$D$4:$D$23,MATCH(AJ299&amp;"|"&amp;AK299,LK_BankMaster!$H$4:$H$23,0)),"")</f>
        <v/>
      </c>
      <c r="AM299" s="59" t="s">
        <v>3540</v>
      </c>
      <c r="AN299" s="64" t="str">
        <f>IFERROR(VLOOKUP(AJ299,LK_BankMaster!$A$4:$E$23,5,FALSE()),"")</f>
        <v/>
      </c>
      <c r="AO299" s="59" t="s">
        <v>314</v>
      </c>
      <c r="AP299" s="66">
        <v>3</v>
      </c>
      <c r="AQ299" s="64" t="str">
        <f t="shared" si="19"/>
        <v>Position Allowance - General Staff</v>
      </c>
      <c r="AR299" s="65" t="str">
        <f>IFERROR(VLOOKUP(T299,LK_OrgMaster!$B$4:$G$89,6,FALSE()),"No")</f>
        <v>No</v>
      </c>
      <c r="AS299" s="64" t="str">
        <f>IFERROR(VLOOKUP(T299,LK_OrgMaster!$B$4:$H$89,7,FALSE()),"None")</f>
        <v>Medical</v>
      </c>
      <c r="AT299" s="70">
        <v>38110</v>
      </c>
      <c r="AU299" s="70"/>
      <c r="AV299" s="70">
        <v>38110</v>
      </c>
      <c r="AW299" s="70">
        <v>46023</v>
      </c>
      <c r="AX299" s="71" t="s">
        <v>750</v>
      </c>
      <c r="AY299" s="72" t="s">
        <v>6260</v>
      </c>
    </row>
    <row r="300" spans="1:51" ht="15" customHeight="1" x14ac:dyDescent="0.3">
      <c r="A300" s="59" t="s">
        <v>3541</v>
      </c>
      <c r="B300" s="59" t="s">
        <v>851</v>
      </c>
      <c r="C300" s="59" t="s">
        <v>1077</v>
      </c>
      <c r="D300" s="59" t="s">
        <v>2194</v>
      </c>
      <c r="E300" s="59" t="s">
        <v>775</v>
      </c>
      <c r="F300" s="60">
        <v>36497</v>
      </c>
      <c r="G300" s="59" t="s">
        <v>3241</v>
      </c>
      <c r="H300" s="59" t="s">
        <v>3542</v>
      </c>
      <c r="I300" s="60">
        <v>37070</v>
      </c>
      <c r="J300" s="61">
        <f t="shared" ca="1" si="16"/>
        <v>24</v>
      </c>
      <c r="K300" s="62">
        <f t="shared" si="17"/>
        <v>58412</v>
      </c>
      <c r="L300" s="59" t="s">
        <v>735</v>
      </c>
      <c r="M300" s="59" t="s">
        <v>1045</v>
      </c>
      <c r="N300" s="59" t="s">
        <v>737</v>
      </c>
      <c r="O300" s="63">
        <v>0</v>
      </c>
      <c r="P300" s="61">
        <f>IFERROR(SUMPRODUCT((LK_GradeDerivation!$A$4:$A$135=N300)*(IF(O300="",0,O300)&gt;=LK_GradeDerivation!$B$4:$B$135)*(IF(O300="",0,O300)&lt;=LK_GradeDerivation!$C$4:$C$135)*LK_GradeDerivation!$D$4:$D$135),1)</f>
        <v>4</v>
      </c>
      <c r="Q300" s="61">
        <f>IFERROR(SUMPRODUCT((LK_GradeDerivation!$A$4:$A$135=N300)*(IF(O300="",0,O300)&gt;=LK_GradeDerivation!$B$4:$B$135)*(IF(O300="",0,O300)&lt;=LK_GradeDerivation!$C$4:$C$135)*LK_GradeDerivation!$E$4:$E$135),1)</f>
        <v>1</v>
      </c>
      <c r="R300" s="59" t="s">
        <v>3543</v>
      </c>
      <c r="S300" s="59" t="s">
        <v>3544</v>
      </c>
      <c r="T300" s="59" t="s">
        <v>896</v>
      </c>
      <c r="U300" s="59" t="s">
        <v>897</v>
      </c>
      <c r="V300" s="59" t="s">
        <v>763</v>
      </c>
      <c r="W300" s="59" t="s">
        <v>285</v>
      </c>
      <c r="X300" s="59" t="s">
        <v>288</v>
      </c>
      <c r="Y300" s="59" t="s">
        <v>298</v>
      </c>
      <c r="Z300" s="64" t="str">
        <f>IFERROR(VLOOKUP(T300,LK_OrgMaster!$B$4:$H$89,5,FALSE()),"Administration")</f>
        <v>Administration</v>
      </c>
      <c r="AA300" s="65" t="str">
        <f>IFERROR(VLOOKUP(X300,LK_LocationMaster!$D$4:$G$157,4,FALSE()),"No")</f>
        <v>No</v>
      </c>
      <c r="AB300" s="65" t="str">
        <f t="shared" si="18"/>
        <v>No</v>
      </c>
      <c r="AC300" s="65" t="str">
        <f>IFERROR(VLOOKUP(X300,LK_LocationMaster!$D$4:$H$157,5,FALSE()),"No")</f>
        <v>No</v>
      </c>
      <c r="AD300" s="59" t="s">
        <v>3545</v>
      </c>
      <c r="AE300" s="59" t="s">
        <v>886</v>
      </c>
      <c r="AF300" s="59" t="s">
        <v>816</v>
      </c>
      <c r="AG300" s="59" t="s">
        <v>288</v>
      </c>
      <c r="AH300" s="59" t="s">
        <v>3546</v>
      </c>
      <c r="AI300" s="59" t="s">
        <v>285</v>
      </c>
      <c r="AJ300" s="59" t="s">
        <v>788</v>
      </c>
      <c r="AK300" s="59" t="s">
        <v>789</v>
      </c>
      <c r="AL300" s="64" t="str">
        <f>IFERROR(INDEX(LK_BankMaster!$D$4:$D$23,MATCH(AJ300&amp;"|"&amp;AK300,LK_BankMaster!$H$4:$H$23,0)),"")</f>
        <v/>
      </c>
      <c r="AM300" s="59" t="s">
        <v>3547</v>
      </c>
      <c r="AN300" s="64" t="str">
        <f>IFERROR(VLOOKUP(AJ300,LK_BankMaster!$A$4:$E$23,5,FALSE()),"")</f>
        <v/>
      </c>
      <c r="AO300" s="59" t="s">
        <v>314</v>
      </c>
      <c r="AP300" s="66">
        <v>3</v>
      </c>
      <c r="AQ300" s="64" t="str">
        <f t="shared" si="19"/>
        <v>Position Allowance - General Staff</v>
      </c>
      <c r="AR300" s="65" t="str">
        <f>IFERROR(VLOOKUP(T300,LK_OrgMaster!$B$4:$G$89,6,FALSE()),"No")</f>
        <v>No</v>
      </c>
      <c r="AS300" s="64" t="str">
        <f>IFERROR(VLOOKUP(T300,LK_OrgMaster!$B$4:$H$89,7,FALSE()),"None")</f>
        <v>None</v>
      </c>
      <c r="AT300" s="67">
        <v>37070</v>
      </c>
      <c r="AU300" s="67"/>
      <c r="AV300" s="67">
        <v>37070</v>
      </c>
      <c r="AW300" s="67">
        <v>46023</v>
      </c>
      <c r="AX300" s="68" t="s">
        <v>750</v>
      </c>
      <c r="AY300" s="69" t="s">
        <v>6260</v>
      </c>
    </row>
    <row r="301" spans="1:51" ht="15" customHeight="1" x14ac:dyDescent="0.3">
      <c r="A301" s="59" t="s">
        <v>3548</v>
      </c>
      <c r="B301" s="59" t="s">
        <v>851</v>
      </c>
      <c r="C301" s="59" t="s">
        <v>1351</v>
      </c>
      <c r="D301" s="59" t="s">
        <v>1137</v>
      </c>
      <c r="E301" s="59" t="s">
        <v>775</v>
      </c>
      <c r="F301" s="60">
        <v>26340</v>
      </c>
      <c r="G301" s="59" t="s">
        <v>3549</v>
      </c>
      <c r="H301" s="59" t="s">
        <v>3550</v>
      </c>
      <c r="I301" s="60">
        <v>36088</v>
      </c>
      <c r="J301" s="61">
        <f t="shared" ca="1" si="16"/>
        <v>27</v>
      </c>
      <c r="K301" s="62">
        <f t="shared" si="17"/>
        <v>48255</v>
      </c>
      <c r="L301" s="59" t="s">
        <v>735</v>
      </c>
      <c r="M301" s="59" t="s">
        <v>893</v>
      </c>
      <c r="N301" s="59" t="s">
        <v>1081</v>
      </c>
      <c r="O301" s="63">
        <v>6</v>
      </c>
      <c r="P301" s="61">
        <f>IFERROR(SUMPRODUCT((LK_GradeDerivation!$A$4:$A$135=N301)*(IF(O301="",0,O301)&gt;=LK_GradeDerivation!$B$4:$B$135)*(IF(O301="",0,O301)&lt;=LK_GradeDerivation!$C$4:$C$135)*LK_GradeDerivation!$D$4:$D$135),1)</f>
        <v>3</v>
      </c>
      <c r="Q301" s="61">
        <f>IFERROR(SUMPRODUCT((LK_GradeDerivation!$A$4:$A$135=N301)*(IF(O301="",0,O301)&gt;=LK_GradeDerivation!$B$4:$B$135)*(IF(O301="",0,O301)&lt;=LK_GradeDerivation!$C$4:$C$135)*LK_GradeDerivation!$E$4:$E$135),1)</f>
        <v>4</v>
      </c>
      <c r="R301" s="59" t="s">
        <v>3551</v>
      </c>
      <c r="S301" s="59" t="s">
        <v>3552</v>
      </c>
      <c r="T301" s="59" t="s">
        <v>979</v>
      </c>
      <c r="U301" s="59" t="s">
        <v>1166</v>
      </c>
      <c r="V301" s="59" t="s">
        <v>763</v>
      </c>
      <c r="W301" s="59" t="s">
        <v>285</v>
      </c>
      <c r="X301" s="59" t="s">
        <v>288</v>
      </c>
      <c r="Y301" s="59" t="s">
        <v>308</v>
      </c>
      <c r="Z301" s="64" t="str">
        <f>IFERROR(VLOOKUP(T301,LK_OrgMaster!$B$4:$H$89,5,FALSE()),"Administration")</f>
        <v>Administration</v>
      </c>
      <c r="AA301" s="65" t="str">
        <f>IFERROR(VLOOKUP(X301,LK_LocationMaster!$D$4:$G$157,4,FALSE()),"No")</f>
        <v>No</v>
      </c>
      <c r="AB301" s="65" t="str">
        <f t="shared" si="18"/>
        <v>No</v>
      </c>
      <c r="AC301" s="65" t="str">
        <f>IFERROR(VLOOKUP(X301,LK_LocationMaster!$D$4:$H$157,5,FALSE()),"No")</f>
        <v>No</v>
      </c>
      <c r="AD301" s="59" t="s">
        <v>3553</v>
      </c>
      <c r="AE301" s="59" t="s">
        <v>3554</v>
      </c>
      <c r="AF301" s="59" t="s">
        <v>786</v>
      </c>
      <c r="AG301" s="59" t="s">
        <v>312</v>
      </c>
      <c r="AH301" s="59" t="s">
        <v>3555</v>
      </c>
      <c r="AI301" s="59" t="s">
        <v>285</v>
      </c>
      <c r="AJ301" s="59" t="s">
        <v>747</v>
      </c>
      <c r="AK301" s="59" t="s">
        <v>748</v>
      </c>
      <c r="AL301" s="64" t="str">
        <f>IFERROR(INDEX(LK_BankMaster!$D$4:$D$23,MATCH(AJ301&amp;"|"&amp;AK301,LK_BankMaster!$H$4:$H$23,0)),"")</f>
        <v/>
      </c>
      <c r="AM301" s="59" t="s">
        <v>3556</v>
      </c>
      <c r="AN301" s="64" t="str">
        <f>IFERROR(VLOOKUP(AJ301,LK_BankMaster!$A$4:$E$23,5,FALSE()),"")</f>
        <v/>
      </c>
      <c r="AO301" s="59" t="s">
        <v>314</v>
      </c>
      <c r="AP301" s="66">
        <v>0</v>
      </c>
      <c r="AQ301" s="64" t="str">
        <f t="shared" si="19"/>
        <v>Position Allowance - General Staff</v>
      </c>
      <c r="AR301" s="65" t="str">
        <f>IFERROR(VLOOKUP(T301,LK_OrgMaster!$B$4:$G$89,6,FALSE()),"No")</f>
        <v>No</v>
      </c>
      <c r="AS301" s="64" t="str">
        <f>IFERROR(VLOOKUP(T301,LK_OrgMaster!$B$4:$H$89,7,FALSE()),"None")</f>
        <v>None</v>
      </c>
      <c r="AT301" s="70">
        <v>36088</v>
      </c>
      <c r="AU301" s="70"/>
      <c r="AV301" s="70">
        <v>36088</v>
      </c>
      <c r="AW301" s="70">
        <v>46023</v>
      </c>
      <c r="AX301" s="71" t="s">
        <v>750</v>
      </c>
      <c r="AY301" s="72" t="s">
        <v>6260</v>
      </c>
    </row>
    <row r="302" spans="1:51" ht="15" customHeight="1" x14ac:dyDescent="0.3">
      <c r="A302" s="59" t="s">
        <v>3557</v>
      </c>
      <c r="B302" s="59" t="s">
        <v>772</v>
      </c>
      <c r="C302" s="59" t="s">
        <v>822</v>
      </c>
      <c r="D302" s="59" t="s">
        <v>731</v>
      </c>
      <c r="E302" s="59" t="s">
        <v>732</v>
      </c>
      <c r="F302" s="60">
        <v>31481</v>
      </c>
      <c r="G302" s="59" t="s">
        <v>3558</v>
      </c>
      <c r="H302" s="59" t="s">
        <v>3559</v>
      </c>
      <c r="I302" s="60">
        <v>42737</v>
      </c>
      <c r="J302" s="61">
        <f t="shared" ca="1" si="16"/>
        <v>9</v>
      </c>
      <c r="K302" s="62">
        <f t="shared" si="17"/>
        <v>53396</v>
      </c>
      <c r="L302" s="59" t="s">
        <v>735</v>
      </c>
      <c r="M302" s="59" t="s">
        <v>1334</v>
      </c>
      <c r="N302" s="59" t="s">
        <v>779</v>
      </c>
      <c r="O302" s="63">
        <v>12</v>
      </c>
      <c r="P302" s="61">
        <f>IFERROR(SUMPRODUCT((LK_GradeDerivation!$A$4:$A$135=N302)*(IF(O302="",0,O302)&gt;=LK_GradeDerivation!$B$4:$B$135)*(IF(O302="",0,O302)&lt;=LK_GradeDerivation!$C$4:$C$135)*LK_GradeDerivation!$D$4:$D$135),1)</f>
        <v>2</v>
      </c>
      <c r="Q302" s="61">
        <f>IFERROR(SUMPRODUCT((LK_GradeDerivation!$A$4:$A$135=N302)*(IF(O302="",0,O302)&gt;=LK_GradeDerivation!$B$4:$B$135)*(IF(O302="",0,O302)&lt;=LK_GradeDerivation!$C$4:$C$135)*LK_GradeDerivation!$E$4:$E$135),1)</f>
        <v>7</v>
      </c>
      <c r="R302" s="59" t="s">
        <v>3560</v>
      </c>
      <c r="S302" s="59" t="s">
        <v>3561</v>
      </c>
      <c r="T302" s="59" t="s">
        <v>740</v>
      </c>
      <c r="U302" s="59" t="s">
        <v>1262</v>
      </c>
      <c r="V302" s="59" t="s">
        <v>1263</v>
      </c>
      <c r="W302" s="59" t="s">
        <v>285</v>
      </c>
      <c r="X302" s="59" t="s">
        <v>575</v>
      </c>
      <c r="Y302" s="59" t="s">
        <v>581</v>
      </c>
      <c r="Z302" s="64" t="str">
        <f>IFERROR(VLOOKUP(T302,LK_OrgMaster!$B$4:$H$89,5,FALSE()),"Administration")</f>
        <v>Teacher</v>
      </c>
      <c r="AA302" s="65" t="str">
        <f>IFERROR(VLOOKUP(X302,LK_LocationMaster!$D$4:$G$157,4,FALSE()),"No")</f>
        <v>Yes</v>
      </c>
      <c r="AB302" s="65" t="str">
        <f t="shared" si="18"/>
        <v>No</v>
      </c>
      <c r="AC302" s="65" t="str">
        <f>IFERROR(VLOOKUP(X302,LK_LocationMaster!$D$4:$H$157,5,FALSE()),"No")</f>
        <v>Yes</v>
      </c>
      <c r="AD302" s="59" t="s">
        <v>3562</v>
      </c>
      <c r="AE302" s="59" t="s">
        <v>886</v>
      </c>
      <c r="AF302" s="59" t="s">
        <v>901</v>
      </c>
      <c r="AG302" s="59" t="s">
        <v>356</v>
      </c>
      <c r="AH302" s="59" t="s">
        <v>3563</v>
      </c>
      <c r="AI302" s="59" t="s">
        <v>285</v>
      </c>
      <c r="AJ302" s="59" t="s">
        <v>768</v>
      </c>
      <c r="AK302" s="59" t="s">
        <v>1063</v>
      </c>
      <c r="AL302" s="64" t="str">
        <f>IFERROR(INDEX(LK_BankMaster!$D$4:$D$23,MATCH(AJ302&amp;"|"&amp;AK302,LK_BankMaster!$H$4:$H$23,0)),"")</f>
        <v/>
      </c>
      <c r="AM302" s="59" t="s">
        <v>3564</v>
      </c>
      <c r="AN302" s="64" t="str">
        <f>IFERROR(VLOOKUP(AJ302,LK_BankMaster!$A$4:$E$23,5,FALSE()),"")</f>
        <v/>
      </c>
      <c r="AO302" s="59" t="s">
        <v>291</v>
      </c>
      <c r="AP302" s="66">
        <v>0</v>
      </c>
      <c r="AQ302" s="64" t="str">
        <f t="shared" si="19"/>
        <v>Position Allowance - General Staff</v>
      </c>
      <c r="AR302" s="65" t="str">
        <f>IFERROR(VLOOKUP(T302,LK_OrgMaster!$B$4:$G$89,6,FALSE()),"No")</f>
        <v>No</v>
      </c>
      <c r="AS302" s="64" t="str">
        <f>IFERROR(VLOOKUP(T302,LK_OrgMaster!$B$4:$H$89,7,FALSE()),"None")</f>
        <v>Teaching</v>
      </c>
      <c r="AT302" s="67">
        <v>42737</v>
      </c>
      <c r="AU302" s="67"/>
      <c r="AV302" s="67">
        <v>42737</v>
      </c>
      <c r="AW302" s="67">
        <v>46023</v>
      </c>
      <c r="AX302" s="68" t="s">
        <v>750</v>
      </c>
      <c r="AY302" s="69" t="s">
        <v>6260</v>
      </c>
    </row>
    <row r="303" spans="1:51" ht="15" customHeight="1" x14ac:dyDescent="0.3">
      <c r="A303" s="59" t="s">
        <v>3565</v>
      </c>
      <c r="B303" s="59" t="s">
        <v>851</v>
      </c>
      <c r="C303" s="59" t="s">
        <v>890</v>
      </c>
      <c r="D303" s="59" t="s">
        <v>774</v>
      </c>
      <c r="E303" s="59" t="s">
        <v>775</v>
      </c>
      <c r="F303" s="60">
        <v>32550</v>
      </c>
      <c r="G303" s="59" t="s">
        <v>3566</v>
      </c>
      <c r="H303" s="59" t="s">
        <v>3567</v>
      </c>
      <c r="I303" s="60">
        <v>41585</v>
      </c>
      <c r="J303" s="61">
        <f t="shared" ca="1" si="16"/>
        <v>12</v>
      </c>
      <c r="K303" s="62">
        <f t="shared" si="17"/>
        <v>54465</v>
      </c>
      <c r="L303" s="59" t="s">
        <v>735</v>
      </c>
      <c r="M303" s="59" t="s">
        <v>1504</v>
      </c>
      <c r="N303" s="59" t="s">
        <v>1081</v>
      </c>
      <c r="O303" s="63">
        <v>4</v>
      </c>
      <c r="P303" s="61">
        <f>IFERROR(SUMPRODUCT((LK_GradeDerivation!$A$4:$A$135=N303)*(IF(O303="",0,O303)&gt;=LK_GradeDerivation!$B$4:$B$135)*(IF(O303="",0,O303)&lt;=LK_GradeDerivation!$C$4:$C$135)*LK_GradeDerivation!$D$4:$D$135),1)</f>
        <v>3</v>
      </c>
      <c r="Q303" s="61">
        <f>IFERROR(SUMPRODUCT((LK_GradeDerivation!$A$4:$A$135=N303)*(IF(O303="",0,O303)&gt;=LK_GradeDerivation!$B$4:$B$135)*(IF(O303="",0,O303)&lt;=LK_GradeDerivation!$C$4:$C$135)*LK_GradeDerivation!$E$4:$E$135),1)</f>
        <v>3</v>
      </c>
      <c r="R303" s="59" t="s">
        <v>3568</v>
      </c>
      <c r="S303" s="59" t="s">
        <v>3569</v>
      </c>
      <c r="T303" s="59" t="s">
        <v>782</v>
      </c>
      <c r="U303" s="59" t="s">
        <v>829</v>
      </c>
      <c r="V303" s="59" t="s">
        <v>3570</v>
      </c>
      <c r="W303" s="59" t="s">
        <v>285</v>
      </c>
      <c r="X303" s="59" t="s">
        <v>554</v>
      </c>
      <c r="Y303" s="59" t="s">
        <v>569</v>
      </c>
      <c r="Z303" s="64" t="str">
        <f>IFERROR(VLOOKUP(T303,LK_OrgMaster!$B$4:$H$89,5,FALSE()),"Administration")</f>
        <v>Medical</v>
      </c>
      <c r="AA303" s="65" t="str">
        <f>IFERROR(VLOOKUP(X303,LK_LocationMaster!$D$4:$G$157,4,FALSE()),"No")</f>
        <v>No</v>
      </c>
      <c r="AB303" s="65" t="str">
        <f t="shared" si="18"/>
        <v>No</v>
      </c>
      <c r="AC303" s="65" t="str">
        <f>IFERROR(VLOOKUP(X303,LK_LocationMaster!$D$4:$H$157,5,FALSE()),"No")</f>
        <v>No</v>
      </c>
      <c r="AD303" s="59" t="s">
        <v>1650</v>
      </c>
      <c r="AE303" s="59" t="s">
        <v>800</v>
      </c>
      <c r="AF303" s="59" t="s">
        <v>984</v>
      </c>
      <c r="AG303" s="59" t="s">
        <v>368</v>
      </c>
      <c r="AH303" s="59" t="s">
        <v>3571</v>
      </c>
      <c r="AI303" s="59" t="s">
        <v>285</v>
      </c>
      <c r="AJ303" s="59" t="s">
        <v>747</v>
      </c>
      <c r="AK303" s="59" t="s">
        <v>748</v>
      </c>
      <c r="AL303" s="64" t="str">
        <f>IFERROR(INDEX(LK_BankMaster!$D$4:$D$23,MATCH(AJ303&amp;"|"&amp;AK303,LK_BankMaster!$H$4:$H$23,0)),"")</f>
        <v/>
      </c>
      <c r="AM303" s="59" t="s">
        <v>3572</v>
      </c>
      <c r="AN303" s="64" t="str">
        <f>IFERROR(VLOOKUP(AJ303,LK_BankMaster!$A$4:$E$23,5,FALSE()),"")</f>
        <v/>
      </c>
      <c r="AO303" s="59" t="s">
        <v>314</v>
      </c>
      <c r="AP303" s="66">
        <v>2</v>
      </c>
      <c r="AQ303" s="64" t="str">
        <f t="shared" si="19"/>
        <v>Position Allowance - General Staff</v>
      </c>
      <c r="AR303" s="65" t="str">
        <f>IFERROR(VLOOKUP(T303,LK_OrgMaster!$B$4:$G$89,6,FALSE()),"No")</f>
        <v>No</v>
      </c>
      <c r="AS303" s="64" t="str">
        <f>IFERROR(VLOOKUP(T303,LK_OrgMaster!$B$4:$H$89,7,FALSE()),"None")</f>
        <v>Medical</v>
      </c>
      <c r="AT303" s="70">
        <v>41585</v>
      </c>
      <c r="AU303" s="70"/>
      <c r="AV303" s="70">
        <v>41585</v>
      </c>
      <c r="AW303" s="70">
        <v>46023</v>
      </c>
      <c r="AX303" s="71" t="s">
        <v>750</v>
      </c>
      <c r="AY303" s="72" t="s">
        <v>6260</v>
      </c>
    </row>
    <row r="304" spans="1:51" ht="15" customHeight="1" x14ac:dyDescent="0.3">
      <c r="A304" s="59" t="s">
        <v>3573</v>
      </c>
      <c r="B304" s="59" t="s">
        <v>772</v>
      </c>
      <c r="C304" s="59" t="s">
        <v>1149</v>
      </c>
      <c r="D304" s="59" t="s">
        <v>1003</v>
      </c>
      <c r="E304" s="59" t="s">
        <v>775</v>
      </c>
      <c r="F304" s="60">
        <v>26036</v>
      </c>
      <c r="G304" s="59" t="s">
        <v>3574</v>
      </c>
      <c r="H304" s="59" t="s">
        <v>3575</v>
      </c>
      <c r="I304" s="60">
        <v>38334</v>
      </c>
      <c r="J304" s="61">
        <f t="shared" ca="1" si="16"/>
        <v>21</v>
      </c>
      <c r="K304" s="62">
        <f t="shared" si="17"/>
        <v>47951</v>
      </c>
      <c r="L304" s="59" t="s">
        <v>735</v>
      </c>
      <c r="M304" s="59" t="s">
        <v>1950</v>
      </c>
      <c r="N304" s="59" t="s">
        <v>737</v>
      </c>
      <c r="O304" s="63">
        <v>11</v>
      </c>
      <c r="P304" s="61">
        <f>IFERROR(SUMPRODUCT((LK_GradeDerivation!$A$4:$A$135=N304)*(IF(O304="",0,O304)&gt;=LK_GradeDerivation!$B$4:$B$135)*(IF(O304="",0,O304)&lt;=LK_GradeDerivation!$C$4:$C$135)*LK_GradeDerivation!$D$4:$D$135),1)</f>
        <v>4</v>
      </c>
      <c r="Q304" s="61">
        <f>IFERROR(SUMPRODUCT((LK_GradeDerivation!$A$4:$A$135=N304)*(IF(O304="",0,O304)&gt;=LK_GradeDerivation!$B$4:$B$135)*(IF(O304="",0,O304)&lt;=LK_GradeDerivation!$C$4:$C$135)*LK_GradeDerivation!$E$4:$E$135),1)</f>
        <v>6</v>
      </c>
      <c r="R304" s="59" t="s">
        <v>3576</v>
      </c>
      <c r="S304" s="59" t="s">
        <v>3577</v>
      </c>
      <c r="T304" s="59" t="s">
        <v>740</v>
      </c>
      <c r="U304" s="59" t="s">
        <v>927</v>
      </c>
      <c r="V304" s="59" t="s">
        <v>742</v>
      </c>
      <c r="W304" s="59" t="s">
        <v>285</v>
      </c>
      <c r="X304" s="59" t="s">
        <v>288</v>
      </c>
      <c r="Y304" s="59" t="s">
        <v>304</v>
      </c>
      <c r="Z304" s="64" t="str">
        <f>IFERROR(VLOOKUP(T304,LK_OrgMaster!$B$4:$H$89,5,FALSE()),"Administration")</f>
        <v>Teacher</v>
      </c>
      <c r="AA304" s="65" t="str">
        <f>IFERROR(VLOOKUP(X304,LK_LocationMaster!$D$4:$G$157,4,FALSE()),"No")</f>
        <v>No</v>
      </c>
      <c r="AB304" s="65" t="str">
        <f t="shared" si="18"/>
        <v>No</v>
      </c>
      <c r="AC304" s="65" t="str">
        <f>IFERROR(VLOOKUP(X304,LK_LocationMaster!$D$4:$H$157,5,FALSE()),"No")</f>
        <v>No</v>
      </c>
      <c r="AD304" s="59" t="s">
        <v>3578</v>
      </c>
      <c r="AE304" s="59" t="s">
        <v>3579</v>
      </c>
      <c r="AF304" s="59" t="s">
        <v>901</v>
      </c>
      <c r="AG304" s="59" t="s">
        <v>408</v>
      </c>
      <c r="AH304" s="59" t="s">
        <v>3580</v>
      </c>
      <c r="AI304" s="59" t="s">
        <v>285</v>
      </c>
      <c r="AJ304" s="59" t="s">
        <v>788</v>
      </c>
      <c r="AK304" s="59" t="s">
        <v>1146</v>
      </c>
      <c r="AL304" s="64" t="str">
        <f>IFERROR(INDEX(LK_BankMaster!$D$4:$D$23,MATCH(AJ304&amp;"|"&amp;AK304,LK_BankMaster!$H$4:$H$23,0)),"")</f>
        <v/>
      </c>
      <c r="AM304" s="59" t="s">
        <v>3581</v>
      </c>
      <c r="AN304" s="64" t="str">
        <f>IFERROR(VLOOKUP(AJ304,LK_BankMaster!$A$4:$E$23,5,FALSE()),"")</f>
        <v/>
      </c>
      <c r="AO304" s="59" t="s">
        <v>314</v>
      </c>
      <c r="AP304" s="66">
        <v>0</v>
      </c>
      <c r="AQ304" s="64" t="str">
        <f t="shared" si="19"/>
        <v>Position Allowance - General Staff</v>
      </c>
      <c r="AR304" s="65" t="str">
        <f>IFERROR(VLOOKUP(T304,LK_OrgMaster!$B$4:$G$89,6,FALSE()),"No")</f>
        <v>No</v>
      </c>
      <c r="AS304" s="64" t="str">
        <f>IFERROR(VLOOKUP(T304,LK_OrgMaster!$B$4:$H$89,7,FALSE()),"None")</f>
        <v>Teaching</v>
      </c>
      <c r="AT304" s="67">
        <v>38334</v>
      </c>
      <c r="AU304" s="67"/>
      <c r="AV304" s="67">
        <v>38334</v>
      </c>
      <c r="AW304" s="67">
        <v>46023</v>
      </c>
      <c r="AX304" s="68" t="s">
        <v>750</v>
      </c>
      <c r="AY304" s="69" t="s">
        <v>6260</v>
      </c>
    </row>
    <row r="305" spans="1:51" ht="15" customHeight="1" x14ac:dyDescent="0.3">
      <c r="A305" s="59" t="s">
        <v>3582</v>
      </c>
      <c r="B305" s="59" t="s">
        <v>851</v>
      </c>
      <c r="C305" s="59" t="s">
        <v>773</v>
      </c>
      <c r="D305" s="59" t="s">
        <v>947</v>
      </c>
      <c r="E305" s="59" t="s">
        <v>775</v>
      </c>
      <c r="F305" s="60">
        <v>29312</v>
      </c>
      <c r="G305" s="59" t="s">
        <v>3583</v>
      </c>
      <c r="H305" s="59" t="s">
        <v>3584</v>
      </c>
      <c r="I305" s="60">
        <v>32969</v>
      </c>
      <c r="J305" s="61">
        <f t="shared" ca="1" si="16"/>
        <v>35</v>
      </c>
      <c r="K305" s="62">
        <f t="shared" si="17"/>
        <v>51227</v>
      </c>
      <c r="L305" s="59" t="s">
        <v>735</v>
      </c>
      <c r="M305" s="59" t="s">
        <v>924</v>
      </c>
      <c r="N305" s="59" t="s">
        <v>758</v>
      </c>
      <c r="O305" s="63">
        <v>0</v>
      </c>
      <c r="P305" s="61">
        <f>IFERROR(SUMPRODUCT((LK_GradeDerivation!$A$4:$A$135=N305)*(IF(O305="",0,O305)&gt;=LK_GradeDerivation!$B$4:$B$135)*(IF(O305="",0,O305)&lt;=LK_GradeDerivation!$C$4:$C$135)*LK_GradeDerivation!$D$4:$D$135),1)</f>
        <v>5</v>
      </c>
      <c r="Q305" s="61">
        <f>IFERROR(SUMPRODUCT((LK_GradeDerivation!$A$4:$A$135=N305)*(IF(O305="",0,O305)&gt;=LK_GradeDerivation!$B$4:$B$135)*(IF(O305="",0,O305)&lt;=LK_GradeDerivation!$C$4:$C$135)*LK_GradeDerivation!$E$4:$E$135),1)</f>
        <v>1</v>
      </c>
      <c r="R305" s="59" t="s">
        <v>3585</v>
      </c>
      <c r="S305" s="59" t="s">
        <v>3586</v>
      </c>
      <c r="T305" s="59" t="s">
        <v>740</v>
      </c>
      <c r="U305" s="59" t="s">
        <v>741</v>
      </c>
      <c r="V305" s="59" t="s">
        <v>1367</v>
      </c>
      <c r="W305" s="59" t="s">
        <v>285</v>
      </c>
      <c r="X305" s="59" t="s">
        <v>429</v>
      </c>
      <c r="Y305" s="59" t="s">
        <v>431</v>
      </c>
      <c r="Z305" s="64" t="str">
        <f>IFERROR(VLOOKUP(T305,LK_OrgMaster!$B$4:$H$89,5,FALSE()),"Administration")</f>
        <v>Teacher</v>
      </c>
      <c r="AA305" s="65" t="str">
        <f>IFERROR(VLOOKUP(X305,LK_LocationMaster!$D$4:$G$157,4,FALSE()),"No")</f>
        <v>Yes</v>
      </c>
      <c r="AB305" s="65" t="str">
        <f t="shared" si="18"/>
        <v>No</v>
      </c>
      <c r="AC305" s="65" t="str">
        <f>IFERROR(VLOOKUP(X305,LK_LocationMaster!$D$4:$H$157,5,FALSE()),"No")</f>
        <v>Yes</v>
      </c>
      <c r="AD305" s="59" t="s">
        <v>2278</v>
      </c>
      <c r="AE305" s="59" t="s">
        <v>765</v>
      </c>
      <c r="AF305" s="59" t="s">
        <v>901</v>
      </c>
      <c r="AG305" s="59" t="s">
        <v>340</v>
      </c>
      <c r="AH305" s="59" t="s">
        <v>3587</v>
      </c>
      <c r="AI305" s="59" t="s">
        <v>285</v>
      </c>
      <c r="AJ305" s="59" t="s">
        <v>788</v>
      </c>
      <c r="AK305" s="59" t="s">
        <v>1370</v>
      </c>
      <c r="AL305" s="64" t="str">
        <f>IFERROR(INDEX(LK_BankMaster!$D$4:$D$23,MATCH(AJ305&amp;"|"&amp;AK305,LK_BankMaster!$H$4:$H$23,0)),"")</f>
        <v/>
      </c>
      <c r="AM305" s="59" t="s">
        <v>3588</v>
      </c>
      <c r="AN305" s="64" t="str">
        <f>IFERROR(VLOOKUP(AJ305,LK_BankMaster!$A$4:$E$23,5,FALSE()),"")</f>
        <v/>
      </c>
      <c r="AO305" s="59" t="s">
        <v>291</v>
      </c>
      <c r="AP305" s="66">
        <v>0</v>
      </c>
      <c r="AQ305" s="64" t="str">
        <f t="shared" si="19"/>
        <v>Position Allowance - General Staff</v>
      </c>
      <c r="AR305" s="65" t="str">
        <f>IFERROR(VLOOKUP(T305,LK_OrgMaster!$B$4:$G$89,6,FALSE()),"No")</f>
        <v>No</v>
      </c>
      <c r="AS305" s="64" t="str">
        <f>IFERROR(VLOOKUP(T305,LK_OrgMaster!$B$4:$H$89,7,FALSE()),"None")</f>
        <v>Teaching</v>
      </c>
      <c r="AT305" s="70">
        <v>32969</v>
      </c>
      <c r="AU305" s="70"/>
      <c r="AV305" s="70">
        <v>32969</v>
      </c>
      <c r="AW305" s="70">
        <v>46023</v>
      </c>
      <c r="AX305" s="71" t="s">
        <v>750</v>
      </c>
      <c r="AY305" s="72" t="s">
        <v>6260</v>
      </c>
    </row>
    <row r="306" spans="1:51" ht="15" customHeight="1" x14ac:dyDescent="0.3">
      <c r="A306" s="59" t="s">
        <v>3589</v>
      </c>
      <c r="B306" s="59" t="s">
        <v>851</v>
      </c>
      <c r="C306" s="59" t="s">
        <v>1921</v>
      </c>
      <c r="D306" s="59" t="s">
        <v>587</v>
      </c>
      <c r="E306" s="59" t="s">
        <v>775</v>
      </c>
      <c r="F306" s="60">
        <v>24643</v>
      </c>
      <c r="G306" s="59" t="s">
        <v>3590</v>
      </c>
      <c r="H306" s="59" t="s">
        <v>3591</v>
      </c>
      <c r="I306" s="60">
        <v>37237</v>
      </c>
      <c r="J306" s="61">
        <f t="shared" ca="1" si="16"/>
        <v>24</v>
      </c>
      <c r="K306" s="62">
        <f t="shared" si="17"/>
        <v>46558</v>
      </c>
      <c r="L306" s="59" t="s">
        <v>735</v>
      </c>
      <c r="M306" s="59" t="s">
        <v>1574</v>
      </c>
      <c r="N306" s="59" t="s">
        <v>737</v>
      </c>
      <c r="O306" s="63">
        <v>12</v>
      </c>
      <c r="P306" s="61">
        <f>IFERROR(SUMPRODUCT((LK_GradeDerivation!$A$4:$A$135=N306)*(IF(O306="",0,O306)&gt;=LK_GradeDerivation!$B$4:$B$135)*(IF(O306="",0,O306)&lt;=LK_GradeDerivation!$C$4:$C$135)*LK_GradeDerivation!$D$4:$D$135),1)</f>
        <v>4</v>
      </c>
      <c r="Q306" s="61">
        <f>IFERROR(SUMPRODUCT((LK_GradeDerivation!$A$4:$A$135=N306)*(IF(O306="",0,O306)&gt;=LK_GradeDerivation!$B$4:$B$135)*(IF(O306="",0,O306)&lt;=LK_GradeDerivation!$C$4:$C$135)*LK_GradeDerivation!$E$4:$E$135),1)</f>
        <v>7</v>
      </c>
      <c r="R306" s="59" t="s">
        <v>3592</v>
      </c>
      <c r="S306" s="59" t="s">
        <v>3593</v>
      </c>
      <c r="T306" s="59" t="s">
        <v>979</v>
      </c>
      <c r="U306" s="59" t="s">
        <v>1475</v>
      </c>
      <c r="V306" s="59" t="s">
        <v>763</v>
      </c>
      <c r="W306" s="59" t="s">
        <v>285</v>
      </c>
      <c r="X306" s="59" t="s">
        <v>408</v>
      </c>
      <c r="Y306" s="59" t="s">
        <v>408</v>
      </c>
      <c r="Z306" s="64" t="str">
        <f>IFERROR(VLOOKUP(T306,LK_OrgMaster!$B$4:$H$89,5,FALSE()),"Administration")</f>
        <v>Administration</v>
      </c>
      <c r="AA306" s="65" t="str">
        <f>IFERROR(VLOOKUP(X306,LK_LocationMaster!$D$4:$G$157,4,FALSE()),"No")</f>
        <v>Yes</v>
      </c>
      <c r="AB306" s="65" t="str">
        <f t="shared" si="18"/>
        <v>No</v>
      </c>
      <c r="AC306" s="65" t="str">
        <f>IFERROR(VLOOKUP(X306,LK_LocationMaster!$D$4:$H$157,5,FALSE()),"No")</f>
        <v>No</v>
      </c>
      <c r="AD306" s="59" t="s">
        <v>3594</v>
      </c>
      <c r="AE306" s="59" t="s">
        <v>765</v>
      </c>
      <c r="AF306" s="59" t="s">
        <v>766</v>
      </c>
      <c r="AG306" s="59" t="s">
        <v>288</v>
      </c>
      <c r="AH306" s="59" t="s">
        <v>3595</v>
      </c>
      <c r="AI306" s="59" t="s">
        <v>285</v>
      </c>
      <c r="AJ306" s="59" t="s">
        <v>747</v>
      </c>
      <c r="AK306" s="59" t="s">
        <v>748</v>
      </c>
      <c r="AL306" s="64" t="str">
        <f>IFERROR(INDEX(LK_BankMaster!$D$4:$D$23,MATCH(AJ306&amp;"|"&amp;AK306,LK_BankMaster!$H$4:$H$23,0)),"")</f>
        <v/>
      </c>
      <c r="AM306" s="59" t="s">
        <v>3596</v>
      </c>
      <c r="AN306" s="64" t="str">
        <f>IFERROR(VLOOKUP(AJ306,LK_BankMaster!$A$4:$E$23,5,FALSE()),"")</f>
        <v/>
      </c>
      <c r="AO306" s="59" t="s">
        <v>314</v>
      </c>
      <c r="AP306" s="66">
        <v>1</v>
      </c>
      <c r="AQ306" s="64" t="str">
        <f t="shared" si="19"/>
        <v>Position Allowance - Deputy Director</v>
      </c>
      <c r="AR306" s="65" t="str">
        <f>IFERROR(VLOOKUP(T306,LK_OrgMaster!$B$4:$G$89,6,FALSE()),"No")</f>
        <v>No</v>
      </c>
      <c r="AS306" s="64" t="str">
        <f>IFERROR(VLOOKUP(T306,LK_OrgMaster!$B$4:$H$89,7,FALSE()),"None")</f>
        <v>None</v>
      </c>
      <c r="AT306" s="67">
        <v>37237</v>
      </c>
      <c r="AU306" s="67"/>
      <c r="AV306" s="67">
        <v>37237</v>
      </c>
      <c r="AW306" s="67">
        <v>46023</v>
      </c>
      <c r="AX306" s="68" t="s">
        <v>750</v>
      </c>
      <c r="AY306" s="69" t="s">
        <v>6260</v>
      </c>
    </row>
    <row r="307" spans="1:51" ht="15" customHeight="1" x14ac:dyDescent="0.3">
      <c r="A307" s="59" t="s">
        <v>3597</v>
      </c>
      <c r="B307" s="59" t="s">
        <v>752</v>
      </c>
      <c r="C307" s="59" t="s">
        <v>1030</v>
      </c>
      <c r="D307" s="59" t="s">
        <v>853</v>
      </c>
      <c r="E307" s="59" t="s">
        <v>732</v>
      </c>
      <c r="F307" s="60">
        <v>25421</v>
      </c>
      <c r="G307" s="59" t="s">
        <v>3598</v>
      </c>
      <c r="H307" s="59" t="s">
        <v>3599</v>
      </c>
      <c r="I307" s="60">
        <v>37485</v>
      </c>
      <c r="J307" s="61">
        <f t="shared" ca="1" si="16"/>
        <v>23</v>
      </c>
      <c r="K307" s="62">
        <f t="shared" si="17"/>
        <v>47336</v>
      </c>
      <c r="L307" s="59" t="s">
        <v>735</v>
      </c>
      <c r="M307" s="59" t="s">
        <v>1616</v>
      </c>
      <c r="N307" s="59" t="s">
        <v>758</v>
      </c>
      <c r="O307" s="63">
        <v>8</v>
      </c>
      <c r="P307" s="61">
        <f>IFERROR(SUMPRODUCT((LK_GradeDerivation!$A$4:$A$135=N307)*(IF(O307="",0,O307)&gt;=LK_GradeDerivation!$B$4:$B$135)*(IF(O307="",0,O307)&lt;=LK_GradeDerivation!$C$4:$C$135)*LK_GradeDerivation!$D$4:$D$135),1)</f>
        <v>5</v>
      </c>
      <c r="Q307" s="61">
        <f>IFERROR(SUMPRODUCT((LK_GradeDerivation!$A$4:$A$135=N307)*(IF(O307="",0,O307)&gt;=LK_GradeDerivation!$B$4:$B$135)*(IF(O307="",0,O307)&lt;=LK_GradeDerivation!$C$4:$C$135)*LK_GradeDerivation!$E$4:$E$135),1)</f>
        <v>5</v>
      </c>
      <c r="R307" s="59" t="s">
        <v>3600</v>
      </c>
      <c r="S307" s="59" t="s">
        <v>3601</v>
      </c>
      <c r="T307" s="59" t="s">
        <v>882</v>
      </c>
      <c r="U307" s="59" t="s">
        <v>883</v>
      </c>
      <c r="V307" s="59" t="s">
        <v>3602</v>
      </c>
      <c r="W307" s="59" t="s">
        <v>285</v>
      </c>
      <c r="X307" s="59" t="s">
        <v>477</v>
      </c>
      <c r="Y307" s="59" t="s">
        <v>496</v>
      </c>
      <c r="Z307" s="64" t="str">
        <f>IFERROR(VLOOKUP(T307,LK_OrgMaster!$B$4:$H$89,5,FALSE()),"Administration")</f>
        <v>Legal</v>
      </c>
      <c r="AA307" s="65" t="str">
        <f>IFERROR(VLOOKUP(X307,LK_LocationMaster!$D$4:$G$157,4,FALSE()),"No")</f>
        <v>No</v>
      </c>
      <c r="AB307" s="65" t="str">
        <f t="shared" si="18"/>
        <v>No</v>
      </c>
      <c r="AC307" s="65" t="str">
        <f>IFERROR(VLOOKUP(X307,LK_LocationMaster!$D$4:$H$157,5,FALSE()),"No")</f>
        <v>Yes</v>
      </c>
      <c r="AD307" s="59" t="s">
        <v>3603</v>
      </c>
      <c r="AE307" s="59" t="s">
        <v>800</v>
      </c>
      <c r="AF307" s="59" t="s">
        <v>915</v>
      </c>
      <c r="AG307" s="59" t="s">
        <v>340</v>
      </c>
      <c r="AH307" s="59" t="s">
        <v>3604</v>
      </c>
      <c r="AI307" s="59" t="s">
        <v>285</v>
      </c>
      <c r="AJ307" s="59" t="s">
        <v>818</v>
      </c>
      <c r="AK307" s="59" t="s">
        <v>944</v>
      </c>
      <c r="AL307" s="64" t="str">
        <f>IFERROR(INDEX(LK_BankMaster!$D$4:$D$23,MATCH(AJ307&amp;"|"&amp;AK307,LK_BankMaster!$H$4:$H$23,0)),"")</f>
        <v/>
      </c>
      <c r="AM307" s="59" t="s">
        <v>3605</v>
      </c>
      <c r="AN307" s="64" t="str">
        <f>IFERROR(VLOOKUP(AJ307,LK_BankMaster!$A$4:$E$23,5,FALSE()),"")</f>
        <v/>
      </c>
      <c r="AO307" s="59" t="s">
        <v>314</v>
      </c>
      <c r="AP307" s="66">
        <v>3</v>
      </c>
      <c r="AQ307" s="64" t="str">
        <f t="shared" si="19"/>
        <v>Position Allowance - General Staff</v>
      </c>
      <c r="AR307" s="65" t="str">
        <f>IFERROR(VLOOKUP(T307,LK_OrgMaster!$B$4:$G$89,6,FALSE()),"No")</f>
        <v>No</v>
      </c>
      <c r="AS307" s="64" t="str">
        <f>IFERROR(VLOOKUP(T307,LK_OrgMaster!$B$4:$H$89,7,FALSE()),"None")</f>
        <v>None</v>
      </c>
      <c r="AT307" s="70">
        <v>37485</v>
      </c>
      <c r="AU307" s="70"/>
      <c r="AV307" s="70">
        <v>37485</v>
      </c>
      <c r="AW307" s="70">
        <v>46023</v>
      </c>
      <c r="AX307" s="71" t="s">
        <v>750</v>
      </c>
      <c r="AY307" s="72" t="s">
        <v>6260</v>
      </c>
    </row>
    <row r="308" spans="1:51" ht="15" customHeight="1" x14ac:dyDescent="0.3">
      <c r="A308" s="59" t="s">
        <v>3606</v>
      </c>
      <c r="B308" s="59" t="s">
        <v>752</v>
      </c>
      <c r="C308" s="59" t="s">
        <v>2517</v>
      </c>
      <c r="D308" s="59" t="s">
        <v>1186</v>
      </c>
      <c r="E308" s="59" t="s">
        <v>732</v>
      </c>
      <c r="F308" s="60">
        <v>24148</v>
      </c>
      <c r="G308" s="59" t="s">
        <v>3607</v>
      </c>
      <c r="H308" s="59" t="s">
        <v>3608</v>
      </c>
      <c r="I308" s="60">
        <v>43915</v>
      </c>
      <c r="J308" s="61">
        <f t="shared" ca="1" si="16"/>
        <v>5</v>
      </c>
      <c r="K308" s="62">
        <f t="shared" si="17"/>
        <v>46063</v>
      </c>
      <c r="L308" s="59" t="s">
        <v>735</v>
      </c>
      <c r="M308" s="59" t="s">
        <v>1695</v>
      </c>
      <c r="N308" s="59" t="s">
        <v>758</v>
      </c>
      <c r="O308" s="63">
        <v>25</v>
      </c>
      <c r="P308" s="61">
        <f>IFERROR(SUMPRODUCT((LK_GradeDerivation!$A$4:$A$135=N308)*(IF(O308="",0,O308)&gt;=LK_GradeDerivation!$B$4:$B$135)*(IF(O308="",0,O308)&lt;=LK_GradeDerivation!$C$4:$C$135)*LK_GradeDerivation!$D$4:$D$135),1)</f>
        <v>5</v>
      </c>
      <c r="Q308" s="61">
        <f>IFERROR(SUMPRODUCT((LK_GradeDerivation!$A$4:$A$135=N308)*(IF(O308="",0,O308)&gt;=LK_GradeDerivation!$B$4:$B$135)*(IF(O308="",0,O308)&lt;=LK_GradeDerivation!$C$4:$C$135)*LK_GradeDerivation!$E$4:$E$135),1)</f>
        <v>13</v>
      </c>
      <c r="R308" s="59" t="s">
        <v>3609</v>
      </c>
      <c r="S308" s="59" t="s">
        <v>3610</v>
      </c>
      <c r="T308" s="59" t="s">
        <v>1084</v>
      </c>
      <c r="U308" s="59" t="s">
        <v>3611</v>
      </c>
      <c r="V308" s="59" t="s">
        <v>3612</v>
      </c>
      <c r="W308" s="59" t="s">
        <v>285</v>
      </c>
      <c r="X308" s="59" t="s">
        <v>477</v>
      </c>
      <c r="Y308" s="59" t="s">
        <v>486</v>
      </c>
      <c r="Z308" s="64" t="str">
        <f>IFERROR(VLOOKUP(T308,LK_OrgMaster!$B$4:$H$89,5,FALSE()),"Administration")</f>
        <v>Finance</v>
      </c>
      <c r="AA308" s="65" t="str">
        <f>IFERROR(VLOOKUP(X308,LK_LocationMaster!$D$4:$G$157,4,FALSE()),"No")</f>
        <v>No</v>
      </c>
      <c r="AB308" s="65" t="str">
        <f t="shared" si="18"/>
        <v>No</v>
      </c>
      <c r="AC308" s="65" t="str">
        <f>IFERROR(VLOOKUP(X308,LK_LocationMaster!$D$4:$H$157,5,FALSE()),"No")</f>
        <v>Yes</v>
      </c>
      <c r="AD308" s="59" t="s">
        <v>3613</v>
      </c>
      <c r="AE308" s="59" t="s">
        <v>886</v>
      </c>
      <c r="AF308" s="59" t="s">
        <v>801</v>
      </c>
      <c r="AG308" s="59" t="s">
        <v>408</v>
      </c>
      <c r="AH308" s="59" t="s">
        <v>3614</v>
      </c>
      <c r="AI308" s="59" t="s">
        <v>285</v>
      </c>
      <c r="AJ308" s="59" t="s">
        <v>747</v>
      </c>
      <c r="AK308" s="59" t="s">
        <v>748</v>
      </c>
      <c r="AL308" s="64" t="str">
        <f>IFERROR(INDEX(LK_BankMaster!$D$4:$D$23,MATCH(AJ308&amp;"|"&amp;AK308,LK_BankMaster!$H$4:$H$23,0)),"")</f>
        <v/>
      </c>
      <c r="AM308" s="59" t="s">
        <v>3615</v>
      </c>
      <c r="AN308" s="64" t="str">
        <f>IFERROR(VLOOKUP(AJ308,LK_BankMaster!$A$4:$E$23,5,FALSE()),"")</f>
        <v/>
      </c>
      <c r="AO308" s="59" t="s">
        <v>314</v>
      </c>
      <c r="AP308" s="66">
        <v>2</v>
      </c>
      <c r="AQ308" s="64" t="str">
        <f t="shared" si="19"/>
        <v>Position Allowance - General Staff</v>
      </c>
      <c r="AR308" s="65" t="str">
        <f>IFERROR(VLOOKUP(T308,LK_OrgMaster!$B$4:$G$89,6,FALSE()),"No")</f>
        <v>No</v>
      </c>
      <c r="AS308" s="64" t="str">
        <f>IFERROR(VLOOKUP(T308,LK_OrgMaster!$B$4:$H$89,7,FALSE()),"None")</f>
        <v>None</v>
      </c>
      <c r="AT308" s="67">
        <v>43915</v>
      </c>
      <c r="AU308" s="67"/>
      <c r="AV308" s="67">
        <v>43915</v>
      </c>
      <c r="AW308" s="67">
        <v>46023</v>
      </c>
      <c r="AX308" s="68" t="s">
        <v>750</v>
      </c>
      <c r="AY308" s="69" t="s">
        <v>6260</v>
      </c>
    </row>
    <row r="309" spans="1:51" ht="15" customHeight="1" x14ac:dyDescent="0.3">
      <c r="A309" s="59" t="s">
        <v>3616</v>
      </c>
      <c r="B309" s="59" t="s">
        <v>851</v>
      </c>
      <c r="C309" s="59" t="s">
        <v>792</v>
      </c>
      <c r="D309" s="59" t="s">
        <v>2194</v>
      </c>
      <c r="E309" s="59" t="s">
        <v>775</v>
      </c>
      <c r="F309" s="60">
        <v>35690</v>
      </c>
      <c r="G309" s="59" t="s">
        <v>3617</v>
      </c>
      <c r="H309" s="59" t="s">
        <v>3618</v>
      </c>
      <c r="I309" s="60">
        <v>37662</v>
      </c>
      <c r="J309" s="61">
        <f t="shared" ca="1" si="16"/>
        <v>23</v>
      </c>
      <c r="K309" s="62">
        <f t="shared" si="17"/>
        <v>57605</v>
      </c>
      <c r="L309" s="59" t="s">
        <v>735</v>
      </c>
      <c r="M309" s="59" t="s">
        <v>1104</v>
      </c>
      <c r="N309" s="59" t="s">
        <v>737</v>
      </c>
      <c r="O309" s="63">
        <v>0</v>
      </c>
      <c r="P309" s="61">
        <f>IFERROR(SUMPRODUCT((LK_GradeDerivation!$A$4:$A$135=N309)*(IF(O309="",0,O309)&gt;=LK_GradeDerivation!$B$4:$B$135)*(IF(O309="",0,O309)&lt;=LK_GradeDerivation!$C$4:$C$135)*LK_GradeDerivation!$D$4:$D$135),1)</f>
        <v>4</v>
      </c>
      <c r="Q309" s="61">
        <f>IFERROR(SUMPRODUCT((LK_GradeDerivation!$A$4:$A$135=N309)*(IF(O309="",0,O309)&gt;=LK_GradeDerivation!$B$4:$B$135)*(IF(O309="",0,O309)&lt;=LK_GradeDerivation!$C$4:$C$135)*LK_GradeDerivation!$E$4:$E$135),1)</f>
        <v>1</v>
      </c>
      <c r="R309" s="59" t="s">
        <v>3619</v>
      </c>
      <c r="S309" s="59" t="s">
        <v>3620</v>
      </c>
      <c r="T309" s="59" t="s">
        <v>1023</v>
      </c>
      <c r="U309" s="59" t="s">
        <v>1024</v>
      </c>
      <c r="V309" s="59" t="s">
        <v>763</v>
      </c>
      <c r="W309" s="59" t="s">
        <v>285</v>
      </c>
      <c r="X309" s="59" t="s">
        <v>329</v>
      </c>
      <c r="Y309" s="59" t="s">
        <v>334</v>
      </c>
      <c r="Z309" s="64" t="str">
        <f>IFERROR(VLOOKUP(T309,LK_OrgMaster!$B$4:$H$89,5,FALSE()),"Administration")</f>
        <v>Technical</v>
      </c>
      <c r="AA309" s="65" t="str">
        <f>IFERROR(VLOOKUP(X309,LK_LocationMaster!$D$4:$G$157,4,FALSE()),"No")</f>
        <v>Yes</v>
      </c>
      <c r="AB309" s="65" t="str">
        <f t="shared" si="18"/>
        <v>No</v>
      </c>
      <c r="AC309" s="65" t="str">
        <f>IFERROR(VLOOKUP(X309,LK_LocationMaster!$D$4:$H$157,5,FALSE()),"No")</f>
        <v>No</v>
      </c>
      <c r="AD309" s="59" t="s">
        <v>3621</v>
      </c>
      <c r="AE309" s="59" t="s">
        <v>886</v>
      </c>
      <c r="AF309" s="59" t="s">
        <v>745</v>
      </c>
      <c r="AG309" s="59" t="s">
        <v>340</v>
      </c>
      <c r="AH309" s="59" t="s">
        <v>3622</v>
      </c>
      <c r="AI309" s="59" t="s">
        <v>285</v>
      </c>
      <c r="AJ309" s="59" t="s">
        <v>833</v>
      </c>
      <c r="AK309" s="59" t="s">
        <v>1550</v>
      </c>
      <c r="AL309" s="64" t="str">
        <f>IFERROR(INDEX(LK_BankMaster!$D$4:$D$23,MATCH(AJ309&amp;"|"&amp;AK309,LK_BankMaster!$H$4:$H$23,0)),"")</f>
        <v/>
      </c>
      <c r="AM309" s="59" t="s">
        <v>3623</v>
      </c>
      <c r="AN309" s="64" t="str">
        <f>IFERROR(VLOOKUP(AJ309,LK_BankMaster!$A$4:$E$23,5,FALSE()),"")</f>
        <v/>
      </c>
      <c r="AO309" s="59" t="s">
        <v>314</v>
      </c>
      <c r="AP309" s="66">
        <v>0</v>
      </c>
      <c r="AQ309" s="64" t="str">
        <f t="shared" si="19"/>
        <v>Position Allowance - General Staff</v>
      </c>
      <c r="AR309" s="65" t="str">
        <f>IFERROR(VLOOKUP(T309,LK_OrgMaster!$B$4:$G$89,6,FALSE()),"No")</f>
        <v>No</v>
      </c>
      <c r="AS309" s="64" t="str">
        <f>IFERROR(VLOOKUP(T309,LK_OrgMaster!$B$4:$H$89,7,FALSE()),"None")</f>
        <v>None</v>
      </c>
      <c r="AT309" s="70">
        <v>37662</v>
      </c>
      <c r="AU309" s="70"/>
      <c r="AV309" s="70">
        <v>37662</v>
      </c>
      <c r="AW309" s="70">
        <v>46023</v>
      </c>
      <c r="AX309" s="71" t="s">
        <v>750</v>
      </c>
      <c r="AY309" s="72" t="s">
        <v>6260</v>
      </c>
    </row>
    <row r="310" spans="1:51" ht="15" customHeight="1" x14ac:dyDescent="0.3">
      <c r="A310" s="59" t="s">
        <v>3624</v>
      </c>
      <c r="B310" s="59" t="s">
        <v>729</v>
      </c>
      <c r="C310" s="59" t="s">
        <v>2542</v>
      </c>
      <c r="D310" s="59" t="s">
        <v>1172</v>
      </c>
      <c r="E310" s="59" t="s">
        <v>732</v>
      </c>
      <c r="F310" s="60">
        <v>28065</v>
      </c>
      <c r="G310" s="59" t="s">
        <v>2543</v>
      </c>
      <c r="H310" s="59" t="s">
        <v>3625</v>
      </c>
      <c r="I310" s="60">
        <v>36824</v>
      </c>
      <c r="J310" s="61">
        <f t="shared" ca="1" si="16"/>
        <v>25</v>
      </c>
      <c r="K310" s="62">
        <f t="shared" si="17"/>
        <v>49980</v>
      </c>
      <c r="L310" s="59" t="s">
        <v>735</v>
      </c>
      <c r="M310" s="59" t="s">
        <v>924</v>
      </c>
      <c r="N310" s="59" t="s">
        <v>1292</v>
      </c>
      <c r="O310" s="63">
        <v>0</v>
      </c>
      <c r="P310" s="61">
        <f>IFERROR(SUMPRODUCT((LK_GradeDerivation!$A$4:$A$135=N310)*(IF(O310="",0,O310)&gt;=LK_GradeDerivation!$B$4:$B$135)*(IF(O310="",0,O310)&lt;=LK_GradeDerivation!$C$4:$C$135)*LK_GradeDerivation!$D$4:$D$135),1)</f>
        <v>5</v>
      </c>
      <c r="Q310" s="61">
        <f>IFERROR(SUMPRODUCT((LK_GradeDerivation!$A$4:$A$135=N310)*(IF(O310="",0,O310)&gt;=LK_GradeDerivation!$B$4:$B$135)*(IF(O310="",0,O310)&lt;=LK_GradeDerivation!$C$4:$C$135)*LK_GradeDerivation!$E$4:$E$135),1)</f>
        <v>6</v>
      </c>
      <c r="R310" s="59" t="s">
        <v>3626</v>
      </c>
      <c r="S310" s="59" t="s">
        <v>3627</v>
      </c>
      <c r="T310" s="59" t="s">
        <v>740</v>
      </c>
      <c r="U310" s="59" t="s">
        <v>927</v>
      </c>
      <c r="V310" s="59" t="s">
        <v>2335</v>
      </c>
      <c r="W310" s="59" t="s">
        <v>285</v>
      </c>
      <c r="X310" s="59" t="s">
        <v>575</v>
      </c>
      <c r="Y310" s="59" t="s">
        <v>579</v>
      </c>
      <c r="Z310" s="64" t="str">
        <f>IFERROR(VLOOKUP(T310,LK_OrgMaster!$B$4:$H$89,5,FALSE()),"Administration")</f>
        <v>Teacher</v>
      </c>
      <c r="AA310" s="65" t="str">
        <f>IFERROR(VLOOKUP(X310,LK_LocationMaster!$D$4:$G$157,4,FALSE()),"No")</f>
        <v>Yes</v>
      </c>
      <c r="AB310" s="65" t="str">
        <f t="shared" si="18"/>
        <v>No</v>
      </c>
      <c r="AC310" s="65" t="str">
        <f>IFERROR(VLOOKUP(X310,LK_LocationMaster!$D$4:$H$157,5,FALSE()),"No")</f>
        <v>Yes</v>
      </c>
      <c r="AD310" s="59" t="s">
        <v>3628</v>
      </c>
      <c r="AE310" s="59" t="s">
        <v>3629</v>
      </c>
      <c r="AF310" s="59" t="s">
        <v>801</v>
      </c>
      <c r="AG310" s="59" t="s">
        <v>340</v>
      </c>
      <c r="AH310" s="59" t="s">
        <v>3630</v>
      </c>
      <c r="AI310" s="59" t="s">
        <v>285</v>
      </c>
      <c r="AJ310" s="59" t="s">
        <v>818</v>
      </c>
      <c r="AK310" s="59" t="s">
        <v>819</v>
      </c>
      <c r="AL310" s="64" t="str">
        <f>IFERROR(INDEX(LK_BankMaster!$D$4:$D$23,MATCH(AJ310&amp;"|"&amp;AK310,LK_BankMaster!$H$4:$H$23,0)),"")</f>
        <v/>
      </c>
      <c r="AM310" s="59" t="s">
        <v>3631</v>
      </c>
      <c r="AN310" s="64" t="str">
        <f>IFERROR(VLOOKUP(AJ310,LK_BankMaster!$A$4:$E$23,5,FALSE()),"")</f>
        <v/>
      </c>
      <c r="AO310" s="59" t="s">
        <v>291</v>
      </c>
      <c r="AP310" s="66">
        <v>0</v>
      </c>
      <c r="AQ310" s="64" t="str">
        <f t="shared" si="19"/>
        <v>Position Allowance - General Staff</v>
      </c>
      <c r="AR310" s="65" t="str">
        <f>IFERROR(VLOOKUP(T310,LK_OrgMaster!$B$4:$G$89,6,FALSE()),"No")</f>
        <v>No</v>
      </c>
      <c r="AS310" s="64" t="str">
        <f>IFERROR(VLOOKUP(T310,LK_OrgMaster!$B$4:$H$89,7,FALSE()),"None")</f>
        <v>Teaching</v>
      </c>
      <c r="AT310" s="67">
        <v>36824</v>
      </c>
      <c r="AU310" s="67"/>
      <c r="AV310" s="67">
        <v>36824</v>
      </c>
      <c r="AW310" s="67">
        <v>46023</v>
      </c>
      <c r="AX310" s="68" t="s">
        <v>750</v>
      </c>
      <c r="AY310" s="69" t="s">
        <v>6260</v>
      </c>
    </row>
    <row r="311" spans="1:51" ht="15" customHeight="1" x14ac:dyDescent="0.3">
      <c r="A311" s="59" t="s">
        <v>3632</v>
      </c>
      <c r="B311" s="59" t="s">
        <v>772</v>
      </c>
      <c r="C311" s="59" t="s">
        <v>1394</v>
      </c>
      <c r="D311" s="59" t="s">
        <v>876</v>
      </c>
      <c r="E311" s="59" t="s">
        <v>732</v>
      </c>
      <c r="F311" s="60">
        <v>26820</v>
      </c>
      <c r="G311" s="59" t="s">
        <v>3633</v>
      </c>
      <c r="H311" s="59" t="s">
        <v>3634</v>
      </c>
      <c r="I311" s="60">
        <v>35674</v>
      </c>
      <c r="J311" s="61">
        <f t="shared" ca="1" si="16"/>
        <v>28</v>
      </c>
      <c r="K311" s="62">
        <f t="shared" si="17"/>
        <v>48735</v>
      </c>
      <c r="L311" s="59" t="s">
        <v>735</v>
      </c>
      <c r="M311" s="59" t="s">
        <v>1407</v>
      </c>
      <c r="N311" s="59" t="s">
        <v>779</v>
      </c>
      <c r="O311" s="63">
        <v>6</v>
      </c>
      <c r="P311" s="61">
        <f>IFERROR(SUMPRODUCT((LK_GradeDerivation!$A$4:$A$135=N311)*(IF(O311="",0,O311)&gt;=LK_GradeDerivation!$B$4:$B$135)*(IF(O311="",0,O311)&lt;=LK_GradeDerivation!$C$4:$C$135)*LK_GradeDerivation!$D$4:$D$135),1)</f>
        <v>2</v>
      </c>
      <c r="Q311" s="61">
        <f>IFERROR(SUMPRODUCT((LK_GradeDerivation!$A$4:$A$135=N311)*(IF(O311="",0,O311)&gt;=LK_GradeDerivation!$B$4:$B$135)*(IF(O311="",0,O311)&lt;=LK_GradeDerivation!$C$4:$C$135)*LK_GradeDerivation!$E$4:$E$135),1)</f>
        <v>4</v>
      </c>
      <c r="R311" s="59" t="s">
        <v>3635</v>
      </c>
      <c r="S311" s="59" t="s">
        <v>3636</v>
      </c>
      <c r="T311" s="59" t="s">
        <v>1058</v>
      </c>
      <c r="U311" s="59" t="s">
        <v>1446</v>
      </c>
      <c r="V311" s="59" t="s">
        <v>3637</v>
      </c>
      <c r="W311" s="59" t="s">
        <v>285</v>
      </c>
      <c r="X311" s="59" t="s">
        <v>356</v>
      </c>
      <c r="Y311" s="59" t="s">
        <v>362</v>
      </c>
      <c r="Z311" s="64" t="str">
        <f>IFERROR(VLOOKUP(T311,LK_OrgMaster!$B$4:$H$89,5,FALSE()),"Administration")</f>
        <v>Technical</v>
      </c>
      <c r="AA311" s="65" t="str">
        <f>IFERROR(VLOOKUP(X311,LK_LocationMaster!$D$4:$G$157,4,FALSE()),"No")</f>
        <v>Yes</v>
      </c>
      <c r="AB311" s="65" t="str">
        <f t="shared" si="18"/>
        <v>No</v>
      </c>
      <c r="AC311" s="65" t="str">
        <f>IFERROR(VLOOKUP(X311,LK_LocationMaster!$D$4:$H$157,5,FALSE()),"No")</f>
        <v>No</v>
      </c>
      <c r="AD311" s="59" t="s">
        <v>3638</v>
      </c>
      <c r="AE311" s="59" t="s">
        <v>800</v>
      </c>
      <c r="AF311" s="59" t="s">
        <v>766</v>
      </c>
      <c r="AG311" s="59" t="s">
        <v>340</v>
      </c>
      <c r="AH311" s="59" t="s">
        <v>3639</v>
      </c>
      <c r="AI311" s="59" t="s">
        <v>285</v>
      </c>
      <c r="AJ311" s="59" t="s">
        <v>788</v>
      </c>
      <c r="AK311" s="59" t="s">
        <v>789</v>
      </c>
      <c r="AL311" s="64" t="str">
        <f>IFERROR(INDEX(LK_BankMaster!$D$4:$D$23,MATCH(AJ311&amp;"|"&amp;AK311,LK_BankMaster!$H$4:$H$23,0)),"")</f>
        <v/>
      </c>
      <c r="AM311" s="59" t="s">
        <v>3640</v>
      </c>
      <c r="AN311" s="64" t="str">
        <f>IFERROR(VLOOKUP(AJ311,LK_BankMaster!$A$4:$E$23,5,FALSE()),"")</f>
        <v/>
      </c>
      <c r="AO311" s="59" t="s">
        <v>291</v>
      </c>
      <c r="AP311" s="66">
        <v>0</v>
      </c>
      <c r="AQ311" s="64" t="str">
        <f t="shared" si="19"/>
        <v>Position Allowance - General Staff</v>
      </c>
      <c r="AR311" s="65" t="str">
        <f>IFERROR(VLOOKUP(T311,LK_OrgMaster!$B$4:$G$89,6,FALSE()),"No")</f>
        <v>No</v>
      </c>
      <c r="AS311" s="64" t="str">
        <f>IFERROR(VLOOKUP(T311,LK_OrgMaster!$B$4:$H$89,7,FALSE()),"None")</f>
        <v>None</v>
      </c>
      <c r="AT311" s="70">
        <v>35674</v>
      </c>
      <c r="AU311" s="70"/>
      <c r="AV311" s="70">
        <v>35674</v>
      </c>
      <c r="AW311" s="70">
        <v>46023</v>
      </c>
      <c r="AX311" s="71" t="s">
        <v>750</v>
      </c>
      <c r="AY311" s="72" t="s">
        <v>6260</v>
      </c>
    </row>
    <row r="312" spans="1:51" ht="15" customHeight="1" x14ac:dyDescent="0.3">
      <c r="A312" s="59" t="s">
        <v>3641</v>
      </c>
      <c r="B312" s="59" t="s">
        <v>772</v>
      </c>
      <c r="C312" s="59" t="s">
        <v>1101</v>
      </c>
      <c r="D312" s="59" t="s">
        <v>587</v>
      </c>
      <c r="E312" s="59" t="s">
        <v>775</v>
      </c>
      <c r="F312" s="60">
        <v>28381</v>
      </c>
      <c r="G312" s="59" t="s">
        <v>1268</v>
      </c>
      <c r="H312" s="59" t="s">
        <v>3642</v>
      </c>
      <c r="I312" s="60">
        <v>41093</v>
      </c>
      <c r="J312" s="61">
        <f t="shared" ca="1" si="16"/>
        <v>13</v>
      </c>
      <c r="K312" s="62">
        <f t="shared" si="17"/>
        <v>50296</v>
      </c>
      <c r="L312" s="59" t="s">
        <v>735</v>
      </c>
      <c r="M312" s="59" t="s">
        <v>1020</v>
      </c>
      <c r="N312" s="59" t="s">
        <v>758</v>
      </c>
      <c r="O312" s="63">
        <v>9</v>
      </c>
      <c r="P312" s="61">
        <f>IFERROR(SUMPRODUCT((LK_GradeDerivation!$A$4:$A$135=N312)*(IF(O312="",0,O312)&gt;=LK_GradeDerivation!$B$4:$B$135)*(IF(O312="",0,O312)&lt;=LK_GradeDerivation!$C$4:$C$135)*LK_GradeDerivation!$D$4:$D$135),1)</f>
        <v>5</v>
      </c>
      <c r="Q312" s="61">
        <f>IFERROR(SUMPRODUCT((LK_GradeDerivation!$A$4:$A$135=N312)*(IF(O312="",0,O312)&gt;=LK_GradeDerivation!$B$4:$B$135)*(IF(O312="",0,O312)&lt;=LK_GradeDerivation!$C$4:$C$135)*LK_GradeDerivation!$E$4:$E$135),1)</f>
        <v>5</v>
      </c>
      <c r="R312" s="59" t="s">
        <v>3643</v>
      </c>
      <c r="S312" s="59" t="s">
        <v>3644</v>
      </c>
      <c r="T312" s="59" t="s">
        <v>1084</v>
      </c>
      <c r="U312" s="59" t="s">
        <v>1687</v>
      </c>
      <c r="V312" s="59" t="s">
        <v>2065</v>
      </c>
      <c r="W312" s="59" t="s">
        <v>285</v>
      </c>
      <c r="X312" s="59" t="s">
        <v>340</v>
      </c>
      <c r="Y312" s="59" t="s">
        <v>346</v>
      </c>
      <c r="Z312" s="64" t="str">
        <f>IFERROR(VLOOKUP(T312,LK_OrgMaster!$B$4:$H$89,5,FALSE()),"Administration")</f>
        <v>Finance</v>
      </c>
      <c r="AA312" s="65" t="str">
        <f>IFERROR(VLOOKUP(X312,LK_LocationMaster!$D$4:$G$157,4,FALSE()),"No")</f>
        <v>No</v>
      </c>
      <c r="AB312" s="65" t="str">
        <f t="shared" si="18"/>
        <v>No</v>
      </c>
      <c r="AC312" s="65" t="str">
        <f>IFERROR(VLOOKUP(X312,LK_LocationMaster!$D$4:$H$157,5,FALSE()),"No")</f>
        <v>No</v>
      </c>
      <c r="AD312" s="59" t="s">
        <v>3621</v>
      </c>
      <c r="AE312" s="59" t="s">
        <v>765</v>
      </c>
      <c r="AF312" s="59" t="s">
        <v>984</v>
      </c>
      <c r="AG312" s="59" t="s">
        <v>312</v>
      </c>
      <c r="AH312" s="59" t="s">
        <v>1611</v>
      </c>
      <c r="AI312" s="59" t="s">
        <v>285</v>
      </c>
      <c r="AJ312" s="59" t="s">
        <v>747</v>
      </c>
      <c r="AK312" s="59" t="s">
        <v>748</v>
      </c>
      <c r="AL312" s="64" t="str">
        <f>IFERROR(INDEX(LK_BankMaster!$D$4:$D$23,MATCH(AJ312&amp;"|"&amp;AK312,LK_BankMaster!$H$4:$H$23,0)),"")</f>
        <v/>
      </c>
      <c r="AM312" s="59" t="s">
        <v>3645</v>
      </c>
      <c r="AN312" s="64" t="str">
        <f>IFERROR(VLOOKUP(AJ312,LK_BankMaster!$A$4:$E$23,5,FALSE()),"")</f>
        <v/>
      </c>
      <c r="AO312" s="59" t="s">
        <v>291</v>
      </c>
      <c r="AP312" s="66">
        <v>0</v>
      </c>
      <c r="AQ312" s="64" t="str">
        <f t="shared" si="19"/>
        <v>Position Allowance - Section Chief</v>
      </c>
      <c r="AR312" s="65" t="str">
        <f>IFERROR(VLOOKUP(T312,LK_OrgMaster!$B$4:$G$89,6,FALSE()),"No")</f>
        <v>No</v>
      </c>
      <c r="AS312" s="64" t="str">
        <f>IFERROR(VLOOKUP(T312,LK_OrgMaster!$B$4:$H$89,7,FALSE()),"None")</f>
        <v>None</v>
      </c>
      <c r="AT312" s="67">
        <v>41093</v>
      </c>
      <c r="AU312" s="67"/>
      <c r="AV312" s="67">
        <v>41093</v>
      </c>
      <c r="AW312" s="67">
        <v>46023</v>
      </c>
      <c r="AX312" s="68" t="s">
        <v>750</v>
      </c>
      <c r="AY312" s="69" t="s">
        <v>6260</v>
      </c>
    </row>
    <row r="313" spans="1:51" ht="15" customHeight="1" x14ac:dyDescent="0.3">
      <c r="A313" s="59" t="s">
        <v>3646</v>
      </c>
      <c r="B313" s="59" t="s">
        <v>772</v>
      </c>
      <c r="C313" s="59" t="s">
        <v>2374</v>
      </c>
      <c r="D313" s="59" t="s">
        <v>1066</v>
      </c>
      <c r="E313" s="59" t="s">
        <v>775</v>
      </c>
      <c r="F313" s="60">
        <v>30328</v>
      </c>
      <c r="G313" s="59" t="s">
        <v>3647</v>
      </c>
      <c r="H313" s="59" t="s">
        <v>3648</v>
      </c>
      <c r="I313" s="60">
        <v>33649</v>
      </c>
      <c r="J313" s="61">
        <f t="shared" ca="1" si="16"/>
        <v>34</v>
      </c>
      <c r="K313" s="62">
        <f t="shared" si="17"/>
        <v>52243</v>
      </c>
      <c r="L313" s="59" t="s">
        <v>735</v>
      </c>
      <c r="M313" s="59" t="s">
        <v>1574</v>
      </c>
      <c r="N313" s="59" t="s">
        <v>737</v>
      </c>
      <c r="O313" s="63">
        <v>0</v>
      </c>
      <c r="P313" s="61">
        <f>IFERROR(SUMPRODUCT((LK_GradeDerivation!$A$4:$A$135=N313)*(IF(O313="",0,O313)&gt;=LK_GradeDerivation!$B$4:$B$135)*(IF(O313="",0,O313)&lt;=LK_GradeDerivation!$C$4:$C$135)*LK_GradeDerivation!$D$4:$D$135),1)</f>
        <v>4</v>
      </c>
      <c r="Q313" s="61">
        <f>IFERROR(SUMPRODUCT((LK_GradeDerivation!$A$4:$A$135=N313)*(IF(O313="",0,O313)&gt;=LK_GradeDerivation!$B$4:$B$135)*(IF(O313="",0,O313)&lt;=LK_GradeDerivation!$C$4:$C$135)*LK_GradeDerivation!$E$4:$E$135),1)</f>
        <v>1</v>
      </c>
      <c r="R313" s="59" t="s">
        <v>3649</v>
      </c>
      <c r="S313" s="59" t="s">
        <v>3650</v>
      </c>
      <c r="T313" s="59" t="s">
        <v>1204</v>
      </c>
      <c r="U313" s="59" t="s">
        <v>3245</v>
      </c>
      <c r="V313" s="59" t="s">
        <v>3389</v>
      </c>
      <c r="W313" s="59" t="s">
        <v>285</v>
      </c>
      <c r="X313" s="59" t="s">
        <v>368</v>
      </c>
      <c r="Y313" s="59" t="s">
        <v>379</v>
      </c>
      <c r="Z313" s="64" t="str">
        <f>IFERROR(VLOOKUP(T313,LK_OrgMaster!$B$4:$H$89,5,FALSE()),"Administration")</f>
        <v>Administration</v>
      </c>
      <c r="AA313" s="65" t="str">
        <f>IFERROR(VLOOKUP(X313,LK_LocationMaster!$D$4:$G$157,4,FALSE()),"No")</f>
        <v>No</v>
      </c>
      <c r="AB313" s="65" t="str">
        <f t="shared" si="18"/>
        <v>No</v>
      </c>
      <c r="AC313" s="65" t="str">
        <f>IFERROR(VLOOKUP(X313,LK_LocationMaster!$D$4:$H$157,5,FALSE()),"No")</f>
        <v>No</v>
      </c>
      <c r="AD313" s="59" t="s">
        <v>3651</v>
      </c>
      <c r="AE313" s="59" t="s">
        <v>930</v>
      </c>
      <c r="AF313" s="59" t="s">
        <v>816</v>
      </c>
      <c r="AG313" s="59" t="s">
        <v>391</v>
      </c>
      <c r="AH313" s="59" t="s">
        <v>3652</v>
      </c>
      <c r="AI313" s="59" t="s">
        <v>285</v>
      </c>
      <c r="AJ313" s="59" t="s">
        <v>818</v>
      </c>
      <c r="AK313" s="59" t="s">
        <v>944</v>
      </c>
      <c r="AL313" s="64" t="str">
        <f>IFERROR(INDEX(LK_BankMaster!$D$4:$D$23,MATCH(AJ313&amp;"|"&amp;AK313,LK_BankMaster!$H$4:$H$23,0)),"")</f>
        <v/>
      </c>
      <c r="AM313" s="59" t="s">
        <v>3653</v>
      </c>
      <c r="AN313" s="64" t="str">
        <f>IFERROR(VLOOKUP(AJ313,LK_BankMaster!$A$4:$E$23,5,FALSE()),"")</f>
        <v/>
      </c>
      <c r="AO313" s="59" t="s">
        <v>291</v>
      </c>
      <c r="AP313" s="66">
        <v>0</v>
      </c>
      <c r="AQ313" s="64" t="str">
        <f t="shared" si="19"/>
        <v>Position Allowance - Deputy Director</v>
      </c>
      <c r="AR313" s="65" t="str">
        <f>IFERROR(VLOOKUP(T313,LK_OrgMaster!$B$4:$G$89,6,FALSE()),"No")</f>
        <v>No</v>
      </c>
      <c r="AS313" s="64" t="str">
        <f>IFERROR(VLOOKUP(T313,LK_OrgMaster!$B$4:$H$89,7,FALSE()),"None")</f>
        <v>None</v>
      </c>
      <c r="AT313" s="70">
        <v>33649</v>
      </c>
      <c r="AU313" s="70"/>
      <c r="AV313" s="70">
        <v>33649</v>
      </c>
      <c r="AW313" s="70">
        <v>46023</v>
      </c>
      <c r="AX313" s="71" t="s">
        <v>750</v>
      </c>
      <c r="AY313" s="72" t="s">
        <v>6260</v>
      </c>
    </row>
    <row r="314" spans="1:51" ht="15" customHeight="1" x14ac:dyDescent="0.3">
      <c r="A314" s="59" t="s">
        <v>3654</v>
      </c>
      <c r="B314" s="59" t="s">
        <v>772</v>
      </c>
      <c r="C314" s="59" t="s">
        <v>1713</v>
      </c>
      <c r="D314" s="59" t="s">
        <v>1373</v>
      </c>
      <c r="E314" s="59" t="s">
        <v>732</v>
      </c>
      <c r="F314" s="60">
        <v>30270</v>
      </c>
      <c r="G314" s="59" t="s">
        <v>3655</v>
      </c>
      <c r="H314" s="59" t="s">
        <v>3656</v>
      </c>
      <c r="I314" s="60">
        <v>41540</v>
      </c>
      <c r="J314" s="61">
        <f t="shared" ca="1" si="16"/>
        <v>12</v>
      </c>
      <c r="K314" s="62">
        <f t="shared" si="17"/>
        <v>52185</v>
      </c>
      <c r="L314" s="59" t="s">
        <v>735</v>
      </c>
      <c r="M314" s="59" t="s">
        <v>893</v>
      </c>
      <c r="N314" s="59" t="s">
        <v>779</v>
      </c>
      <c r="O314" s="63">
        <v>12</v>
      </c>
      <c r="P314" s="61">
        <f>IFERROR(SUMPRODUCT((LK_GradeDerivation!$A$4:$A$135=N314)*(IF(O314="",0,O314)&gt;=LK_GradeDerivation!$B$4:$B$135)*(IF(O314="",0,O314)&lt;=LK_GradeDerivation!$C$4:$C$135)*LK_GradeDerivation!$D$4:$D$135),1)</f>
        <v>2</v>
      </c>
      <c r="Q314" s="61">
        <f>IFERROR(SUMPRODUCT((LK_GradeDerivation!$A$4:$A$135=N314)*(IF(O314="",0,O314)&gt;=LK_GradeDerivation!$B$4:$B$135)*(IF(O314="",0,O314)&lt;=LK_GradeDerivation!$C$4:$C$135)*LK_GradeDerivation!$E$4:$E$135),1)</f>
        <v>7</v>
      </c>
      <c r="R314" s="59" t="s">
        <v>3657</v>
      </c>
      <c r="S314" s="59" t="s">
        <v>3658</v>
      </c>
      <c r="T314" s="59" t="s">
        <v>1204</v>
      </c>
      <c r="U314" s="59" t="s">
        <v>3659</v>
      </c>
      <c r="V314" s="59" t="s">
        <v>3660</v>
      </c>
      <c r="W314" s="59" t="s">
        <v>285</v>
      </c>
      <c r="X314" s="59" t="s">
        <v>288</v>
      </c>
      <c r="Y314" s="59" t="s">
        <v>298</v>
      </c>
      <c r="Z314" s="64" t="str">
        <f>IFERROR(VLOOKUP(T314,LK_OrgMaster!$B$4:$H$89,5,FALSE()),"Administration")</f>
        <v>Administration</v>
      </c>
      <c r="AA314" s="65" t="str">
        <f>IFERROR(VLOOKUP(X314,LK_LocationMaster!$D$4:$G$157,4,FALSE()),"No")</f>
        <v>No</v>
      </c>
      <c r="AB314" s="65" t="str">
        <f t="shared" si="18"/>
        <v>No</v>
      </c>
      <c r="AC314" s="65" t="str">
        <f>IFERROR(VLOOKUP(X314,LK_LocationMaster!$D$4:$H$157,5,FALSE()),"No")</f>
        <v>No</v>
      </c>
      <c r="AD314" s="59" t="s">
        <v>3661</v>
      </c>
      <c r="AE314" s="59" t="s">
        <v>3662</v>
      </c>
      <c r="AF314" s="59" t="s">
        <v>984</v>
      </c>
      <c r="AG314" s="59" t="s">
        <v>408</v>
      </c>
      <c r="AH314" s="59" t="s">
        <v>3663</v>
      </c>
      <c r="AI314" s="59" t="s">
        <v>285</v>
      </c>
      <c r="AJ314" s="59" t="s">
        <v>818</v>
      </c>
      <c r="AK314" s="59" t="s">
        <v>819</v>
      </c>
      <c r="AL314" s="64" t="str">
        <f>IFERROR(INDEX(LK_BankMaster!$D$4:$D$23,MATCH(AJ314&amp;"|"&amp;AK314,LK_BankMaster!$H$4:$H$23,0)),"")</f>
        <v/>
      </c>
      <c r="AM314" s="59" t="s">
        <v>3664</v>
      </c>
      <c r="AN314" s="64" t="str">
        <f>IFERROR(VLOOKUP(AJ314,LK_BankMaster!$A$4:$E$23,5,FALSE()),"")</f>
        <v/>
      </c>
      <c r="AO314" s="59" t="s">
        <v>314</v>
      </c>
      <c r="AP314" s="66">
        <v>1</v>
      </c>
      <c r="AQ314" s="64" t="str">
        <f t="shared" si="19"/>
        <v>Position Allowance - General Staff</v>
      </c>
      <c r="AR314" s="65" t="str">
        <f>IFERROR(VLOOKUP(T314,LK_OrgMaster!$B$4:$G$89,6,FALSE()),"No")</f>
        <v>No</v>
      </c>
      <c r="AS314" s="64" t="str">
        <f>IFERROR(VLOOKUP(T314,LK_OrgMaster!$B$4:$H$89,7,FALSE()),"None")</f>
        <v>None</v>
      </c>
      <c r="AT314" s="67">
        <v>41540</v>
      </c>
      <c r="AU314" s="67"/>
      <c r="AV314" s="67">
        <v>41540</v>
      </c>
      <c r="AW314" s="67">
        <v>46023</v>
      </c>
      <c r="AX314" s="68" t="s">
        <v>750</v>
      </c>
      <c r="AY314" s="69" t="s">
        <v>6260</v>
      </c>
    </row>
    <row r="315" spans="1:51" ht="15" customHeight="1" x14ac:dyDescent="0.3">
      <c r="A315" s="59" t="s">
        <v>3665</v>
      </c>
      <c r="B315" s="59" t="s">
        <v>729</v>
      </c>
      <c r="C315" s="59" t="s">
        <v>906</v>
      </c>
      <c r="D315" s="59" t="s">
        <v>1373</v>
      </c>
      <c r="E315" s="59" t="s">
        <v>732</v>
      </c>
      <c r="F315" s="60">
        <v>33170</v>
      </c>
      <c r="G315" s="59" t="s">
        <v>3666</v>
      </c>
      <c r="H315" s="59" t="s">
        <v>3667</v>
      </c>
      <c r="I315" s="60">
        <v>36256</v>
      </c>
      <c r="J315" s="61">
        <f t="shared" ca="1" si="16"/>
        <v>26</v>
      </c>
      <c r="K315" s="62">
        <f t="shared" si="17"/>
        <v>55085</v>
      </c>
      <c r="L315" s="59" t="s">
        <v>735</v>
      </c>
      <c r="M315" s="59" t="s">
        <v>1504</v>
      </c>
      <c r="N315" s="59" t="s">
        <v>737</v>
      </c>
      <c r="O315" s="63">
        <v>0</v>
      </c>
      <c r="P315" s="61">
        <f>IFERROR(SUMPRODUCT((LK_GradeDerivation!$A$4:$A$135=N315)*(IF(O315="",0,O315)&gt;=LK_GradeDerivation!$B$4:$B$135)*(IF(O315="",0,O315)&lt;=LK_GradeDerivation!$C$4:$C$135)*LK_GradeDerivation!$D$4:$D$135),1)</f>
        <v>4</v>
      </c>
      <c r="Q315" s="61">
        <f>IFERROR(SUMPRODUCT((LK_GradeDerivation!$A$4:$A$135=N315)*(IF(O315="",0,O315)&gt;=LK_GradeDerivation!$B$4:$B$135)*(IF(O315="",0,O315)&lt;=LK_GradeDerivation!$C$4:$C$135)*LK_GradeDerivation!$E$4:$E$135),1)</f>
        <v>1</v>
      </c>
      <c r="R315" s="59" t="s">
        <v>3668</v>
      </c>
      <c r="S315" s="59" t="s">
        <v>3669</v>
      </c>
      <c r="T315" s="59" t="s">
        <v>782</v>
      </c>
      <c r="U315" s="59" t="s">
        <v>1191</v>
      </c>
      <c r="V315" s="59" t="s">
        <v>1991</v>
      </c>
      <c r="W315" s="59" t="s">
        <v>285</v>
      </c>
      <c r="X315" s="59" t="s">
        <v>500</v>
      </c>
      <c r="Y315" s="59" t="s">
        <v>521</v>
      </c>
      <c r="Z315" s="64" t="str">
        <f>IFERROR(VLOOKUP(T315,LK_OrgMaster!$B$4:$H$89,5,FALSE()),"Administration")</f>
        <v>Medical</v>
      </c>
      <c r="AA315" s="65" t="str">
        <f>IFERROR(VLOOKUP(X315,LK_LocationMaster!$D$4:$G$157,4,FALSE()),"No")</f>
        <v>No</v>
      </c>
      <c r="AB315" s="65" t="str">
        <f t="shared" si="18"/>
        <v>No</v>
      </c>
      <c r="AC315" s="65" t="str">
        <f>IFERROR(VLOOKUP(X315,LK_LocationMaster!$D$4:$H$157,5,FALSE()),"No")</f>
        <v>Yes</v>
      </c>
      <c r="AD315" s="59" t="s">
        <v>3670</v>
      </c>
      <c r="AE315" s="59" t="s">
        <v>3579</v>
      </c>
      <c r="AF315" s="59" t="s">
        <v>745</v>
      </c>
      <c r="AG315" s="59" t="s">
        <v>329</v>
      </c>
      <c r="AH315" s="59" t="s">
        <v>3671</v>
      </c>
      <c r="AI315" s="59" t="s">
        <v>285</v>
      </c>
      <c r="AJ315" s="59" t="s">
        <v>833</v>
      </c>
      <c r="AK315" s="59" t="s">
        <v>1550</v>
      </c>
      <c r="AL315" s="64" t="str">
        <f>IFERROR(INDEX(LK_BankMaster!$D$4:$D$23,MATCH(AJ315&amp;"|"&amp;AK315,LK_BankMaster!$H$4:$H$23,0)),"")</f>
        <v/>
      </c>
      <c r="AM315" s="59" t="s">
        <v>3672</v>
      </c>
      <c r="AN315" s="64" t="str">
        <f>IFERROR(VLOOKUP(AJ315,LK_BankMaster!$A$4:$E$23,5,FALSE()),"")</f>
        <v/>
      </c>
      <c r="AO315" s="59" t="s">
        <v>291</v>
      </c>
      <c r="AP315" s="66">
        <v>0</v>
      </c>
      <c r="AQ315" s="64" t="str">
        <f t="shared" si="19"/>
        <v>Position Allowance - General Staff</v>
      </c>
      <c r="AR315" s="65" t="str">
        <f>IFERROR(VLOOKUP(T315,LK_OrgMaster!$B$4:$G$89,6,FALSE()),"No")</f>
        <v>No</v>
      </c>
      <c r="AS315" s="64" t="str">
        <f>IFERROR(VLOOKUP(T315,LK_OrgMaster!$B$4:$H$89,7,FALSE()),"None")</f>
        <v>Medical</v>
      </c>
      <c r="AT315" s="70">
        <v>36256</v>
      </c>
      <c r="AU315" s="70"/>
      <c r="AV315" s="70">
        <v>36256</v>
      </c>
      <c r="AW315" s="70">
        <v>46023</v>
      </c>
      <c r="AX315" s="71" t="s">
        <v>750</v>
      </c>
      <c r="AY315" s="72" t="s">
        <v>6260</v>
      </c>
    </row>
    <row r="316" spans="1:51" ht="15" customHeight="1" x14ac:dyDescent="0.3">
      <c r="A316" s="59" t="s">
        <v>3673</v>
      </c>
      <c r="B316" s="59" t="s">
        <v>752</v>
      </c>
      <c r="C316" s="59" t="s">
        <v>1603</v>
      </c>
      <c r="D316" s="59" t="s">
        <v>1674</v>
      </c>
      <c r="E316" s="59" t="s">
        <v>732</v>
      </c>
      <c r="F316" s="60">
        <v>34917</v>
      </c>
      <c r="G316" s="59" t="s">
        <v>3674</v>
      </c>
      <c r="H316" s="59" t="s">
        <v>3675</v>
      </c>
      <c r="I316" s="60">
        <v>34134</v>
      </c>
      <c r="J316" s="61">
        <f t="shared" ca="1" si="16"/>
        <v>32</v>
      </c>
      <c r="K316" s="62">
        <f t="shared" si="17"/>
        <v>56832</v>
      </c>
      <c r="L316" s="59" t="s">
        <v>735</v>
      </c>
      <c r="M316" s="59" t="s">
        <v>1020</v>
      </c>
      <c r="N316" s="59" t="s">
        <v>737</v>
      </c>
      <c r="O316" s="63">
        <v>0</v>
      </c>
      <c r="P316" s="61">
        <f>IFERROR(SUMPRODUCT((LK_GradeDerivation!$A$4:$A$135=N316)*(IF(O316="",0,O316)&gt;=LK_GradeDerivation!$B$4:$B$135)*(IF(O316="",0,O316)&lt;=LK_GradeDerivation!$C$4:$C$135)*LK_GradeDerivation!$D$4:$D$135),1)</f>
        <v>4</v>
      </c>
      <c r="Q316" s="61">
        <f>IFERROR(SUMPRODUCT((LK_GradeDerivation!$A$4:$A$135=N316)*(IF(O316="",0,O316)&gt;=LK_GradeDerivation!$B$4:$B$135)*(IF(O316="",0,O316)&lt;=LK_GradeDerivation!$C$4:$C$135)*LK_GradeDerivation!$E$4:$E$135),1)</f>
        <v>1</v>
      </c>
      <c r="R316" s="59" t="s">
        <v>3676</v>
      </c>
      <c r="S316" s="59" t="s">
        <v>3677</v>
      </c>
      <c r="T316" s="59" t="s">
        <v>1305</v>
      </c>
      <c r="U316" s="59" t="s">
        <v>897</v>
      </c>
      <c r="V316" s="59" t="s">
        <v>763</v>
      </c>
      <c r="W316" s="59" t="s">
        <v>285</v>
      </c>
      <c r="X316" s="59" t="s">
        <v>575</v>
      </c>
      <c r="Y316" s="59" t="s">
        <v>577</v>
      </c>
      <c r="Z316" s="64" t="str">
        <f>IFERROR(VLOOKUP(T316,LK_OrgMaster!$B$4:$H$89,5,FALSE()),"Administration")</f>
        <v>Administration</v>
      </c>
      <c r="AA316" s="65" t="str">
        <f>IFERROR(VLOOKUP(X316,LK_LocationMaster!$D$4:$G$157,4,FALSE()),"No")</f>
        <v>Yes</v>
      </c>
      <c r="AB316" s="65" t="str">
        <f t="shared" si="18"/>
        <v>No</v>
      </c>
      <c r="AC316" s="65" t="str">
        <f>IFERROR(VLOOKUP(X316,LK_LocationMaster!$D$4:$H$157,5,FALSE()),"No")</f>
        <v>Yes</v>
      </c>
      <c r="AD316" s="59" t="s">
        <v>3678</v>
      </c>
      <c r="AE316" s="59" t="s">
        <v>765</v>
      </c>
      <c r="AF316" s="59" t="s">
        <v>816</v>
      </c>
      <c r="AG316" s="59" t="s">
        <v>368</v>
      </c>
      <c r="AH316" s="59" t="s">
        <v>3679</v>
      </c>
      <c r="AI316" s="59" t="s">
        <v>285</v>
      </c>
      <c r="AJ316" s="59" t="s">
        <v>818</v>
      </c>
      <c r="AK316" s="59" t="s">
        <v>819</v>
      </c>
      <c r="AL316" s="64" t="str">
        <f>IFERROR(INDEX(LK_BankMaster!$D$4:$D$23,MATCH(AJ316&amp;"|"&amp;AK316,LK_BankMaster!$H$4:$H$23,0)),"")</f>
        <v/>
      </c>
      <c r="AM316" s="59" t="s">
        <v>3680</v>
      </c>
      <c r="AN316" s="64" t="str">
        <f>IFERROR(VLOOKUP(AJ316,LK_BankMaster!$A$4:$E$23,5,FALSE()),"")</f>
        <v/>
      </c>
      <c r="AO316" s="59" t="s">
        <v>291</v>
      </c>
      <c r="AP316" s="66">
        <v>0</v>
      </c>
      <c r="AQ316" s="64" t="str">
        <f t="shared" si="19"/>
        <v>Position Allowance - Section Chief</v>
      </c>
      <c r="AR316" s="65" t="str">
        <f>IFERROR(VLOOKUP(T316,LK_OrgMaster!$B$4:$G$89,6,FALSE()),"No")</f>
        <v>No</v>
      </c>
      <c r="AS316" s="64" t="str">
        <f>IFERROR(VLOOKUP(T316,LK_OrgMaster!$B$4:$H$89,7,FALSE()),"None")</f>
        <v>None</v>
      </c>
      <c r="AT316" s="67">
        <v>34134</v>
      </c>
      <c r="AU316" s="67"/>
      <c r="AV316" s="67">
        <v>34134</v>
      </c>
      <c r="AW316" s="67">
        <v>46023</v>
      </c>
      <c r="AX316" s="68" t="s">
        <v>750</v>
      </c>
      <c r="AY316" s="69" t="s">
        <v>6260</v>
      </c>
    </row>
    <row r="317" spans="1:51" ht="15" customHeight="1" x14ac:dyDescent="0.3">
      <c r="A317" s="59" t="s">
        <v>3681</v>
      </c>
      <c r="B317" s="59" t="s">
        <v>772</v>
      </c>
      <c r="C317" s="59" t="s">
        <v>920</v>
      </c>
      <c r="D317" s="59" t="s">
        <v>754</v>
      </c>
      <c r="E317" s="59" t="s">
        <v>775</v>
      </c>
      <c r="F317" s="60">
        <v>25833</v>
      </c>
      <c r="G317" s="59" t="s">
        <v>3682</v>
      </c>
      <c r="H317" s="59" t="s">
        <v>3683</v>
      </c>
      <c r="I317" s="60">
        <v>35098</v>
      </c>
      <c r="J317" s="61">
        <f t="shared" ca="1" si="16"/>
        <v>30</v>
      </c>
      <c r="K317" s="62">
        <f t="shared" si="17"/>
        <v>47748</v>
      </c>
      <c r="L317" s="59" t="s">
        <v>735</v>
      </c>
      <c r="M317" s="59" t="s">
        <v>1020</v>
      </c>
      <c r="N317" s="59" t="s">
        <v>758</v>
      </c>
      <c r="O317" s="63">
        <v>0</v>
      </c>
      <c r="P317" s="61">
        <f>IFERROR(SUMPRODUCT((LK_GradeDerivation!$A$4:$A$135=N317)*(IF(O317="",0,O317)&gt;=LK_GradeDerivation!$B$4:$B$135)*(IF(O317="",0,O317)&lt;=LK_GradeDerivation!$C$4:$C$135)*LK_GradeDerivation!$D$4:$D$135),1)</f>
        <v>5</v>
      </c>
      <c r="Q317" s="61">
        <f>IFERROR(SUMPRODUCT((LK_GradeDerivation!$A$4:$A$135=N317)*(IF(O317="",0,O317)&gt;=LK_GradeDerivation!$B$4:$B$135)*(IF(O317="",0,O317)&lt;=LK_GradeDerivation!$C$4:$C$135)*LK_GradeDerivation!$E$4:$E$135),1)</f>
        <v>1</v>
      </c>
      <c r="R317" s="59" t="s">
        <v>3684</v>
      </c>
      <c r="S317" s="59" t="s">
        <v>3685</v>
      </c>
      <c r="T317" s="59" t="s">
        <v>882</v>
      </c>
      <c r="U317" s="59" t="s">
        <v>2009</v>
      </c>
      <c r="V317" s="59" t="s">
        <v>2225</v>
      </c>
      <c r="W317" s="59" t="s">
        <v>285</v>
      </c>
      <c r="X317" s="59" t="s">
        <v>544</v>
      </c>
      <c r="Y317" s="59" t="s">
        <v>548</v>
      </c>
      <c r="Z317" s="64" t="str">
        <f>IFERROR(VLOOKUP(T317,LK_OrgMaster!$B$4:$H$89,5,FALSE()),"Administration")</f>
        <v>Legal</v>
      </c>
      <c r="AA317" s="65" t="str">
        <f>IFERROR(VLOOKUP(X317,LK_LocationMaster!$D$4:$G$157,4,FALSE()),"No")</f>
        <v>Yes</v>
      </c>
      <c r="AB317" s="65" t="str">
        <f t="shared" si="18"/>
        <v>No</v>
      </c>
      <c r="AC317" s="65" t="str">
        <f>IFERROR(VLOOKUP(X317,LK_LocationMaster!$D$4:$H$157,5,FALSE()),"No")</f>
        <v>Yes</v>
      </c>
      <c r="AD317" s="59" t="s">
        <v>3686</v>
      </c>
      <c r="AE317" s="59" t="s">
        <v>800</v>
      </c>
      <c r="AF317" s="59" t="s">
        <v>786</v>
      </c>
      <c r="AG317" s="59" t="s">
        <v>356</v>
      </c>
      <c r="AH317" s="59" t="s">
        <v>3687</v>
      </c>
      <c r="AI317" s="59" t="s">
        <v>285</v>
      </c>
      <c r="AJ317" s="59" t="s">
        <v>818</v>
      </c>
      <c r="AK317" s="59" t="s">
        <v>944</v>
      </c>
      <c r="AL317" s="64" t="str">
        <f>IFERROR(INDEX(LK_BankMaster!$D$4:$D$23,MATCH(AJ317&amp;"|"&amp;AK317,LK_BankMaster!$H$4:$H$23,0)),"")</f>
        <v/>
      </c>
      <c r="AM317" s="59" t="s">
        <v>3688</v>
      </c>
      <c r="AN317" s="64" t="str">
        <f>IFERROR(VLOOKUP(AJ317,LK_BankMaster!$A$4:$E$23,5,FALSE()),"")</f>
        <v/>
      </c>
      <c r="AO317" s="59" t="s">
        <v>314</v>
      </c>
      <c r="AP317" s="66">
        <v>0</v>
      </c>
      <c r="AQ317" s="64" t="str">
        <f t="shared" si="19"/>
        <v>Position Allowance - Section Chief</v>
      </c>
      <c r="AR317" s="65" t="str">
        <f>IFERROR(VLOOKUP(T317,LK_OrgMaster!$B$4:$G$89,6,FALSE()),"No")</f>
        <v>No</v>
      </c>
      <c r="AS317" s="64" t="str">
        <f>IFERROR(VLOOKUP(T317,LK_OrgMaster!$B$4:$H$89,7,FALSE()),"None")</f>
        <v>None</v>
      </c>
      <c r="AT317" s="70">
        <v>35098</v>
      </c>
      <c r="AU317" s="70"/>
      <c r="AV317" s="70">
        <v>35098</v>
      </c>
      <c r="AW317" s="70">
        <v>46023</v>
      </c>
      <c r="AX317" s="71" t="s">
        <v>750</v>
      </c>
      <c r="AY317" s="72" t="s">
        <v>6260</v>
      </c>
    </row>
    <row r="318" spans="1:51" ht="15" customHeight="1" x14ac:dyDescent="0.3">
      <c r="A318" s="59" t="s">
        <v>3689</v>
      </c>
      <c r="B318" s="59" t="s">
        <v>851</v>
      </c>
      <c r="C318" s="59" t="s">
        <v>1245</v>
      </c>
      <c r="D318" s="59" t="s">
        <v>1320</v>
      </c>
      <c r="E318" s="59" t="s">
        <v>775</v>
      </c>
      <c r="F318" s="60">
        <v>24499</v>
      </c>
      <c r="G318" s="59" t="s">
        <v>3690</v>
      </c>
      <c r="H318" s="59" t="s">
        <v>3691</v>
      </c>
      <c r="I318" s="60">
        <v>41144</v>
      </c>
      <c r="J318" s="61">
        <f t="shared" ca="1" si="16"/>
        <v>13</v>
      </c>
      <c r="K318" s="62">
        <f t="shared" si="17"/>
        <v>46414</v>
      </c>
      <c r="L318" s="59" t="s">
        <v>735</v>
      </c>
      <c r="M318" s="59" t="s">
        <v>1574</v>
      </c>
      <c r="N318" s="59" t="s">
        <v>737</v>
      </c>
      <c r="O318" s="63">
        <v>23</v>
      </c>
      <c r="P318" s="61">
        <f>IFERROR(SUMPRODUCT((LK_GradeDerivation!$A$4:$A$135=N318)*(IF(O318="",0,O318)&gt;=LK_GradeDerivation!$B$4:$B$135)*(IF(O318="",0,O318)&lt;=LK_GradeDerivation!$C$4:$C$135)*LK_GradeDerivation!$D$4:$D$135),1)</f>
        <v>4</v>
      </c>
      <c r="Q318" s="61">
        <f>IFERROR(SUMPRODUCT((LK_GradeDerivation!$A$4:$A$135=N318)*(IF(O318="",0,O318)&gt;=LK_GradeDerivation!$B$4:$B$135)*(IF(O318="",0,O318)&lt;=LK_GradeDerivation!$C$4:$C$135)*LK_GradeDerivation!$E$4:$E$135),1)</f>
        <v>12</v>
      </c>
      <c r="R318" s="59" t="s">
        <v>3692</v>
      </c>
      <c r="S318" s="59" t="s">
        <v>3693</v>
      </c>
      <c r="T318" s="59" t="s">
        <v>952</v>
      </c>
      <c r="U318" s="59" t="s">
        <v>1597</v>
      </c>
      <c r="V318" s="59" t="s">
        <v>2397</v>
      </c>
      <c r="W318" s="59" t="s">
        <v>285</v>
      </c>
      <c r="X318" s="59" t="s">
        <v>575</v>
      </c>
      <c r="Y318" s="59" t="s">
        <v>577</v>
      </c>
      <c r="Z318" s="64" t="str">
        <f>IFERROR(VLOOKUP(T318,LK_OrgMaster!$B$4:$H$89,5,FALSE()),"Administration")</f>
        <v>Administration</v>
      </c>
      <c r="AA318" s="65" t="str">
        <f>IFERROR(VLOOKUP(X318,LK_LocationMaster!$D$4:$G$157,4,FALSE()),"No")</f>
        <v>Yes</v>
      </c>
      <c r="AB318" s="65" t="str">
        <f t="shared" si="18"/>
        <v>No</v>
      </c>
      <c r="AC318" s="65" t="str">
        <f>IFERROR(VLOOKUP(X318,LK_LocationMaster!$D$4:$H$157,5,FALSE()),"No")</f>
        <v>Yes</v>
      </c>
      <c r="AD318" s="59" t="s">
        <v>862</v>
      </c>
      <c r="AE318" s="59" t="s">
        <v>886</v>
      </c>
      <c r="AF318" s="59" t="s">
        <v>915</v>
      </c>
      <c r="AG318" s="59" t="s">
        <v>340</v>
      </c>
      <c r="AH318" s="59" t="s">
        <v>3694</v>
      </c>
      <c r="AI318" s="59" t="s">
        <v>285</v>
      </c>
      <c r="AJ318" s="59" t="s">
        <v>818</v>
      </c>
      <c r="AK318" s="59" t="s">
        <v>944</v>
      </c>
      <c r="AL318" s="64" t="str">
        <f>IFERROR(INDEX(LK_BankMaster!$D$4:$D$23,MATCH(AJ318&amp;"|"&amp;AK318,LK_BankMaster!$H$4:$H$23,0)),"")</f>
        <v/>
      </c>
      <c r="AM318" s="59" t="s">
        <v>3695</v>
      </c>
      <c r="AN318" s="64" t="str">
        <f>IFERROR(VLOOKUP(AJ318,LK_BankMaster!$A$4:$E$23,5,FALSE()),"")</f>
        <v/>
      </c>
      <c r="AO318" s="59" t="s">
        <v>314</v>
      </c>
      <c r="AP318" s="66">
        <v>0</v>
      </c>
      <c r="AQ318" s="64" t="str">
        <f t="shared" si="19"/>
        <v>Position Allowance - Deputy Director</v>
      </c>
      <c r="AR318" s="65" t="str">
        <f>IFERROR(VLOOKUP(T318,LK_OrgMaster!$B$4:$G$89,6,FALSE()),"No")</f>
        <v>No</v>
      </c>
      <c r="AS318" s="64" t="str">
        <f>IFERROR(VLOOKUP(T318,LK_OrgMaster!$B$4:$H$89,7,FALSE()),"None")</f>
        <v>None</v>
      </c>
      <c r="AT318" s="67">
        <v>41144</v>
      </c>
      <c r="AU318" s="67"/>
      <c r="AV318" s="67">
        <v>41144</v>
      </c>
      <c r="AW318" s="67">
        <v>46023</v>
      </c>
      <c r="AX318" s="68" t="s">
        <v>750</v>
      </c>
      <c r="AY318" s="69" t="s">
        <v>6260</v>
      </c>
    </row>
    <row r="319" spans="1:51" ht="15" customHeight="1" x14ac:dyDescent="0.3">
      <c r="A319" s="59" t="s">
        <v>3696</v>
      </c>
      <c r="B319" s="59" t="s">
        <v>729</v>
      </c>
      <c r="C319" s="59" t="s">
        <v>1624</v>
      </c>
      <c r="D319" s="59" t="s">
        <v>823</v>
      </c>
      <c r="E319" s="59" t="s">
        <v>732</v>
      </c>
      <c r="F319" s="60">
        <v>32117</v>
      </c>
      <c r="G319" s="59" t="s">
        <v>1625</v>
      </c>
      <c r="H319" s="59" t="s">
        <v>3697</v>
      </c>
      <c r="I319" s="60">
        <v>43775</v>
      </c>
      <c r="J319" s="61">
        <f t="shared" ca="1" si="16"/>
        <v>6</v>
      </c>
      <c r="K319" s="62">
        <f t="shared" si="17"/>
        <v>54032</v>
      </c>
      <c r="L319" s="59" t="s">
        <v>735</v>
      </c>
      <c r="M319" s="59" t="s">
        <v>1574</v>
      </c>
      <c r="N319" s="59" t="s">
        <v>737</v>
      </c>
      <c r="O319" s="63">
        <v>9</v>
      </c>
      <c r="P319" s="61">
        <f>IFERROR(SUMPRODUCT((LK_GradeDerivation!$A$4:$A$135=N319)*(IF(O319="",0,O319)&gt;=LK_GradeDerivation!$B$4:$B$135)*(IF(O319="",0,O319)&lt;=LK_GradeDerivation!$C$4:$C$135)*LK_GradeDerivation!$D$4:$D$135),1)</f>
        <v>4</v>
      </c>
      <c r="Q319" s="61">
        <f>IFERROR(SUMPRODUCT((LK_GradeDerivation!$A$4:$A$135=N319)*(IF(O319="",0,O319)&gt;=LK_GradeDerivation!$B$4:$B$135)*(IF(O319="",0,O319)&lt;=LK_GradeDerivation!$C$4:$C$135)*LK_GradeDerivation!$E$4:$E$135),1)</f>
        <v>5</v>
      </c>
      <c r="R319" s="59" t="s">
        <v>3698</v>
      </c>
      <c r="S319" s="59" t="s">
        <v>3699</v>
      </c>
      <c r="T319" s="59" t="s">
        <v>761</v>
      </c>
      <c r="U319" s="59" t="s">
        <v>1314</v>
      </c>
      <c r="V319" s="59" t="s">
        <v>1726</v>
      </c>
      <c r="W319" s="59" t="s">
        <v>285</v>
      </c>
      <c r="X319" s="59" t="s">
        <v>288</v>
      </c>
      <c r="Y319" s="59" t="s">
        <v>290</v>
      </c>
      <c r="Z319" s="64" t="str">
        <f>IFERROR(VLOOKUP(T319,LK_OrgMaster!$B$4:$H$89,5,FALSE()),"Administration")</f>
        <v>Administration</v>
      </c>
      <c r="AA319" s="65" t="str">
        <f>IFERROR(VLOOKUP(X319,LK_LocationMaster!$D$4:$G$157,4,FALSE()),"No")</f>
        <v>No</v>
      </c>
      <c r="AB319" s="65" t="str">
        <f t="shared" si="18"/>
        <v>No</v>
      </c>
      <c r="AC319" s="65" t="str">
        <f>IFERROR(VLOOKUP(X319,LK_LocationMaster!$D$4:$H$157,5,FALSE()),"No")</f>
        <v>No</v>
      </c>
      <c r="AD319" s="59" t="s">
        <v>3700</v>
      </c>
      <c r="AE319" s="59" t="s">
        <v>800</v>
      </c>
      <c r="AF319" s="59" t="s">
        <v>816</v>
      </c>
      <c r="AG319" s="59" t="s">
        <v>340</v>
      </c>
      <c r="AH319" s="59" t="s">
        <v>3701</v>
      </c>
      <c r="AI319" s="59" t="s">
        <v>285</v>
      </c>
      <c r="AJ319" s="59" t="s">
        <v>818</v>
      </c>
      <c r="AK319" s="59" t="s">
        <v>819</v>
      </c>
      <c r="AL319" s="64" t="str">
        <f>IFERROR(INDEX(LK_BankMaster!$D$4:$D$23,MATCH(AJ319&amp;"|"&amp;AK319,LK_BankMaster!$H$4:$H$23,0)),"")</f>
        <v/>
      </c>
      <c r="AM319" s="59" t="s">
        <v>3702</v>
      </c>
      <c r="AN319" s="64" t="str">
        <f>IFERROR(VLOOKUP(AJ319,LK_BankMaster!$A$4:$E$23,5,FALSE()),"")</f>
        <v/>
      </c>
      <c r="AO319" s="59" t="s">
        <v>314</v>
      </c>
      <c r="AP319" s="66">
        <v>3</v>
      </c>
      <c r="AQ319" s="64" t="str">
        <f t="shared" si="19"/>
        <v>Position Allowance - Deputy Director</v>
      </c>
      <c r="AR319" s="65" t="str">
        <f>IFERROR(VLOOKUP(T319,LK_OrgMaster!$B$4:$G$89,6,FALSE()),"No")</f>
        <v>Yes</v>
      </c>
      <c r="AS319" s="64" t="str">
        <f>IFERROR(VLOOKUP(T319,LK_OrgMaster!$B$4:$H$89,7,FALSE()),"None")</f>
        <v>None</v>
      </c>
      <c r="AT319" s="70">
        <v>43775</v>
      </c>
      <c r="AU319" s="70"/>
      <c r="AV319" s="70">
        <v>43775</v>
      </c>
      <c r="AW319" s="70">
        <v>46023</v>
      </c>
      <c r="AX319" s="71" t="s">
        <v>750</v>
      </c>
      <c r="AY319" s="72" t="s">
        <v>6260</v>
      </c>
    </row>
    <row r="320" spans="1:51" ht="15" customHeight="1" x14ac:dyDescent="0.3">
      <c r="A320" s="59" t="s">
        <v>3703</v>
      </c>
      <c r="B320" s="59" t="s">
        <v>851</v>
      </c>
      <c r="C320" s="59" t="s">
        <v>1673</v>
      </c>
      <c r="D320" s="59" t="s">
        <v>1604</v>
      </c>
      <c r="E320" s="59" t="s">
        <v>775</v>
      </c>
      <c r="F320" s="60">
        <v>29806</v>
      </c>
      <c r="G320" s="59" t="s">
        <v>3704</v>
      </c>
      <c r="H320" s="59" t="s">
        <v>3705</v>
      </c>
      <c r="I320" s="60">
        <v>45845</v>
      </c>
      <c r="J320" s="61">
        <f t="shared" ca="1" si="16"/>
        <v>0</v>
      </c>
      <c r="K320" s="62">
        <f t="shared" si="17"/>
        <v>51721</v>
      </c>
      <c r="L320" s="59" t="s">
        <v>3706</v>
      </c>
      <c r="M320" s="59" t="s">
        <v>1201</v>
      </c>
      <c r="N320" s="59" t="s">
        <v>1081</v>
      </c>
      <c r="O320" s="63">
        <v>23</v>
      </c>
      <c r="P320" s="61">
        <f>IFERROR(SUMPRODUCT((LK_GradeDerivation!$A$4:$A$135=N320)*(IF(O320="",0,O320)&gt;=LK_GradeDerivation!$B$4:$B$135)*(IF(O320="",0,O320)&lt;=LK_GradeDerivation!$C$4:$C$135)*LK_GradeDerivation!$D$4:$D$135),1)</f>
        <v>3</v>
      </c>
      <c r="Q320" s="61">
        <f>IFERROR(SUMPRODUCT((LK_GradeDerivation!$A$4:$A$135=N320)*(IF(O320="",0,O320)&gt;=LK_GradeDerivation!$B$4:$B$135)*(IF(O320="",0,O320)&lt;=LK_GradeDerivation!$C$4:$C$135)*LK_GradeDerivation!$E$4:$E$135),1)</f>
        <v>12</v>
      </c>
      <c r="R320" s="59" t="s">
        <v>3707</v>
      </c>
      <c r="S320" s="59" t="s">
        <v>3708</v>
      </c>
      <c r="T320" s="59" t="s">
        <v>844</v>
      </c>
      <c r="U320" s="59" t="s">
        <v>1961</v>
      </c>
      <c r="V320" s="59" t="s">
        <v>1962</v>
      </c>
      <c r="W320" s="59" t="s">
        <v>285</v>
      </c>
      <c r="X320" s="59" t="s">
        <v>429</v>
      </c>
      <c r="Y320" s="59" t="s">
        <v>441</v>
      </c>
      <c r="Z320" s="64" t="str">
        <f>IFERROR(VLOOKUP(T320,LK_OrgMaster!$B$4:$H$89,5,FALSE()),"Administration")</f>
        <v>Administration</v>
      </c>
      <c r="AA320" s="65" t="str">
        <f>IFERROR(VLOOKUP(X320,LK_LocationMaster!$D$4:$G$157,4,FALSE()),"No")</f>
        <v>Yes</v>
      </c>
      <c r="AB320" s="65" t="str">
        <f t="shared" si="18"/>
        <v>No</v>
      </c>
      <c r="AC320" s="65" t="str">
        <f>IFERROR(VLOOKUP(X320,LK_LocationMaster!$D$4:$H$157,5,FALSE()),"No")</f>
        <v>Yes</v>
      </c>
      <c r="AD320" s="59" t="s">
        <v>3709</v>
      </c>
      <c r="AE320" s="59" t="s">
        <v>1836</v>
      </c>
      <c r="AF320" s="59" t="s">
        <v>969</v>
      </c>
      <c r="AG320" s="59" t="s">
        <v>408</v>
      </c>
      <c r="AH320" s="59" t="s">
        <v>3710</v>
      </c>
      <c r="AI320" s="59" t="s">
        <v>285</v>
      </c>
      <c r="AJ320" s="59" t="s">
        <v>747</v>
      </c>
      <c r="AK320" s="59" t="s">
        <v>748</v>
      </c>
      <c r="AL320" s="64" t="str">
        <f>IFERROR(INDEX(LK_BankMaster!$D$4:$D$23,MATCH(AJ320&amp;"|"&amp;AK320,LK_BankMaster!$H$4:$H$23,0)),"")</f>
        <v/>
      </c>
      <c r="AM320" s="59" t="s">
        <v>3711</v>
      </c>
      <c r="AN320" s="64" t="str">
        <f>IFERROR(VLOOKUP(AJ320,LK_BankMaster!$A$4:$E$23,5,FALSE()),"")</f>
        <v/>
      </c>
      <c r="AO320" s="59" t="s">
        <v>314</v>
      </c>
      <c r="AP320" s="66">
        <v>1</v>
      </c>
      <c r="AQ320" s="64" t="str">
        <f t="shared" si="19"/>
        <v>Position Allowance - General Staff</v>
      </c>
      <c r="AR320" s="65" t="str">
        <f>IFERROR(VLOOKUP(T320,LK_OrgMaster!$B$4:$G$89,6,FALSE()),"No")</f>
        <v>No</v>
      </c>
      <c r="AS320" s="64" t="str">
        <f>IFERROR(VLOOKUP(T320,LK_OrgMaster!$B$4:$H$89,7,FALSE()),"None")</f>
        <v>None</v>
      </c>
      <c r="AT320" s="67">
        <v>45845</v>
      </c>
      <c r="AU320" s="67"/>
      <c r="AV320" s="67">
        <v>45845</v>
      </c>
      <c r="AW320" s="67">
        <v>46023</v>
      </c>
      <c r="AX320" s="68" t="s">
        <v>750</v>
      </c>
      <c r="AY320" s="69" t="s">
        <v>6260</v>
      </c>
    </row>
    <row r="321" spans="1:51" ht="15" customHeight="1" x14ac:dyDescent="0.3">
      <c r="A321" s="59" t="s">
        <v>3712</v>
      </c>
      <c r="B321" s="59" t="s">
        <v>729</v>
      </c>
      <c r="C321" s="59" t="s">
        <v>806</v>
      </c>
      <c r="D321" s="59" t="s">
        <v>793</v>
      </c>
      <c r="E321" s="59" t="s">
        <v>732</v>
      </c>
      <c r="F321" s="60">
        <v>32915</v>
      </c>
      <c r="G321" s="59" t="s">
        <v>3713</v>
      </c>
      <c r="H321" s="59" t="s">
        <v>3714</v>
      </c>
      <c r="I321" s="60">
        <v>38672</v>
      </c>
      <c r="J321" s="61">
        <f t="shared" ca="1" si="16"/>
        <v>20</v>
      </c>
      <c r="K321" s="62">
        <f t="shared" si="17"/>
        <v>54830</v>
      </c>
      <c r="L321" s="59" t="s">
        <v>735</v>
      </c>
      <c r="M321" s="59" t="s">
        <v>1454</v>
      </c>
      <c r="N321" s="59" t="s">
        <v>758</v>
      </c>
      <c r="O321" s="63">
        <v>0</v>
      </c>
      <c r="P321" s="61">
        <f>IFERROR(SUMPRODUCT((LK_GradeDerivation!$A$4:$A$135=N321)*(IF(O321="",0,O321)&gt;=LK_GradeDerivation!$B$4:$B$135)*(IF(O321="",0,O321)&lt;=LK_GradeDerivation!$C$4:$C$135)*LK_GradeDerivation!$D$4:$D$135),1)</f>
        <v>5</v>
      </c>
      <c r="Q321" s="61">
        <f>IFERROR(SUMPRODUCT((LK_GradeDerivation!$A$4:$A$135=N321)*(IF(O321="",0,O321)&gt;=LK_GradeDerivation!$B$4:$B$135)*(IF(O321="",0,O321)&lt;=LK_GradeDerivation!$C$4:$C$135)*LK_GradeDerivation!$E$4:$E$135),1)</f>
        <v>1</v>
      </c>
      <c r="R321" s="59" t="s">
        <v>3715</v>
      </c>
      <c r="S321" s="59" t="s">
        <v>3716</v>
      </c>
      <c r="T321" s="59" t="s">
        <v>740</v>
      </c>
      <c r="U321" s="59" t="s">
        <v>1262</v>
      </c>
      <c r="V321" s="59" t="s">
        <v>1325</v>
      </c>
      <c r="W321" s="59" t="s">
        <v>285</v>
      </c>
      <c r="X321" s="59" t="s">
        <v>575</v>
      </c>
      <c r="Y321" s="59" t="s">
        <v>583</v>
      </c>
      <c r="Z321" s="64" t="str">
        <f>IFERROR(VLOOKUP(T321,LK_OrgMaster!$B$4:$H$89,5,FALSE()),"Administration")</f>
        <v>Teacher</v>
      </c>
      <c r="AA321" s="65" t="str">
        <f>IFERROR(VLOOKUP(X321,LK_LocationMaster!$D$4:$G$157,4,FALSE()),"No")</f>
        <v>Yes</v>
      </c>
      <c r="AB321" s="65" t="str">
        <f t="shared" si="18"/>
        <v>No</v>
      </c>
      <c r="AC321" s="65" t="str">
        <f>IFERROR(VLOOKUP(X321,LK_LocationMaster!$D$4:$H$157,5,FALSE()),"No")</f>
        <v>Yes</v>
      </c>
      <c r="AD321" s="59" t="s">
        <v>2468</v>
      </c>
      <c r="AE321" s="59" t="s">
        <v>800</v>
      </c>
      <c r="AF321" s="59" t="s">
        <v>915</v>
      </c>
      <c r="AG321" s="59" t="s">
        <v>312</v>
      </c>
      <c r="AH321" s="59" t="s">
        <v>3717</v>
      </c>
      <c r="AI321" s="59" t="s">
        <v>285</v>
      </c>
      <c r="AJ321" s="59" t="s">
        <v>747</v>
      </c>
      <c r="AK321" s="59" t="s">
        <v>748</v>
      </c>
      <c r="AL321" s="64" t="str">
        <f>IFERROR(INDEX(LK_BankMaster!$D$4:$D$23,MATCH(AJ321&amp;"|"&amp;AK321,LK_BankMaster!$H$4:$H$23,0)),"")</f>
        <v/>
      </c>
      <c r="AM321" s="59" t="s">
        <v>3718</v>
      </c>
      <c r="AN321" s="64" t="str">
        <f>IFERROR(VLOOKUP(AJ321,LK_BankMaster!$A$4:$E$23,5,FALSE()),"")</f>
        <v/>
      </c>
      <c r="AO321" s="59" t="s">
        <v>314</v>
      </c>
      <c r="AP321" s="66">
        <v>0</v>
      </c>
      <c r="AQ321" s="64" t="str">
        <f t="shared" si="19"/>
        <v>Position Allowance - General Staff</v>
      </c>
      <c r="AR321" s="65" t="str">
        <f>IFERROR(VLOOKUP(T321,LK_OrgMaster!$B$4:$G$89,6,FALSE()),"No")</f>
        <v>No</v>
      </c>
      <c r="AS321" s="64" t="str">
        <f>IFERROR(VLOOKUP(T321,LK_OrgMaster!$B$4:$H$89,7,FALSE()),"None")</f>
        <v>Teaching</v>
      </c>
      <c r="AT321" s="70">
        <v>38672</v>
      </c>
      <c r="AU321" s="70"/>
      <c r="AV321" s="70">
        <v>38672</v>
      </c>
      <c r="AW321" s="70">
        <v>46023</v>
      </c>
      <c r="AX321" s="71" t="s">
        <v>750</v>
      </c>
      <c r="AY321" s="72" t="s">
        <v>6260</v>
      </c>
    </row>
    <row r="322" spans="1:51" ht="15" customHeight="1" x14ac:dyDescent="0.3">
      <c r="A322" s="59" t="s">
        <v>3719</v>
      </c>
      <c r="B322" s="59" t="s">
        <v>752</v>
      </c>
      <c r="C322" s="59" t="s">
        <v>2042</v>
      </c>
      <c r="D322" s="59" t="s">
        <v>2794</v>
      </c>
      <c r="E322" s="59" t="s">
        <v>732</v>
      </c>
      <c r="F322" s="60">
        <v>32431</v>
      </c>
      <c r="G322" s="59" t="s">
        <v>3720</v>
      </c>
      <c r="H322" s="59" t="s">
        <v>3721</v>
      </c>
      <c r="I322" s="60">
        <v>45040</v>
      </c>
      <c r="J322" s="61">
        <f t="shared" ca="1" si="16"/>
        <v>2</v>
      </c>
      <c r="K322" s="62">
        <f t="shared" si="17"/>
        <v>54346</v>
      </c>
      <c r="L322" s="59" t="s">
        <v>735</v>
      </c>
      <c r="M322" s="59" t="s">
        <v>1988</v>
      </c>
      <c r="N322" s="59" t="s">
        <v>1081</v>
      </c>
      <c r="O322" s="63">
        <v>14</v>
      </c>
      <c r="P322" s="61">
        <f>IFERROR(SUMPRODUCT((LK_GradeDerivation!$A$4:$A$135=N322)*(IF(O322="",0,O322)&gt;=LK_GradeDerivation!$B$4:$B$135)*(IF(O322="",0,O322)&lt;=LK_GradeDerivation!$C$4:$C$135)*LK_GradeDerivation!$D$4:$D$135),1)</f>
        <v>3</v>
      </c>
      <c r="Q322" s="61">
        <f>IFERROR(SUMPRODUCT((LK_GradeDerivation!$A$4:$A$135=N322)*(IF(O322="",0,O322)&gt;=LK_GradeDerivation!$B$4:$B$135)*(IF(O322="",0,O322)&lt;=LK_GradeDerivation!$C$4:$C$135)*LK_GradeDerivation!$E$4:$E$135),1)</f>
        <v>8</v>
      </c>
      <c r="R322" s="59" t="s">
        <v>3722</v>
      </c>
      <c r="S322" s="59" t="s">
        <v>3723</v>
      </c>
      <c r="T322" s="59" t="s">
        <v>782</v>
      </c>
      <c r="U322" s="59" t="s">
        <v>965</v>
      </c>
      <c r="V322" s="59" t="s">
        <v>3724</v>
      </c>
      <c r="W322" s="59" t="s">
        <v>285</v>
      </c>
      <c r="X322" s="59" t="s">
        <v>463</v>
      </c>
      <c r="Y322" s="59" t="s">
        <v>467</v>
      </c>
      <c r="Z322" s="64" t="str">
        <f>IFERROR(VLOOKUP(T322,LK_OrgMaster!$B$4:$H$89,5,FALSE()),"Administration")</f>
        <v>Medical</v>
      </c>
      <c r="AA322" s="65" t="str">
        <f>IFERROR(VLOOKUP(X322,LK_LocationMaster!$D$4:$G$157,4,FALSE()),"No")</f>
        <v>No</v>
      </c>
      <c r="AB322" s="65" t="str">
        <f t="shared" si="18"/>
        <v>No</v>
      </c>
      <c r="AC322" s="65" t="str">
        <f>IFERROR(VLOOKUP(X322,LK_LocationMaster!$D$4:$H$157,5,FALSE()),"No")</f>
        <v>No</v>
      </c>
      <c r="AD322" s="59" t="s">
        <v>3725</v>
      </c>
      <c r="AE322" s="59" t="s">
        <v>930</v>
      </c>
      <c r="AF322" s="59" t="s">
        <v>915</v>
      </c>
      <c r="AG322" s="59" t="s">
        <v>391</v>
      </c>
      <c r="AH322" s="59" t="s">
        <v>3726</v>
      </c>
      <c r="AI322" s="59" t="s">
        <v>285</v>
      </c>
      <c r="AJ322" s="59" t="s">
        <v>768</v>
      </c>
      <c r="AK322" s="59" t="s">
        <v>769</v>
      </c>
      <c r="AL322" s="64" t="str">
        <f>IFERROR(INDEX(LK_BankMaster!$D$4:$D$23,MATCH(AJ322&amp;"|"&amp;AK322,LK_BankMaster!$H$4:$H$23,0)),"")</f>
        <v/>
      </c>
      <c r="AM322" s="59" t="s">
        <v>3727</v>
      </c>
      <c r="AN322" s="64" t="str">
        <f>IFERROR(VLOOKUP(AJ322,LK_BankMaster!$A$4:$E$23,5,FALSE()),"")</f>
        <v/>
      </c>
      <c r="AO322" s="59" t="s">
        <v>291</v>
      </c>
      <c r="AP322" s="66">
        <v>0</v>
      </c>
      <c r="AQ322" s="64" t="str">
        <f t="shared" si="19"/>
        <v>Position Allowance - General Staff</v>
      </c>
      <c r="AR322" s="65" t="str">
        <f>IFERROR(VLOOKUP(T322,LK_OrgMaster!$B$4:$G$89,6,FALSE()),"No")</f>
        <v>No</v>
      </c>
      <c r="AS322" s="64" t="str">
        <f>IFERROR(VLOOKUP(T322,LK_OrgMaster!$B$4:$H$89,7,FALSE()),"None")</f>
        <v>Medical</v>
      </c>
      <c r="AT322" s="67">
        <v>45040</v>
      </c>
      <c r="AU322" s="67"/>
      <c r="AV322" s="67">
        <v>45040</v>
      </c>
      <c r="AW322" s="67">
        <v>46023</v>
      </c>
      <c r="AX322" s="68" t="s">
        <v>750</v>
      </c>
      <c r="AY322" s="69" t="s">
        <v>6260</v>
      </c>
    </row>
    <row r="323" spans="1:51" ht="15" customHeight="1" x14ac:dyDescent="0.3">
      <c r="A323" s="59" t="s">
        <v>3728</v>
      </c>
      <c r="B323" s="59" t="s">
        <v>851</v>
      </c>
      <c r="C323" s="59" t="s">
        <v>3729</v>
      </c>
      <c r="D323" s="59" t="s">
        <v>1160</v>
      </c>
      <c r="E323" s="59" t="s">
        <v>775</v>
      </c>
      <c r="F323" s="60">
        <v>28358</v>
      </c>
      <c r="G323" s="59" t="s">
        <v>3730</v>
      </c>
      <c r="H323" s="59" t="s">
        <v>3731</v>
      </c>
      <c r="I323" s="60">
        <v>33761</v>
      </c>
      <c r="J323" s="61">
        <f t="shared" ca="1" si="16"/>
        <v>33</v>
      </c>
      <c r="K323" s="62">
        <f t="shared" si="17"/>
        <v>50273</v>
      </c>
      <c r="L323" s="59" t="s">
        <v>735</v>
      </c>
      <c r="M323" s="59" t="s">
        <v>856</v>
      </c>
      <c r="N323" s="59" t="s">
        <v>737</v>
      </c>
      <c r="O323" s="63">
        <v>0</v>
      </c>
      <c r="P323" s="61">
        <f>IFERROR(SUMPRODUCT((LK_GradeDerivation!$A$4:$A$135=N323)*(IF(O323="",0,O323)&gt;=LK_GradeDerivation!$B$4:$B$135)*(IF(O323="",0,O323)&lt;=LK_GradeDerivation!$C$4:$C$135)*LK_GradeDerivation!$D$4:$D$135),1)</f>
        <v>4</v>
      </c>
      <c r="Q323" s="61">
        <f>IFERROR(SUMPRODUCT((LK_GradeDerivation!$A$4:$A$135=N323)*(IF(O323="",0,O323)&gt;=LK_GradeDerivation!$B$4:$B$135)*(IF(O323="",0,O323)&lt;=LK_GradeDerivation!$C$4:$C$135)*LK_GradeDerivation!$E$4:$E$135),1)</f>
        <v>1</v>
      </c>
      <c r="R323" s="59" t="s">
        <v>3732</v>
      </c>
      <c r="S323" s="59" t="s">
        <v>3733</v>
      </c>
      <c r="T323" s="59" t="s">
        <v>1023</v>
      </c>
      <c r="U323" s="59" t="s">
        <v>1024</v>
      </c>
      <c r="V323" s="59" t="s">
        <v>3734</v>
      </c>
      <c r="W323" s="59" t="s">
        <v>285</v>
      </c>
      <c r="X323" s="59" t="s">
        <v>575</v>
      </c>
      <c r="Y323" s="59" t="s">
        <v>577</v>
      </c>
      <c r="Z323" s="64" t="str">
        <f>IFERROR(VLOOKUP(T323,LK_OrgMaster!$B$4:$H$89,5,FALSE()),"Administration")</f>
        <v>Technical</v>
      </c>
      <c r="AA323" s="65" t="str">
        <f>IFERROR(VLOOKUP(X323,LK_LocationMaster!$D$4:$G$157,4,FALSE()),"No")</f>
        <v>Yes</v>
      </c>
      <c r="AB323" s="65" t="str">
        <f t="shared" si="18"/>
        <v>No</v>
      </c>
      <c r="AC323" s="65" t="str">
        <f>IFERROR(VLOOKUP(X323,LK_LocationMaster!$D$4:$H$157,5,FALSE()),"No")</f>
        <v>Yes</v>
      </c>
      <c r="AD323" s="59" t="s">
        <v>3735</v>
      </c>
      <c r="AE323" s="59" t="s">
        <v>3629</v>
      </c>
      <c r="AF323" s="59" t="s">
        <v>915</v>
      </c>
      <c r="AG323" s="59" t="s">
        <v>312</v>
      </c>
      <c r="AH323" s="59" t="s">
        <v>3736</v>
      </c>
      <c r="AI323" s="59" t="s">
        <v>285</v>
      </c>
      <c r="AJ323" s="59" t="s">
        <v>833</v>
      </c>
      <c r="AK323" s="59" t="s">
        <v>1550</v>
      </c>
      <c r="AL323" s="64" t="str">
        <f>IFERROR(INDEX(LK_BankMaster!$D$4:$D$23,MATCH(AJ323&amp;"|"&amp;AK323,LK_BankMaster!$H$4:$H$23,0)),"")</f>
        <v/>
      </c>
      <c r="AM323" s="59" t="s">
        <v>3737</v>
      </c>
      <c r="AN323" s="64" t="str">
        <f>IFERROR(VLOOKUP(AJ323,LK_BankMaster!$A$4:$E$23,5,FALSE()),"")</f>
        <v/>
      </c>
      <c r="AO323" s="59" t="s">
        <v>291</v>
      </c>
      <c r="AP323" s="66">
        <v>0</v>
      </c>
      <c r="AQ323" s="64" t="str">
        <f t="shared" si="19"/>
        <v>Position Allowance - General Staff</v>
      </c>
      <c r="AR323" s="65" t="str">
        <f>IFERROR(VLOOKUP(T323,LK_OrgMaster!$B$4:$G$89,6,FALSE()),"No")</f>
        <v>No</v>
      </c>
      <c r="AS323" s="64" t="str">
        <f>IFERROR(VLOOKUP(T323,LK_OrgMaster!$B$4:$H$89,7,FALSE()),"None")</f>
        <v>None</v>
      </c>
      <c r="AT323" s="70">
        <v>33761</v>
      </c>
      <c r="AU323" s="70"/>
      <c r="AV323" s="70">
        <v>33761</v>
      </c>
      <c r="AW323" s="70">
        <v>46023</v>
      </c>
      <c r="AX323" s="71" t="s">
        <v>750</v>
      </c>
      <c r="AY323" s="72" t="s">
        <v>6260</v>
      </c>
    </row>
    <row r="324" spans="1:51" ht="15" customHeight="1" x14ac:dyDescent="0.3">
      <c r="A324" s="59" t="s">
        <v>3738</v>
      </c>
      <c r="B324" s="59" t="s">
        <v>729</v>
      </c>
      <c r="C324" s="59" t="s">
        <v>1016</v>
      </c>
      <c r="D324" s="59" t="s">
        <v>907</v>
      </c>
      <c r="E324" s="59" t="s">
        <v>732</v>
      </c>
      <c r="F324" s="60">
        <v>31512</v>
      </c>
      <c r="G324" s="59" t="s">
        <v>3739</v>
      </c>
      <c r="H324" s="59" t="s">
        <v>3740</v>
      </c>
      <c r="I324" s="60">
        <v>35874</v>
      </c>
      <c r="J324" s="61">
        <f t="shared" ref="J324:J387" ca="1" si="20">IFERROR(DATEDIF(I324,TODAY(),"Y"),0)</f>
        <v>27</v>
      </c>
      <c r="K324" s="62">
        <f t="shared" ref="K324:K387" si="21">IFERROR(DATE(YEAR(F324)+60,MONTH(F324),DAY(F324)),"")</f>
        <v>53427</v>
      </c>
      <c r="L324" s="59" t="s">
        <v>735</v>
      </c>
      <c r="M324" s="59" t="s">
        <v>1454</v>
      </c>
      <c r="N324" s="59" t="s">
        <v>737</v>
      </c>
      <c r="O324" s="63">
        <v>0</v>
      </c>
      <c r="P324" s="61">
        <f>IFERROR(SUMPRODUCT((LK_GradeDerivation!$A$4:$A$135=N324)*(IF(O324="",0,O324)&gt;=LK_GradeDerivation!$B$4:$B$135)*(IF(O324="",0,O324)&lt;=LK_GradeDerivation!$C$4:$C$135)*LK_GradeDerivation!$D$4:$D$135),1)</f>
        <v>4</v>
      </c>
      <c r="Q324" s="61">
        <f>IFERROR(SUMPRODUCT((LK_GradeDerivation!$A$4:$A$135=N324)*(IF(O324="",0,O324)&gt;=LK_GradeDerivation!$B$4:$B$135)*(IF(O324="",0,O324)&lt;=LK_GradeDerivation!$C$4:$C$135)*LK_GradeDerivation!$E$4:$E$135),1)</f>
        <v>1</v>
      </c>
      <c r="R324" s="59" t="s">
        <v>3741</v>
      </c>
      <c r="S324" s="59" t="s">
        <v>3742</v>
      </c>
      <c r="T324" s="59" t="s">
        <v>740</v>
      </c>
      <c r="U324" s="59" t="s">
        <v>1154</v>
      </c>
      <c r="V324" s="59" t="s">
        <v>1864</v>
      </c>
      <c r="W324" s="59" t="s">
        <v>285</v>
      </c>
      <c r="X324" s="59" t="s">
        <v>544</v>
      </c>
      <c r="Y324" s="59" t="s">
        <v>548</v>
      </c>
      <c r="Z324" s="64" t="str">
        <f>IFERROR(VLOOKUP(T324,LK_OrgMaster!$B$4:$H$89,5,FALSE()),"Administration")</f>
        <v>Teacher</v>
      </c>
      <c r="AA324" s="65" t="str">
        <f>IFERROR(VLOOKUP(X324,LK_LocationMaster!$D$4:$G$157,4,FALSE()),"No")</f>
        <v>Yes</v>
      </c>
      <c r="AB324" s="65" t="str">
        <f t="shared" ref="AB324:AB387" si="22">IF(W324="Foreign / International","Yes","No")</f>
        <v>No</v>
      </c>
      <c r="AC324" s="65" t="str">
        <f>IFERROR(VLOOKUP(X324,LK_LocationMaster!$D$4:$H$157,5,FALSE()),"No")</f>
        <v>Yes</v>
      </c>
      <c r="AD324" s="59" t="s">
        <v>3743</v>
      </c>
      <c r="AE324" s="59" t="s">
        <v>800</v>
      </c>
      <c r="AF324" s="59" t="s">
        <v>816</v>
      </c>
      <c r="AG324" s="59" t="s">
        <v>391</v>
      </c>
      <c r="AH324" s="59" t="s">
        <v>3744</v>
      </c>
      <c r="AI324" s="59" t="s">
        <v>285</v>
      </c>
      <c r="AJ324" s="59" t="s">
        <v>768</v>
      </c>
      <c r="AK324" s="59" t="s">
        <v>803</v>
      </c>
      <c r="AL324" s="64" t="str">
        <f>IFERROR(INDEX(LK_BankMaster!$D$4:$D$23,MATCH(AJ324&amp;"|"&amp;AK324,LK_BankMaster!$H$4:$H$23,0)),"")</f>
        <v/>
      </c>
      <c r="AM324" s="59" t="s">
        <v>3745</v>
      </c>
      <c r="AN324" s="64" t="str">
        <f>IFERROR(VLOOKUP(AJ324,LK_BankMaster!$A$4:$E$23,5,FALSE()),"")</f>
        <v/>
      </c>
      <c r="AO324" s="59" t="s">
        <v>291</v>
      </c>
      <c r="AP324" s="66">
        <v>0</v>
      </c>
      <c r="AQ324" s="64" t="str">
        <f t="shared" ref="AQ324:AQ387" si="23">IF(ISNUMBER(SEARCH("Deputy Minister",M324)),"Position Allowance - Deputy Minister",IF(AND(ISNUMBER(SEARCH("Minister",M324)),NOT(ISNUMBER(SEARCH("Deputy",M324)))),"Position Allowance - Minister",IF(ISNUMBER(SEARCH("Deputy Director",M324)),"Position Allowance - Deputy Director",IF(AND(ISNUMBER(SEARCH("Director",M324)),NOT(ISNUMBER(SEARCH("Deputy",M324)))),"Position Allowance - Director",IF(ISNUMBER(SEARCH("Division Chief",M324)),"Position Allowance - Division Chief",IF(ISNUMBER(SEARCH("Section Chief",M324)),"Position Allowance - Section Chief","Position Allowance - General Staff"))))))</f>
        <v>Position Allowance - General Staff</v>
      </c>
      <c r="AR324" s="65" t="str">
        <f>IFERROR(VLOOKUP(T324,LK_OrgMaster!$B$4:$G$89,6,FALSE()),"No")</f>
        <v>No</v>
      </c>
      <c r="AS324" s="64" t="str">
        <f>IFERROR(VLOOKUP(T324,LK_OrgMaster!$B$4:$H$89,7,FALSE()),"None")</f>
        <v>Teaching</v>
      </c>
      <c r="AT324" s="67">
        <v>35874</v>
      </c>
      <c r="AU324" s="67"/>
      <c r="AV324" s="67">
        <v>35874</v>
      </c>
      <c r="AW324" s="67">
        <v>46023</v>
      </c>
      <c r="AX324" s="68" t="s">
        <v>750</v>
      </c>
      <c r="AY324" s="69" t="s">
        <v>6260</v>
      </c>
    </row>
    <row r="325" spans="1:51" ht="15" customHeight="1" x14ac:dyDescent="0.3">
      <c r="A325" s="59" t="s">
        <v>3746</v>
      </c>
      <c r="B325" s="59" t="s">
        <v>772</v>
      </c>
      <c r="C325" s="59" t="s">
        <v>973</v>
      </c>
      <c r="D325" s="59" t="s">
        <v>1759</v>
      </c>
      <c r="E325" s="59" t="s">
        <v>775</v>
      </c>
      <c r="F325" s="60">
        <v>30291</v>
      </c>
      <c r="G325" s="59" t="s">
        <v>3747</v>
      </c>
      <c r="H325" s="59" t="s">
        <v>3748</v>
      </c>
      <c r="I325" s="60">
        <v>33315</v>
      </c>
      <c r="J325" s="61">
        <f t="shared" ca="1" si="20"/>
        <v>34</v>
      </c>
      <c r="K325" s="62">
        <f t="shared" si="21"/>
        <v>52206</v>
      </c>
      <c r="L325" s="59" t="s">
        <v>735</v>
      </c>
      <c r="M325" s="59" t="s">
        <v>1407</v>
      </c>
      <c r="N325" s="59" t="s">
        <v>779</v>
      </c>
      <c r="O325" s="63">
        <v>0</v>
      </c>
      <c r="P325" s="61">
        <f>IFERROR(SUMPRODUCT((LK_GradeDerivation!$A$4:$A$135=N325)*(IF(O325="",0,O325)&gt;=LK_GradeDerivation!$B$4:$B$135)*(IF(O325="",0,O325)&lt;=LK_GradeDerivation!$C$4:$C$135)*LK_GradeDerivation!$D$4:$D$135),1)</f>
        <v>2</v>
      </c>
      <c r="Q325" s="61">
        <f>IFERROR(SUMPRODUCT((LK_GradeDerivation!$A$4:$A$135=N325)*(IF(O325="",0,O325)&gt;=LK_GradeDerivation!$B$4:$B$135)*(IF(O325="",0,O325)&lt;=LK_GradeDerivation!$C$4:$C$135)*LK_GradeDerivation!$E$4:$E$135),1)</f>
        <v>1</v>
      </c>
      <c r="R325" s="59" t="s">
        <v>3749</v>
      </c>
      <c r="S325" s="59" t="s">
        <v>3750</v>
      </c>
      <c r="T325" s="59" t="s">
        <v>1023</v>
      </c>
      <c r="U325" s="59" t="s">
        <v>1130</v>
      </c>
      <c r="V325" s="59" t="s">
        <v>763</v>
      </c>
      <c r="W325" s="59" t="s">
        <v>285</v>
      </c>
      <c r="X325" s="59" t="s">
        <v>544</v>
      </c>
      <c r="Y325" s="59" t="s">
        <v>550</v>
      </c>
      <c r="Z325" s="64" t="str">
        <f>IFERROR(VLOOKUP(T325,LK_OrgMaster!$B$4:$H$89,5,FALSE()),"Administration")</f>
        <v>Technical</v>
      </c>
      <c r="AA325" s="65" t="str">
        <f>IFERROR(VLOOKUP(X325,LK_LocationMaster!$D$4:$G$157,4,FALSE()),"No")</f>
        <v>Yes</v>
      </c>
      <c r="AB325" s="65" t="str">
        <f t="shared" si="22"/>
        <v>No</v>
      </c>
      <c r="AC325" s="65" t="str">
        <f>IFERROR(VLOOKUP(X325,LK_LocationMaster!$D$4:$H$157,5,FALSE()),"No")</f>
        <v>Yes</v>
      </c>
      <c r="AD325" s="59" t="s">
        <v>3114</v>
      </c>
      <c r="AE325" s="59" t="s">
        <v>765</v>
      </c>
      <c r="AF325" s="59" t="s">
        <v>786</v>
      </c>
      <c r="AG325" s="59" t="s">
        <v>329</v>
      </c>
      <c r="AH325" s="59" t="s">
        <v>3751</v>
      </c>
      <c r="AI325" s="59" t="s">
        <v>285</v>
      </c>
      <c r="AJ325" s="59" t="s">
        <v>818</v>
      </c>
      <c r="AK325" s="59" t="s">
        <v>944</v>
      </c>
      <c r="AL325" s="64" t="str">
        <f>IFERROR(INDEX(LK_BankMaster!$D$4:$D$23,MATCH(AJ325&amp;"|"&amp;AK325,LK_BankMaster!$H$4:$H$23,0)),"")</f>
        <v/>
      </c>
      <c r="AM325" s="59" t="s">
        <v>3752</v>
      </c>
      <c r="AN325" s="64" t="str">
        <f>IFERROR(VLOOKUP(AJ325,LK_BankMaster!$A$4:$E$23,5,FALSE()),"")</f>
        <v/>
      </c>
      <c r="AO325" s="59" t="s">
        <v>314</v>
      </c>
      <c r="AP325" s="66">
        <v>3</v>
      </c>
      <c r="AQ325" s="64" t="str">
        <f t="shared" si="23"/>
        <v>Position Allowance - General Staff</v>
      </c>
      <c r="AR325" s="65" t="str">
        <f>IFERROR(VLOOKUP(T325,LK_OrgMaster!$B$4:$G$89,6,FALSE()),"No")</f>
        <v>No</v>
      </c>
      <c r="AS325" s="64" t="str">
        <f>IFERROR(VLOOKUP(T325,LK_OrgMaster!$B$4:$H$89,7,FALSE()),"None")</f>
        <v>None</v>
      </c>
      <c r="AT325" s="70">
        <v>33315</v>
      </c>
      <c r="AU325" s="70"/>
      <c r="AV325" s="70">
        <v>33315</v>
      </c>
      <c r="AW325" s="70">
        <v>46023</v>
      </c>
      <c r="AX325" s="71" t="s">
        <v>750</v>
      </c>
      <c r="AY325" s="72" t="s">
        <v>6260</v>
      </c>
    </row>
    <row r="326" spans="1:51" ht="15" customHeight="1" x14ac:dyDescent="0.3">
      <c r="A326" s="59" t="s">
        <v>3753</v>
      </c>
      <c r="B326" s="59" t="s">
        <v>729</v>
      </c>
      <c r="C326" s="59" t="s">
        <v>2042</v>
      </c>
      <c r="D326" s="59" t="s">
        <v>1331</v>
      </c>
      <c r="E326" s="59" t="s">
        <v>732</v>
      </c>
      <c r="F326" s="60">
        <v>28401</v>
      </c>
      <c r="G326" s="59" t="s">
        <v>3754</v>
      </c>
      <c r="H326" s="59" t="s">
        <v>3755</v>
      </c>
      <c r="I326" s="60">
        <v>34475</v>
      </c>
      <c r="J326" s="61">
        <f t="shared" ca="1" si="20"/>
        <v>31</v>
      </c>
      <c r="K326" s="62">
        <f t="shared" si="21"/>
        <v>50316</v>
      </c>
      <c r="L326" s="59" t="s">
        <v>735</v>
      </c>
      <c r="M326" s="59" t="s">
        <v>757</v>
      </c>
      <c r="N326" s="59" t="s">
        <v>758</v>
      </c>
      <c r="O326" s="63">
        <v>0</v>
      </c>
      <c r="P326" s="61">
        <f>IFERROR(SUMPRODUCT((LK_GradeDerivation!$A$4:$A$135=N326)*(IF(O326="",0,O326)&gt;=LK_GradeDerivation!$B$4:$B$135)*(IF(O326="",0,O326)&lt;=LK_GradeDerivation!$C$4:$C$135)*LK_GradeDerivation!$D$4:$D$135),1)</f>
        <v>5</v>
      </c>
      <c r="Q326" s="61">
        <f>IFERROR(SUMPRODUCT((LK_GradeDerivation!$A$4:$A$135=N326)*(IF(O326="",0,O326)&gt;=LK_GradeDerivation!$B$4:$B$135)*(IF(O326="",0,O326)&lt;=LK_GradeDerivation!$C$4:$C$135)*LK_GradeDerivation!$E$4:$E$135),1)</f>
        <v>1</v>
      </c>
      <c r="R326" s="59" t="s">
        <v>3756</v>
      </c>
      <c r="S326" s="59" t="s">
        <v>3757</v>
      </c>
      <c r="T326" s="59" t="s">
        <v>1035</v>
      </c>
      <c r="U326" s="59" t="s">
        <v>1597</v>
      </c>
      <c r="V326" s="59" t="s">
        <v>2251</v>
      </c>
      <c r="W326" s="59" t="s">
        <v>285</v>
      </c>
      <c r="X326" s="59" t="s">
        <v>312</v>
      </c>
      <c r="Y326" s="59" t="s">
        <v>312</v>
      </c>
      <c r="Z326" s="64" t="str">
        <f>IFERROR(VLOOKUP(T326,LK_OrgMaster!$B$4:$H$89,5,FALSE()),"Administration")</f>
        <v>Administration</v>
      </c>
      <c r="AA326" s="65" t="str">
        <f>IFERROR(VLOOKUP(X326,LK_LocationMaster!$D$4:$G$157,4,FALSE()),"No")</f>
        <v>Yes</v>
      </c>
      <c r="AB326" s="65" t="str">
        <f t="shared" si="22"/>
        <v>No</v>
      </c>
      <c r="AC326" s="65" t="str">
        <f>IFERROR(VLOOKUP(X326,LK_LocationMaster!$D$4:$H$157,5,FALSE()),"No")</f>
        <v>No</v>
      </c>
      <c r="AD326" s="59" t="s">
        <v>3758</v>
      </c>
      <c r="AE326" s="59" t="s">
        <v>800</v>
      </c>
      <c r="AF326" s="59" t="s">
        <v>901</v>
      </c>
      <c r="AG326" s="59" t="s">
        <v>368</v>
      </c>
      <c r="AH326" s="59" t="s">
        <v>3759</v>
      </c>
      <c r="AI326" s="59" t="s">
        <v>285</v>
      </c>
      <c r="AJ326" s="59" t="s">
        <v>818</v>
      </c>
      <c r="AK326" s="59" t="s">
        <v>819</v>
      </c>
      <c r="AL326" s="64" t="str">
        <f>IFERROR(INDEX(LK_BankMaster!$D$4:$D$23,MATCH(AJ326&amp;"|"&amp;AK326,LK_BankMaster!$H$4:$H$23,0)),"")</f>
        <v/>
      </c>
      <c r="AM326" s="59" t="s">
        <v>3760</v>
      </c>
      <c r="AN326" s="64" t="str">
        <f>IFERROR(VLOOKUP(AJ326,LK_BankMaster!$A$4:$E$23,5,FALSE()),"")</f>
        <v/>
      </c>
      <c r="AO326" s="59" t="s">
        <v>291</v>
      </c>
      <c r="AP326" s="66">
        <v>0</v>
      </c>
      <c r="AQ326" s="64" t="str">
        <f t="shared" si="23"/>
        <v>Position Allowance - General Staff</v>
      </c>
      <c r="AR326" s="65" t="str">
        <f>IFERROR(VLOOKUP(T326,LK_OrgMaster!$B$4:$G$89,6,FALSE()),"No")</f>
        <v>No</v>
      </c>
      <c r="AS326" s="64" t="str">
        <f>IFERROR(VLOOKUP(T326,LK_OrgMaster!$B$4:$H$89,7,FALSE()),"None")</f>
        <v>None</v>
      </c>
      <c r="AT326" s="67">
        <v>34475</v>
      </c>
      <c r="AU326" s="67"/>
      <c r="AV326" s="67">
        <v>34475</v>
      </c>
      <c r="AW326" s="67">
        <v>46023</v>
      </c>
      <c r="AX326" s="68" t="s">
        <v>750</v>
      </c>
      <c r="AY326" s="69" t="s">
        <v>6260</v>
      </c>
    </row>
    <row r="327" spans="1:51" ht="15" customHeight="1" x14ac:dyDescent="0.3">
      <c r="A327" s="59" t="s">
        <v>3761</v>
      </c>
      <c r="B327" s="59" t="s">
        <v>752</v>
      </c>
      <c r="C327" s="59" t="s">
        <v>2408</v>
      </c>
      <c r="D327" s="59" t="s">
        <v>807</v>
      </c>
      <c r="E327" s="59" t="s">
        <v>732</v>
      </c>
      <c r="F327" s="60">
        <v>28799</v>
      </c>
      <c r="G327" s="59" t="s">
        <v>3762</v>
      </c>
      <c r="H327" s="59" t="s">
        <v>3763</v>
      </c>
      <c r="I327" s="60">
        <v>45648</v>
      </c>
      <c r="J327" s="61">
        <f t="shared" ca="1" si="20"/>
        <v>1</v>
      </c>
      <c r="K327" s="62">
        <f t="shared" si="21"/>
        <v>50714</v>
      </c>
      <c r="L327" s="59" t="s">
        <v>735</v>
      </c>
      <c r="M327" s="59" t="s">
        <v>3764</v>
      </c>
      <c r="N327" s="59" t="s">
        <v>779</v>
      </c>
      <c r="O327" s="63">
        <v>25</v>
      </c>
      <c r="P327" s="61">
        <f>IFERROR(SUMPRODUCT((LK_GradeDerivation!$A$4:$A$135=N327)*(IF(O327="",0,O327)&gt;=LK_GradeDerivation!$B$4:$B$135)*(IF(O327="",0,O327)&lt;=LK_GradeDerivation!$C$4:$C$135)*LK_GradeDerivation!$D$4:$D$135),1)</f>
        <v>2</v>
      </c>
      <c r="Q327" s="61">
        <f>IFERROR(SUMPRODUCT((LK_GradeDerivation!$A$4:$A$135=N327)*(IF(O327="",0,O327)&gt;=LK_GradeDerivation!$B$4:$B$135)*(IF(O327="",0,O327)&lt;=LK_GradeDerivation!$C$4:$C$135)*LK_GradeDerivation!$E$4:$E$135),1)</f>
        <v>13</v>
      </c>
      <c r="R327" s="59" t="s">
        <v>3765</v>
      </c>
      <c r="S327" s="59" t="s">
        <v>3766</v>
      </c>
      <c r="T327" s="59" t="s">
        <v>1084</v>
      </c>
      <c r="U327" s="59" t="s">
        <v>1085</v>
      </c>
      <c r="V327" s="59" t="s">
        <v>763</v>
      </c>
      <c r="W327" s="59" t="s">
        <v>285</v>
      </c>
      <c r="X327" s="59" t="s">
        <v>544</v>
      </c>
      <c r="Y327" s="59" t="s">
        <v>548</v>
      </c>
      <c r="Z327" s="64" t="str">
        <f>IFERROR(VLOOKUP(T327,LK_OrgMaster!$B$4:$H$89,5,FALSE()),"Administration")</f>
        <v>Finance</v>
      </c>
      <c r="AA327" s="65" t="str">
        <f>IFERROR(VLOOKUP(X327,LK_LocationMaster!$D$4:$G$157,4,FALSE()),"No")</f>
        <v>Yes</v>
      </c>
      <c r="AB327" s="65" t="str">
        <f t="shared" si="22"/>
        <v>No</v>
      </c>
      <c r="AC327" s="65" t="str">
        <f>IFERROR(VLOOKUP(X327,LK_LocationMaster!$D$4:$H$157,5,FALSE()),"No")</f>
        <v>Yes</v>
      </c>
      <c r="AD327" s="59" t="s">
        <v>3767</v>
      </c>
      <c r="AE327" s="59" t="s">
        <v>800</v>
      </c>
      <c r="AF327" s="59" t="s">
        <v>816</v>
      </c>
      <c r="AG327" s="59" t="s">
        <v>312</v>
      </c>
      <c r="AH327" s="59" t="s">
        <v>3768</v>
      </c>
      <c r="AI327" s="59" t="s">
        <v>285</v>
      </c>
      <c r="AJ327" s="59" t="s">
        <v>768</v>
      </c>
      <c r="AK327" s="59" t="s">
        <v>1122</v>
      </c>
      <c r="AL327" s="64" t="str">
        <f>IFERROR(INDEX(LK_BankMaster!$D$4:$D$23,MATCH(AJ327&amp;"|"&amp;AK327,LK_BankMaster!$H$4:$H$23,0)),"")</f>
        <v/>
      </c>
      <c r="AM327" s="59" t="s">
        <v>3769</v>
      </c>
      <c r="AN327" s="64" t="str">
        <f>IFERROR(VLOOKUP(AJ327,LK_BankMaster!$A$4:$E$23,5,FALSE()),"")</f>
        <v/>
      </c>
      <c r="AO327" s="59" t="s">
        <v>314</v>
      </c>
      <c r="AP327" s="66">
        <v>1</v>
      </c>
      <c r="AQ327" s="64" t="str">
        <f t="shared" si="23"/>
        <v>Position Allowance - General Staff</v>
      </c>
      <c r="AR327" s="65" t="str">
        <f>IFERROR(VLOOKUP(T327,LK_OrgMaster!$B$4:$G$89,6,FALSE()),"No")</f>
        <v>No</v>
      </c>
      <c r="AS327" s="64" t="str">
        <f>IFERROR(VLOOKUP(T327,LK_OrgMaster!$B$4:$H$89,7,FALSE()),"None")</f>
        <v>None</v>
      </c>
      <c r="AT327" s="70">
        <v>45648</v>
      </c>
      <c r="AU327" s="70"/>
      <c r="AV327" s="70">
        <v>45648</v>
      </c>
      <c r="AW327" s="70">
        <v>46023</v>
      </c>
      <c r="AX327" s="71" t="s">
        <v>750</v>
      </c>
      <c r="AY327" s="72" t="s">
        <v>6260</v>
      </c>
    </row>
    <row r="328" spans="1:51" ht="15" customHeight="1" x14ac:dyDescent="0.3">
      <c r="A328" s="59" t="s">
        <v>3770</v>
      </c>
      <c r="B328" s="59" t="s">
        <v>772</v>
      </c>
      <c r="C328" s="59" t="s">
        <v>1806</v>
      </c>
      <c r="D328" s="59" t="s">
        <v>2375</v>
      </c>
      <c r="E328" s="59" t="s">
        <v>775</v>
      </c>
      <c r="F328" s="60">
        <v>28487</v>
      </c>
      <c r="G328" s="59" t="s">
        <v>3771</v>
      </c>
      <c r="H328" s="59" t="s">
        <v>3772</v>
      </c>
      <c r="I328" s="60">
        <v>39065</v>
      </c>
      <c r="J328" s="61">
        <f t="shared" ca="1" si="20"/>
        <v>19</v>
      </c>
      <c r="K328" s="62">
        <f t="shared" si="21"/>
        <v>50402</v>
      </c>
      <c r="L328" s="59" t="s">
        <v>735</v>
      </c>
      <c r="M328" s="59" t="s">
        <v>1483</v>
      </c>
      <c r="N328" s="59" t="s">
        <v>737</v>
      </c>
      <c r="O328" s="63">
        <v>6</v>
      </c>
      <c r="P328" s="61">
        <f>IFERROR(SUMPRODUCT((LK_GradeDerivation!$A$4:$A$135=N328)*(IF(O328="",0,O328)&gt;=LK_GradeDerivation!$B$4:$B$135)*(IF(O328="",0,O328)&lt;=LK_GradeDerivation!$C$4:$C$135)*LK_GradeDerivation!$D$4:$D$135),1)</f>
        <v>4</v>
      </c>
      <c r="Q328" s="61">
        <f>IFERROR(SUMPRODUCT((LK_GradeDerivation!$A$4:$A$135=N328)*(IF(O328="",0,O328)&gt;=LK_GradeDerivation!$B$4:$B$135)*(IF(O328="",0,O328)&lt;=LK_GradeDerivation!$C$4:$C$135)*LK_GradeDerivation!$E$4:$E$135),1)</f>
        <v>4</v>
      </c>
      <c r="R328" s="59" t="s">
        <v>3773</v>
      </c>
      <c r="S328" s="59" t="s">
        <v>3774</v>
      </c>
      <c r="T328" s="59" t="s">
        <v>1096</v>
      </c>
      <c r="U328" s="59" t="s">
        <v>1229</v>
      </c>
      <c r="V328" s="59" t="s">
        <v>763</v>
      </c>
      <c r="W328" s="59" t="s">
        <v>285</v>
      </c>
      <c r="X328" s="59" t="s">
        <v>429</v>
      </c>
      <c r="Y328" s="59" t="s">
        <v>433</v>
      </c>
      <c r="Z328" s="64" t="str">
        <f>IFERROR(VLOOKUP(T328,LK_OrgMaster!$B$4:$H$89,5,FALSE()),"Administration")</f>
        <v>Administration</v>
      </c>
      <c r="AA328" s="65" t="str">
        <f>IFERROR(VLOOKUP(X328,LK_LocationMaster!$D$4:$G$157,4,FALSE()),"No")</f>
        <v>Yes</v>
      </c>
      <c r="AB328" s="65" t="str">
        <f t="shared" si="22"/>
        <v>No</v>
      </c>
      <c r="AC328" s="65" t="str">
        <f>IFERROR(VLOOKUP(X328,LK_LocationMaster!$D$4:$H$157,5,FALSE()),"No")</f>
        <v>Yes</v>
      </c>
      <c r="AD328" s="59" t="s">
        <v>3775</v>
      </c>
      <c r="AE328" s="59" t="s">
        <v>930</v>
      </c>
      <c r="AF328" s="59" t="s">
        <v>816</v>
      </c>
      <c r="AG328" s="59" t="s">
        <v>408</v>
      </c>
      <c r="AH328" s="59" t="s">
        <v>3776</v>
      </c>
      <c r="AI328" s="59" t="s">
        <v>285</v>
      </c>
      <c r="AJ328" s="59" t="s">
        <v>768</v>
      </c>
      <c r="AK328" s="59" t="s">
        <v>1122</v>
      </c>
      <c r="AL328" s="64" t="str">
        <f>IFERROR(INDEX(LK_BankMaster!$D$4:$D$23,MATCH(AJ328&amp;"|"&amp;AK328,LK_BankMaster!$H$4:$H$23,0)),"")</f>
        <v/>
      </c>
      <c r="AM328" s="59" t="s">
        <v>3777</v>
      </c>
      <c r="AN328" s="64" t="str">
        <f>IFERROR(VLOOKUP(AJ328,LK_BankMaster!$A$4:$E$23,5,FALSE()),"")</f>
        <v/>
      </c>
      <c r="AO328" s="59" t="s">
        <v>314</v>
      </c>
      <c r="AP328" s="66">
        <v>2</v>
      </c>
      <c r="AQ328" s="64" t="str">
        <f t="shared" si="23"/>
        <v>Position Allowance - General Staff</v>
      </c>
      <c r="AR328" s="65" t="str">
        <f>IFERROR(VLOOKUP(T328,LK_OrgMaster!$B$4:$G$89,6,FALSE()),"No")</f>
        <v>No</v>
      </c>
      <c r="AS328" s="64" t="str">
        <f>IFERROR(VLOOKUP(T328,LK_OrgMaster!$B$4:$H$89,7,FALSE()),"None")</f>
        <v>None</v>
      </c>
      <c r="AT328" s="67">
        <v>39065</v>
      </c>
      <c r="AU328" s="67"/>
      <c r="AV328" s="67">
        <v>39065</v>
      </c>
      <c r="AW328" s="67">
        <v>46023</v>
      </c>
      <c r="AX328" s="68" t="s">
        <v>750</v>
      </c>
      <c r="AY328" s="69" t="s">
        <v>6260</v>
      </c>
    </row>
    <row r="329" spans="1:51" ht="15" customHeight="1" x14ac:dyDescent="0.3">
      <c r="A329" s="59" t="s">
        <v>3778</v>
      </c>
      <c r="B329" s="59" t="s">
        <v>729</v>
      </c>
      <c r="C329" s="59" t="s">
        <v>1975</v>
      </c>
      <c r="D329" s="59" t="s">
        <v>947</v>
      </c>
      <c r="E329" s="59" t="s">
        <v>732</v>
      </c>
      <c r="F329" s="60">
        <v>34216</v>
      </c>
      <c r="G329" s="59" t="s">
        <v>3779</v>
      </c>
      <c r="H329" s="59" t="s">
        <v>3780</v>
      </c>
      <c r="I329" s="60">
        <v>41492</v>
      </c>
      <c r="J329" s="61">
        <f t="shared" ca="1" si="20"/>
        <v>12</v>
      </c>
      <c r="K329" s="62">
        <f t="shared" si="21"/>
        <v>56131</v>
      </c>
      <c r="L329" s="59" t="s">
        <v>735</v>
      </c>
      <c r="M329" s="59" t="s">
        <v>1988</v>
      </c>
      <c r="N329" s="59" t="s">
        <v>737</v>
      </c>
      <c r="O329" s="63">
        <v>0</v>
      </c>
      <c r="P329" s="61">
        <f>IFERROR(SUMPRODUCT((LK_GradeDerivation!$A$4:$A$135=N329)*(IF(O329="",0,O329)&gt;=LK_GradeDerivation!$B$4:$B$135)*(IF(O329="",0,O329)&lt;=LK_GradeDerivation!$C$4:$C$135)*LK_GradeDerivation!$D$4:$D$135),1)</f>
        <v>4</v>
      </c>
      <c r="Q329" s="61">
        <f>IFERROR(SUMPRODUCT((LK_GradeDerivation!$A$4:$A$135=N329)*(IF(O329="",0,O329)&gt;=LK_GradeDerivation!$B$4:$B$135)*(IF(O329="",0,O329)&lt;=LK_GradeDerivation!$C$4:$C$135)*LK_GradeDerivation!$E$4:$E$135),1)</f>
        <v>1</v>
      </c>
      <c r="R329" s="59" t="s">
        <v>3781</v>
      </c>
      <c r="S329" s="59" t="s">
        <v>3782</v>
      </c>
      <c r="T329" s="59" t="s">
        <v>782</v>
      </c>
      <c r="U329" s="59" t="s">
        <v>1772</v>
      </c>
      <c r="V329" s="59" t="s">
        <v>1915</v>
      </c>
      <c r="W329" s="59" t="s">
        <v>285</v>
      </c>
      <c r="X329" s="59" t="s">
        <v>391</v>
      </c>
      <c r="Y329" s="59" t="s">
        <v>396</v>
      </c>
      <c r="Z329" s="64" t="str">
        <f>IFERROR(VLOOKUP(T329,LK_OrgMaster!$B$4:$H$89,5,FALSE()),"Administration")</f>
        <v>Medical</v>
      </c>
      <c r="AA329" s="65" t="str">
        <f>IFERROR(VLOOKUP(X329,LK_LocationMaster!$D$4:$G$157,4,FALSE()),"No")</f>
        <v>Yes</v>
      </c>
      <c r="AB329" s="65" t="str">
        <f t="shared" si="22"/>
        <v>No</v>
      </c>
      <c r="AC329" s="65" t="str">
        <f>IFERROR(VLOOKUP(X329,LK_LocationMaster!$D$4:$H$157,5,FALSE()),"No")</f>
        <v>Yes</v>
      </c>
      <c r="AD329" s="59" t="s">
        <v>2998</v>
      </c>
      <c r="AE329" s="59" t="s">
        <v>930</v>
      </c>
      <c r="AF329" s="59" t="s">
        <v>786</v>
      </c>
      <c r="AG329" s="59" t="s">
        <v>408</v>
      </c>
      <c r="AH329" s="59" t="s">
        <v>3783</v>
      </c>
      <c r="AI329" s="59" t="s">
        <v>285</v>
      </c>
      <c r="AJ329" s="59" t="s">
        <v>833</v>
      </c>
      <c r="AK329" s="59" t="s">
        <v>1550</v>
      </c>
      <c r="AL329" s="64" t="str">
        <f>IFERROR(INDEX(LK_BankMaster!$D$4:$D$23,MATCH(AJ329&amp;"|"&amp;AK329,LK_BankMaster!$H$4:$H$23,0)),"")</f>
        <v/>
      </c>
      <c r="AM329" s="59" t="s">
        <v>3784</v>
      </c>
      <c r="AN329" s="64" t="str">
        <f>IFERROR(VLOOKUP(AJ329,LK_BankMaster!$A$4:$E$23,5,FALSE()),"")</f>
        <v/>
      </c>
      <c r="AO329" s="59" t="s">
        <v>314</v>
      </c>
      <c r="AP329" s="66">
        <v>1</v>
      </c>
      <c r="AQ329" s="64" t="str">
        <f t="shared" si="23"/>
        <v>Position Allowance - General Staff</v>
      </c>
      <c r="AR329" s="65" t="str">
        <f>IFERROR(VLOOKUP(T329,LK_OrgMaster!$B$4:$G$89,6,FALSE()),"No")</f>
        <v>No</v>
      </c>
      <c r="AS329" s="64" t="str">
        <f>IFERROR(VLOOKUP(T329,LK_OrgMaster!$B$4:$H$89,7,FALSE()),"None")</f>
        <v>Medical</v>
      </c>
      <c r="AT329" s="70">
        <v>41492</v>
      </c>
      <c r="AU329" s="70"/>
      <c r="AV329" s="70">
        <v>41492</v>
      </c>
      <c r="AW329" s="70">
        <v>46023</v>
      </c>
      <c r="AX329" s="71" t="s">
        <v>750</v>
      </c>
      <c r="AY329" s="72" t="s">
        <v>6260</v>
      </c>
    </row>
    <row r="330" spans="1:51" ht="15" customHeight="1" x14ac:dyDescent="0.3">
      <c r="A330" s="59" t="s">
        <v>3785</v>
      </c>
      <c r="B330" s="59" t="s">
        <v>752</v>
      </c>
      <c r="C330" s="59" t="s">
        <v>1417</v>
      </c>
      <c r="D330" s="59" t="s">
        <v>1418</v>
      </c>
      <c r="E330" s="59" t="s">
        <v>732</v>
      </c>
      <c r="F330" s="60">
        <v>31444</v>
      </c>
      <c r="G330" s="59" t="s">
        <v>1419</v>
      </c>
      <c r="H330" s="59" t="s">
        <v>3786</v>
      </c>
      <c r="I330" s="60">
        <v>34933</v>
      </c>
      <c r="J330" s="61">
        <f t="shared" ca="1" si="20"/>
        <v>30</v>
      </c>
      <c r="K330" s="62">
        <f t="shared" si="21"/>
        <v>53359</v>
      </c>
      <c r="L330" s="59" t="s">
        <v>735</v>
      </c>
      <c r="M330" s="59" t="s">
        <v>1115</v>
      </c>
      <c r="N330" s="59" t="s">
        <v>737</v>
      </c>
      <c r="O330" s="63">
        <v>0</v>
      </c>
      <c r="P330" s="61">
        <f>IFERROR(SUMPRODUCT((LK_GradeDerivation!$A$4:$A$135=N330)*(IF(O330="",0,O330)&gt;=LK_GradeDerivation!$B$4:$B$135)*(IF(O330="",0,O330)&lt;=LK_GradeDerivation!$C$4:$C$135)*LK_GradeDerivation!$D$4:$D$135),1)</f>
        <v>4</v>
      </c>
      <c r="Q330" s="61">
        <f>IFERROR(SUMPRODUCT((LK_GradeDerivation!$A$4:$A$135=N330)*(IF(O330="",0,O330)&gt;=LK_GradeDerivation!$B$4:$B$135)*(IF(O330="",0,O330)&lt;=LK_GradeDerivation!$C$4:$C$135)*LK_GradeDerivation!$E$4:$E$135),1)</f>
        <v>1</v>
      </c>
      <c r="R330" s="59" t="s">
        <v>3787</v>
      </c>
      <c r="S330" s="59" t="s">
        <v>3788</v>
      </c>
      <c r="T330" s="59" t="s">
        <v>1118</v>
      </c>
      <c r="U330" s="59" t="s">
        <v>1874</v>
      </c>
      <c r="V330" s="59" t="s">
        <v>3789</v>
      </c>
      <c r="W330" s="59" t="s">
        <v>598</v>
      </c>
      <c r="X330" s="59" t="s">
        <v>601</v>
      </c>
      <c r="Y330" s="59" t="s">
        <v>1180</v>
      </c>
      <c r="Z330" s="64" t="str">
        <f>IFERROR(VLOOKUP(T330,LK_OrgMaster!$B$4:$H$89,5,FALSE()),"Administration")</f>
        <v>Diplomatic</v>
      </c>
      <c r="AA330" s="65" t="str">
        <f>IFERROR(VLOOKUP(X330,LK_LocationMaster!$D$4:$G$157,4,FALSE()),"No")</f>
        <v>No</v>
      </c>
      <c r="AB330" s="65" t="str">
        <f t="shared" si="22"/>
        <v>Yes</v>
      </c>
      <c r="AC330" s="65" t="str">
        <f>IFERROR(VLOOKUP(X330,LK_LocationMaster!$D$4:$H$157,5,FALSE()),"No")</f>
        <v>No</v>
      </c>
      <c r="AD330" s="59" t="s">
        <v>3790</v>
      </c>
      <c r="AE330" s="59" t="s">
        <v>800</v>
      </c>
      <c r="AF330" s="59" t="s">
        <v>901</v>
      </c>
      <c r="AG330" s="59" t="s">
        <v>356</v>
      </c>
      <c r="AH330" s="59" t="s">
        <v>3791</v>
      </c>
      <c r="AI330" s="59" t="s">
        <v>285</v>
      </c>
      <c r="AJ330" s="59" t="s">
        <v>747</v>
      </c>
      <c r="AK330" s="59" t="s">
        <v>748</v>
      </c>
      <c r="AL330" s="64" t="str">
        <f>IFERROR(INDEX(LK_BankMaster!$D$4:$D$23,MATCH(AJ330&amp;"|"&amp;AK330,LK_BankMaster!$H$4:$H$23,0)),"")</f>
        <v/>
      </c>
      <c r="AM330" s="59" t="s">
        <v>3792</v>
      </c>
      <c r="AN330" s="64" t="str">
        <f>IFERROR(VLOOKUP(AJ330,LK_BankMaster!$A$4:$E$23,5,FALSE()),"")</f>
        <v/>
      </c>
      <c r="AO330" s="59" t="s">
        <v>314</v>
      </c>
      <c r="AP330" s="66">
        <v>0</v>
      </c>
      <c r="AQ330" s="64" t="str">
        <f t="shared" si="23"/>
        <v>Position Allowance - General Staff</v>
      </c>
      <c r="AR330" s="65" t="str">
        <f>IFERROR(VLOOKUP(T330,LK_OrgMaster!$B$4:$G$89,6,FALSE()),"No")</f>
        <v>No</v>
      </c>
      <c r="AS330" s="64" t="str">
        <f>IFERROR(VLOOKUP(T330,LK_OrgMaster!$B$4:$H$89,7,FALSE()),"None")</f>
        <v>None</v>
      </c>
      <c r="AT330" s="67">
        <v>34933</v>
      </c>
      <c r="AU330" s="67"/>
      <c r="AV330" s="67">
        <v>34933</v>
      </c>
      <c r="AW330" s="67">
        <v>46023</v>
      </c>
      <c r="AX330" s="68" t="s">
        <v>750</v>
      </c>
      <c r="AY330" s="69" t="s">
        <v>6260</v>
      </c>
    </row>
    <row r="331" spans="1:51" ht="15" customHeight="1" x14ac:dyDescent="0.3">
      <c r="A331" s="59" t="s">
        <v>3793</v>
      </c>
      <c r="B331" s="59" t="s">
        <v>729</v>
      </c>
      <c r="C331" s="59" t="s">
        <v>988</v>
      </c>
      <c r="D331" s="59" t="s">
        <v>807</v>
      </c>
      <c r="E331" s="59" t="s">
        <v>732</v>
      </c>
      <c r="F331" s="60">
        <v>35827</v>
      </c>
      <c r="G331" s="59" t="s">
        <v>3794</v>
      </c>
      <c r="H331" s="59" t="s">
        <v>3795</v>
      </c>
      <c r="I331" s="60">
        <v>37798</v>
      </c>
      <c r="J331" s="61">
        <f t="shared" ca="1" si="20"/>
        <v>22</v>
      </c>
      <c r="K331" s="62">
        <f t="shared" si="21"/>
        <v>57742</v>
      </c>
      <c r="L331" s="59" t="s">
        <v>735</v>
      </c>
      <c r="M331" s="59" t="s">
        <v>757</v>
      </c>
      <c r="N331" s="59" t="s">
        <v>758</v>
      </c>
      <c r="O331" s="63">
        <v>0</v>
      </c>
      <c r="P331" s="61">
        <f>IFERROR(SUMPRODUCT((LK_GradeDerivation!$A$4:$A$135=N331)*(IF(O331="",0,O331)&gt;=LK_GradeDerivation!$B$4:$B$135)*(IF(O331="",0,O331)&lt;=LK_GradeDerivation!$C$4:$C$135)*LK_GradeDerivation!$D$4:$D$135),1)</f>
        <v>5</v>
      </c>
      <c r="Q331" s="61">
        <f>IFERROR(SUMPRODUCT((LK_GradeDerivation!$A$4:$A$135=N331)*(IF(O331="",0,O331)&gt;=LK_GradeDerivation!$B$4:$B$135)*(IF(O331="",0,O331)&lt;=LK_GradeDerivation!$C$4:$C$135)*LK_GradeDerivation!$E$4:$E$135),1)</f>
        <v>1</v>
      </c>
      <c r="R331" s="59" t="s">
        <v>3796</v>
      </c>
      <c r="S331" s="59" t="s">
        <v>3797</v>
      </c>
      <c r="T331" s="59" t="s">
        <v>1035</v>
      </c>
      <c r="U331" s="59" t="s">
        <v>953</v>
      </c>
      <c r="V331" s="59" t="s">
        <v>1640</v>
      </c>
      <c r="W331" s="59" t="s">
        <v>285</v>
      </c>
      <c r="X331" s="59" t="s">
        <v>500</v>
      </c>
      <c r="Y331" s="59" t="s">
        <v>523</v>
      </c>
      <c r="Z331" s="64" t="str">
        <f>IFERROR(VLOOKUP(T331,LK_OrgMaster!$B$4:$H$89,5,FALSE()),"Administration")</f>
        <v>Administration</v>
      </c>
      <c r="AA331" s="65" t="str">
        <f>IFERROR(VLOOKUP(X331,LK_LocationMaster!$D$4:$G$157,4,FALSE()),"No")</f>
        <v>No</v>
      </c>
      <c r="AB331" s="65" t="str">
        <f t="shared" si="22"/>
        <v>No</v>
      </c>
      <c r="AC331" s="65" t="str">
        <f>IFERROR(VLOOKUP(X331,LK_LocationMaster!$D$4:$H$157,5,FALSE()),"No")</f>
        <v>Yes</v>
      </c>
      <c r="AD331" s="59" t="s">
        <v>3798</v>
      </c>
      <c r="AE331" s="59" t="s">
        <v>2667</v>
      </c>
      <c r="AF331" s="59" t="s">
        <v>801</v>
      </c>
      <c r="AG331" s="59" t="s">
        <v>340</v>
      </c>
      <c r="AH331" s="59" t="s">
        <v>3799</v>
      </c>
      <c r="AI331" s="59" t="s">
        <v>285</v>
      </c>
      <c r="AJ331" s="59" t="s">
        <v>833</v>
      </c>
      <c r="AK331" s="59" t="s">
        <v>1550</v>
      </c>
      <c r="AL331" s="64" t="str">
        <f>IFERROR(INDEX(LK_BankMaster!$D$4:$D$23,MATCH(AJ331&amp;"|"&amp;AK331,LK_BankMaster!$H$4:$H$23,0)),"")</f>
        <v/>
      </c>
      <c r="AM331" s="59" t="s">
        <v>3800</v>
      </c>
      <c r="AN331" s="64" t="str">
        <f>IFERROR(VLOOKUP(AJ331,LK_BankMaster!$A$4:$E$23,5,FALSE()),"")</f>
        <v/>
      </c>
      <c r="AO331" s="59" t="s">
        <v>314</v>
      </c>
      <c r="AP331" s="66">
        <v>3</v>
      </c>
      <c r="AQ331" s="64" t="str">
        <f t="shared" si="23"/>
        <v>Position Allowance - General Staff</v>
      </c>
      <c r="AR331" s="65" t="str">
        <f>IFERROR(VLOOKUP(T331,LK_OrgMaster!$B$4:$G$89,6,FALSE()),"No")</f>
        <v>No</v>
      </c>
      <c r="AS331" s="64" t="str">
        <f>IFERROR(VLOOKUP(T331,LK_OrgMaster!$B$4:$H$89,7,FALSE()),"None")</f>
        <v>None</v>
      </c>
      <c r="AT331" s="70">
        <v>37798</v>
      </c>
      <c r="AU331" s="70"/>
      <c r="AV331" s="70">
        <v>37798</v>
      </c>
      <c r="AW331" s="70">
        <v>46023</v>
      </c>
      <c r="AX331" s="71" t="s">
        <v>750</v>
      </c>
      <c r="AY331" s="72" t="s">
        <v>6260</v>
      </c>
    </row>
    <row r="332" spans="1:51" ht="15" customHeight="1" x14ac:dyDescent="0.3">
      <c r="A332" s="59" t="s">
        <v>3801</v>
      </c>
      <c r="B332" s="59" t="s">
        <v>851</v>
      </c>
      <c r="C332" s="59" t="s">
        <v>1077</v>
      </c>
      <c r="D332" s="59" t="s">
        <v>1604</v>
      </c>
      <c r="E332" s="59" t="s">
        <v>775</v>
      </c>
      <c r="F332" s="60">
        <v>29811</v>
      </c>
      <c r="G332" s="59" t="s">
        <v>3802</v>
      </c>
      <c r="H332" s="59" t="s">
        <v>3803</v>
      </c>
      <c r="I332" s="60">
        <v>35540</v>
      </c>
      <c r="J332" s="61">
        <f t="shared" ca="1" si="20"/>
        <v>28</v>
      </c>
      <c r="K332" s="62">
        <f t="shared" si="21"/>
        <v>51726</v>
      </c>
      <c r="L332" s="59" t="s">
        <v>735</v>
      </c>
      <c r="M332" s="59" t="s">
        <v>1020</v>
      </c>
      <c r="N332" s="59" t="s">
        <v>737</v>
      </c>
      <c r="O332" s="63">
        <v>0</v>
      </c>
      <c r="P332" s="61">
        <f>IFERROR(SUMPRODUCT((LK_GradeDerivation!$A$4:$A$135=N332)*(IF(O332="",0,O332)&gt;=LK_GradeDerivation!$B$4:$B$135)*(IF(O332="",0,O332)&lt;=LK_GradeDerivation!$C$4:$C$135)*LK_GradeDerivation!$D$4:$D$135),1)</f>
        <v>4</v>
      </c>
      <c r="Q332" s="61">
        <f>IFERROR(SUMPRODUCT((LK_GradeDerivation!$A$4:$A$135=N332)*(IF(O332="",0,O332)&gt;=LK_GradeDerivation!$B$4:$B$135)*(IF(O332="",0,O332)&lt;=LK_GradeDerivation!$C$4:$C$135)*LK_GradeDerivation!$E$4:$E$135),1)</f>
        <v>1</v>
      </c>
      <c r="R332" s="59" t="s">
        <v>3804</v>
      </c>
      <c r="S332" s="59" t="s">
        <v>3805</v>
      </c>
      <c r="T332" s="59" t="s">
        <v>2790</v>
      </c>
      <c r="U332" s="59" t="s">
        <v>1036</v>
      </c>
      <c r="V332" s="59" t="s">
        <v>1764</v>
      </c>
      <c r="W332" s="59" t="s">
        <v>285</v>
      </c>
      <c r="X332" s="59" t="s">
        <v>329</v>
      </c>
      <c r="Y332" s="59" t="s">
        <v>334</v>
      </c>
      <c r="Z332" s="64" t="str">
        <f>IFERROR(VLOOKUP(T332,LK_OrgMaster!$B$4:$H$89,5,FALSE()),"Administration")</f>
        <v>Administration</v>
      </c>
      <c r="AA332" s="65" t="str">
        <f>IFERROR(VLOOKUP(X332,LK_LocationMaster!$D$4:$G$157,4,FALSE()),"No")</f>
        <v>Yes</v>
      </c>
      <c r="AB332" s="65" t="str">
        <f t="shared" si="22"/>
        <v>No</v>
      </c>
      <c r="AC332" s="65" t="str">
        <f>IFERROR(VLOOKUP(X332,LK_LocationMaster!$D$4:$H$157,5,FALSE()),"No")</f>
        <v>No</v>
      </c>
      <c r="AD332" s="59" t="s">
        <v>2243</v>
      </c>
      <c r="AE332" s="59" t="s">
        <v>765</v>
      </c>
      <c r="AF332" s="59" t="s">
        <v>786</v>
      </c>
      <c r="AG332" s="59" t="s">
        <v>391</v>
      </c>
      <c r="AH332" s="59" t="s">
        <v>3806</v>
      </c>
      <c r="AI332" s="59" t="s">
        <v>285</v>
      </c>
      <c r="AJ332" s="59" t="s">
        <v>818</v>
      </c>
      <c r="AK332" s="59" t="s">
        <v>944</v>
      </c>
      <c r="AL332" s="64" t="str">
        <f>IFERROR(INDEX(LK_BankMaster!$D$4:$D$23,MATCH(AJ332&amp;"|"&amp;AK332,LK_BankMaster!$H$4:$H$23,0)),"")</f>
        <v/>
      </c>
      <c r="AM332" s="59" t="s">
        <v>3807</v>
      </c>
      <c r="AN332" s="64" t="str">
        <f>IFERROR(VLOOKUP(AJ332,LK_BankMaster!$A$4:$E$23,5,FALSE()),"")</f>
        <v/>
      </c>
      <c r="AO332" s="59" t="s">
        <v>291</v>
      </c>
      <c r="AP332" s="66">
        <v>0</v>
      </c>
      <c r="AQ332" s="64" t="str">
        <f t="shared" si="23"/>
        <v>Position Allowance - Section Chief</v>
      </c>
      <c r="AR332" s="65" t="str">
        <f>IFERROR(VLOOKUP(T332,LK_OrgMaster!$B$4:$G$89,6,FALSE()),"No")</f>
        <v>No</v>
      </c>
      <c r="AS332" s="64" t="str">
        <f>IFERROR(VLOOKUP(T332,LK_OrgMaster!$B$4:$H$89,7,FALSE()),"None")</f>
        <v>None</v>
      </c>
      <c r="AT332" s="67">
        <v>35540</v>
      </c>
      <c r="AU332" s="67"/>
      <c r="AV332" s="67">
        <v>35540</v>
      </c>
      <c r="AW332" s="67">
        <v>46023</v>
      </c>
      <c r="AX332" s="68" t="s">
        <v>750</v>
      </c>
      <c r="AY332" s="69" t="s">
        <v>6260</v>
      </c>
    </row>
    <row r="333" spans="1:51" ht="15" customHeight="1" x14ac:dyDescent="0.3">
      <c r="A333" s="59" t="s">
        <v>3808</v>
      </c>
      <c r="B333" s="59" t="s">
        <v>772</v>
      </c>
      <c r="C333" s="59" t="s">
        <v>1002</v>
      </c>
      <c r="D333" s="59" t="s">
        <v>1017</v>
      </c>
      <c r="E333" s="59" t="s">
        <v>732</v>
      </c>
      <c r="F333" s="60">
        <v>33560</v>
      </c>
      <c r="G333" s="59" t="s">
        <v>3809</v>
      </c>
      <c r="H333" s="59" t="s">
        <v>3810</v>
      </c>
      <c r="I333" s="60">
        <v>35477</v>
      </c>
      <c r="J333" s="61">
        <f t="shared" ca="1" si="20"/>
        <v>29</v>
      </c>
      <c r="K333" s="62">
        <f t="shared" si="21"/>
        <v>55475</v>
      </c>
      <c r="L333" s="59" t="s">
        <v>735</v>
      </c>
      <c r="M333" s="59" t="s">
        <v>1483</v>
      </c>
      <c r="N333" s="59" t="s">
        <v>1081</v>
      </c>
      <c r="O333" s="63">
        <v>0</v>
      </c>
      <c r="P333" s="61">
        <f>IFERROR(SUMPRODUCT((LK_GradeDerivation!$A$4:$A$135=N333)*(IF(O333="",0,O333)&gt;=LK_GradeDerivation!$B$4:$B$135)*(IF(O333="",0,O333)&lt;=LK_GradeDerivation!$C$4:$C$135)*LK_GradeDerivation!$D$4:$D$135),1)</f>
        <v>3</v>
      </c>
      <c r="Q333" s="61">
        <f>IFERROR(SUMPRODUCT((LK_GradeDerivation!$A$4:$A$135=N333)*(IF(O333="",0,O333)&gt;=LK_GradeDerivation!$B$4:$B$135)*(IF(O333="",0,O333)&lt;=LK_GradeDerivation!$C$4:$C$135)*LK_GradeDerivation!$E$4:$E$135),1)</f>
        <v>1</v>
      </c>
      <c r="R333" s="59" t="s">
        <v>3811</v>
      </c>
      <c r="S333" s="59" t="s">
        <v>3812</v>
      </c>
      <c r="T333" s="59" t="s">
        <v>1096</v>
      </c>
      <c r="U333" s="59" t="s">
        <v>1597</v>
      </c>
      <c r="V333" s="59" t="s">
        <v>1598</v>
      </c>
      <c r="W333" s="59" t="s">
        <v>285</v>
      </c>
      <c r="X333" s="59" t="s">
        <v>391</v>
      </c>
      <c r="Y333" s="59" t="s">
        <v>396</v>
      </c>
      <c r="Z333" s="64" t="str">
        <f>IFERROR(VLOOKUP(T333,LK_OrgMaster!$B$4:$H$89,5,FALSE()),"Administration")</f>
        <v>Administration</v>
      </c>
      <c r="AA333" s="65" t="str">
        <f>IFERROR(VLOOKUP(X333,LK_LocationMaster!$D$4:$G$157,4,FALSE()),"No")</f>
        <v>Yes</v>
      </c>
      <c r="AB333" s="65" t="str">
        <f t="shared" si="22"/>
        <v>No</v>
      </c>
      <c r="AC333" s="65" t="str">
        <f>IFERROR(VLOOKUP(X333,LK_LocationMaster!$D$4:$H$157,5,FALSE()),"No")</f>
        <v>Yes</v>
      </c>
      <c r="AD333" s="59" t="s">
        <v>3813</v>
      </c>
      <c r="AE333" s="59" t="s">
        <v>886</v>
      </c>
      <c r="AF333" s="59" t="s">
        <v>915</v>
      </c>
      <c r="AG333" s="59" t="s">
        <v>368</v>
      </c>
      <c r="AH333" s="59" t="s">
        <v>3814</v>
      </c>
      <c r="AI333" s="59" t="s">
        <v>285</v>
      </c>
      <c r="AJ333" s="59" t="s">
        <v>788</v>
      </c>
      <c r="AK333" s="59" t="s">
        <v>1146</v>
      </c>
      <c r="AL333" s="64" t="str">
        <f>IFERROR(INDEX(LK_BankMaster!$D$4:$D$23,MATCH(AJ333&amp;"|"&amp;AK333,LK_BankMaster!$H$4:$H$23,0)),"")</f>
        <v/>
      </c>
      <c r="AM333" s="59" t="s">
        <v>3815</v>
      </c>
      <c r="AN333" s="64" t="str">
        <f>IFERROR(VLOOKUP(AJ333,LK_BankMaster!$A$4:$E$23,5,FALSE()),"")</f>
        <v/>
      </c>
      <c r="AO333" s="59" t="s">
        <v>291</v>
      </c>
      <c r="AP333" s="66">
        <v>0</v>
      </c>
      <c r="AQ333" s="64" t="str">
        <f t="shared" si="23"/>
        <v>Position Allowance - General Staff</v>
      </c>
      <c r="AR333" s="65" t="str">
        <f>IFERROR(VLOOKUP(T333,LK_OrgMaster!$B$4:$G$89,6,FALSE()),"No")</f>
        <v>No</v>
      </c>
      <c r="AS333" s="64" t="str">
        <f>IFERROR(VLOOKUP(T333,LK_OrgMaster!$B$4:$H$89,7,FALSE()),"None")</f>
        <v>None</v>
      </c>
      <c r="AT333" s="70">
        <v>35477</v>
      </c>
      <c r="AU333" s="70"/>
      <c r="AV333" s="70">
        <v>35477</v>
      </c>
      <c r="AW333" s="70">
        <v>46023</v>
      </c>
      <c r="AX333" s="71" t="s">
        <v>750</v>
      </c>
      <c r="AY333" s="72" t="s">
        <v>6260</v>
      </c>
    </row>
    <row r="334" spans="1:51" ht="15" customHeight="1" x14ac:dyDescent="0.3">
      <c r="A334" s="59" t="s">
        <v>3816</v>
      </c>
      <c r="B334" s="59" t="s">
        <v>772</v>
      </c>
      <c r="C334" s="59" t="s">
        <v>3729</v>
      </c>
      <c r="D334" s="59" t="s">
        <v>1395</v>
      </c>
      <c r="E334" s="59" t="s">
        <v>775</v>
      </c>
      <c r="F334" s="60">
        <v>32092</v>
      </c>
      <c r="G334" s="59" t="s">
        <v>3817</v>
      </c>
      <c r="H334" s="59" t="s">
        <v>3818</v>
      </c>
      <c r="I334" s="60">
        <v>32784</v>
      </c>
      <c r="J334" s="61">
        <f t="shared" ca="1" si="20"/>
        <v>36</v>
      </c>
      <c r="K334" s="62">
        <f t="shared" si="21"/>
        <v>54007</v>
      </c>
      <c r="L334" s="59" t="s">
        <v>735</v>
      </c>
      <c r="M334" s="59" t="s">
        <v>1045</v>
      </c>
      <c r="N334" s="59" t="s">
        <v>758</v>
      </c>
      <c r="O334" s="63">
        <v>0</v>
      </c>
      <c r="P334" s="61">
        <f>IFERROR(SUMPRODUCT((LK_GradeDerivation!$A$4:$A$135=N334)*(IF(O334="",0,O334)&gt;=LK_GradeDerivation!$B$4:$B$135)*(IF(O334="",0,O334)&lt;=LK_GradeDerivation!$C$4:$C$135)*LK_GradeDerivation!$D$4:$D$135),1)</f>
        <v>5</v>
      </c>
      <c r="Q334" s="61">
        <f>IFERROR(SUMPRODUCT((LK_GradeDerivation!$A$4:$A$135=N334)*(IF(O334="",0,O334)&gt;=LK_GradeDerivation!$B$4:$B$135)*(IF(O334="",0,O334)&lt;=LK_GradeDerivation!$C$4:$C$135)*LK_GradeDerivation!$E$4:$E$135),1)</f>
        <v>1</v>
      </c>
      <c r="R334" s="59" t="s">
        <v>3819</v>
      </c>
      <c r="S334" s="59" t="s">
        <v>3820</v>
      </c>
      <c r="T334" s="59" t="s">
        <v>844</v>
      </c>
      <c r="U334" s="59" t="s">
        <v>1048</v>
      </c>
      <c r="V334" s="59" t="s">
        <v>1926</v>
      </c>
      <c r="W334" s="59" t="s">
        <v>285</v>
      </c>
      <c r="X334" s="59" t="s">
        <v>500</v>
      </c>
      <c r="Y334" s="59" t="s">
        <v>521</v>
      </c>
      <c r="Z334" s="64" t="str">
        <f>IFERROR(VLOOKUP(T334,LK_OrgMaster!$B$4:$H$89,5,FALSE()),"Administration")</f>
        <v>Administration</v>
      </c>
      <c r="AA334" s="65" t="str">
        <f>IFERROR(VLOOKUP(X334,LK_LocationMaster!$D$4:$G$157,4,FALSE()),"No")</f>
        <v>No</v>
      </c>
      <c r="AB334" s="65" t="str">
        <f t="shared" si="22"/>
        <v>No</v>
      </c>
      <c r="AC334" s="65" t="str">
        <f>IFERROR(VLOOKUP(X334,LK_LocationMaster!$D$4:$H$157,5,FALSE()),"No")</f>
        <v>Yes</v>
      </c>
      <c r="AD334" s="59" t="s">
        <v>3821</v>
      </c>
      <c r="AE334" s="59" t="s">
        <v>886</v>
      </c>
      <c r="AF334" s="59" t="s">
        <v>969</v>
      </c>
      <c r="AG334" s="59" t="s">
        <v>312</v>
      </c>
      <c r="AH334" s="59" t="s">
        <v>3822</v>
      </c>
      <c r="AI334" s="59" t="s">
        <v>285</v>
      </c>
      <c r="AJ334" s="59" t="s">
        <v>747</v>
      </c>
      <c r="AK334" s="59" t="s">
        <v>748</v>
      </c>
      <c r="AL334" s="64" t="str">
        <f>IFERROR(INDEX(LK_BankMaster!$D$4:$D$23,MATCH(AJ334&amp;"|"&amp;AK334,LK_BankMaster!$H$4:$H$23,0)),"")</f>
        <v/>
      </c>
      <c r="AM334" s="59" t="s">
        <v>3823</v>
      </c>
      <c r="AN334" s="64" t="str">
        <f>IFERROR(VLOOKUP(AJ334,LK_BankMaster!$A$4:$E$23,5,FALSE()),"")</f>
        <v/>
      </c>
      <c r="AO334" s="59" t="s">
        <v>314</v>
      </c>
      <c r="AP334" s="66">
        <v>2</v>
      </c>
      <c r="AQ334" s="64" t="str">
        <f t="shared" si="23"/>
        <v>Position Allowance - General Staff</v>
      </c>
      <c r="AR334" s="65" t="str">
        <f>IFERROR(VLOOKUP(T334,LK_OrgMaster!$B$4:$G$89,6,FALSE()),"No")</f>
        <v>No</v>
      </c>
      <c r="AS334" s="64" t="str">
        <f>IFERROR(VLOOKUP(T334,LK_OrgMaster!$B$4:$H$89,7,FALSE()),"None")</f>
        <v>None</v>
      </c>
      <c r="AT334" s="67">
        <v>32784</v>
      </c>
      <c r="AU334" s="67"/>
      <c r="AV334" s="67">
        <v>32784</v>
      </c>
      <c r="AW334" s="67">
        <v>46023</v>
      </c>
      <c r="AX334" s="68" t="s">
        <v>750</v>
      </c>
      <c r="AY334" s="69" t="s">
        <v>6260</v>
      </c>
    </row>
    <row r="335" spans="1:51" ht="15" customHeight="1" x14ac:dyDescent="0.3">
      <c r="A335" s="59" t="s">
        <v>3824</v>
      </c>
      <c r="B335" s="59" t="s">
        <v>851</v>
      </c>
      <c r="C335" s="59" t="s">
        <v>1383</v>
      </c>
      <c r="D335" s="59" t="s">
        <v>1066</v>
      </c>
      <c r="E335" s="59" t="s">
        <v>775</v>
      </c>
      <c r="F335" s="60">
        <v>24648</v>
      </c>
      <c r="G335" s="59" t="s">
        <v>3825</v>
      </c>
      <c r="H335" s="59" t="s">
        <v>3826</v>
      </c>
      <c r="I335" s="60">
        <v>41469</v>
      </c>
      <c r="J335" s="61">
        <f t="shared" ca="1" si="20"/>
        <v>12</v>
      </c>
      <c r="K335" s="62">
        <f t="shared" si="21"/>
        <v>46563</v>
      </c>
      <c r="L335" s="59" t="s">
        <v>735</v>
      </c>
      <c r="M335" s="59" t="s">
        <v>910</v>
      </c>
      <c r="N335" s="59" t="s">
        <v>737</v>
      </c>
      <c r="O335" s="63">
        <v>24</v>
      </c>
      <c r="P335" s="61">
        <f>IFERROR(SUMPRODUCT((LK_GradeDerivation!$A$4:$A$135=N335)*(IF(O335="",0,O335)&gt;=LK_GradeDerivation!$B$4:$B$135)*(IF(O335="",0,O335)&lt;=LK_GradeDerivation!$C$4:$C$135)*LK_GradeDerivation!$D$4:$D$135),1)</f>
        <v>4</v>
      </c>
      <c r="Q335" s="61">
        <f>IFERROR(SUMPRODUCT((LK_GradeDerivation!$A$4:$A$135=N335)*(IF(O335="",0,O335)&gt;=LK_GradeDerivation!$B$4:$B$135)*(IF(O335="",0,O335)&lt;=LK_GradeDerivation!$C$4:$C$135)*LK_GradeDerivation!$E$4:$E$135),1)</f>
        <v>13</v>
      </c>
      <c r="R335" s="59" t="s">
        <v>3827</v>
      </c>
      <c r="S335" s="59" t="s">
        <v>3828</v>
      </c>
      <c r="T335" s="59" t="s">
        <v>896</v>
      </c>
      <c r="U335" s="59" t="s">
        <v>1629</v>
      </c>
      <c r="V335" s="59" t="s">
        <v>2397</v>
      </c>
      <c r="W335" s="59" t="s">
        <v>285</v>
      </c>
      <c r="X335" s="59" t="s">
        <v>288</v>
      </c>
      <c r="Y335" s="59" t="s">
        <v>304</v>
      </c>
      <c r="Z335" s="64" t="str">
        <f>IFERROR(VLOOKUP(T335,LK_OrgMaster!$B$4:$H$89,5,FALSE()),"Administration")</f>
        <v>Administration</v>
      </c>
      <c r="AA335" s="65" t="str">
        <f>IFERROR(VLOOKUP(X335,LK_LocationMaster!$D$4:$G$157,4,FALSE()),"No")</f>
        <v>No</v>
      </c>
      <c r="AB335" s="65" t="str">
        <f t="shared" si="22"/>
        <v>No</v>
      </c>
      <c r="AC335" s="65" t="str">
        <f>IFERROR(VLOOKUP(X335,LK_LocationMaster!$D$4:$H$157,5,FALSE()),"No")</f>
        <v>No</v>
      </c>
      <c r="AD335" s="59" t="s">
        <v>1688</v>
      </c>
      <c r="AE335" s="59" t="s">
        <v>765</v>
      </c>
      <c r="AF335" s="59" t="s">
        <v>801</v>
      </c>
      <c r="AG335" s="59" t="s">
        <v>329</v>
      </c>
      <c r="AH335" s="59" t="s">
        <v>3829</v>
      </c>
      <c r="AI335" s="59" t="s">
        <v>285</v>
      </c>
      <c r="AJ335" s="59" t="s">
        <v>833</v>
      </c>
      <c r="AK335" s="59" t="s">
        <v>917</v>
      </c>
      <c r="AL335" s="64" t="str">
        <f>IFERROR(INDEX(LK_BankMaster!$D$4:$D$23,MATCH(AJ335&amp;"|"&amp;AK335,LK_BankMaster!$H$4:$H$23,0)),"")</f>
        <v/>
      </c>
      <c r="AM335" s="59" t="s">
        <v>3830</v>
      </c>
      <c r="AN335" s="64" t="str">
        <f>IFERROR(VLOOKUP(AJ335,LK_BankMaster!$A$4:$E$23,5,FALSE()),"")</f>
        <v/>
      </c>
      <c r="AO335" s="59" t="s">
        <v>314</v>
      </c>
      <c r="AP335" s="66">
        <v>3</v>
      </c>
      <c r="AQ335" s="64" t="str">
        <f t="shared" si="23"/>
        <v>Position Allowance - Division Chief</v>
      </c>
      <c r="AR335" s="65" t="str">
        <f>IFERROR(VLOOKUP(T335,LK_OrgMaster!$B$4:$G$89,6,FALSE()),"No")</f>
        <v>No</v>
      </c>
      <c r="AS335" s="64" t="str">
        <f>IFERROR(VLOOKUP(T335,LK_OrgMaster!$B$4:$H$89,7,FALSE()),"None")</f>
        <v>None</v>
      </c>
      <c r="AT335" s="70">
        <v>41469</v>
      </c>
      <c r="AU335" s="70"/>
      <c r="AV335" s="70">
        <v>41469</v>
      </c>
      <c r="AW335" s="70">
        <v>46023</v>
      </c>
      <c r="AX335" s="71" t="s">
        <v>750</v>
      </c>
      <c r="AY335" s="72" t="s">
        <v>6260</v>
      </c>
    </row>
    <row r="336" spans="1:51" ht="15" customHeight="1" x14ac:dyDescent="0.3">
      <c r="A336" s="59" t="s">
        <v>3831</v>
      </c>
      <c r="B336" s="59" t="s">
        <v>851</v>
      </c>
      <c r="C336" s="59" t="s">
        <v>1289</v>
      </c>
      <c r="D336" s="59" t="s">
        <v>1137</v>
      </c>
      <c r="E336" s="59" t="s">
        <v>775</v>
      </c>
      <c r="F336" s="60">
        <v>30099</v>
      </c>
      <c r="G336" s="59" t="s">
        <v>3832</v>
      </c>
      <c r="H336" s="59" t="s">
        <v>3833</v>
      </c>
      <c r="I336" s="60">
        <v>34307</v>
      </c>
      <c r="J336" s="61">
        <f t="shared" ca="1" si="20"/>
        <v>32</v>
      </c>
      <c r="K336" s="62">
        <f t="shared" si="21"/>
        <v>52014</v>
      </c>
      <c r="L336" s="59" t="s">
        <v>735</v>
      </c>
      <c r="M336" s="59" t="s">
        <v>1069</v>
      </c>
      <c r="N336" s="59" t="s">
        <v>758</v>
      </c>
      <c r="O336" s="63">
        <v>0</v>
      </c>
      <c r="P336" s="61">
        <f>IFERROR(SUMPRODUCT((LK_GradeDerivation!$A$4:$A$135=N336)*(IF(O336="",0,O336)&gt;=LK_GradeDerivation!$B$4:$B$135)*(IF(O336="",0,O336)&lt;=LK_GradeDerivation!$C$4:$C$135)*LK_GradeDerivation!$D$4:$D$135),1)</f>
        <v>5</v>
      </c>
      <c r="Q336" s="61">
        <f>IFERROR(SUMPRODUCT((LK_GradeDerivation!$A$4:$A$135=N336)*(IF(O336="",0,O336)&gt;=LK_GradeDerivation!$B$4:$B$135)*(IF(O336="",0,O336)&lt;=LK_GradeDerivation!$C$4:$C$135)*LK_GradeDerivation!$E$4:$E$135),1)</f>
        <v>1</v>
      </c>
      <c r="R336" s="59" t="s">
        <v>3834</v>
      </c>
      <c r="S336" s="59" t="s">
        <v>3835</v>
      </c>
      <c r="T336" s="59" t="s">
        <v>1035</v>
      </c>
      <c r="U336" s="59" t="s">
        <v>1229</v>
      </c>
      <c r="V336" s="59" t="s">
        <v>1735</v>
      </c>
      <c r="W336" s="59" t="s">
        <v>285</v>
      </c>
      <c r="X336" s="59" t="s">
        <v>554</v>
      </c>
      <c r="Y336" s="59" t="s">
        <v>562</v>
      </c>
      <c r="Z336" s="64" t="str">
        <f>IFERROR(VLOOKUP(T336,LK_OrgMaster!$B$4:$H$89,5,FALSE()),"Administration")</f>
        <v>Administration</v>
      </c>
      <c r="AA336" s="65" t="str">
        <f>IFERROR(VLOOKUP(X336,LK_LocationMaster!$D$4:$G$157,4,FALSE()),"No")</f>
        <v>No</v>
      </c>
      <c r="AB336" s="65" t="str">
        <f t="shared" si="22"/>
        <v>No</v>
      </c>
      <c r="AC336" s="65" t="str">
        <f>IFERROR(VLOOKUP(X336,LK_LocationMaster!$D$4:$H$157,5,FALSE()),"No")</f>
        <v>No</v>
      </c>
      <c r="AD336" s="59" t="s">
        <v>3836</v>
      </c>
      <c r="AE336" s="59" t="s">
        <v>765</v>
      </c>
      <c r="AF336" s="59" t="s">
        <v>915</v>
      </c>
      <c r="AG336" s="59" t="s">
        <v>329</v>
      </c>
      <c r="AH336" s="59" t="s">
        <v>3837</v>
      </c>
      <c r="AI336" s="59" t="s">
        <v>285</v>
      </c>
      <c r="AJ336" s="59" t="s">
        <v>818</v>
      </c>
      <c r="AK336" s="59" t="s">
        <v>944</v>
      </c>
      <c r="AL336" s="64" t="str">
        <f>IFERROR(INDEX(LK_BankMaster!$D$4:$D$23,MATCH(AJ336&amp;"|"&amp;AK336,LK_BankMaster!$H$4:$H$23,0)),"")</f>
        <v/>
      </c>
      <c r="AM336" s="59" t="s">
        <v>3838</v>
      </c>
      <c r="AN336" s="64" t="str">
        <f>IFERROR(VLOOKUP(AJ336,LK_BankMaster!$A$4:$E$23,5,FALSE()),"")</f>
        <v/>
      </c>
      <c r="AO336" s="59" t="s">
        <v>291</v>
      </c>
      <c r="AP336" s="66">
        <v>0</v>
      </c>
      <c r="AQ336" s="64" t="str">
        <f t="shared" si="23"/>
        <v>Position Allowance - General Staff</v>
      </c>
      <c r="AR336" s="65" t="str">
        <f>IFERROR(VLOOKUP(T336,LK_OrgMaster!$B$4:$G$89,6,FALSE()),"No")</f>
        <v>No</v>
      </c>
      <c r="AS336" s="64" t="str">
        <f>IFERROR(VLOOKUP(T336,LK_OrgMaster!$B$4:$H$89,7,FALSE()),"None")</f>
        <v>None</v>
      </c>
      <c r="AT336" s="67">
        <v>34307</v>
      </c>
      <c r="AU336" s="67"/>
      <c r="AV336" s="67">
        <v>34307</v>
      </c>
      <c r="AW336" s="67">
        <v>46023</v>
      </c>
      <c r="AX336" s="68" t="s">
        <v>750</v>
      </c>
      <c r="AY336" s="69" t="s">
        <v>6260</v>
      </c>
    </row>
    <row r="337" spans="1:51" ht="15" customHeight="1" x14ac:dyDescent="0.3">
      <c r="A337" s="59" t="s">
        <v>3839</v>
      </c>
      <c r="B337" s="59" t="s">
        <v>752</v>
      </c>
      <c r="C337" s="59" t="s">
        <v>3075</v>
      </c>
      <c r="D337" s="59" t="s">
        <v>1137</v>
      </c>
      <c r="E337" s="59" t="s">
        <v>732</v>
      </c>
      <c r="F337" s="60">
        <v>29397</v>
      </c>
      <c r="G337" s="59" t="s">
        <v>3840</v>
      </c>
      <c r="H337" s="59" t="s">
        <v>3841</v>
      </c>
      <c r="I337" s="60">
        <v>36115</v>
      </c>
      <c r="J337" s="61">
        <f t="shared" ca="1" si="20"/>
        <v>27</v>
      </c>
      <c r="K337" s="62">
        <f t="shared" si="21"/>
        <v>51312</v>
      </c>
      <c r="L337" s="59" t="s">
        <v>735</v>
      </c>
      <c r="M337" s="59" t="s">
        <v>2735</v>
      </c>
      <c r="N337" s="59" t="s">
        <v>758</v>
      </c>
      <c r="O337" s="63">
        <v>0</v>
      </c>
      <c r="P337" s="61">
        <f>IFERROR(SUMPRODUCT((LK_GradeDerivation!$A$4:$A$135=N337)*(IF(O337="",0,O337)&gt;=LK_GradeDerivation!$B$4:$B$135)*(IF(O337="",0,O337)&lt;=LK_GradeDerivation!$C$4:$C$135)*LK_GradeDerivation!$D$4:$D$135),1)</f>
        <v>5</v>
      </c>
      <c r="Q337" s="61">
        <f>IFERROR(SUMPRODUCT((LK_GradeDerivation!$A$4:$A$135=N337)*(IF(O337="",0,O337)&gt;=LK_GradeDerivation!$B$4:$B$135)*(IF(O337="",0,O337)&lt;=LK_GradeDerivation!$C$4:$C$135)*LK_GradeDerivation!$E$4:$E$135),1)</f>
        <v>1</v>
      </c>
      <c r="R337" s="59" t="s">
        <v>3842</v>
      </c>
      <c r="S337" s="59" t="s">
        <v>3843</v>
      </c>
      <c r="T337" s="59" t="s">
        <v>782</v>
      </c>
      <c r="U337" s="59" t="s">
        <v>813</v>
      </c>
      <c r="V337" s="59" t="s">
        <v>3844</v>
      </c>
      <c r="W337" s="59" t="s">
        <v>285</v>
      </c>
      <c r="X337" s="59" t="s">
        <v>329</v>
      </c>
      <c r="Y337" s="59" t="s">
        <v>338</v>
      </c>
      <c r="Z337" s="64" t="str">
        <f>IFERROR(VLOOKUP(T337,LK_OrgMaster!$B$4:$H$89,5,FALSE()),"Administration")</f>
        <v>Medical</v>
      </c>
      <c r="AA337" s="65" t="str">
        <f>IFERROR(VLOOKUP(X337,LK_LocationMaster!$D$4:$G$157,4,FALSE()),"No")</f>
        <v>Yes</v>
      </c>
      <c r="AB337" s="65" t="str">
        <f t="shared" si="22"/>
        <v>No</v>
      </c>
      <c r="AC337" s="65" t="str">
        <f>IFERROR(VLOOKUP(X337,LK_LocationMaster!$D$4:$H$157,5,FALSE()),"No")</f>
        <v>No</v>
      </c>
      <c r="AD337" s="59" t="s">
        <v>2686</v>
      </c>
      <c r="AE337" s="59" t="s">
        <v>983</v>
      </c>
      <c r="AF337" s="59" t="s">
        <v>984</v>
      </c>
      <c r="AG337" s="59" t="s">
        <v>329</v>
      </c>
      <c r="AH337" s="59" t="s">
        <v>3845</v>
      </c>
      <c r="AI337" s="59" t="s">
        <v>285</v>
      </c>
      <c r="AJ337" s="59" t="s">
        <v>768</v>
      </c>
      <c r="AK337" s="59" t="s">
        <v>769</v>
      </c>
      <c r="AL337" s="64" t="str">
        <f>IFERROR(INDEX(LK_BankMaster!$D$4:$D$23,MATCH(AJ337&amp;"|"&amp;AK337,LK_BankMaster!$H$4:$H$23,0)),"")</f>
        <v/>
      </c>
      <c r="AM337" s="59" t="s">
        <v>3846</v>
      </c>
      <c r="AN337" s="64" t="str">
        <f>IFERROR(VLOOKUP(AJ337,LK_BankMaster!$A$4:$E$23,5,FALSE()),"")</f>
        <v/>
      </c>
      <c r="AO337" s="59" t="s">
        <v>291</v>
      </c>
      <c r="AP337" s="66">
        <v>0</v>
      </c>
      <c r="AQ337" s="64" t="str">
        <f t="shared" si="23"/>
        <v>Position Allowance - General Staff</v>
      </c>
      <c r="AR337" s="65" t="str">
        <f>IFERROR(VLOOKUP(T337,LK_OrgMaster!$B$4:$G$89,6,FALSE()),"No")</f>
        <v>No</v>
      </c>
      <c r="AS337" s="64" t="str">
        <f>IFERROR(VLOOKUP(T337,LK_OrgMaster!$B$4:$H$89,7,FALSE()),"None")</f>
        <v>Medical</v>
      </c>
      <c r="AT337" s="70">
        <v>36115</v>
      </c>
      <c r="AU337" s="70"/>
      <c r="AV337" s="70">
        <v>36115</v>
      </c>
      <c r="AW337" s="70">
        <v>46023</v>
      </c>
      <c r="AX337" s="71" t="s">
        <v>750</v>
      </c>
      <c r="AY337" s="72" t="s">
        <v>6260</v>
      </c>
    </row>
    <row r="338" spans="1:51" ht="15" customHeight="1" x14ac:dyDescent="0.3">
      <c r="A338" s="59" t="s">
        <v>3847</v>
      </c>
      <c r="B338" s="59" t="s">
        <v>772</v>
      </c>
      <c r="C338" s="59" t="s">
        <v>1245</v>
      </c>
      <c r="D338" s="59" t="s">
        <v>793</v>
      </c>
      <c r="E338" s="59" t="s">
        <v>775</v>
      </c>
      <c r="F338" s="60">
        <v>32498</v>
      </c>
      <c r="G338" s="59" t="s">
        <v>3848</v>
      </c>
      <c r="H338" s="59" t="s">
        <v>3849</v>
      </c>
      <c r="I338" s="60">
        <v>41250</v>
      </c>
      <c r="J338" s="61">
        <f t="shared" ca="1" si="20"/>
        <v>13</v>
      </c>
      <c r="K338" s="62">
        <f t="shared" si="21"/>
        <v>54413</v>
      </c>
      <c r="L338" s="59" t="s">
        <v>735</v>
      </c>
      <c r="M338" s="59" t="s">
        <v>1080</v>
      </c>
      <c r="N338" s="59" t="s">
        <v>779</v>
      </c>
      <c r="O338" s="63">
        <v>5</v>
      </c>
      <c r="P338" s="61">
        <f>IFERROR(SUMPRODUCT((LK_GradeDerivation!$A$4:$A$135=N338)*(IF(O338="",0,O338)&gt;=LK_GradeDerivation!$B$4:$B$135)*(IF(O338="",0,O338)&lt;=LK_GradeDerivation!$C$4:$C$135)*LK_GradeDerivation!$D$4:$D$135),1)</f>
        <v>2</v>
      </c>
      <c r="Q338" s="61">
        <f>IFERROR(SUMPRODUCT((LK_GradeDerivation!$A$4:$A$135=N338)*(IF(O338="",0,O338)&gt;=LK_GradeDerivation!$B$4:$B$135)*(IF(O338="",0,O338)&lt;=LK_GradeDerivation!$C$4:$C$135)*LK_GradeDerivation!$E$4:$E$135),1)</f>
        <v>3</v>
      </c>
      <c r="R338" s="59" t="s">
        <v>3850</v>
      </c>
      <c r="S338" s="59" t="s">
        <v>3851</v>
      </c>
      <c r="T338" s="59" t="s">
        <v>1084</v>
      </c>
      <c r="U338" s="59" t="s">
        <v>1217</v>
      </c>
      <c r="V338" s="59" t="s">
        <v>3852</v>
      </c>
      <c r="W338" s="59" t="s">
        <v>285</v>
      </c>
      <c r="X338" s="59" t="s">
        <v>329</v>
      </c>
      <c r="Y338" s="59" t="s">
        <v>332</v>
      </c>
      <c r="Z338" s="64" t="str">
        <f>IFERROR(VLOOKUP(T338,LK_OrgMaster!$B$4:$H$89,5,FALSE()),"Administration")</f>
        <v>Finance</v>
      </c>
      <c r="AA338" s="65" t="str">
        <f>IFERROR(VLOOKUP(X338,LK_LocationMaster!$D$4:$G$157,4,FALSE()),"No")</f>
        <v>Yes</v>
      </c>
      <c r="AB338" s="65" t="str">
        <f t="shared" si="22"/>
        <v>No</v>
      </c>
      <c r="AC338" s="65" t="str">
        <f>IFERROR(VLOOKUP(X338,LK_LocationMaster!$D$4:$H$157,5,FALSE()),"No")</f>
        <v>No</v>
      </c>
      <c r="AD338" s="59" t="s">
        <v>3853</v>
      </c>
      <c r="AE338" s="59" t="s">
        <v>765</v>
      </c>
      <c r="AF338" s="59" t="s">
        <v>984</v>
      </c>
      <c r="AG338" s="59" t="s">
        <v>368</v>
      </c>
      <c r="AH338" s="59" t="s">
        <v>3854</v>
      </c>
      <c r="AI338" s="59" t="s">
        <v>285</v>
      </c>
      <c r="AJ338" s="59" t="s">
        <v>818</v>
      </c>
      <c r="AK338" s="59" t="s">
        <v>944</v>
      </c>
      <c r="AL338" s="64" t="str">
        <f>IFERROR(INDEX(LK_BankMaster!$D$4:$D$23,MATCH(AJ338&amp;"|"&amp;AK338,LK_BankMaster!$H$4:$H$23,0)),"")</f>
        <v/>
      </c>
      <c r="AM338" s="59" t="s">
        <v>3855</v>
      </c>
      <c r="AN338" s="64" t="str">
        <f>IFERROR(VLOOKUP(AJ338,LK_BankMaster!$A$4:$E$23,5,FALSE()),"")</f>
        <v/>
      </c>
      <c r="AO338" s="59" t="s">
        <v>291</v>
      </c>
      <c r="AP338" s="66">
        <v>0</v>
      </c>
      <c r="AQ338" s="64" t="str">
        <f t="shared" si="23"/>
        <v>Position Allowance - General Staff</v>
      </c>
      <c r="AR338" s="65" t="str">
        <f>IFERROR(VLOOKUP(T338,LK_OrgMaster!$B$4:$G$89,6,FALSE()),"No")</f>
        <v>No</v>
      </c>
      <c r="AS338" s="64" t="str">
        <f>IFERROR(VLOOKUP(T338,LK_OrgMaster!$B$4:$H$89,7,FALSE()),"None")</f>
        <v>None</v>
      </c>
      <c r="AT338" s="67">
        <v>41250</v>
      </c>
      <c r="AU338" s="67"/>
      <c r="AV338" s="67">
        <v>41250</v>
      </c>
      <c r="AW338" s="67">
        <v>46023</v>
      </c>
      <c r="AX338" s="68" t="s">
        <v>750</v>
      </c>
      <c r="AY338" s="69" t="s">
        <v>6260</v>
      </c>
    </row>
    <row r="339" spans="1:51" ht="15" customHeight="1" x14ac:dyDescent="0.3">
      <c r="A339" s="59" t="s">
        <v>3856</v>
      </c>
      <c r="B339" s="59" t="s">
        <v>772</v>
      </c>
      <c r="C339" s="59" t="s">
        <v>1125</v>
      </c>
      <c r="D339" s="59" t="s">
        <v>1395</v>
      </c>
      <c r="E339" s="59" t="s">
        <v>732</v>
      </c>
      <c r="F339" s="60">
        <v>36382</v>
      </c>
      <c r="G339" s="59" t="s">
        <v>3857</v>
      </c>
      <c r="H339" s="59" t="s">
        <v>3858</v>
      </c>
      <c r="I339" s="60">
        <v>43203</v>
      </c>
      <c r="J339" s="61">
        <f t="shared" ca="1" si="20"/>
        <v>7</v>
      </c>
      <c r="K339" s="62">
        <f t="shared" si="21"/>
        <v>58297</v>
      </c>
      <c r="L339" s="59" t="s">
        <v>735</v>
      </c>
      <c r="M339" s="59" t="s">
        <v>757</v>
      </c>
      <c r="N339" s="59" t="s">
        <v>737</v>
      </c>
      <c r="O339" s="63">
        <v>0</v>
      </c>
      <c r="P339" s="61">
        <f>IFERROR(SUMPRODUCT((LK_GradeDerivation!$A$4:$A$135=N339)*(IF(O339="",0,O339)&gt;=LK_GradeDerivation!$B$4:$B$135)*(IF(O339="",0,O339)&lt;=LK_GradeDerivation!$C$4:$C$135)*LK_GradeDerivation!$D$4:$D$135),1)</f>
        <v>4</v>
      </c>
      <c r="Q339" s="61">
        <f>IFERROR(SUMPRODUCT((LK_GradeDerivation!$A$4:$A$135=N339)*(IF(O339="",0,O339)&gt;=LK_GradeDerivation!$B$4:$B$135)*(IF(O339="",0,O339)&lt;=LK_GradeDerivation!$C$4:$C$135)*LK_GradeDerivation!$E$4:$E$135),1)</f>
        <v>1</v>
      </c>
      <c r="R339" s="59" t="s">
        <v>3859</v>
      </c>
      <c r="S339" s="59" t="s">
        <v>3860</v>
      </c>
      <c r="T339" s="59" t="s">
        <v>1204</v>
      </c>
      <c r="U339" s="59" t="s">
        <v>1801</v>
      </c>
      <c r="V339" s="59" t="s">
        <v>3861</v>
      </c>
      <c r="W339" s="59" t="s">
        <v>285</v>
      </c>
      <c r="X339" s="59" t="s">
        <v>368</v>
      </c>
      <c r="Y339" s="59" t="s">
        <v>389</v>
      </c>
      <c r="Z339" s="64" t="str">
        <f>IFERROR(VLOOKUP(T339,LK_OrgMaster!$B$4:$H$89,5,FALSE()),"Administration")</f>
        <v>Administration</v>
      </c>
      <c r="AA339" s="65" t="str">
        <f>IFERROR(VLOOKUP(X339,LK_LocationMaster!$D$4:$G$157,4,FALSE()),"No")</f>
        <v>No</v>
      </c>
      <c r="AB339" s="65" t="str">
        <f t="shared" si="22"/>
        <v>No</v>
      </c>
      <c r="AC339" s="65" t="str">
        <f>IFERROR(VLOOKUP(X339,LK_LocationMaster!$D$4:$H$157,5,FALSE()),"No")</f>
        <v>No</v>
      </c>
      <c r="AD339" s="59" t="s">
        <v>3862</v>
      </c>
      <c r="AE339" s="59" t="s">
        <v>930</v>
      </c>
      <c r="AF339" s="59" t="s">
        <v>847</v>
      </c>
      <c r="AG339" s="59" t="s">
        <v>408</v>
      </c>
      <c r="AH339" s="59" t="s">
        <v>3863</v>
      </c>
      <c r="AI339" s="59" t="s">
        <v>285</v>
      </c>
      <c r="AJ339" s="59" t="s">
        <v>818</v>
      </c>
      <c r="AK339" s="59" t="s">
        <v>819</v>
      </c>
      <c r="AL339" s="64" t="str">
        <f>IFERROR(INDEX(LK_BankMaster!$D$4:$D$23,MATCH(AJ339&amp;"|"&amp;AK339,LK_BankMaster!$H$4:$H$23,0)),"")</f>
        <v/>
      </c>
      <c r="AM339" s="59" t="s">
        <v>3864</v>
      </c>
      <c r="AN339" s="64" t="str">
        <f>IFERROR(VLOOKUP(AJ339,LK_BankMaster!$A$4:$E$23,5,FALSE()),"")</f>
        <v/>
      </c>
      <c r="AO339" s="59" t="s">
        <v>314</v>
      </c>
      <c r="AP339" s="66">
        <v>3</v>
      </c>
      <c r="AQ339" s="64" t="str">
        <f t="shared" si="23"/>
        <v>Position Allowance - General Staff</v>
      </c>
      <c r="AR339" s="65" t="str">
        <f>IFERROR(VLOOKUP(T339,LK_OrgMaster!$B$4:$G$89,6,FALSE()),"No")</f>
        <v>No</v>
      </c>
      <c r="AS339" s="64" t="str">
        <f>IFERROR(VLOOKUP(T339,LK_OrgMaster!$B$4:$H$89,7,FALSE()),"None")</f>
        <v>None</v>
      </c>
      <c r="AT339" s="70">
        <v>43203</v>
      </c>
      <c r="AU339" s="70"/>
      <c r="AV339" s="70">
        <v>43203</v>
      </c>
      <c r="AW339" s="70">
        <v>46023</v>
      </c>
      <c r="AX339" s="71" t="s">
        <v>750</v>
      </c>
      <c r="AY339" s="72" t="s">
        <v>6260</v>
      </c>
    </row>
    <row r="340" spans="1:51" ht="15" customHeight="1" x14ac:dyDescent="0.3">
      <c r="A340" s="59" t="s">
        <v>3865</v>
      </c>
      <c r="B340" s="59" t="s">
        <v>772</v>
      </c>
      <c r="C340" s="59" t="s">
        <v>852</v>
      </c>
      <c r="D340" s="59" t="s">
        <v>1430</v>
      </c>
      <c r="E340" s="59" t="s">
        <v>775</v>
      </c>
      <c r="F340" s="60">
        <v>33221</v>
      </c>
      <c r="G340" s="59" t="s">
        <v>3866</v>
      </c>
      <c r="H340" s="59" t="s">
        <v>3867</v>
      </c>
      <c r="I340" s="60">
        <v>37124</v>
      </c>
      <c r="J340" s="61">
        <f t="shared" ca="1" si="20"/>
        <v>24</v>
      </c>
      <c r="K340" s="62">
        <f t="shared" si="21"/>
        <v>55136</v>
      </c>
      <c r="L340" s="59" t="s">
        <v>735</v>
      </c>
      <c r="M340" s="59" t="s">
        <v>924</v>
      </c>
      <c r="N340" s="59" t="s">
        <v>758</v>
      </c>
      <c r="O340" s="63">
        <v>0</v>
      </c>
      <c r="P340" s="61">
        <f>IFERROR(SUMPRODUCT((LK_GradeDerivation!$A$4:$A$135=N340)*(IF(O340="",0,O340)&gt;=LK_GradeDerivation!$B$4:$B$135)*(IF(O340="",0,O340)&lt;=LK_GradeDerivation!$C$4:$C$135)*LK_GradeDerivation!$D$4:$D$135),1)</f>
        <v>5</v>
      </c>
      <c r="Q340" s="61">
        <f>IFERROR(SUMPRODUCT((LK_GradeDerivation!$A$4:$A$135=N340)*(IF(O340="",0,O340)&gt;=LK_GradeDerivation!$B$4:$B$135)*(IF(O340="",0,O340)&lt;=LK_GradeDerivation!$C$4:$C$135)*LK_GradeDerivation!$E$4:$E$135),1)</f>
        <v>1</v>
      </c>
      <c r="R340" s="59" t="s">
        <v>3868</v>
      </c>
      <c r="S340" s="59" t="s">
        <v>3869</v>
      </c>
      <c r="T340" s="59" t="s">
        <v>740</v>
      </c>
      <c r="U340" s="59" t="s">
        <v>741</v>
      </c>
      <c r="V340" s="59" t="s">
        <v>763</v>
      </c>
      <c r="W340" s="59" t="s">
        <v>285</v>
      </c>
      <c r="X340" s="59" t="s">
        <v>356</v>
      </c>
      <c r="Y340" s="59" t="s">
        <v>358</v>
      </c>
      <c r="Z340" s="64" t="str">
        <f>IFERROR(VLOOKUP(T340,LK_OrgMaster!$B$4:$H$89,5,FALSE()),"Administration")</f>
        <v>Teacher</v>
      </c>
      <c r="AA340" s="65" t="str">
        <f>IFERROR(VLOOKUP(X340,LK_LocationMaster!$D$4:$G$157,4,FALSE()),"No")</f>
        <v>Yes</v>
      </c>
      <c r="AB340" s="65" t="str">
        <f t="shared" si="22"/>
        <v>No</v>
      </c>
      <c r="AC340" s="65" t="str">
        <f>IFERROR(VLOOKUP(X340,LK_LocationMaster!$D$4:$H$157,5,FALSE()),"No")</f>
        <v>No</v>
      </c>
      <c r="AD340" s="59" t="s">
        <v>3870</v>
      </c>
      <c r="AE340" s="59" t="s">
        <v>900</v>
      </c>
      <c r="AF340" s="59" t="s">
        <v>766</v>
      </c>
      <c r="AG340" s="59" t="s">
        <v>288</v>
      </c>
      <c r="AH340" s="59" t="s">
        <v>3871</v>
      </c>
      <c r="AI340" s="59" t="s">
        <v>285</v>
      </c>
      <c r="AJ340" s="59" t="s">
        <v>768</v>
      </c>
      <c r="AK340" s="59" t="s">
        <v>1589</v>
      </c>
      <c r="AL340" s="64" t="str">
        <f>IFERROR(INDEX(LK_BankMaster!$D$4:$D$23,MATCH(AJ340&amp;"|"&amp;AK340,LK_BankMaster!$H$4:$H$23,0)),"")</f>
        <v/>
      </c>
      <c r="AM340" s="59" t="s">
        <v>3872</v>
      </c>
      <c r="AN340" s="64" t="str">
        <f>IFERROR(VLOOKUP(AJ340,LK_BankMaster!$A$4:$E$23,5,FALSE()),"")</f>
        <v/>
      </c>
      <c r="AO340" s="59" t="s">
        <v>291</v>
      </c>
      <c r="AP340" s="66">
        <v>0</v>
      </c>
      <c r="AQ340" s="64" t="str">
        <f t="shared" si="23"/>
        <v>Position Allowance - General Staff</v>
      </c>
      <c r="AR340" s="65" t="str">
        <f>IFERROR(VLOOKUP(T340,LK_OrgMaster!$B$4:$G$89,6,FALSE()),"No")</f>
        <v>No</v>
      </c>
      <c r="AS340" s="64" t="str">
        <f>IFERROR(VLOOKUP(T340,LK_OrgMaster!$B$4:$H$89,7,FALSE()),"None")</f>
        <v>Teaching</v>
      </c>
      <c r="AT340" s="67">
        <v>37124</v>
      </c>
      <c r="AU340" s="67"/>
      <c r="AV340" s="67">
        <v>37124</v>
      </c>
      <c r="AW340" s="67">
        <v>46023</v>
      </c>
      <c r="AX340" s="68" t="s">
        <v>750</v>
      </c>
      <c r="AY340" s="69" t="s">
        <v>6260</v>
      </c>
    </row>
    <row r="341" spans="1:51" ht="15" customHeight="1" x14ac:dyDescent="0.3">
      <c r="A341" s="59" t="s">
        <v>3873</v>
      </c>
      <c r="B341" s="59" t="s">
        <v>851</v>
      </c>
      <c r="C341" s="59" t="s">
        <v>2015</v>
      </c>
      <c r="D341" s="59" t="s">
        <v>989</v>
      </c>
      <c r="E341" s="59" t="s">
        <v>775</v>
      </c>
      <c r="F341" s="60">
        <v>37046</v>
      </c>
      <c r="G341" s="59" t="s">
        <v>3874</v>
      </c>
      <c r="H341" s="59" t="s">
        <v>3875</v>
      </c>
      <c r="I341" s="60">
        <v>33111</v>
      </c>
      <c r="J341" s="61">
        <f t="shared" ca="1" si="20"/>
        <v>35</v>
      </c>
      <c r="K341" s="62">
        <f t="shared" si="21"/>
        <v>58961</v>
      </c>
      <c r="L341" s="59" t="s">
        <v>735</v>
      </c>
      <c r="M341" s="59" t="s">
        <v>1069</v>
      </c>
      <c r="N341" s="59" t="s">
        <v>737</v>
      </c>
      <c r="O341" s="63">
        <v>0</v>
      </c>
      <c r="P341" s="61">
        <f>IFERROR(SUMPRODUCT((LK_GradeDerivation!$A$4:$A$135=N341)*(IF(O341="",0,O341)&gt;=LK_GradeDerivation!$B$4:$B$135)*(IF(O341="",0,O341)&lt;=LK_GradeDerivation!$C$4:$C$135)*LK_GradeDerivation!$D$4:$D$135),1)</f>
        <v>4</v>
      </c>
      <c r="Q341" s="61">
        <f>IFERROR(SUMPRODUCT((LK_GradeDerivation!$A$4:$A$135=N341)*(IF(O341="",0,O341)&gt;=LK_GradeDerivation!$B$4:$B$135)*(IF(O341="",0,O341)&lt;=LK_GradeDerivation!$C$4:$C$135)*LK_GradeDerivation!$E$4:$E$135),1)</f>
        <v>1</v>
      </c>
      <c r="R341" s="59" t="s">
        <v>3876</v>
      </c>
      <c r="S341" s="59" t="s">
        <v>3877</v>
      </c>
      <c r="T341" s="59" t="s">
        <v>1204</v>
      </c>
      <c r="U341" s="59" t="s">
        <v>3245</v>
      </c>
      <c r="V341" s="59" t="s">
        <v>3246</v>
      </c>
      <c r="W341" s="59" t="s">
        <v>285</v>
      </c>
      <c r="X341" s="59" t="s">
        <v>391</v>
      </c>
      <c r="Y341" s="59" t="s">
        <v>404</v>
      </c>
      <c r="Z341" s="64" t="str">
        <f>IFERROR(VLOOKUP(T341,LK_OrgMaster!$B$4:$H$89,5,FALSE()),"Administration")</f>
        <v>Administration</v>
      </c>
      <c r="AA341" s="65" t="str">
        <f>IFERROR(VLOOKUP(X341,LK_LocationMaster!$D$4:$G$157,4,FALSE()),"No")</f>
        <v>Yes</v>
      </c>
      <c r="AB341" s="65" t="str">
        <f t="shared" si="22"/>
        <v>No</v>
      </c>
      <c r="AC341" s="65" t="str">
        <f>IFERROR(VLOOKUP(X341,LK_LocationMaster!$D$4:$H$157,5,FALSE()),"No")</f>
        <v>Yes</v>
      </c>
      <c r="AD341" s="59" t="s">
        <v>3182</v>
      </c>
      <c r="AE341" s="59" t="s">
        <v>765</v>
      </c>
      <c r="AF341" s="59" t="s">
        <v>816</v>
      </c>
      <c r="AG341" s="59" t="s">
        <v>356</v>
      </c>
      <c r="AH341" s="59" t="s">
        <v>3878</v>
      </c>
      <c r="AI341" s="59" t="s">
        <v>285</v>
      </c>
      <c r="AJ341" s="59" t="s">
        <v>833</v>
      </c>
      <c r="AK341" s="59" t="s">
        <v>1550</v>
      </c>
      <c r="AL341" s="64" t="str">
        <f>IFERROR(INDEX(LK_BankMaster!$D$4:$D$23,MATCH(AJ341&amp;"|"&amp;AK341,LK_BankMaster!$H$4:$H$23,0)),"")</f>
        <v/>
      </c>
      <c r="AM341" s="59" t="s">
        <v>3879</v>
      </c>
      <c r="AN341" s="64" t="str">
        <f>IFERROR(VLOOKUP(AJ341,LK_BankMaster!$A$4:$E$23,5,FALSE()),"")</f>
        <v/>
      </c>
      <c r="AO341" s="59" t="s">
        <v>314</v>
      </c>
      <c r="AP341" s="66">
        <v>0</v>
      </c>
      <c r="AQ341" s="64" t="str">
        <f t="shared" si="23"/>
        <v>Position Allowance - General Staff</v>
      </c>
      <c r="AR341" s="65" t="str">
        <f>IFERROR(VLOOKUP(T341,LK_OrgMaster!$B$4:$G$89,6,FALSE()),"No")</f>
        <v>No</v>
      </c>
      <c r="AS341" s="64" t="str">
        <f>IFERROR(VLOOKUP(T341,LK_OrgMaster!$B$4:$H$89,7,FALSE()),"None")</f>
        <v>None</v>
      </c>
      <c r="AT341" s="70">
        <v>33111</v>
      </c>
      <c r="AU341" s="70"/>
      <c r="AV341" s="70">
        <v>33111</v>
      </c>
      <c r="AW341" s="70">
        <v>46023</v>
      </c>
      <c r="AX341" s="71" t="s">
        <v>750</v>
      </c>
      <c r="AY341" s="72" t="s">
        <v>6260</v>
      </c>
    </row>
    <row r="342" spans="1:51" ht="15" customHeight="1" x14ac:dyDescent="0.3">
      <c r="A342" s="59" t="s">
        <v>3880</v>
      </c>
      <c r="B342" s="59" t="s">
        <v>772</v>
      </c>
      <c r="C342" s="59" t="s">
        <v>1224</v>
      </c>
      <c r="D342" s="59" t="s">
        <v>2794</v>
      </c>
      <c r="E342" s="59" t="s">
        <v>775</v>
      </c>
      <c r="F342" s="60">
        <v>25859</v>
      </c>
      <c r="G342" s="59" t="s">
        <v>3881</v>
      </c>
      <c r="H342" s="59" t="s">
        <v>3882</v>
      </c>
      <c r="I342" s="60">
        <v>38607</v>
      </c>
      <c r="J342" s="61">
        <f t="shared" ca="1" si="20"/>
        <v>20</v>
      </c>
      <c r="K342" s="62">
        <f t="shared" si="21"/>
        <v>47774</v>
      </c>
      <c r="L342" s="59" t="s">
        <v>735</v>
      </c>
      <c r="M342" s="59" t="s">
        <v>2117</v>
      </c>
      <c r="N342" s="59" t="s">
        <v>737</v>
      </c>
      <c r="O342" s="63">
        <v>12</v>
      </c>
      <c r="P342" s="61">
        <f>IFERROR(SUMPRODUCT((LK_GradeDerivation!$A$4:$A$135=N342)*(IF(O342="",0,O342)&gt;=LK_GradeDerivation!$B$4:$B$135)*(IF(O342="",0,O342)&lt;=LK_GradeDerivation!$C$4:$C$135)*LK_GradeDerivation!$D$4:$D$135),1)</f>
        <v>4</v>
      </c>
      <c r="Q342" s="61">
        <f>IFERROR(SUMPRODUCT((LK_GradeDerivation!$A$4:$A$135=N342)*(IF(O342="",0,O342)&gt;=LK_GradeDerivation!$B$4:$B$135)*(IF(O342="",0,O342)&lt;=LK_GradeDerivation!$C$4:$C$135)*LK_GradeDerivation!$E$4:$E$135),1)</f>
        <v>7</v>
      </c>
      <c r="R342" s="59" t="s">
        <v>3883</v>
      </c>
      <c r="S342" s="59" t="s">
        <v>3884</v>
      </c>
      <c r="T342" s="59" t="s">
        <v>1023</v>
      </c>
      <c r="U342" s="59" t="s">
        <v>3885</v>
      </c>
      <c r="V342" s="59" t="s">
        <v>3886</v>
      </c>
      <c r="W342" s="59" t="s">
        <v>285</v>
      </c>
      <c r="X342" s="59" t="s">
        <v>340</v>
      </c>
      <c r="Y342" s="59" t="s">
        <v>352</v>
      </c>
      <c r="Z342" s="64" t="str">
        <f>IFERROR(VLOOKUP(T342,LK_OrgMaster!$B$4:$H$89,5,FALSE()),"Administration")</f>
        <v>Technical</v>
      </c>
      <c r="AA342" s="65" t="str">
        <f>IFERROR(VLOOKUP(X342,LK_LocationMaster!$D$4:$G$157,4,FALSE()),"No")</f>
        <v>No</v>
      </c>
      <c r="AB342" s="65" t="str">
        <f t="shared" si="22"/>
        <v>No</v>
      </c>
      <c r="AC342" s="65" t="str">
        <f>IFERROR(VLOOKUP(X342,LK_LocationMaster!$D$4:$H$157,5,FALSE()),"No")</f>
        <v>No</v>
      </c>
      <c r="AD342" s="59" t="s">
        <v>3887</v>
      </c>
      <c r="AE342" s="59" t="s">
        <v>886</v>
      </c>
      <c r="AF342" s="59" t="s">
        <v>786</v>
      </c>
      <c r="AG342" s="59" t="s">
        <v>340</v>
      </c>
      <c r="AH342" s="59" t="s">
        <v>3888</v>
      </c>
      <c r="AI342" s="59" t="s">
        <v>285</v>
      </c>
      <c r="AJ342" s="59" t="s">
        <v>788</v>
      </c>
      <c r="AK342" s="59" t="s">
        <v>999</v>
      </c>
      <c r="AL342" s="64" t="str">
        <f>IFERROR(INDEX(LK_BankMaster!$D$4:$D$23,MATCH(AJ342&amp;"|"&amp;AK342,LK_BankMaster!$H$4:$H$23,0)),"")</f>
        <v/>
      </c>
      <c r="AM342" s="59" t="s">
        <v>3889</v>
      </c>
      <c r="AN342" s="64" t="str">
        <f>IFERROR(VLOOKUP(AJ342,LK_BankMaster!$A$4:$E$23,5,FALSE()),"")</f>
        <v/>
      </c>
      <c r="AO342" s="59" t="s">
        <v>314</v>
      </c>
      <c r="AP342" s="66">
        <v>2</v>
      </c>
      <c r="AQ342" s="64" t="str">
        <f t="shared" si="23"/>
        <v>Position Allowance - General Staff</v>
      </c>
      <c r="AR342" s="65" t="str">
        <f>IFERROR(VLOOKUP(T342,LK_OrgMaster!$B$4:$G$89,6,FALSE()),"No")</f>
        <v>No</v>
      </c>
      <c r="AS342" s="64" t="str">
        <f>IFERROR(VLOOKUP(T342,LK_OrgMaster!$B$4:$H$89,7,FALSE()),"None")</f>
        <v>None</v>
      </c>
      <c r="AT342" s="67">
        <v>38607</v>
      </c>
      <c r="AU342" s="67"/>
      <c r="AV342" s="67">
        <v>38607</v>
      </c>
      <c r="AW342" s="67">
        <v>46023</v>
      </c>
      <c r="AX342" s="68" t="s">
        <v>750</v>
      </c>
      <c r="AY342" s="69" t="s">
        <v>6260</v>
      </c>
    </row>
    <row r="343" spans="1:51" ht="15" customHeight="1" x14ac:dyDescent="0.3">
      <c r="A343" s="59" t="s">
        <v>3890</v>
      </c>
      <c r="B343" s="59" t="s">
        <v>752</v>
      </c>
      <c r="C343" s="59" t="s">
        <v>2517</v>
      </c>
      <c r="D343" s="59" t="s">
        <v>838</v>
      </c>
      <c r="E343" s="59" t="s">
        <v>732</v>
      </c>
      <c r="F343" s="60">
        <v>35404</v>
      </c>
      <c r="G343" s="59" t="s">
        <v>3891</v>
      </c>
      <c r="H343" s="59" t="s">
        <v>3892</v>
      </c>
      <c r="I343" s="60">
        <v>40131</v>
      </c>
      <c r="J343" s="61">
        <f t="shared" ca="1" si="20"/>
        <v>16</v>
      </c>
      <c r="K343" s="62">
        <f t="shared" si="21"/>
        <v>57319</v>
      </c>
      <c r="L343" s="59" t="s">
        <v>735</v>
      </c>
      <c r="M343" s="59" t="s">
        <v>757</v>
      </c>
      <c r="N343" s="59" t="s">
        <v>758</v>
      </c>
      <c r="O343" s="63">
        <v>0</v>
      </c>
      <c r="P343" s="61">
        <f>IFERROR(SUMPRODUCT((LK_GradeDerivation!$A$4:$A$135=N343)*(IF(O343="",0,O343)&gt;=LK_GradeDerivation!$B$4:$B$135)*(IF(O343="",0,O343)&lt;=LK_GradeDerivation!$C$4:$C$135)*LK_GradeDerivation!$D$4:$D$135),1)</f>
        <v>5</v>
      </c>
      <c r="Q343" s="61">
        <f>IFERROR(SUMPRODUCT((LK_GradeDerivation!$A$4:$A$135=N343)*(IF(O343="",0,O343)&gt;=LK_GradeDerivation!$B$4:$B$135)*(IF(O343="",0,O343)&lt;=LK_GradeDerivation!$C$4:$C$135)*LK_GradeDerivation!$E$4:$E$135),1)</f>
        <v>1</v>
      </c>
      <c r="R343" s="59" t="s">
        <v>3893</v>
      </c>
      <c r="S343" s="59" t="s">
        <v>3894</v>
      </c>
      <c r="T343" s="59" t="s">
        <v>896</v>
      </c>
      <c r="U343" s="59" t="s">
        <v>1629</v>
      </c>
      <c r="V343" s="59" t="s">
        <v>2397</v>
      </c>
      <c r="W343" s="59" t="s">
        <v>285</v>
      </c>
      <c r="X343" s="59" t="s">
        <v>288</v>
      </c>
      <c r="Y343" s="59" t="s">
        <v>310</v>
      </c>
      <c r="Z343" s="64" t="str">
        <f>IFERROR(VLOOKUP(T343,LK_OrgMaster!$B$4:$H$89,5,FALSE()),"Administration")</f>
        <v>Administration</v>
      </c>
      <c r="AA343" s="65" t="str">
        <f>IFERROR(VLOOKUP(X343,LK_LocationMaster!$D$4:$G$157,4,FALSE()),"No")</f>
        <v>No</v>
      </c>
      <c r="AB343" s="65" t="str">
        <f t="shared" si="22"/>
        <v>No</v>
      </c>
      <c r="AC343" s="65" t="str">
        <f>IFERROR(VLOOKUP(X343,LK_LocationMaster!$D$4:$H$157,5,FALSE()),"No")</f>
        <v>No</v>
      </c>
      <c r="AD343" s="59" t="s">
        <v>3895</v>
      </c>
      <c r="AE343" s="59" t="s">
        <v>1999</v>
      </c>
      <c r="AF343" s="59" t="s">
        <v>969</v>
      </c>
      <c r="AG343" s="59" t="s">
        <v>368</v>
      </c>
      <c r="AH343" s="59" t="s">
        <v>3896</v>
      </c>
      <c r="AI343" s="59" t="s">
        <v>285</v>
      </c>
      <c r="AJ343" s="59" t="s">
        <v>833</v>
      </c>
      <c r="AK343" s="59" t="s">
        <v>1550</v>
      </c>
      <c r="AL343" s="64" t="str">
        <f>IFERROR(INDEX(LK_BankMaster!$D$4:$D$23,MATCH(AJ343&amp;"|"&amp;AK343,LK_BankMaster!$H$4:$H$23,0)),"")</f>
        <v/>
      </c>
      <c r="AM343" s="59" t="s">
        <v>3897</v>
      </c>
      <c r="AN343" s="64" t="str">
        <f>IFERROR(VLOOKUP(AJ343,LK_BankMaster!$A$4:$E$23,5,FALSE()),"")</f>
        <v/>
      </c>
      <c r="AO343" s="59" t="s">
        <v>291</v>
      </c>
      <c r="AP343" s="66">
        <v>0</v>
      </c>
      <c r="AQ343" s="64" t="str">
        <f t="shared" si="23"/>
        <v>Position Allowance - General Staff</v>
      </c>
      <c r="AR343" s="65" t="str">
        <f>IFERROR(VLOOKUP(T343,LK_OrgMaster!$B$4:$G$89,6,FALSE()),"No")</f>
        <v>No</v>
      </c>
      <c r="AS343" s="64" t="str">
        <f>IFERROR(VLOOKUP(T343,LK_OrgMaster!$B$4:$H$89,7,FALSE()),"None")</f>
        <v>None</v>
      </c>
      <c r="AT343" s="70">
        <v>40131</v>
      </c>
      <c r="AU343" s="70"/>
      <c r="AV343" s="70">
        <v>40131</v>
      </c>
      <c r="AW343" s="70">
        <v>46023</v>
      </c>
      <c r="AX343" s="71" t="s">
        <v>750</v>
      </c>
      <c r="AY343" s="72" t="s">
        <v>6260</v>
      </c>
    </row>
    <row r="344" spans="1:51" ht="15" customHeight="1" x14ac:dyDescent="0.3">
      <c r="A344" s="59" t="s">
        <v>3898</v>
      </c>
      <c r="B344" s="59" t="s">
        <v>752</v>
      </c>
      <c r="C344" s="59" t="s">
        <v>1713</v>
      </c>
      <c r="D344" s="59" t="s">
        <v>1066</v>
      </c>
      <c r="E344" s="59" t="s">
        <v>732</v>
      </c>
      <c r="F344" s="60">
        <v>35483</v>
      </c>
      <c r="G344" s="59" t="s">
        <v>3899</v>
      </c>
      <c r="H344" s="59" t="s">
        <v>3900</v>
      </c>
      <c r="I344" s="60">
        <v>39496</v>
      </c>
      <c r="J344" s="61">
        <f t="shared" ca="1" si="20"/>
        <v>18</v>
      </c>
      <c r="K344" s="62">
        <f t="shared" si="21"/>
        <v>57398</v>
      </c>
      <c r="L344" s="59" t="s">
        <v>735</v>
      </c>
      <c r="M344" s="59" t="s">
        <v>1020</v>
      </c>
      <c r="N344" s="59" t="s">
        <v>737</v>
      </c>
      <c r="O344" s="63">
        <v>0</v>
      </c>
      <c r="P344" s="61">
        <f>IFERROR(SUMPRODUCT((LK_GradeDerivation!$A$4:$A$135=N344)*(IF(O344="",0,O344)&gt;=LK_GradeDerivation!$B$4:$B$135)*(IF(O344="",0,O344)&lt;=LK_GradeDerivation!$C$4:$C$135)*LK_GradeDerivation!$D$4:$D$135),1)</f>
        <v>4</v>
      </c>
      <c r="Q344" s="61">
        <f>IFERROR(SUMPRODUCT((LK_GradeDerivation!$A$4:$A$135=N344)*(IF(O344="",0,O344)&gt;=LK_GradeDerivation!$B$4:$B$135)*(IF(O344="",0,O344)&lt;=LK_GradeDerivation!$C$4:$C$135)*LK_GradeDerivation!$E$4:$E$135),1)</f>
        <v>1</v>
      </c>
      <c r="R344" s="59" t="s">
        <v>3901</v>
      </c>
      <c r="S344" s="59" t="s">
        <v>3902</v>
      </c>
      <c r="T344" s="59" t="s">
        <v>859</v>
      </c>
      <c r="U344" s="59" t="s">
        <v>940</v>
      </c>
      <c r="V344" s="59" t="s">
        <v>1142</v>
      </c>
      <c r="W344" s="59" t="s">
        <v>285</v>
      </c>
      <c r="X344" s="59" t="s">
        <v>329</v>
      </c>
      <c r="Y344" s="59" t="s">
        <v>334</v>
      </c>
      <c r="Z344" s="64" t="str">
        <f>IFERROR(VLOOKUP(T344,LK_OrgMaster!$B$4:$H$89,5,FALSE()),"Administration")</f>
        <v>Technical</v>
      </c>
      <c r="AA344" s="65" t="str">
        <f>IFERROR(VLOOKUP(X344,LK_LocationMaster!$D$4:$G$157,4,FALSE()),"No")</f>
        <v>Yes</v>
      </c>
      <c r="AB344" s="65" t="str">
        <f t="shared" si="22"/>
        <v>No</v>
      </c>
      <c r="AC344" s="65" t="str">
        <f>IFERROR(VLOOKUP(X344,LK_LocationMaster!$D$4:$H$157,5,FALSE()),"No")</f>
        <v>No</v>
      </c>
      <c r="AD344" s="59" t="s">
        <v>3903</v>
      </c>
      <c r="AE344" s="59" t="s">
        <v>800</v>
      </c>
      <c r="AF344" s="59" t="s">
        <v>915</v>
      </c>
      <c r="AG344" s="59" t="s">
        <v>356</v>
      </c>
      <c r="AH344" s="59" t="s">
        <v>3904</v>
      </c>
      <c r="AI344" s="59" t="s">
        <v>285</v>
      </c>
      <c r="AJ344" s="59" t="s">
        <v>788</v>
      </c>
      <c r="AK344" s="59" t="s">
        <v>1460</v>
      </c>
      <c r="AL344" s="64" t="str">
        <f>IFERROR(INDEX(LK_BankMaster!$D$4:$D$23,MATCH(AJ344&amp;"|"&amp;AK344,LK_BankMaster!$H$4:$H$23,0)),"")</f>
        <v/>
      </c>
      <c r="AM344" s="59" t="s">
        <v>3905</v>
      </c>
      <c r="AN344" s="64" t="str">
        <f>IFERROR(VLOOKUP(AJ344,LK_BankMaster!$A$4:$E$23,5,FALSE()),"")</f>
        <v/>
      </c>
      <c r="AO344" s="59" t="s">
        <v>291</v>
      </c>
      <c r="AP344" s="66">
        <v>0</v>
      </c>
      <c r="AQ344" s="64" t="str">
        <f t="shared" si="23"/>
        <v>Position Allowance - Section Chief</v>
      </c>
      <c r="AR344" s="65" t="str">
        <f>IFERROR(VLOOKUP(T344,LK_OrgMaster!$B$4:$G$89,6,FALSE()),"No")</f>
        <v>No</v>
      </c>
      <c r="AS344" s="64" t="str">
        <f>IFERROR(VLOOKUP(T344,LK_OrgMaster!$B$4:$H$89,7,FALSE()),"None")</f>
        <v>None</v>
      </c>
      <c r="AT344" s="67">
        <v>39496</v>
      </c>
      <c r="AU344" s="67"/>
      <c r="AV344" s="67">
        <v>39496</v>
      </c>
      <c r="AW344" s="67">
        <v>46023</v>
      </c>
      <c r="AX344" s="68" t="s">
        <v>750</v>
      </c>
      <c r="AY344" s="69" t="s">
        <v>6260</v>
      </c>
    </row>
    <row r="345" spans="1:51" ht="15" customHeight="1" x14ac:dyDescent="0.3">
      <c r="A345" s="59" t="s">
        <v>3906</v>
      </c>
      <c r="B345" s="59" t="s">
        <v>772</v>
      </c>
      <c r="C345" s="59" t="s">
        <v>1224</v>
      </c>
      <c r="D345" s="59" t="s">
        <v>731</v>
      </c>
      <c r="E345" s="59" t="s">
        <v>775</v>
      </c>
      <c r="F345" s="60">
        <v>35000</v>
      </c>
      <c r="G345" s="59" t="s">
        <v>3907</v>
      </c>
      <c r="H345" s="59" t="s">
        <v>3908</v>
      </c>
      <c r="I345" s="60">
        <v>33778</v>
      </c>
      <c r="J345" s="61">
        <f t="shared" ca="1" si="20"/>
        <v>33</v>
      </c>
      <c r="K345" s="62">
        <f t="shared" si="21"/>
        <v>56915</v>
      </c>
      <c r="L345" s="59" t="s">
        <v>735</v>
      </c>
      <c r="M345" s="59" t="s">
        <v>1020</v>
      </c>
      <c r="N345" s="59" t="s">
        <v>758</v>
      </c>
      <c r="O345" s="63">
        <v>0</v>
      </c>
      <c r="P345" s="61">
        <f>IFERROR(SUMPRODUCT((LK_GradeDerivation!$A$4:$A$135=N345)*(IF(O345="",0,O345)&gt;=LK_GradeDerivation!$B$4:$B$135)*(IF(O345="",0,O345)&lt;=LK_GradeDerivation!$C$4:$C$135)*LK_GradeDerivation!$D$4:$D$135),1)</f>
        <v>5</v>
      </c>
      <c r="Q345" s="61">
        <f>IFERROR(SUMPRODUCT((LK_GradeDerivation!$A$4:$A$135=N345)*(IF(O345="",0,O345)&gt;=LK_GradeDerivation!$B$4:$B$135)*(IF(O345="",0,O345)&lt;=LK_GradeDerivation!$C$4:$C$135)*LK_GradeDerivation!$E$4:$E$135),1)</f>
        <v>1</v>
      </c>
      <c r="R345" s="59" t="s">
        <v>3909</v>
      </c>
      <c r="S345" s="59" t="s">
        <v>3910</v>
      </c>
      <c r="T345" s="59" t="s">
        <v>859</v>
      </c>
      <c r="U345" s="59" t="s">
        <v>860</v>
      </c>
      <c r="V345" s="59" t="s">
        <v>3911</v>
      </c>
      <c r="W345" s="59" t="s">
        <v>285</v>
      </c>
      <c r="X345" s="59" t="s">
        <v>429</v>
      </c>
      <c r="Y345" s="59" t="s">
        <v>439</v>
      </c>
      <c r="Z345" s="64" t="str">
        <f>IFERROR(VLOOKUP(T345,LK_OrgMaster!$B$4:$H$89,5,FALSE()),"Administration")</f>
        <v>Technical</v>
      </c>
      <c r="AA345" s="65" t="str">
        <f>IFERROR(VLOOKUP(X345,LK_LocationMaster!$D$4:$G$157,4,FALSE()),"No")</f>
        <v>Yes</v>
      </c>
      <c r="AB345" s="65" t="str">
        <f t="shared" si="22"/>
        <v>No</v>
      </c>
      <c r="AC345" s="65" t="str">
        <f>IFERROR(VLOOKUP(X345,LK_LocationMaster!$D$4:$H$157,5,FALSE()),"No")</f>
        <v>Yes</v>
      </c>
      <c r="AD345" s="59" t="s">
        <v>3912</v>
      </c>
      <c r="AE345" s="59" t="s">
        <v>765</v>
      </c>
      <c r="AF345" s="59" t="s">
        <v>745</v>
      </c>
      <c r="AG345" s="59" t="s">
        <v>391</v>
      </c>
      <c r="AH345" s="59" t="s">
        <v>3913</v>
      </c>
      <c r="AI345" s="59" t="s">
        <v>285</v>
      </c>
      <c r="AJ345" s="59" t="s">
        <v>788</v>
      </c>
      <c r="AK345" s="59" t="s">
        <v>1877</v>
      </c>
      <c r="AL345" s="64" t="str">
        <f>IFERROR(INDEX(LK_BankMaster!$D$4:$D$23,MATCH(AJ345&amp;"|"&amp;AK345,LK_BankMaster!$H$4:$H$23,0)),"")</f>
        <v/>
      </c>
      <c r="AM345" s="59" t="s">
        <v>3914</v>
      </c>
      <c r="AN345" s="64" t="str">
        <f>IFERROR(VLOOKUP(AJ345,LK_BankMaster!$A$4:$E$23,5,FALSE()),"")</f>
        <v/>
      </c>
      <c r="AO345" s="59" t="s">
        <v>314</v>
      </c>
      <c r="AP345" s="66">
        <v>3</v>
      </c>
      <c r="AQ345" s="64" t="str">
        <f t="shared" si="23"/>
        <v>Position Allowance - Section Chief</v>
      </c>
      <c r="AR345" s="65" t="str">
        <f>IFERROR(VLOOKUP(T345,LK_OrgMaster!$B$4:$G$89,6,FALSE()),"No")</f>
        <v>No</v>
      </c>
      <c r="AS345" s="64" t="str">
        <f>IFERROR(VLOOKUP(T345,LK_OrgMaster!$B$4:$H$89,7,FALSE()),"None")</f>
        <v>None</v>
      </c>
      <c r="AT345" s="70">
        <v>33778</v>
      </c>
      <c r="AU345" s="70"/>
      <c r="AV345" s="70">
        <v>33778</v>
      </c>
      <c r="AW345" s="70">
        <v>46023</v>
      </c>
      <c r="AX345" s="71" t="s">
        <v>750</v>
      </c>
      <c r="AY345" s="72" t="s">
        <v>6260</v>
      </c>
    </row>
    <row r="346" spans="1:51" ht="15" customHeight="1" x14ac:dyDescent="0.3">
      <c r="A346" s="59" t="s">
        <v>3915</v>
      </c>
      <c r="B346" s="59" t="s">
        <v>772</v>
      </c>
      <c r="C346" s="59" t="s">
        <v>934</v>
      </c>
      <c r="D346" s="59" t="s">
        <v>1066</v>
      </c>
      <c r="E346" s="59" t="s">
        <v>775</v>
      </c>
      <c r="F346" s="60">
        <v>31486</v>
      </c>
      <c r="G346" s="59" t="s">
        <v>3916</v>
      </c>
      <c r="H346" s="59" t="s">
        <v>3917</v>
      </c>
      <c r="I346" s="60">
        <v>36509</v>
      </c>
      <c r="J346" s="61">
        <f t="shared" ca="1" si="20"/>
        <v>26</v>
      </c>
      <c r="K346" s="62">
        <f t="shared" si="21"/>
        <v>53401</v>
      </c>
      <c r="L346" s="59" t="s">
        <v>735</v>
      </c>
      <c r="M346" s="59" t="s">
        <v>2735</v>
      </c>
      <c r="N346" s="59" t="s">
        <v>758</v>
      </c>
      <c r="O346" s="63">
        <v>0</v>
      </c>
      <c r="P346" s="61">
        <f>IFERROR(SUMPRODUCT((LK_GradeDerivation!$A$4:$A$135=N346)*(IF(O346="",0,O346)&gt;=LK_GradeDerivation!$B$4:$B$135)*(IF(O346="",0,O346)&lt;=LK_GradeDerivation!$C$4:$C$135)*LK_GradeDerivation!$D$4:$D$135),1)</f>
        <v>5</v>
      </c>
      <c r="Q346" s="61">
        <f>IFERROR(SUMPRODUCT((LK_GradeDerivation!$A$4:$A$135=N346)*(IF(O346="",0,O346)&gt;=LK_GradeDerivation!$B$4:$B$135)*(IF(O346="",0,O346)&lt;=LK_GradeDerivation!$C$4:$C$135)*LK_GradeDerivation!$E$4:$E$135),1)</f>
        <v>1</v>
      </c>
      <c r="R346" s="59" t="s">
        <v>3918</v>
      </c>
      <c r="S346" s="59" t="s">
        <v>3919</v>
      </c>
      <c r="T346" s="59" t="s">
        <v>782</v>
      </c>
      <c r="U346" s="59" t="s">
        <v>783</v>
      </c>
      <c r="V346" s="59" t="s">
        <v>784</v>
      </c>
      <c r="W346" s="59" t="s">
        <v>285</v>
      </c>
      <c r="X346" s="59" t="s">
        <v>544</v>
      </c>
      <c r="Y346" s="59" t="s">
        <v>550</v>
      </c>
      <c r="Z346" s="64" t="str">
        <f>IFERROR(VLOOKUP(T346,LK_OrgMaster!$B$4:$H$89,5,FALSE()),"Administration")</f>
        <v>Medical</v>
      </c>
      <c r="AA346" s="65" t="str">
        <f>IFERROR(VLOOKUP(X346,LK_LocationMaster!$D$4:$G$157,4,FALSE()),"No")</f>
        <v>Yes</v>
      </c>
      <c r="AB346" s="65" t="str">
        <f t="shared" si="22"/>
        <v>No</v>
      </c>
      <c r="AC346" s="65" t="str">
        <f>IFERROR(VLOOKUP(X346,LK_LocationMaster!$D$4:$H$157,5,FALSE()),"No")</f>
        <v>Yes</v>
      </c>
      <c r="AD346" s="59" t="s">
        <v>3920</v>
      </c>
      <c r="AE346" s="59" t="s">
        <v>800</v>
      </c>
      <c r="AF346" s="59" t="s">
        <v>901</v>
      </c>
      <c r="AG346" s="59" t="s">
        <v>312</v>
      </c>
      <c r="AH346" s="59" t="s">
        <v>3921</v>
      </c>
      <c r="AI346" s="59" t="s">
        <v>285</v>
      </c>
      <c r="AJ346" s="59" t="s">
        <v>768</v>
      </c>
      <c r="AK346" s="59" t="s">
        <v>803</v>
      </c>
      <c r="AL346" s="64" t="str">
        <f>IFERROR(INDEX(LK_BankMaster!$D$4:$D$23,MATCH(AJ346&amp;"|"&amp;AK346,LK_BankMaster!$H$4:$H$23,0)),"")</f>
        <v/>
      </c>
      <c r="AM346" s="59" t="s">
        <v>3922</v>
      </c>
      <c r="AN346" s="64" t="str">
        <f>IFERROR(VLOOKUP(AJ346,LK_BankMaster!$A$4:$E$23,5,FALSE()),"")</f>
        <v/>
      </c>
      <c r="AO346" s="59" t="s">
        <v>291</v>
      </c>
      <c r="AP346" s="66">
        <v>0</v>
      </c>
      <c r="AQ346" s="64" t="str">
        <f t="shared" si="23"/>
        <v>Position Allowance - General Staff</v>
      </c>
      <c r="AR346" s="65" t="str">
        <f>IFERROR(VLOOKUP(T346,LK_OrgMaster!$B$4:$G$89,6,FALSE()),"No")</f>
        <v>No</v>
      </c>
      <c r="AS346" s="64" t="str">
        <f>IFERROR(VLOOKUP(T346,LK_OrgMaster!$B$4:$H$89,7,FALSE()),"None")</f>
        <v>Medical</v>
      </c>
      <c r="AT346" s="67">
        <v>36509</v>
      </c>
      <c r="AU346" s="67"/>
      <c r="AV346" s="67">
        <v>36509</v>
      </c>
      <c r="AW346" s="67">
        <v>46023</v>
      </c>
      <c r="AX346" s="68" t="s">
        <v>750</v>
      </c>
      <c r="AY346" s="69" t="s">
        <v>6260</v>
      </c>
    </row>
    <row r="347" spans="1:51" ht="15" customHeight="1" x14ac:dyDescent="0.3">
      <c r="A347" s="59" t="s">
        <v>3923</v>
      </c>
      <c r="B347" s="59" t="s">
        <v>851</v>
      </c>
      <c r="C347" s="59" t="s">
        <v>837</v>
      </c>
      <c r="D347" s="59" t="s">
        <v>1909</v>
      </c>
      <c r="E347" s="59" t="s">
        <v>775</v>
      </c>
      <c r="F347" s="60">
        <v>24428</v>
      </c>
      <c r="G347" s="59" t="s">
        <v>1910</v>
      </c>
      <c r="H347" s="59" t="s">
        <v>3924</v>
      </c>
      <c r="I347" s="60">
        <v>34348</v>
      </c>
      <c r="J347" s="61">
        <f t="shared" ca="1" si="20"/>
        <v>32</v>
      </c>
      <c r="K347" s="62">
        <f t="shared" si="21"/>
        <v>46343</v>
      </c>
      <c r="L347" s="59" t="s">
        <v>735</v>
      </c>
      <c r="M347" s="59" t="s">
        <v>937</v>
      </c>
      <c r="N347" s="59" t="s">
        <v>758</v>
      </c>
      <c r="O347" s="63">
        <v>2</v>
      </c>
      <c r="P347" s="61">
        <f>IFERROR(SUMPRODUCT((LK_GradeDerivation!$A$4:$A$135=N347)*(IF(O347="",0,O347)&gt;=LK_GradeDerivation!$B$4:$B$135)*(IF(O347="",0,O347)&lt;=LK_GradeDerivation!$C$4:$C$135)*LK_GradeDerivation!$D$4:$D$135),1)</f>
        <v>5</v>
      </c>
      <c r="Q347" s="61">
        <f>IFERROR(SUMPRODUCT((LK_GradeDerivation!$A$4:$A$135=N347)*(IF(O347="",0,O347)&gt;=LK_GradeDerivation!$B$4:$B$135)*(IF(O347="",0,O347)&lt;=LK_GradeDerivation!$C$4:$C$135)*LK_GradeDerivation!$E$4:$E$135),1)</f>
        <v>2</v>
      </c>
      <c r="R347" s="59" t="s">
        <v>3925</v>
      </c>
      <c r="S347" s="59" t="s">
        <v>3926</v>
      </c>
      <c r="T347" s="59" t="s">
        <v>1058</v>
      </c>
      <c r="U347" s="59" t="s">
        <v>2438</v>
      </c>
      <c r="V347" s="59" t="s">
        <v>2554</v>
      </c>
      <c r="W347" s="59" t="s">
        <v>285</v>
      </c>
      <c r="X347" s="59" t="s">
        <v>356</v>
      </c>
      <c r="Y347" s="59" t="s">
        <v>364</v>
      </c>
      <c r="Z347" s="64" t="str">
        <f>IFERROR(VLOOKUP(T347,LK_OrgMaster!$B$4:$H$89,5,FALSE()),"Administration")</f>
        <v>Technical</v>
      </c>
      <c r="AA347" s="65" t="str">
        <f>IFERROR(VLOOKUP(X347,LK_LocationMaster!$D$4:$G$157,4,FALSE()),"No")</f>
        <v>Yes</v>
      </c>
      <c r="AB347" s="65" t="str">
        <f t="shared" si="22"/>
        <v>No</v>
      </c>
      <c r="AC347" s="65" t="str">
        <f>IFERROR(VLOOKUP(X347,LK_LocationMaster!$D$4:$H$157,5,FALSE()),"No")</f>
        <v>No</v>
      </c>
      <c r="AD347" s="59" t="s">
        <v>1641</v>
      </c>
      <c r="AE347" s="59" t="s">
        <v>886</v>
      </c>
      <c r="AF347" s="59" t="s">
        <v>915</v>
      </c>
      <c r="AG347" s="59" t="s">
        <v>391</v>
      </c>
      <c r="AH347" s="59" t="s">
        <v>3927</v>
      </c>
      <c r="AI347" s="59" t="s">
        <v>285</v>
      </c>
      <c r="AJ347" s="59" t="s">
        <v>818</v>
      </c>
      <c r="AK347" s="59" t="s">
        <v>819</v>
      </c>
      <c r="AL347" s="64" t="str">
        <f>IFERROR(INDEX(LK_BankMaster!$D$4:$D$23,MATCH(AJ347&amp;"|"&amp;AK347,LK_BankMaster!$H$4:$H$23,0)),"")</f>
        <v/>
      </c>
      <c r="AM347" s="59" t="s">
        <v>3928</v>
      </c>
      <c r="AN347" s="64" t="str">
        <f>IFERROR(VLOOKUP(AJ347,LK_BankMaster!$A$4:$E$23,5,FALSE()),"")</f>
        <v/>
      </c>
      <c r="AO347" s="59" t="s">
        <v>314</v>
      </c>
      <c r="AP347" s="66">
        <v>1</v>
      </c>
      <c r="AQ347" s="64" t="str">
        <f t="shared" si="23"/>
        <v>Position Allowance - General Staff</v>
      </c>
      <c r="AR347" s="65" t="str">
        <f>IFERROR(VLOOKUP(T347,LK_OrgMaster!$B$4:$G$89,6,FALSE()),"No")</f>
        <v>No</v>
      </c>
      <c r="AS347" s="64" t="str">
        <f>IFERROR(VLOOKUP(T347,LK_OrgMaster!$B$4:$H$89,7,FALSE()),"None")</f>
        <v>None</v>
      </c>
      <c r="AT347" s="70">
        <v>34348</v>
      </c>
      <c r="AU347" s="70"/>
      <c r="AV347" s="70">
        <v>34348</v>
      </c>
      <c r="AW347" s="70">
        <v>46023</v>
      </c>
      <c r="AX347" s="71" t="s">
        <v>750</v>
      </c>
      <c r="AY347" s="72" t="s">
        <v>6260</v>
      </c>
    </row>
    <row r="348" spans="1:51" ht="15" customHeight="1" x14ac:dyDescent="0.3">
      <c r="A348" s="59" t="s">
        <v>3929</v>
      </c>
      <c r="B348" s="59" t="s">
        <v>851</v>
      </c>
      <c r="C348" s="59" t="s">
        <v>1534</v>
      </c>
      <c r="D348" s="59" t="s">
        <v>1289</v>
      </c>
      <c r="E348" s="59" t="s">
        <v>775</v>
      </c>
      <c r="F348" s="60">
        <v>28504</v>
      </c>
      <c r="G348" s="59" t="s">
        <v>1535</v>
      </c>
      <c r="H348" s="59" t="s">
        <v>3930</v>
      </c>
      <c r="I348" s="60">
        <v>42990</v>
      </c>
      <c r="J348" s="61">
        <f t="shared" ca="1" si="20"/>
        <v>8</v>
      </c>
      <c r="K348" s="62">
        <f t="shared" si="21"/>
        <v>50419</v>
      </c>
      <c r="L348" s="59" t="s">
        <v>735</v>
      </c>
      <c r="M348" s="59" t="s">
        <v>841</v>
      </c>
      <c r="N348" s="59" t="s">
        <v>737</v>
      </c>
      <c r="O348" s="63">
        <v>17</v>
      </c>
      <c r="P348" s="61">
        <f>IFERROR(SUMPRODUCT((LK_GradeDerivation!$A$4:$A$135=N348)*(IF(O348="",0,O348)&gt;=LK_GradeDerivation!$B$4:$B$135)*(IF(O348="",0,O348)&lt;=LK_GradeDerivation!$C$4:$C$135)*LK_GradeDerivation!$D$4:$D$135),1)</f>
        <v>4</v>
      </c>
      <c r="Q348" s="61">
        <f>IFERROR(SUMPRODUCT((LK_GradeDerivation!$A$4:$A$135=N348)*(IF(O348="",0,O348)&gt;=LK_GradeDerivation!$B$4:$B$135)*(IF(O348="",0,O348)&lt;=LK_GradeDerivation!$C$4:$C$135)*LK_GradeDerivation!$E$4:$E$135),1)</f>
        <v>9</v>
      </c>
      <c r="R348" s="59" t="s">
        <v>3931</v>
      </c>
      <c r="S348" s="59" t="s">
        <v>3932</v>
      </c>
      <c r="T348" s="59" t="s">
        <v>952</v>
      </c>
      <c r="U348" s="59" t="s">
        <v>1597</v>
      </c>
      <c r="V348" s="59" t="s">
        <v>763</v>
      </c>
      <c r="W348" s="59" t="s">
        <v>285</v>
      </c>
      <c r="X348" s="59" t="s">
        <v>368</v>
      </c>
      <c r="Y348" s="59" t="s">
        <v>379</v>
      </c>
      <c r="Z348" s="64" t="str">
        <f>IFERROR(VLOOKUP(T348,LK_OrgMaster!$B$4:$H$89,5,FALSE()),"Administration")</f>
        <v>Administration</v>
      </c>
      <c r="AA348" s="65" t="str">
        <f>IFERROR(VLOOKUP(X348,LK_LocationMaster!$D$4:$G$157,4,FALSE()),"No")</f>
        <v>No</v>
      </c>
      <c r="AB348" s="65" t="str">
        <f t="shared" si="22"/>
        <v>No</v>
      </c>
      <c r="AC348" s="65" t="str">
        <f>IFERROR(VLOOKUP(X348,LK_LocationMaster!$D$4:$H$157,5,FALSE()),"No")</f>
        <v>No</v>
      </c>
      <c r="AD348" s="59" t="s">
        <v>3933</v>
      </c>
      <c r="AE348" s="59" t="s">
        <v>886</v>
      </c>
      <c r="AF348" s="59" t="s">
        <v>915</v>
      </c>
      <c r="AG348" s="59" t="s">
        <v>356</v>
      </c>
      <c r="AH348" s="59" t="s">
        <v>3934</v>
      </c>
      <c r="AI348" s="59" t="s">
        <v>285</v>
      </c>
      <c r="AJ348" s="59" t="s">
        <v>788</v>
      </c>
      <c r="AK348" s="59" t="s">
        <v>1460</v>
      </c>
      <c r="AL348" s="64" t="str">
        <f>IFERROR(INDEX(LK_BankMaster!$D$4:$D$23,MATCH(AJ348&amp;"|"&amp;AK348,LK_BankMaster!$H$4:$H$23,0)),"")</f>
        <v/>
      </c>
      <c r="AM348" s="59" t="s">
        <v>3935</v>
      </c>
      <c r="AN348" s="64" t="str">
        <f>IFERROR(VLOOKUP(AJ348,LK_BankMaster!$A$4:$E$23,5,FALSE()),"")</f>
        <v/>
      </c>
      <c r="AO348" s="59" t="s">
        <v>314</v>
      </c>
      <c r="AP348" s="66">
        <v>3</v>
      </c>
      <c r="AQ348" s="64" t="str">
        <f t="shared" si="23"/>
        <v>Position Allowance - Director</v>
      </c>
      <c r="AR348" s="65" t="str">
        <f>IFERROR(VLOOKUP(T348,LK_OrgMaster!$B$4:$G$89,6,FALSE()),"No")</f>
        <v>No</v>
      </c>
      <c r="AS348" s="64" t="str">
        <f>IFERROR(VLOOKUP(T348,LK_OrgMaster!$B$4:$H$89,7,FALSE()),"None")</f>
        <v>None</v>
      </c>
      <c r="AT348" s="67">
        <v>42990</v>
      </c>
      <c r="AU348" s="67"/>
      <c r="AV348" s="67">
        <v>42990</v>
      </c>
      <c r="AW348" s="67">
        <v>46023</v>
      </c>
      <c r="AX348" s="68" t="s">
        <v>750</v>
      </c>
      <c r="AY348" s="69" t="s">
        <v>6260</v>
      </c>
    </row>
    <row r="349" spans="1:51" ht="15" customHeight="1" x14ac:dyDescent="0.3">
      <c r="A349" s="59" t="s">
        <v>3936</v>
      </c>
      <c r="B349" s="59" t="s">
        <v>752</v>
      </c>
      <c r="C349" s="59" t="s">
        <v>1521</v>
      </c>
      <c r="D349" s="59" t="s">
        <v>774</v>
      </c>
      <c r="E349" s="59" t="s">
        <v>732</v>
      </c>
      <c r="F349" s="60">
        <v>25856</v>
      </c>
      <c r="G349" s="59" t="s">
        <v>3937</v>
      </c>
      <c r="H349" s="59" t="s">
        <v>3938</v>
      </c>
      <c r="I349" s="60">
        <v>44713</v>
      </c>
      <c r="J349" s="61">
        <f t="shared" ca="1" si="20"/>
        <v>3</v>
      </c>
      <c r="K349" s="62">
        <f t="shared" si="21"/>
        <v>47771</v>
      </c>
      <c r="L349" s="59" t="s">
        <v>735</v>
      </c>
      <c r="M349" s="59" t="s">
        <v>893</v>
      </c>
      <c r="N349" s="59" t="s">
        <v>737</v>
      </c>
      <c r="O349" s="63">
        <v>25</v>
      </c>
      <c r="P349" s="61">
        <f>IFERROR(SUMPRODUCT((LK_GradeDerivation!$A$4:$A$135=N349)*(IF(O349="",0,O349)&gt;=LK_GradeDerivation!$B$4:$B$135)*(IF(O349="",0,O349)&lt;=LK_GradeDerivation!$C$4:$C$135)*LK_GradeDerivation!$D$4:$D$135),1)</f>
        <v>4</v>
      </c>
      <c r="Q349" s="61">
        <f>IFERROR(SUMPRODUCT((LK_GradeDerivation!$A$4:$A$135=N349)*(IF(O349="",0,O349)&gt;=LK_GradeDerivation!$B$4:$B$135)*(IF(O349="",0,O349)&lt;=LK_GradeDerivation!$C$4:$C$135)*LK_GradeDerivation!$E$4:$E$135),1)</f>
        <v>13</v>
      </c>
      <c r="R349" s="59" t="s">
        <v>3939</v>
      </c>
      <c r="S349" s="59" t="s">
        <v>3940</v>
      </c>
      <c r="T349" s="59" t="s">
        <v>1096</v>
      </c>
      <c r="U349" s="59" t="s">
        <v>2369</v>
      </c>
      <c r="V349" s="59" t="s">
        <v>2370</v>
      </c>
      <c r="W349" s="59" t="s">
        <v>285</v>
      </c>
      <c r="X349" s="59" t="s">
        <v>477</v>
      </c>
      <c r="Y349" s="59" t="s">
        <v>482</v>
      </c>
      <c r="Z349" s="64" t="str">
        <f>IFERROR(VLOOKUP(T349,LK_OrgMaster!$B$4:$H$89,5,FALSE()),"Administration")</f>
        <v>Administration</v>
      </c>
      <c r="AA349" s="65" t="str">
        <f>IFERROR(VLOOKUP(X349,LK_LocationMaster!$D$4:$G$157,4,FALSE()),"No")</f>
        <v>No</v>
      </c>
      <c r="AB349" s="65" t="str">
        <f t="shared" si="22"/>
        <v>No</v>
      </c>
      <c r="AC349" s="65" t="str">
        <f>IFERROR(VLOOKUP(X349,LK_LocationMaster!$D$4:$H$157,5,FALSE()),"No")</f>
        <v>Yes</v>
      </c>
      <c r="AD349" s="59" t="s">
        <v>3941</v>
      </c>
      <c r="AE349" s="59" t="s">
        <v>930</v>
      </c>
      <c r="AF349" s="59" t="s">
        <v>766</v>
      </c>
      <c r="AG349" s="59" t="s">
        <v>391</v>
      </c>
      <c r="AH349" s="59" t="s">
        <v>3942</v>
      </c>
      <c r="AI349" s="59" t="s">
        <v>285</v>
      </c>
      <c r="AJ349" s="59" t="s">
        <v>788</v>
      </c>
      <c r="AK349" s="59" t="s">
        <v>1460</v>
      </c>
      <c r="AL349" s="64" t="str">
        <f>IFERROR(INDEX(LK_BankMaster!$D$4:$D$23,MATCH(AJ349&amp;"|"&amp;AK349,LK_BankMaster!$H$4:$H$23,0)),"")</f>
        <v/>
      </c>
      <c r="AM349" s="59" t="s">
        <v>3943</v>
      </c>
      <c r="AN349" s="64" t="str">
        <f>IFERROR(VLOOKUP(AJ349,LK_BankMaster!$A$4:$E$23,5,FALSE()),"")</f>
        <v/>
      </c>
      <c r="AO349" s="59" t="s">
        <v>314</v>
      </c>
      <c r="AP349" s="66">
        <v>2</v>
      </c>
      <c r="AQ349" s="64" t="str">
        <f t="shared" si="23"/>
        <v>Position Allowance - General Staff</v>
      </c>
      <c r="AR349" s="65" t="str">
        <f>IFERROR(VLOOKUP(T349,LK_OrgMaster!$B$4:$G$89,6,FALSE()),"No")</f>
        <v>No</v>
      </c>
      <c r="AS349" s="64" t="str">
        <f>IFERROR(VLOOKUP(T349,LK_OrgMaster!$B$4:$H$89,7,FALSE()),"None")</f>
        <v>None</v>
      </c>
      <c r="AT349" s="70">
        <v>44713</v>
      </c>
      <c r="AU349" s="70"/>
      <c r="AV349" s="70">
        <v>44713</v>
      </c>
      <c r="AW349" s="70">
        <v>46023</v>
      </c>
      <c r="AX349" s="71" t="s">
        <v>750</v>
      </c>
      <c r="AY349" s="72" t="s">
        <v>6260</v>
      </c>
    </row>
    <row r="350" spans="1:51" ht="15" customHeight="1" x14ac:dyDescent="0.3">
      <c r="A350" s="59" t="s">
        <v>3944</v>
      </c>
      <c r="B350" s="59" t="s">
        <v>851</v>
      </c>
      <c r="C350" s="59" t="s">
        <v>3327</v>
      </c>
      <c r="D350" s="59" t="s">
        <v>823</v>
      </c>
      <c r="E350" s="59" t="s">
        <v>775</v>
      </c>
      <c r="F350" s="60">
        <v>26098</v>
      </c>
      <c r="G350" s="59" t="s">
        <v>3945</v>
      </c>
      <c r="H350" s="59" t="s">
        <v>3946</v>
      </c>
      <c r="I350" s="60">
        <v>36687</v>
      </c>
      <c r="J350" s="61">
        <f t="shared" ca="1" si="20"/>
        <v>25</v>
      </c>
      <c r="K350" s="62">
        <f t="shared" si="21"/>
        <v>48013</v>
      </c>
      <c r="L350" s="59" t="s">
        <v>735</v>
      </c>
      <c r="M350" s="59" t="s">
        <v>910</v>
      </c>
      <c r="N350" s="59" t="s">
        <v>737</v>
      </c>
      <c r="O350" s="63">
        <v>7</v>
      </c>
      <c r="P350" s="61">
        <f>IFERROR(SUMPRODUCT((LK_GradeDerivation!$A$4:$A$135=N350)*(IF(O350="",0,O350)&gt;=LK_GradeDerivation!$B$4:$B$135)*(IF(O350="",0,O350)&lt;=LK_GradeDerivation!$C$4:$C$135)*LK_GradeDerivation!$D$4:$D$135),1)</f>
        <v>4</v>
      </c>
      <c r="Q350" s="61">
        <f>IFERROR(SUMPRODUCT((LK_GradeDerivation!$A$4:$A$135=N350)*(IF(O350="",0,O350)&gt;=LK_GradeDerivation!$B$4:$B$135)*(IF(O350="",0,O350)&lt;=LK_GradeDerivation!$C$4:$C$135)*LK_GradeDerivation!$E$4:$E$135),1)</f>
        <v>4</v>
      </c>
      <c r="R350" s="59" t="s">
        <v>3947</v>
      </c>
      <c r="S350" s="59" t="s">
        <v>3948</v>
      </c>
      <c r="T350" s="59" t="s">
        <v>1035</v>
      </c>
      <c r="U350" s="59" t="s">
        <v>1229</v>
      </c>
      <c r="V350" s="59" t="s">
        <v>763</v>
      </c>
      <c r="W350" s="59" t="s">
        <v>285</v>
      </c>
      <c r="X350" s="59" t="s">
        <v>587</v>
      </c>
      <c r="Y350" s="59" t="s">
        <v>593</v>
      </c>
      <c r="Z350" s="64" t="str">
        <f>IFERROR(VLOOKUP(T350,LK_OrgMaster!$B$4:$H$89,5,FALSE()),"Administration")</f>
        <v>Administration</v>
      </c>
      <c r="AA350" s="65" t="str">
        <f>IFERROR(VLOOKUP(X350,LK_LocationMaster!$D$4:$G$157,4,FALSE()),"No")</f>
        <v>Yes</v>
      </c>
      <c r="AB350" s="65" t="str">
        <f t="shared" si="22"/>
        <v>No</v>
      </c>
      <c r="AC350" s="65" t="str">
        <f>IFERROR(VLOOKUP(X350,LK_LocationMaster!$D$4:$H$157,5,FALSE()),"No")</f>
        <v>Yes</v>
      </c>
      <c r="AD350" s="59" t="s">
        <v>1530</v>
      </c>
      <c r="AE350" s="59" t="s">
        <v>930</v>
      </c>
      <c r="AF350" s="59" t="s">
        <v>901</v>
      </c>
      <c r="AG350" s="59" t="s">
        <v>368</v>
      </c>
      <c r="AH350" s="59" t="s">
        <v>3949</v>
      </c>
      <c r="AI350" s="59" t="s">
        <v>285</v>
      </c>
      <c r="AJ350" s="59" t="s">
        <v>788</v>
      </c>
      <c r="AK350" s="59" t="s">
        <v>789</v>
      </c>
      <c r="AL350" s="64" t="str">
        <f>IFERROR(INDEX(LK_BankMaster!$D$4:$D$23,MATCH(AJ350&amp;"|"&amp;AK350,LK_BankMaster!$H$4:$H$23,0)),"")</f>
        <v/>
      </c>
      <c r="AM350" s="59" t="s">
        <v>3950</v>
      </c>
      <c r="AN350" s="64" t="str">
        <f>IFERROR(VLOOKUP(AJ350,LK_BankMaster!$A$4:$E$23,5,FALSE()),"")</f>
        <v/>
      </c>
      <c r="AO350" s="59" t="s">
        <v>291</v>
      </c>
      <c r="AP350" s="66">
        <v>0</v>
      </c>
      <c r="AQ350" s="64" t="str">
        <f t="shared" si="23"/>
        <v>Position Allowance - Division Chief</v>
      </c>
      <c r="AR350" s="65" t="str">
        <f>IFERROR(VLOOKUP(T350,LK_OrgMaster!$B$4:$G$89,6,FALSE()),"No")</f>
        <v>No</v>
      </c>
      <c r="AS350" s="64" t="str">
        <f>IFERROR(VLOOKUP(T350,LK_OrgMaster!$B$4:$H$89,7,FALSE()),"None")</f>
        <v>None</v>
      </c>
      <c r="AT350" s="67">
        <v>36687</v>
      </c>
      <c r="AU350" s="67"/>
      <c r="AV350" s="67">
        <v>36687</v>
      </c>
      <c r="AW350" s="67">
        <v>46023</v>
      </c>
      <c r="AX350" s="68" t="s">
        <v>750</v>
      </c>
      <c r="AY350" s="69" t="s">
        <v>6260</v>
      </c>
    </row>
    <row r="351" spans="1:51" ht="15" customHeight="1" x14ac:dyDescent="0.3">
      <c r="A351" s="59" t="s">
        <v>3951</v>
      </c>
      <c r="B351" s="59" t="s">
        <v>729</v>
      </c>
      <c r="C351" s="59" t="s">
        <v>3952</v>
      </c>
      <c r="D351" s="59" t="s">
        <v>754</v>
      </c>
      <c r="E351" s="59" t="s">
        <v>732</v>
      </c>
      <c r="F351" s="60">
        <v>29327</v>
      </c>
      <c r="G351" s="59" t="s">
        <v>3953</v>
      </c>
      <c r="H351" s="59" t="s">
        <v>3954</v>
      </c>
      <c r="I351" s="60">
        <v>45007</v>
      </c>
      <c r="J351" s="61">
        <f t="shared" ca="1" si="20"/>
        <v>2</v>
      </c>
      <c r="K351" s="62">
        <f t="shared" si="21"/>
        <v>51242</v>
      </c>
      <c r="L351" s="59" t="s">
        <v>735</v>
      </c>
      <c r="M351" s="59" t="s">
        <v>1504</v>
      </c>
      <c r="N351" s="59" t="s">
        <v>737</v>
      </c>
      <c r="O351" s="63">
        <v>20</v>
      </c>
      <c r="P351" s="61">
        <f>IFERROR(SUMPRODUCT((LK_GradeDerivation!$A$4:$A$135=N351)*(IF(O351="",0,O351)&gt;=LK_GradeDerivation!$B$4:$B$135)*(IF(O351="",0,O351)&lt;=LK_GradeDerivation!$C$4:$C$135)*LK_GradeDerivation!$D$4:$D$135),1)</f>
        <v>4</v>
      </c>
      <c r="Q351" s="61">
        <f>IFERROR(SUMPRODUCT((LK_GradeDerivation!$A$4:$A$135=N351)*(IF(O351="",0,O351)&gt;=LK_GradeDerivation!$B$4:$B$135)*(IF(O351="",0,O351)&lt;=LK_GradeDerivation!$C$4:$C$135)*LK_GradeDerivation!$E$4:$E$135),1)</f>
        <v>11</v>
      </c>
      <c r="R351" s="59" t="s">
        <v>3955</v>
      </c>
      <c r="S351" s="59" t="s">
        <v>3956</v>
      </c>
      <c r="T351" s="59" t="s">
        <v>782</v>
      </c>
      <c r="U351" s="59" t="s">
        <v>965</v>
      </c>
      <c r="V351" s="59" t="s">
        <v>3724</v>
      </c>
      <c r="W351" s="59" t="s">
        <v>285</v>
      </c>
      <c r="X351" s="59" t="s">
        <v>429</v>
      </c>
      <c r="Y351" s="59" t="s">
        <v>431</v>
      </c>
      <c r="Z351" s="64" t="str">
        <f>IFERROR(VLOOKUP(T351,LK_OrgMaster!$B$4:$H$89,5,FALSE()),"Administration")</f>
        <v>Medical</v>
      </c>
      <c r="AA351" s="65" t="str">
        <f>IFERROR(VLOOKUP(X351,LK_LocationMaster!$D$4:$G$157,4,FALSE()),"No")</f>
        <v>Yes</v>
      </c>
      <c r="AB351" s="65" t="str">
        <f t="shared" si="22"/>
        <v>No</v>
      </c>
      <c r="AC351" s="65" t="str">
        <f>IFERROR(VLOOKUP(X351,LK_LocationMaster!$D$4:$H$157,5,FALSE()),"No")</f>
        <v>Yes</v>
      </c>
      <c r="AD351" s="59" t="s">
        <v>3957</v>
      </c>
      <c r="AE351" s="59" t="s">
        <v>930</v>
      </c>
      <c r="AF351" s="59" t="s">
        <v>984</v>
      </c>
      <c r="AG351" s="59" t="s">
        <v>391</v>
      </c>
      <c r="AH351" s="59" t="s">
        <v>3958</v>
      </c>
      <c r="AI351" s="59" t="s">
        <v>285</v>
      </c>
      <c r="AJ351" s="59" t="s">
        <v>818</v>
      </c>
      <c r="AK351" s="59" t="s">
        <v>944</v>
      </c>
      <c r="AL351" s="64" t="str">
        <f>IFERROR(INDEX(LK_BankMaster!$D$4:$D$23,MATCH(AJ351&amp;"|"&amp;AK351,LK_BankMaster!$H$4:$H$23,0)),"")</f>
        <v/>
      </c>
      <c r="AM351" s="59" t="s">
        <v>3959</v>
      </c>
      <c r="AN351" s="64" t="str">
        <f>IFERROR(VLOOKUP(AJ351,LK_BankMaster!$A$4:$E$23,5,FALSE()),"")</f>
        <v/>
      </c>
      <c r="AO351" s="59" t="s">
        <v>314</v>
      </c>
      <c r="AP351" s="66">
        <v>1</v>
      </c>
      <c r="AQ351" s="64" t="str">
        <f t="shared" si="23"/>
        <v>Position Allowance - General Staff</v>
      </c>
      <c r="AR351" s="65" t="str">
        <f>IFERROR(VLOOKUP(T351,LK_OrgMaster!$B$4:$G$89,6,FALSE()),"No")</f>
        <v>No</v>
      </c>
      <c r="AS351" s="64" t="str">
        <f>IFERROR(VLOOKUP(T351,LK_OrgMaster!$B$4:$H$89,7,FALSE()),"None")</f>
        <v>Medical</v>
      </c>
      <c r="AT351" s="70">
        <v>45007</v>
      </c>
      <c r="AU351" s="70"/>
      <c r="AV351" s="70">
        <v>45007</v>
      </c>
      <c r="AW351" s="70">
        <v>46023</v>
      </c>
      <c r="AX351" s="71" t="s">
        <v>750</v>
      </c>
      <c r="AY351" s="72" t="s">
        <v>6260</v>
      </c>
    </row>
    <row r="352" spans="1:51" ht="15" customHeight="1" x14ac:dyDescent="0.3">
      <c r="A352" s="59" t="s">
        <v>3960</v>
      </c>
      <c r="B352" s="59" t="s">
        <v>851</v>
      </c>
      <c r="C352" s="59" t="s">
        <v>1278</v>
      </c>
      <c r="D352" s="59" t="s">
        <v>1352</v>
      </c>
      <c r="E352" s="59" t="s">
        <v>775</v>
      </c>
      <c r="F352" s="60">
        <v>27159</v>
      </c>
      <c r="G352" s="59" t="s">
        <v>3961</v>
      </c>
      <c r="H352" s="59" t="s">
        <v>3962</v>
      </c>
      <c r="I352" s="60">
        <v>45854</v>
      </c>
      <c r="J352" s="61">
        <f t="shared" ca="1" si="20"/>
        <v>0</v>
      </c>
      <c r="K352" s="62">
        <f t="shared" si="21"/>
        <v>49074</v>
      </c>
      <c r="L352" s="59" t="s">
        <v>735</v>
      </c>
      <c r="M352" s="59" t="s">
        <v>2735</v>
      </c>
      <c r="N352" s="59" t="s">
        <v>758</v>
      </c>
      <c r="O352" s="63">
        <v>25</v>
      </c>
      <c r="P352" s="61">
        <f>IFERROR(SUMPRODUCT((LK_GradeDerivation!$A$4:$A$135=N352)*(IF(O352="",0,O352)&gt;=LK_GradeDerivation!$B$4:$B$135)*(IF(O352="",0,O352)&lt;=LK_GradeDerivation!$C$4:$C$135)*LK_GradeDerivation!$D$4:$D$135),1)</f>
        <v>5</v>
      </c>
      <c r="Q352" s="61">
        <f>IFERROR(SUMPRODUCT((LK_GradeDerivation!$A$4:$A$135=N352)*(IF(O352="",0,O352)&gt;=LK_GradeDerivation!$B$4:$B$135)*(IF(O352="",0,O352)&lt;=LK_GradeDerivation!$C$4:$C$135)*LK_GradeDerivation!$E$4:$E$135),1)</f>
        <v>13</v>
      </c>
      <c r="R352" s="59" t="s">
        <v>3963</v>
      </c>
      <c r="S352" s="59" t="s">
        <v>3964</v>
      </c>
      <c r="T352" s="59" t="s">
        <v>782</v>
      </c>
      <c r="U352" s="59" t="s">
        <v>813</v>
      </c>
      <c r="V352" s="59" t="s">
        <v>814</v>
      </c>
      <c r="W352" s="59" t="s">
        <v>285</v>
      </c>
      <c r="X352" s="59" t="s">
        <v>544</v>
      </c>
      <c r="Y352" s="59" t="s">
        <v>548</v>
      </c>
      <c r="Z352" s="64" t="str">
        <f>IFERROR(VLOOKUP(T352,LK_OrgMaster!$B$4:$H$89,5,FALSE()),"Administration")</f>
        <v>Medical</v>
      </c>
      <c r="AA352" s="65" t="str">
        <f>IFERROR(VLOOKUP(X352,LK_LocationMaster!$D$4:$G$157,4,FALSE()),"No")</f>
        <v>Yes</v>
      </c>
      <c r="AB352" s="65" t="str">
        <f t="shared" si="22"/>
        <v>No</v>
      </c>
      <c r="AC352" s="65" t="str">
        <f>IFERROR(VLOOKUP(X352,LK_LocationMaster!$D$4:$H$157,5,FALSE()),"No")</f>
        <v>Yes</v>
      </c>
      <c r="AD352" s="59" t="s">
        <v>3965</v>
      </c>
      <c r="AE352" s="59" t="s">
        <v>800</v>
      </c>
      <c r="AF352" s="59" t="s">
        <v>915</v>
      </c>
      <c r="AG352" s="59" t="s">
        <v>356</v>
      </c>
      <c r="AH352" s="59" t="s">
        <v>3966</v>
      </c>
      <c r="AI352" s="59" t="s">
        <v>285</v>
      </c>
      <c r="AJ352" s="59" t="s">
        <v>747</v>
      </c>
      <c r="AK352" s="59" t="s">
        <v>748</v>
      </c>
      <c r="AL352" s="64" t="str">
        <f>IFERROR(INDEX(LK_BankMaster!$D$4:$D$23,MATCH(AJ352&amp;"|"&amp;AK352,LK_BankMaster!$H$4:$H$23,0)),"")</f>
        <v/>
      </c>
      <c r="AM352" s="59" t="s">
        <v>3967</v>
      </c>
      <c r="AN352" s="64" t="str">
        <f>IFERROR(VLOOKUP(AJ352,LK_BankMaster!$A$4:$E$23,5,FALSE()),"")</f>
        <v/>
      </c>
      <c r="AO352" s="59" t="s">
        <v>314</v>
      </c>
      <c r="AP352" s="66">
        <v>1</v>
      </c>
      <c r="AQ352" s="64" t="str">
        <f t="shared" si="23"/>
        <v>Position Allowance - General Staff</v>
      </c>
      <c r="AR352" s="65" t="str">
        <f>IFERROR(VLOOKUP(T352,LK_OrgMaster!$B$4:$G$89,6,FALSE()),"No")</f>
        <v>No</v>
      </c>
      <c r="AS352" s="64" t="str">
        <f>IFERROR(VLOOKUP(T352,LK_OrgMaster!$B$4:$H$89,7,FALSE()),"None")</f>
        <v>Medical</v>
      </c>
      <c r="AT352" s="67">
        <v>45854</v>
      </c>
      <c r="AU352" s="67"/>
      <c r="AV352" s="67">
        <v>45854</v>
      </c>
      <c r="AW352" s="67">
        <v>46023</v>
      </c>
      <c r="AX352" s="68" t="s">
        <v>750</v>
      </c>
      <c r="AY352" s="69" t="s">
        <v>6260</v>
      </c>
    </row>
    <row r="353" spans="1:51" ht="15" customHeight="1" x14ac:dyDescent="0.3">
      <c r="A353" s="59" t="s">
        <v>3968</v>
      </c>
      <c r="B353" s="59" t="s">
        <v>851</v>
      </c>
      <c r="C353" s="59" t="s">
        <v>3478</v>
      </c>
      <c r="D353" s="59" t="s">
        <v>1430</v>
      </c>
      <c r="E353" s="59" t="s">
        <v>775</v>
      </c>
      <c r="F353" s="60">
        <v>34064</v>
      </c>
      <c r="G353" s="59" t="s">
        <v>3969</v>
      </c>
      <c r="H353" s="59" t="s">
        <v>3970</v>
      </c>
      <c r="I353" s="60">
        <v>36534</v>
      </c>
      <c r="J353" s="61">
        <f t="shared" ca="1" si="20"/>
        <v>26</v>
      </c>
      <c r="K353" s="62">
        <f t="shared" si="21"/>
        <v>55979</v>
      </c>
      <c r="L353" s="59" t="s">
        <v>735</v>
      </c>
      <c r="M353" s="59" t="s">
        <v>1421</v>
      </c>
      <c r="N353" s="59" t="s">
        <v>779</v>
      </c>
      <c r="O353" s="63">
        <v>0</v>
      </c>
      <c r="P353" s="61">
        <f>IFERROR(SUMPRODUCT((LK_GradeDerivation!$A$4:$A$135=N353)*(IF(O353="",0,O353)&gt;=LK_GradeDerivation!$B$4:$B$135)*(IF(O353="",0,O353)&lt;=LK_GradeDerivation!$C$4:$C$135)*LK_GradeDerivation!$D$4:$D$135),1)</f>
        <v>2</v>
      </c>
      <c r="Q353" s="61">
        <f>IFERROR(SUMPRODUCT((LK_GradeDerivation!$A$4:$A$135=N353)*(IF(O353="",0,O353)&gt;=LK_GradeDerivation!$B$4:$B$135)*(IF(O353="",0,O353)&lt;=LK_GradeDerivation!$C$4:$C$135)*LK_GradeDerivation!$E$4:$E$135),1)</f>
        <v>1</v>
      </c>
      <c r="R353" s="59" t="s">
        <v>3971</v>
      </c>
      <c r="S353" s="59" t="s">
        <v>3972</v>
      </c>
      <c r="T353" s="59" t="s">
        <v>782</v>
      </c>
      <c r="U353" s="59" t="s">
        <v>783</v>
      </c>
      <c r="V353" s="59" t="s">
        <v>3138</v>
      </c>
      <c r="W353" s="59" t="s">
        <v>285</v>
      </c>
      <c r="X353" s="59" t="s">
        <v>391</v>
      </c>
      <c r="Y353" s="59" t="s">
        <v>393</v>
      </c>
      <c r="Z353" s="64" t="str">
        <f>IFERROR(VLOOKUP(T353,LK_OrgMaster!$B$4:$H$89,5,FALSE()),"Administration")</f>
        <v>Medical</v>
      </c>
      <c r="AA353" s="65" t="str">
        <f>IFERROR(VLOOKUP(X353,LK_LocationMaster!$D$4:$G$157,4,FALSE()),"No")</f>
        <v>Yes</v>
      </c>
      <c r="AB353" s="65" t="str">
        <f t="shared" si="22"/>
        <v>No</v>
      </c>
      <c r="AC353" s="65" t="str">
        <f>IFERROR(VLOOKUP(X353,LK_LocationMaster!$D$4:$H$157,5,FALSE()),"No")</f>
        <v>Yes</v>
      </c>
      <c r="AD353" s="59" t="s">
        <v>3973</v>
      </c>
      <c r="AE353" s="59" t="s">
        <v>3974</v>
      </c>
      <c r="AF353" s="59" t="s">
        <v>816</v>
      </c>
      <c r="AG353" s="59" t="s">
        <v>391</v>
      </c>
      <c r="AH353" s="59" t="s">
        <v>3975</v>
      </c>
      <c r="AI353" s="59" t="s">
        <v>285</v>
      </c>
      <c r="AJ353" s="59" t="s">
        <v>788</v>
      </c>
      <c r="AK353" s="59" t="s">
        <v>1221</v>
      </c>
      <c r="AL353" s="64" t="str">
        <f>IFERROR(INDEX(LK_BankMaster!$D$4:$D$23,MATCH(AJ353&amp;"|"&amp;AK353,LK_BankMaster!$H$4:$H$23,0)),"")</f>
        <v/>
      </c>
      <c r="AM353" s="59" t="s">
        <v>3976</v>
      </c>
      <c r="AN353" s="64" t="str">
        <f>IFERROR(VLOOKUP(AJ353,LK_BankMaster!$A$4:$E$23,5,FALSE()),"")</f>
        <v/>
      </c>
      <c r="AO353" s="59" t="s">
        <v>314</v>
      </c>
      <c r="AP353" s="66">
        <v>1</v>
      </c>
      <c r="AQ353" s="64" t="str">
        <f t="shared" si="23"/>
        <v>Position Allowance - General Staff</v>
      </c>
      <c r="AR353" s="65" t="str">
        <f>IFERROR(VLOOKUP(T353,LK_OrgMaster!$B$4:$G$89,6,FALSE()),"No")</f>
        <v>No</v>
      </c>
      <c r="AS353" s="64" t="str">
        <f>IFERROR(VLOOKUP(T353,LK_OrgMaster!$B$4:$H$89,7,FALSE()),"None")</f>
        <v>Medical</v>
      </c>
      <c r="AT353" s="70">
        <v>36534</v>
      </c>
      <c r="AU353" s="70"/>
      <c r="AV353" s="70">
        <v>36534</v>
      </c>
      <c r="AW353" s="70">
        <v>46023</v>
      </c>
      <c r="AX353" s="71" t="s">
        <v>750</v>
      </c>
      <c r="AY353" s="72" t="s">
        <v>6260</v>
      </c>
    </row>
    <row r="354" spans="1:51" ht="15" customHeight="1" x14ac:dyDescent="0.3">
      <c r="A354" s="59" t="s">
        <v>3977</v>
      </c>
      <c r="B354" s="59" t="s">
        <v>729</v>
      </c>
      <c r="C354" s="59" t="s">
        <v>2315</v>
      </c>
      <c r="D354" s="59" t="s">
        <v>1418</v>
      </c>
      <c r="E354" s="59" t="s">
        <v>732</v>
      </c>
      <c r="F354" s="60">
        <v>31413</v>
      </c>
      <c r="G354" s="59" t="s">
        <v>3978</v>
      </c>
      <c r="H354" s="59" t="s">
        <v>3979</v>
      </c>
      <c r="I354" s="60">
        <v>38358</v>
      </c>
      <c r="J354" s="61">
        <f t="shared" ca="1" si="20"/>
        <v>21</v>
      </c>
      <c r="K354" s="62">
        <f t="shared" si="21"/>
        <v>53328</v>
      </c>
      <c r="L354" s="59" t="s">
        <v>735</v>
      </c>
      <c r="M354" s="59" t="s">
        <v>1912</v>
      </c>
      <c r="N354" s="59" t="s">
        <v>1081</v>
      </c>
      <c r="O354" s="63">
        <v>0</v>
      </c>
      <c r="P354" s="61">
        <f>IFERROR(SUMPRODUCT((LK_GradeDerivation!$A$4:$A$135=N354)*(IF(O354="",0,O354)&gt;=LK_GradeDerivation!$B$4:$B$135)*(IF(O354="",0,O354)&lt;=LK_GradeDerivation!$C$4:$C$135)*LK_GradeDerivation!$D$4:$D$135),1)</f>
        <v>3</v>
      </c>
      <c r="Q354" s="61">
        <f>IFERROR(SUMPRODUCT((LK_GradeDerivation!$A$4:$A$135=N354)*(IF(O354="",0,O354)&gt;=LK_GradeDerivation!$B$4:$B$135)*(IF(O354="",0,O354)&lt;=LK_GradeDerivation!$C$4:$C$135)*LK_GradeDerivation!$E$4:$E$135),1)</f>
        <v>1</v>
      </c>
      <c r="R354" s="59" t="s">
        <v>3980</v>
      </c>
      <c r="S354" s="59" t="s">
        <v>3981</v>
      </c>
      <c r="T354" s="59" t="s">
        <v>782</v>
      </c>
      <c r="U354" s="59" t="s">
        <v>1191</v>
      </c>
      <c r="V354" s="59" t="s">
        <v>3473</v>
      </c>
      <c r="W354" s="59" t="s">
        <v>285</v>
      </c>
      <c r="X354" s="59" t="s">
        <v>429</v>
      </c>
      <c r="Y354" s="59" t="s">
        <v>433</v>
      </c>
      <c r="Z354" s="64" t="str">
        <f>IFERROR(VLOOKUP(T354,LK_OrgMaster!$B$4:$H$89,5,FALSE()),"Administration")</f>
        <v>Medical</v>
      </c>
      <c r="AA354" s="65" t="str">
        <f>IFERROR(VLOOKUP(X354,LK_LocationMaster!$D$4:$G$157,4,FALSE()),"No")</f>
        <v>Yes</v>
      </c>
      <c r="AB354" s="65" t="str">
        <f t="shared" si="22"/>
        <v>No</v>
      </c>
      <c r="AC354" s="65" t="str">
        <f>IFERROR(VLOOKUP(X354,LK_LocationMaster!$D$4:$H$157,5,FALSE()),"No")</f>
        <v>Yes</v>
      </c>
      <c r="AD354" s="59" t="s">
        <v>3982</v>
      </c>
      <c r="AE354" s="59" t="s">
        <v>886</v>
      </c>
      <c r="AF354" s="59" t="s">
        <v>901</v>
      </c>
      <c r="AG354" s="59" t="s">
        <v>329</v>
      </c>
      <c r="AH354" s="59" t="s">
        <v>3983</v>
      </c>
      <c r="AI354" s="59" t="s">
        <v>285</v>
      </c>
      <c r="AJ354" s="59" t="s">
        <v>768</v>
      </c>
      <c r="AK354" s="59" t="s">
        <v>803</v>
      </c>
      <c r="AL354" s="64" t="str">
        <f>IFERROR(INDEX(LK_BankMaster!$D$4:$D$23,MATCH(AJ354&amp;"|"&amp;AK354,LK_BankMaster!$H$4:$H$23,0)),"")</f>
        <v/>
      </c>
      <c r="AM354" s="59" t="s">
        <v>3984</v>
      </c>
      <c r="AN354" s="64" t="str">
        <f>IFERROR(VLOOKUP(AJ354,LK_BankMaster!$A$4:$E$23,5,FALSE()),"")</f>
        <v/>
      </c>
      <c r="AO354" s="59" t="s">
        <v>291</v>
      </c>
      <c r="AP354" s="66">
        <v>0</v>
      </c>
      <c r="AQ354" s="64" t="str">
        <f t="shared" si="23"/>
        <v>Position Allowance - General Staff</v>
      </c>
      <c r="AR354" s="65" t="str">
        <f>IFERROR(VLOOKUP(T354,LK_OrgMaster!$B$4:$G$89,6,FALSE()),"No")</f>
        <v>No</v>
      </c>
      <c r="AS354" s="64" t="str">
        <f>IFERROR(VLOOKUP(T354,LK_OrgMaster!$B$4:$H$89,7,FALSE()),"None")</f>
        <v>Medical</v>
      </c>
      <c r="AT354" s="67">
        <v>38358</v>
      </c>
      <c r="AU354" s="67"/>
      <c r="AV354" s="67">
        <v>38358</v>
      </c>
      <c r="AW354" s="67">
        <v>46023</v>
      </c>
      <c r="AX354" s="68" t="s">
        <v>750</v>
      </c>
      <c r="AY354" s="69" t="s">
        <v>6260</v>
      </c>
    </row>
    <row r="355" spans="1:51" ht="15" customHeight="1" x14ac:dyDescent="0.3">
      <c r="A355" s="59" t="s">
        <v>3985</v>
      </c>
      <c r="B355" s="59" t="s">
        <v>851</v>
      </c>
      <c r="C355" s="59" t="s">
        <v>1534</v>
      </c>
      <c r="D355" s="59" t="s">
        <v>1674</v>
      </c>
      <c r="E355" s="59" t="s">
        <v>775</v>
      </c>
      <c r="F355" s="60">
        <v>28601</v>
      </c>
      <c r="G355" s="59" t="s">
        <v>3986</v>
      </c>
      <c r="H355" s="59" t="s">
        <v>3987</v>
      </c>
      <c r="I355" s="60">
        <v>33889</v>
      </c>
      <c r="J355" s="61">
        <f t="shared" ca="1" si="20"/>
        <v>33</v>
      </c>
      <c r="K355" s="62">
        <f t="shared" si="21"/>
        <v>50516</v>
      </c>
      <c r="L355" s="59" t="s">
        <v>735</v>
      </c>
      <c r="M355" s="59" t="s">
        <v>1607</v>
      </c>
      <c r="N355" s="59" t="s">
        <v>1081</v>
      </c>
      <c r="O355" s="63">
        <v>0</v>
      </c>
      <c r="P355" s="61">
        <f>IFERROR(SUMPRODUCT((LK_GradeDerivation!$A$4:$A$135=N355)*(IF(O355="",0,O355)&gt;=LK_GradeDerivation!$B$4:$B$135)*(IF(O355="",0,O355)&lt;=LK_GradeDerivation!$C$4:$C$135)*LK_GradeDerivation!$D$4:$D$135),1)</f>
        <v>3</v>
      </c>
      <c r="Q355" s="61">
        <f>IFERROR(SUMPRODUCT((LK_GradeDerivation!$A$4:$A$135=N355)*(IF(O355="",0,O355)&gt;=LK_GradeDerivation!$B$4:$B$135)*(IF(O355="",0,O355)&lt;=LK_GradeDerivation!$C$4:$C$135)*LK_GradeDerivation!$E$4:$E$135),1)</f>
        <v>1</v>
      </c>
      <c r="R355" s="59" t="s">
        <v>3988</v>
      </c>
      <c r="S355" s="59" t="s">
        <v>3989</v>
      </c>
      <c r="T355" s="59" t="s">
        <v>1023</v>
      </c>
      <c r="U355" s="59" t="s">
        <v>2589</v>
      </c>
      <c r="V355" s="59" t="s">
        <v>2590</v>
      </c>
      <c r="W355" s="59" t="s">
        <v>285</v>
      </c>
      <c r="X355" s="59" t="s">
        <v>500</v>
      </c>
      <c r="Y355" s="59" t="s">
        <v>504</v>
      </c>
      <c r="Z355" s="64" t="str">
        <f>IFERROR(VLOOKUP(T355,LK_OrgMaster!$B$4:$H$89,5,FALSE()),"Administration")</f>
        <v>Technical</v>
      </c>
      <c r="AA355" s="65" t="str">
        <f>IFERROR(VLOOKUP(X355,LK_LocationMaster!$D$4:$G$157,4,FALSE()),"No")</f>
        <v>No</v>
      </c>
      <c r="AB355" s="65" t="str">
        <f t="shared" si="22"/>
        <v>No</v>
      </c>
      <c r="AC355" s="65" t="str">
        <f>IFERROR(VLOOKUP(X355,LK_LocationMaster!$D$4:$H$157,5,FALSE()),"No")</f>
        <v>Yes</v>
      </c>
      <c r="AD355" s="59" t="s">
        <v>3457</v>
      </c>
      <c r="AE355" s="59" t="s">
        <v>800</v>
      </c>
      <c r="AF355" s="59" t="s">
        <v>847</v>
      </c>
      <c r="AG355" s="59" t="s">
        <v>340</v>
      </c>
      <c r="AH355" s="59" t="s">
        <v>3990</v>
      </c>
      <c r="AI355" s="59" t="s">
        <v>285</v>
      </c>
      <c r="AJ355" s="59" t="s">
        <v>788</v>
      </c>
      <c r="AK355" s="59" t="s">
        <v>1370</v>
      </c>
      <c r="AL355" s="64" t="str">
        <f>IFERROR(INDEX(LK_BankMaster!$D$4:$D$23,MATCH(AJ355&amp;"|"&amp;AK355,LK_BankMaster!$H$4:$H$23,0)),"")</f>
        <v/>
      </c>
      <c r="AM355" s="59" t="s">
        <v>3991</v>
      </c>
      <c r="AN355" s="64" t="str">
        <f>IFERROR(VLOOKUP(AJ355,LK_BankMaster!$A$4:$E$23,5,FALSE()),"")</f>
        <v/>
      </c>
      <c r="AO355" s="59" t="s">
        <v>291</v>
      </c>
      <c r="AP355" s="66">
        <v>0</v>
      </c>
      <c r="AQ355" s="64" t="str">
        <f t="shared" si="23"/>
        <v>Position Allowance - General Staff</v>
      </c>
      <c r="AR355" s="65" t="str">
        <f>IFERROR(VLOOKUP(T355,LK_OrgMaster!$B$4:$G$89,6,FALSE()),"No")</f>
        <v>No</v>
      </c>
      <c r="AS355" s="64" t="str">
        <f>IFERROR(VLOOKUP(T355,LK_OrgMaster!$B$4:$H$89,7,FALSE()),"None")</f>
        <v>None</v>
      </c>
      <c r="AT355" s="70">
        <v>33889</v>
      </c>
      <c r="AU355" s="70"/>
      <c r="AV355" s="70">
        <v>33889</v>
      </c>
      <c r="AW355" s="70">
        <v>46023</v>
      </c>
      <c r="AX355" s="71" t="s">
        <v>750</v>
      </c>
      <c r="AY355" s="72" t="s">
        <v>6260</v>
      </c>
    </row>
    <row r="356" spans="1:51" ht="15" customHeight="1" x14ac:dyDescent="0.3">
      <c r="A356" s="59" t="s">
        <v>3992</v>
      </c>
      <c r="B356" s="59" t="s">
        <v>752</v>
      </c>
      <c r="C356" s="59" t="s">
        <v>1016</v>
      </c>
      <c r="D356" s="59" t="s">
        <v>1300</v>
      </c>
      <c r="E356" s="59" t="s">
        <v>732</v>
      </c>
      <c r="F356" s="60">
        <v>36426</v>
      </c>
      <c r="G356" s="59" t="s">
        <v>3993</v>
      </c>
      <c r="H356" s="59" t="s">
        <v>3994</v>
      </c>
      <c r="I356" s="60">
        <v>42839</v>
      </c>
      <c r="J356" s="61">
        <f t="shared" ca="1" si="20"/>
        <v>8</v>
      </c>
      <c r="K356" s="62">
        <f t="shared" si="21"/>
        <v>58341</v>
      </c>
      <c r="L356" s="59" t="s">
        <v>735</v>
      </c>
      <c r="M356" s="59" t="s">
        <v>1443</v>
      </c>
      <c r="N356" s="59" t="s">
        <v>737</v>
      </c>
      <c r="O356" s="63">
        <v>0</v>
      </c>
      <c r="P356" s="61">
        <f>IFERROR(SUMPRODUCT((LK_GradeDerivation!$A$4:$A$135=N356)*(IF(O356="",0,O356)&gt;=LK_GradeDerivation!$B$4:$B$135)*(IF(O356="",0,O356)&lt;=LK_GradeDerivation!$C$4:$C$135)*LK_GradeDerivation!$D$4:$D$135),1)</f>
        <v>4</v>
      </c>
      <c r="Q356" s="61">
        <f>IFERROR(SUMPRODUCT((LK_GradeDerivation!$A$4:$A$135=N356)*(IF(O356="",0,O356)&gt;=LK_GradeDerivation!$B$4:$B$135)*(IF(O356="",0,O356)&lt;=LK_GradeDerivation!$C$4:$C$135)*LK_GradeDerivation!$E$4:$E$135),1)</f>
        <v>1</v>
      </c>
      <c r="R356" s="59" t="s">
        <v>3995</v>
      </c>
      <c r="S356" s="59" t="s">
        <v>3996</v>
      </c>
      <c r="T356" s="59" t="s">
        <v>1023</v>
      </c>
      <c r="U356" s="59" t="s">
        <v>1130</v>
      </c>
      <c r="V356" s="59" t="s">
        <v>2420</v>
      </c>
      <c r="W356" s="59" t="s">
        <v>285</v>
      </c>
      <c r="X356" s="59" t="s">
        <v>587</v>
      </c>
      <c r="Y356" s="59" t="s">
        <v>593</v>
      </c>
      <c r="Z356" s="64" t="str">
        <f>IFERROR(VLOOKUP(T356,LK_OrgMaster!$B$4:$H$89,5,FALSE()),"Administration")</f>
        <v>Technical</v>
      </c>
      <c r="AA356" s="65" t="str">
        <f>IFERROR(VLOOKUP(X356,LK_LocationMaster!$D$4:$G$157,4,FALSE()),"No")</f>
        <v>Yes</v>
      </c>
      <c r="AB356" s="65" t="str">
        <f t="shared" si="22"/>
        <v>No</v>
      </c>
      <c r="AC356" s="65" t="str">
        <f>IFERROR(VLOOKUP(X356,LK_LocationMaster!$D$4:$H$157,5,FALSE()),"No")</f>
        <v>Yes</v>
      </c>
      <c r="AD356" s="59" t="s">
        <v>3638</v>
      </c>
      <c r="AE356" s="59" t="s">
        <v>3997</v>
      </c>
      <c r="AF356" s="59" t="s">
        <v>984</v>
      </c>
      <c r="AG356" s="59" t="s">
        <v>408</v>
      </c>
      <c r="AH356" s="59" t="s">
        <v>3998</v>
      </c>
      <c r="AI356" s="59" t="s">
        <v>285</v>
      </c>
      <c r="AJ356" s="59" t="s">
        <v>768</v>
      </c>
      <c r="AK356" s="59" t="s">
        <v>803</v>
      </c>
      <c r="AL356" s="64" t="str">
        <f>IFERROR(INDEX(LK_BankMaster!$D$4:$D$23,MATCH(AJ356&amp;"|"&amp;AK356,LK_BankMaster!$H$4:$H$23,0)),"")</f>
        <v/>
      </c>
      <c r="AM356" s="59" t="s">
        <v>3999</v>
      </c>
      <c r="AN356" s="64" t="str">
        <f>IFERROR(VLOOKUP(AJ356,LK_BankMaster!$A$4:$E$23,5,FALSE()),"")</f>
        <v/>
      </c>
      <c r="AO356" s="59" t="s">
        <v>291</v>
      </c>
      <c r="AP356" s="66">
        <v>0</v>
      </c>
      <c r="AQ356" s="64" t="str">
        <f t="shared" si="23"/>
        <v>Position Allowance - General Staff</v>
      </c>
      <c r="AR356" s="65" t="str">
        <f>IFERROR(VLOOKUP(T356,LK_OrgMaster!$B$4:$G$89,6,FALSE()),"No")</f>
        <v>No</v>
      </c>
      <c r="AS356" s="64" t="str">
        <f>IFERROR(VLOOKUP(T356,LK_OrgMaster!$B$4:$H$89,7,FALSE()),"None")</f>
        <v>None</v>
      </c>
      <c r="AT356" s="67">
        <v>42839</v>
      </c>
      <c r="AU356" s="67"/>
      <c r="AV356" s="67">
        <v>42839</v>
      </c>
      <c r="AW356" s="67">
        <v>46023</v>
      </c>
      <c r="AX356" s="68" t="s">
        <v>750</v>
      </c>
      <c r="AY356" s="69" t="s">
        <v>6260</v>
      </c>
    </row>
    <row r="357" spans="1:51" ht="15" customHeight="1" x14ac:dyDescent="0.3">
      <c r="A357" s="59" t="s">
        <v>4000</v>
      </c>
      <c r="B357" s="59" t="s">
        <v>851</v>
      </c>
      <c r="C357" s="59" t="s">
        <v>773</v>
      </c>
      <c r="D357" s="59" t="s">
        <v>1042</v>
      </c>
      <c r="E357" s="59" t="s">
        <v>775</v>
      </c>
      <c r="F357" s="60">
        <v>28006</v>
      </c>
      <c r="G357" s="59" t="s">
        <v>4001</v>
      </c>
      <c r="H357" s="59" t="s">
        <v>4002</v>
      </c>
      <c r="I357" s="60">
        <v>34656</v>
      </c>
      <c r="J357" s="61">
        <f t="shared" ca="1" si="20"/>
        <v>31</v>
      </c>
      <c r="K357" s="62">
        <f t="shared" si="21"/>
        <v>49921</v>
      </c>
      <c r="L357" s="59" t="s">
        <v>735</v>
      </c>
      <c r="M357" s="59" t="s">
        <v>1912</v>
      </c>
      <c r="N357" s="59" t="s">
        <v>779</v>
      </c>
      <c r="O357" s="63">
        <v>0</v>
      </c>
      <c r="P357" s="61">
        <f>IFERROR(SUMPRODUCT((LK_GradeDerivation!$A$4:$A$135=N357)*(IF(O357="",0,O357)&gt;=LK_GradeDerivation!$B$4:$B$135)*(IF(O357="",0,O357)&lt;=LK_GradeDerivation!$C$4:$C$135)*LK_GradeDerivation!$D$4:$D$135),1)</f>
        <v>2</v>
      </c>
      <c r="Q357" s="61">
        <f>IFERROR(SUMPRODUCT((LK_GradeDerivation!$A$4:$A$135=N357)*(IF(O357="",0,O357)&gt;=LK_GradeDerivation!$B$4:$B$135)*(IF(O357="",0,O357)&lt;=LK_GradeDerivation!$C$4:$C$135)*LK_GradeDerivation!$E$4:$E$135),1)</f>
        <v>1</v>
      </c>
      <c r="R357" s="59" t="s">
        <v>4003</v>
      </c>
      <c r="S357" s="59" t="s">
        <v>4004</v>
      </c>
      <c r="T357" s="59" t="s">
        <v>782</v>
      </c>
      <c r="U357" s="59" t="s">
        <v>829</v>
      </c>
      <c r="V357" s="59" t="s">
        <v>4005</v>
      </c>
      <c r="W357" s="59" t="s">
        <v>285</v>
      </c>
      <c r="X357" s="59" t="s">
        <v>575</v>
      </c>
      <c r="Y357" s="59" t="s">
        <v>583</v>
      </c>
      <c r="Z357" s="64" t="str">
        <f>IFERROR(VLOOKUP(T357,LK_OrgMaster!$B$4:$H$89,5,FALSE()),"Administration")</f>
        <v>Medical</v>
      </c>
      <c r="AA357" s="65" t="str">
        <f>IFERROR(VLOOKUP(X357,LK_LocationMaster!$D$4:$G$157,4,FALSE()),"No")</f>
        <v>Yes</v>
      </c>
      <c r="AB357" s="65" t="str">
        <f t="shared" si="22"/>
        <v>No</v>
      </c>
      <c r="AC357" s="65" t="str">
        <f>IFERROR(VLOOKUP(X357,LK_LocationMaster!$D$4:$H$157,5,FALSE()),"No")</f>
        <v>Yes</v>
      </c>
      <c r="AD357" s="59" t="s">
        <v>4006</v>
      </c>
      <c r="AE357" s="59" t="s">
        <v>1401</v>
      </c>
      <c r="AF357" s="59" t="s">
        <v>984</v>
      </c>
      <c r="AG357" s="59" t="s">
        <v>329</v>
      </c>
      <c r="AH357" s="59" t="s">
        <v>4007</v>
      </c>
      <c r="AI357" s="59" t="s">
        <v>285</v>
      </c>
      <c r="AJ357" s="59" t="s">
        <v>747</v>
      </c>
      <c r="AK357" s="59" t="s">
        <v>748</v>
      </c>
      <c r="AL357" s="64" t="str">
        <f>IFERROR(INDEX(LK_BankMaster!$D$4:$D$23,MATCH(AJ357&amp;"|"&amp;AK357,LK_BankMaster!$H$4:$H$23,0)),"")</f>
        <v/>
      </c>
      <c r="AM357" s="59" t="s">
        <v>4008</v>
      </c>
      <c r="AN357" s="64" t="str">
        <f>IFERROR(VLOOKUP(AJ357,LK_BankMaster!$A$4:$E$23,5,FALSE()),"")</f>
        <v/>
      </c>
      <c r="AO357" s="59" t="s">
        <v>314</v>
      </c>
      <c r="AP357" s="66">
        <v>1</v>
      </c>
      <c r="AQ357" s="64" t="str">
        <f t="shared" si="23"/>
        <v>Position Allowance - General Staff</v>
      </c>
      <c r="AR357" s="65" t="str">
        <f>IFERROR(VLOOKUP(T357,LK_OrgMaster!$B$4:$G$89,6,FALSE()),"No")</f>
        <v>No</v>
      </c>
      <c r="AS357" s="64" t="str">
        <f>IFERROR(VLOOKUP(T357,LK_OrgMaster!$B$4:$H$89,7,FALSE()),"None")</f>
        <v>Medical</v>
      </c>
      <c r="AT357" s="70">
        <v>34656</v>
      </c>
      <c r="AU357" s="70"/>
      <c r="AV357" s="70">
        <v>34656</v>
      </c>
      <c r="AW357" s="70">
        <v>46023</v>
      </c>
      <c r="AX357" s="71" t="s">
        <v>750</v>
      </c>
      <c r="AY357" s="72" t="s">
        <v>6260</v>
      </c>
    </row>
    <row r="358" spans="1:51" ht="15" customHeight="1" x14ac:dyDescent="0.3">
      <c r="A358" s="59" t="s">
        <v>4009</v>
      </c>
      <c r="B358" s="59" t="s">
        <v>772</v>
      </c>
      <c r="C358" s="59" t="s">
        <v>1278</v>
      </c>
      <c r="D358" s="59" t="s">
        <v>2794</v>
      </c>
      <c r="E358" s="59" t="s">
        <v>732</v>
      </c>
      <c r="F358" s="60">
        <v>33338</v>
      </c>
      <c r="G358" s="59" t="s">
        <v>4010</v>
      </c>
      <c r="H358" s="59" t="s">
        <v>4011</v>
      </c>
      <c r="I358" s="60">
        <v>40561</v>
      </c>
      <c r="J358" s="61">
        <f t="shared" ca="1" si="20"/>
        <v>15</v>
      </c>
      <c r="K358" s="62">
        <f t="shared" si="21"/>
        <v>55253</v>
      </c>
      <c r="L358" s="59" t="s">
        <v>735</v>
      </c>
      <c r="M358" s="59" t="s">
        <v>910</v>
      </c>
      <c r="N358" s="59" t="s">
        <v>737</v>
      </c>
      <c r="O358" s="63">
        <v>0</v>
      </c>
      <c r="P358" s="61">
        <f>IFERROR(SUMPRODUCT((LK_GradeDerivation!$A$4:$A$135=N358)*(IF(O358="",0,O358)&gt;=LK_GradeDerivation!$B$4:$B$135)*(IF(O358="",0,O358)&lt;=LK_GradeDerivation!$C$4:$C$135)*LK_GradeDerivation!$D$4:$D$135),1)</f>
        <v>4</v>
      </c>
      <c r="Q358" s="61">
        <f>IFERROR(SUMPRODUCT((LK_GradeDerivation!$A$4:$A$135=N358)*(IF(O358="",0,O358)&gt;=LK_GradeDerivation!$B$4:$B$135)*(IF(O358="",0,O358)&lt;=LK_GradeDerivation!$C$4:$C$135)*LK_GradeDerivation!$E$4:$E$135),1)</f>
        <v>1</v>
      </c>
      <c r="R358" s="59" t="s">
        <v>4012</v>
      </c>
      <c r="S358" s="59" t="s">
        <v>4013</v>
      </c>
      <c r="T358" s="59" t="s">
        <v>761</v>
      </c>
      <c r="U358" s="59" t="s">
        <v>1072</v>
      </c>
      <c r="V358" s="59" t="s">
        <v>4014</v>
      </c>
      <c r="W358" s="59" t="s">
        <v>285</v>
      </c>
      <c r="X358" s="59" t="s">
        <v>288</v>
      </c>
      <c r="Y358" s="59" t="s">
        <v>290</v>
      </c>
      <c r="Z358" s="64" t="str">
        <f>IFERROR(VLOOKUP(T358,LK_OrgMaster!$B$4:$H$89,5,FALSE()),"Administration")</f>
        <v>Administration</v>
      </c>
      <c r="AA358" s="65" t="str">
        <f>IFERROR(VLOOKUP(X358,LK_LocationMaster!$D$4:$G$157,4,FALSE()),"No")</f>
        <v>No</v>
      </c>
      <c r="AB358" s="65" t="str">
        <f t="shared" si="22"/>
        <v>No</v>
      </c>
      <c r="AC358" s="65" t="str">
        <f>IFERROR(VLOOKUP(X358,LK_LocationMaster!$D$4:$H$157,5,FALSE()),"No")</f>
        <v>No</v>
      </c>
      <c r="AD358" s="59" t="s">
        <v>3775</v>
      </c>
      <c r="AE358" s="59" t="s">
        <v>886</v>
      </c>
      <c r="AF358" s="59" t="s">
        <v>969</v>
      </c>
      <c r="AG358" s="59" t="s">
        <v>312</v>
      </c>
      <c r="AH358" s="59" t="s">
        <v>4015</v>
      </c>
      <c r="AI358" s="59" t="s">
        <v>285</v>
      </c>
      <c r="AJ358" s="59" t="s">
        <v>833</v>
      </c>
      <c r="AK358" s="59" t="s">
        <v>834</v>
      </c>
      <c r="AL358" s="64" t="str">
        <f>IFERROR(INDEX(LK_BankMaster!$D$4:$D$23,MATCH(AJ358&amp;"|"&amp;AK358,LK_BankMaster!$H$4:$H$23,0)),"")</f>
        <v/>
      </c>
      <c r="AM358" s="59" t="s">
        <v>4016</v>
      </c>
      <c r="AN358" s="64" t="str">
        <f>IFERROR(VLOOKUP(AJ358,LK_BankMaster!$A$4:$E$23,5,FALSE()),"")</f>
        <v/>
      </c>
      <c r="AO358" s="59" t="s">
        <v>314</v>
      </c>
      <c r="AP358" s="66">
        <v>0</v>
      </c>
      <c r="AQ358" s="64" t="str">
        <f t="shared" si="23"/>
        <v>Position Allowance - Division Chief</v>
      </c>
      <c r="AR358" s="65" t="str">
        <f>IFERROR(VLOOKUP(T358,LK_OrgMaster!$B$4:$G$89,6,FALSE()),"No")</f>
        <v>Yes</v>
      </c>
      <c r="AS358" s="64" t="str">
        <f>IFERROR(VLOOKUP(T358,LK_OrgMaster!$B$4:$H$89,7,FALSE()),"None")</f>
        <v>None</v>
      </c>
      <c r="AT358" s="67">
        <v>40561</v>
      </c>
      <c r="AU358" s="67"/>
      <c r="AV358" s="67">
        <v>40561</v>
      </c>
      <c r="AW358" s="67">
        <v>46023</v>
      </c>
      <c r="AX358" s="68" t="s">
        <v>750</v>
      </c>
      <c r="AY358" s="69" t="s">
        <v>6260</v>
      </c>
    </row>
    <row r="359" spans="1:51" ht="15" customHeight="1" x14ac:dyDescent="0.3">
      <c r="A359" s="59" t="s">
        <v>4017</v>
      </c>
      <c r="B359" s="59" t="s">
        <v>729</v>
      </c>
      <c r="C359" s="59" t="s">
        <v>1016</v>
      </c>
      <c r="D359" s="59" t="s">
        <v>754</v>
      </c>
      <c r="E359" s="59" t="s">
        <v>732</v>
      </c>
      <c r="F359" s="60">
        <v>29613</v>
      </c>
      <c r="G359" s="59" t="s">
        <v>4018</v>
      </c>
      <c r="H359" s="59" t="s">
        <v>4019</v>
      </c>
      <c r="I359" s="60">
        <v>44892</v>
      </c>
      <c r="J359" s="61">
        <f t="shared" ca="1" si="20"/>
        <v>3</v>
      </c>
      <c r="K359" s="62">
        <f t="shared" si="21"/>
        <v>51528</v>
      </c>
      <c r="L359" s="59" t="s">
        <v>735</v>
      </c>
      <c r="M359" s="59" t="s">
        <v>1069</v>
      </c>
      <c r="N359" s="59" t="s">
        <v>758</v>
      </c>
      <c r="O359" s="63">
        <v>16</v>
      </c>
      <c r="P359" s="61">
        <f>IFERROR(SUMPRODUCT((LK_GradeDerivation!$A$4:$A$135=N359)*(IF(O359="",0,O359)&gt;=LK_GradeDerivation!$B$4:$B$135)*(IF(O359="",0,O359)&lt;=LK_GradeDerivation!$C$4:$C$135)*LK_GradeDerivation!$D$4:$D$135),1)</f>
        <v>5</v>
      </c>
      <c r="Q359" s="61">
        <f>IFERROR(SUMPRODUCT((LK_GradeDerivation!$A$4:$A$135=N359)*(IF(O359="",0,O359)&gt;=LK_GradeDerivation!$B$4:$B$135)*(IF(O359="",0,O359)&lt;=LK_GradeDerivation!$C$4:$C$135)*LK_GradeDerivation!$E$4:$E$135),1)</f>
        <v>9</v>
      </c>
      <c r="R359" s="59" t="s">
        <v>4020</v>
      </c>
      <c r="S359" s="59" t="s">
        <v>4021</v>
      </c>
      <c r="T359" s="59" t="s">
        <v>1035</v>
      </c>
      <c r="U359" s="59" t="s">
        <v>953</v>
      </c>
      <c r="V359" s="59" t="s">
        <v>954</v>
      </c>
      <c r="W359" s="59" t="s">
        <v>285</v>
      </c>
      <c r="X359" s="59" t="s">
        <v>429</v>
      </c>
      <c r="Y359" s="59" t="s">
        <v>433</v>
      </c>
      <c r="Z359" s="64" t="str">
        <f>IFERROR(VLOOKUP(T359,LK_OrgMaster!$B$4:$H$89,5,FALSE()),"Administration")</f>
        <v>Administration</v>
      </c>
      <c r="AA359" s="65" t="str">
        <f>IFERROR(VLOOKUP(X359,LK_LocationMaster!$D$4:$G$157,4,FALSE()),"No")</f>
        <v>Yes</v>
      </c>
      <c r="AB359" s="65" t="str">
        <f t="shared" si="22"/>
        <v>No</v>
      </c>
      <c r="AC359" s="65" t="str">
        <f>IFERROR(VLOOKUP(X359,LK_LocationMaster!$D$4:$H$157,5,FALSE()),"No")</f>
        <v>Yes</v>
      </c>
      <c r="AD359" s="59" t="s">
        <v>4022</v>
      </c>
      <c r="AE359" s="59" t="s">
        <v>886</v>
      </c>
      <c r="AF359" s="59" t="s">
        <v>969</v>
      </c>
      <c r="AG359" s="59" t="s">
        <v>391</v>
      </c>
      <c r="AH359" s="59" t="s">
        <v>4023</v>
      </c>
      <c r="AI359" s="59" t="s">
        <v>285</v>
      </c>
      <c r="AJ359" s="59" t="s">
        <v>768</v>
      </c>
      <c r="AK359" s="59" t="s">
        <v>1589</v>
      </c>
      <c r="AL359" s="64" t="str">
        <f>IFERROR(INDEX(LK_BankMaster!$D$4:$D$23,MATCH(AJ359&amp;"|"&amp;AK359,LK_BankMaster!$H$4:$H$23,0)),"")</f>
        <v/>
      </c>
      <c r="AM359" s="59" t="s">
        <v>4024</v>
      </c>
      <c r="AN359" s="64" t="str">
        <f>IFERROR(VLOOKUP(AJ359,LK_BankMaster!$A$4:$E$23,5,FALSE()),"")</f>
        <v/>
      </c>
      <c r="AO359" s="59" t="s">
        <v>291</v>
      </c>
      <c r="AP359" s="66">
        <v>0</v>
      </c>
      <c r="AQ359" s="64" t="str">
        <f t="shared" si="23"/>
        <v>Position Allowance - General Staff</v>
      </c>
      <c r="AR359" s="65" t="str">
        <f>IFERROR(VLOOKUP(T359,LK_OrgMaster!$B$4:$G$89,6,FALSE()),"No")</f>
        <v>No</v>
      </c>
      <c r="AS359" s="64" t="str">
        <f>IFERROR(VLOOKUP(T359,LK_OrgMaster!$B$4:$H$89,7,FALSE()),"None")</f>
        <v>None</v>
      </c>
      <c r="AT359" s="70">
        <v>44892</v>
      </c>
      <c r="AU359" s="70"/>
      <c r="AV359" s="70">
        <v>44892</v>
      </c>
      <c r="AW359" s="70">
        <v>46023</v>
      </c>
      <c r="AX359" s="71" t="s">
        <v>750</v>
      </c>
      <c r="AY359" s="72" t="s">
        <v>6260</v>
      </c>
    </row>
    <row r="360" spans="1:51" ht="15" customHeight="1" x14ac:dyDescent="0.3">
      <c r="A360" s="59" t="s">
        <v>4025</v>
      </c>
      <c r="B360" s="59" t="s">
        <v>772</v>
      </c>
      <c r="C360" s="59" t="s">
        <v>2500</v>
      </c>
      <c r="D360" s="59" t="s">
        <v>1592</v>
      </c>
      <c r="E360" s="59" t="s">
        <v>732</v>
      </c>
      <c r="F360" s="60">
        <v>26857</v>
      </c>
      <c r="G360" s="59" t="s">
        <v>4026</v>
      </c>
      <c r="H360" s="59" t="s">
        <v>4027</v>
      </c>
      <c r="I360" s="60">
        <v>40901</v>
      </c>
      <c r="J360" s="61">
        <f t="shared" ca="1" si="20"/>
        <v>14</v>
      </c>
      <c r="K360" s="62">
        <f t="shared" si="21"/>
        <v>48772</v>
      </c>
      <c r="L360" s="59" t="s">
        <v>735</v>
      </c>
      <c r="M360" s="59" t="s">
        <v>1407</v>
      </c>
      <c r="N360" s="59" t="s">
        <v>779</v>
      </c>
      <c r="O360" s="63">
        <v>20</v>
      </c>
      <c r="P360" s="61">
        <f>IFERROR(SUMPRODUCT((LK_GradeDerivation!$A$4:$A$135=N360)*(IF(O360="",0,O360)&gt;=LK_GradeDerivation!$B$4:$B$135)*(IF(O360="",0,O360)&lt;=LK_GradeDerivation!$C$4:$C$135)*LK_GradeDerivation!$D$4:$D$135),1)</f>
        <v>2</v>
      </c>
      <c r="Q360" s="61">
        <f>IFERROR(SUMPRODUCT((LK_GradeDerivation!$A$4:$A$135=N360)*(IF(O360="",0,O360)&gt;=LK_GradeDerivation!$B$4:$B$135)*(IF(O360="",0,O360)&lt;=LK_GradeDerivation!$C$4:$C$135)*LK_GradeDerivation!$E$4:$E$135),1)</f>
        <v>11</v>
      </c>
      <c r="R360" s="59" t="s">
        <v>4028</v>
      </c>
      <c r="S360" s="59" t="s">
        <v>4029</v>
      </c>
      <c r="T360" s="59" t="s">
        <v>859</v>
      </c>
      <c r="U360" s="59" t="s">
        <v>940</v>
      </c>
      <c r="V360" s="59" t="s">
        <v>1142</v>
      </c>
      <c r="W360" s="59" t="s">
        <v>285</v>
      </c>
      <c r="X360" s="59" t="s">
        <v>554</v>
      </c>
      <c r="Y360" s="59" t="s">
        <v>558</v>
      </c>
      <c r="Z360" s="64" t="str">
        <f>IFERROR(VLOOKUP(T360,LK_OrgMaster!$B$4:$H$89,5,FALSE()),"Administration")</f>
        <v>Technical</v>
      </c>
      <c r="AA360" s="65" t="str">
        <f>IFERROR(VLOOKUP(X360,LK_LocationMaster!$D$4:$G$157,4,FALSE()),"No")</f>
        <v>No</v>
      </c>
      <c r="AB360" s="65" t="str">
        <f t="shared" si="22"/>
        <v>No</v>
      </c>
      <c r="AC360" s="65" t="str">
        <f>IFERROR(VLOOKUP(X360,LK_LocationMaster!$D$4:$H$157,5,FALSE()),"No")</f>
        <v>No</v>
      </c>
      <c r="AD360" s="59" t="s">
        <v>2773</v>
      </c>
      <c r="AE360" s="59" t="s">
        <v>765</v>
      </c>
      <c r="AF360" s="59" t="s">
        <v>745</v>
      </c>
      <c r="AG360" s="59" t="s">
        <v>408</v>
      </c>
      <c r="AH360" s="59" t="s">
        <v>4030</v>
      </c>
      <c r="AI360" s="59" t="s">
        <v>285</v>
      </c>
      <c r="AJ360" s="59" t="s">
        <v>818</v>
      </c>
      <c r="AK360" s="59" t="s">
        <v>819</v>
      </c>
      <c r="AL360" s="64" t="str">
        <f>IFERROR(INDEX(LK_BankMaster!$D$4:$D$23,MATCH(AJ360&amp;"|"&amp;AK360,LK_BankMaster!$H$4:$H$23,0)),"")</f>
        <v/>
      </c>
      <c r="AM360" s="59" t="s">
        <v>4031</v>
      </c>
      <c r="AN360" s="64" t="str">
        <f>IFERROR(VLOOKUP(AJ360,LK_BankMaster!$A$4:$E$23,5,FALSE()),"")</f>
        <v/>
      </c>
      <c r="AO360" s="59" t="s">
        <v>314</v>
      </c>
      <c r="AP360" s="66">
        <v>1</v>
      </c>
      <c r="AQ360" s="64" t="str">
        <f t="shared" si="23"/>
        <v>Position Allowance - General Staff</v>
      </c>
      <c r="AR360" s="65" t="str">
        <f>IFERROR(VLOOKUP(T360,LK_OrgMaster!$B$4:$G$89,6,FALSE()),"No")</f>
        <v>No</v>
      </c>
      <c r="AS360" s="64" t="str">
        <f>IFERROR(VLOOKUP(T360,LK_OrgMaster!$B$4:$H$89,7,FALSE()),"None")</f>
        <v>None</v>
      </c>
      <c r="AT360" s="67">
        <v>40901</v>
      </c>
      <c r="AU360" s="67"/>
      <c r="AV360" s="67">
        <v>40901</v>
      </c>
      <c r="AW360" s="67">
        <v>46023</v>
      </c>
      <c r="AX360" s="68" t="s">
        <v>750</v>
      </c>
      <c r="AY360" s="69" t="s">
        <v>6260</v>
      </c>
    </row>
    <row r="361" spans="1:51" ht="15" customHeight="1" x14ac:dyDescent="0.3">
      <c r="A361" s="59" t="s">
        <v>4032</v>
      </c>
      <c r="B361" s="59" t="s">
        <v>851</v>
      </c>
      <c r="C361" s="59" t="s">
        <v>1198</v>
      </c>
      <c r="D361" s="59" t="s">
        <v>1352</v>
      </c>
      <c r="E361" s="59" t="s">
        <v>775</v>
      </c>
      <c r="F361" s="60">
        <v>35747</v>
      </c>
      <c r="G361" s="59" t="s">
        <v>4033</v>
      </c>
      <c r="H361" s="59" t="s">
        <v>4034</v>
      </c>
      <c r="I361" s="60">
        <v>35900</v>
      </c>
      <c r="J361" s="61">
        <f t="shared" ca="1" si="20"/>
        <v>27</v>
      </c>
      <c r="K361" s="62">
        <f t="shared" si="21"/>
        <v>57662</v>
      </c>
      <c r="L361" s="59" t="s">
        <v>735</v>
      </c>
      <c r="M361" s="59" t="s">
        <v>937</v>
      </c>
      <c r="N361" s="59" t="s">
        <v>737</v>
      </c>
      <c r="O361" s="63">
        <v>0</v>
      </c>
      <c r="P361" s="61">
        <f>IFERROR(SUMPRODUCT((LK_GradeDerivation!$A$4:$A$135=N361)*(IF(O361="",0,O361)&gt;=LK_GradeDerivation!$B$4:$B$135)*(IF(O361="",0,O361)&lt;=LK_GradeDerivation!$C$4:$C$135)*LK_GradeDerivation!$D$4:$D$135),1)</f>
        <v>4</v>
      </c>
      <c r="Q361" s="61">
        <f>IFERROR(SUMPRODUCT((LK_GradeDerivation!$A$4:$A$135=N361)*(IF(O361="",0,O361)&gt;=LK_GradeDerivation!$B$4:$B$135)*(IF(O361="",0,O361)&lt;=LK_GradeDerivation!$C$4:$C$135)*LK_GradeDerivation!$E$4:$E$135),1)</f>
        <v>1</v>
      </c>
      <c r="R361" s="59" t="s">
        <v>4035</v>
      </c>
      <c r="S361" s="59" t="s">
        <v>4036</v>
      </c>
      <c r="T361" s="59" t="s">
        <v>1058</v>
      </c>
      <c r="U361" s="59" t="s">
        <v>1446</v>
      </c>
      <c r="V361" s="59" t="s">
        <v>4037</v>
      </c>
      <c r="W361" s="59" t="s">
        <v>285</v>
      </c>
      <c r="X361" s="59" t="s">
        <v>587</v>
      </c>
      <c r="Y361" s="59" t="s">
        <v>591</v>
      </c>
      <c r="Z361" s="64" t="str">
        <f>IFERROR(VLOOKUP(T361,LK_OrgMaster!$B$4:$H$89,5,FALSE()),"Administration")</f>
        <v>Technical</v>
      </c>
      <c r="AA361" s="65" t="str">
        <f>IFERROR(VLOOKUP(X361,LK_LocationMaster!$D$4:$G$157,4,FALSE()),"No")</f>
        <v>Yes</v>
      </c>
      <c r="AB361" s="65" t="str">
        <f t="shared" si="22"/>
        <v>No</v>
      </c>
      <c r="AC361" s="65" t="str">
        <f>IFERROR(VLOOKUP(X361,LK_LocationMaster!$D$4:$H$157,5,FALSE()),"No")</f>
        <v>Yes</v>
      </c>
      <c r="AD361" s="59" t="s">
        <v>4038</v>
      </c>
      <c r="AE361" s="59" t="s">
        <v>930</v>
      </c>
      <c r="AF361" s="59" t="s">
        <v>745</v>
      </c>
      <c r="AG361" s="59" t="s">
        <v>288</v>
      </c>
      <c r="AH361" s="59" t="s">
        <v>4039</v>
      </c>
      <c r="AI361" s="59" t="s">
        <v>285</v>
      </c>
      <c r="AJ361" s="59" t="s">
        <v>788</v>
      </c>
      <c r="AK361" s="59" t="s">
        <v>1146</v>
      </c>
      <c r="AL361" s="64" t="str">
        <f>IFERROR(INDEX(LK_BankMaster!$D$4:$D$23,MATCH(AJ361&amp;"|"&amp;AK361,LK_BankMaster!$H$4:$H$23,0)),"")</f>
        <v/>
      </c>
      <c r="AM361" s="59" t="s">
        <v>4040</v>
      </c>
      <c r="AN361" s="64" t="str">
        <f>IFERROR(VLOOKUP(AJ361,LK_BankMaster!$A$4:$E$23,5,FALSE()),"")</f>
        <v/>
      </c>
      <c r="AO361" s="59" t="s">
        <v>314</v>
      </c>
      <c r="AP361" s="66">
        <v>0</v>
      </c>
      <c r="AQ361" s="64" t="str">
        <f t="shared" si="23"/>
        <v>Position Allowance - General Staff</v>
      </c>
      <c r="AR361" s="65" t="str">
        <f>IFERROR(VLOOKUP(T361,LK_OrgMaster!$B$4:$G$89,6,FALSE()),"No")</f>
        <v>No</v>
      </c>
      <c r="AS361" s="64" t="str">
        <f>IFERROR(VLOOKUP(T361,LK_OrgMaster!$B$4:$H$89,7,FALSE()),"None")</f>
        <v>None</v>
      </c>
      <c r="AT361" s="70">
        <v>35900</v>
      </c>
      <c r="AU361" s="70"/>
      <c r="AV361" s="70">
        <v>35900</v>
      </c>
      <c r="AW361" s="70">
        <v>46023</v>
      </c>
      <c r="AX361" s="71" t="s">
        <v>750</v>
      </c>
      <c r="AY361" s="72" t="s">
        <v>6260</v>
      </c>
    </row>
    <row r="362" spans="1:51" ht="15" customHeight="1" x14ac:dyDescent="0.3">
      <c r="A362" s="59" t="s">
        <v>4041</v>
      </c>
      <c r="B362" s="59" t="s">
        <v>772</v>
      </c>
      <c r="C362" s="59" t="s">
        <v>2114</v>
      </c>
      <c r="D362" s="59" t="s">
        <v>921</v>
      </c>
      <c r="E362" s="59" t="s">
        <v>775</v>
      </c>
      <c r="F362" s="60">
        <v>34038</v>
      </c>
      <c r="G362" s="59" t="s">
        <v>3469</v>
      </c>
      <c r="H362" s="59" t="s">
        <v>4042</v>
      </c>
      <c r="I362" s="60">
        <v>34987</v>
      </c>
      <c r="J362" s="61">
        <f t="shared" ca="1" si="20"/>
        <v>30</v>
      </c>
      <c r="K362" s="62">
        <f t="shared" si="21"/>
        <v>55953</v>
      </c>
      <c r="L362" s="59" t="s">
        <v>735</v>
      </c>
      <c r="M362" s="59" t="s">
        <v>1248</v>
      </c>
      <c r="N362" s="59" t="s">
        <v>737</v>
      </c>
      <c r="O362" s="63">
        <v>0</v>
      </c>
      <c r="P362" s="61">
        <f>IFERROR(SUMPRODUCT((LK_GradeDerivation!$A$4:$A$135=N362)*(IF(O362="",0,O362)&gt;=LK_GradeDerivation!$B$4:$B$135)*(IF(O362="",0,O362)&lt;=LK_GradeDerivation!$C$4:$C$135)*LK_GradeDerivation!$D$4:$D$135),1)</f>
        <v>4</v>
      </c>
      <c r="Q362" s="61">
        <f>IFERROR(SUMPRODUCT((LK_GradeDerivation!$A$4:$A$135=N362)*(IF(O362="",0,O362)&gt;=LK_GradeDerivation!$B$4:$B$135)*(IF(O362="",0,O362)&lt;=LK_GradeDerivation!$C$4:$C$135)*LK_GradeDerivation!$E$4:$E$135),1)</f>
        <v>1</v>
      </c>
      <c r="R362" s="59" t="s">
        <v>4043</v>
      </c>
      <c r="S362" s="59" t="s">
        <v>4044</v>
      </c>
      <c r="T362" s="59" t="s">
        <v>1118</v>
      </c>
      <c r="U362" s="59" t="s">
        <v>1178</v>
      </c>
      <c r="V362" s="59" t="s">
        <v>4045</v>
      </c>
      <c r="W362" s="59" t="s">
        <v>598</v>
      </c>
      <c r="X362" s="59" t="s">
        <v>618</v>
      </c>
      <c r="Y362" s="59" t="s">
        <v>1180</v>
      </c>
      <c r="Z362" s="64" t="str">
        <f>IFERROR(VLOOKUP(T362,LK_OrgMaster!$B$4:$H$89,5,FALSE()),"Administration")</f>
        <v>Diplomatic</v>
      </c>
      <c r="AA362" s="65" t="str">
        <f>IFERROR(VLOOKUP(X362,LK_LocationMaster!$D$4:$G$157,4,FALSE()),"No")</f>
        <v>No</v>
      </c>
      <c r="AB362" s="65" t="str">
        <f t="shared" si="22"/>
        <v>Yes</v>
      </c>
      <c r="AC362" s="65" t="str">
        <f>IFERROR(VLOOKUP(X362,LK_LocationMaster!$D$4:$H$157,5,FALSE()),"No")</f>
        <v>No</v>
      </c>
      <c r="AD362" s="59" t="s">
        <v>4046</v>
      </c>
      <c r="AE362" s="59" t="s">
        <v>886</v>
      </c>
      <c r="AF362" s="59" t="s">
        <v>847</v>
      </c>
      <c r="AG362" s="59" t="s">
        <v>288</v>
      </c>
      <c r="AH362" s="59" t="s">
        <v>4047</v>
      </c>
      <c r="AI362" s="59" t="s">
        <v>285</v>
      </c>
      <c r="AJ362" s="59" t="s">
        <v>833</v>
      </c>
      <c r="AK362" s="59" t="s">
        <v>1550</v>
      </c>
      <c r="AL362" s="64" t="str">
        <f>IFERROR(INDEX(LK_BankMaster!$D$4:$D$23,MATCH(AJ362&amp;"|"&amp;AK362,LK_BankMaster!$H$4:$H$23,0)),"")</f>
        <v/>
      </c>
      <c r="AM362" s="59" t="s">
        <v>4048</v>
      </c>
      <c r="AN362" s="64" t="str">
        <f>IFERROR(VLOOKUP(AJ362,LK_BankMaster!$A$4:$E$23,5,FALSE()),"")</f>
        <v/>
      </c>
      <c r="AO362" s="59" t="s">
        <v>291</v>
      </c>
      <c r="AP362" s="66">
        <v>0</v>
      </c>
      <c r="AQ362" s="64" t="str">
        <f t="shared" si="23"/>
        <v>Position Allowance - General Staff</v>
      </c>
      <c r="AR362" s="65" t="str">
        <f>IFERROR(VLOOKUP(T362,LK_OrgMaster!$B$4:$G$89,6,FALSE()),"No")</f>
        <v>No</v>
      </c>
      <c r="AS362" s="64" t="str">
        <f>IFERROR(VLOOKUP(T362,LK_OrgMaster!$B$4:$H$89,7,FALSE()),"None")</f>
        <v>None</v>
      </c>
      <c r="AT362" s="67">
        <v>34987</v>
      </c>
      <c r="AU362" s="67"/>
      <c r="AV362" s="67">
        <v>34987</v>
      </c>
      <c r="AW362" s="67">
        <v>46023</v>
      </c>
      <c r="AX362" s="68" t="s">
        <v>750</v>
      </c>
      <c r="AY362" s="69" t="s">
        <v>6260</v>
      </c>
    </row>
    <row r="363" spans="1:51" ht="15" customHeight="1" x14ac:dyDescent="0.3">
      <c r="A363" s="59" t="s">
        <v>4049</v>
      </c>
      <c r="B363" s="59" t="s">
        <v>851</v>
      </c>
      <c r="C363" s="59" t="s">
        <v>1582</v>
      </c>
      <c r="D363" s="59" t="s">
        <v>1759</v>
      </c>
      <c r="E363" s="59" t="s">
        <v>775</v>
      </c>
      <c r="F363" s="60">
        <v>33716</v>
      </c>
      <c r="G363" s="59" t="s">
        <v>4050</v>
      </c>
      <c r="H363" s="59" t="s">
        <v>4051</v>
      </c>
      <c r="I363" s="60">
        <v>37935</v>
      </c>
      <c r="J363" s="61">
        <f t="shared" ca="1" si="20"/>
        <v>22</v>
      </c>
      <c r="K363" s="62">
        <f t="shared" si="21"/>
        <v>55631</v>
      </c>
      <c r="L363" s="59" t="s">
        <v>735</v>
      </c>
      <c r="M363" s="59" t="s">
        <v>1407</v>
      </c>
      <c r="N363" s="59" t="s">
        <v>1081</v>
      </c>
      <c r="O363" s="63">
        <v>0</v>
      </c>
      <c r="P363" s="61">
        <f>IFERROR(SUMPRODUCT((LK_GradeDerivation!$A$4:$A$135=N363)*(IF(O363="",0,O363)&gt;=LK_GradeDerivation!$B$4:$B$135)*(IF(O363="",0,O363)&lt;=LK_GradeDerivation!$C$4:$C$135)*LK_GradeDerivation!$D$4:$D$135),1)</f>
        <v>3</v>
      </c>
      <c r="Q363" s="61">
        <f>IFERROR(SUMPRODUCT((LK_GradeDerivation!$A$4:$A$135=N363)*(IF(O363="",0,O363)&gt;=LK_GradeDerivation!$B$4:$B$135)*(IF(O363="",0,O363)&lt;=LK_GradeDerivation!$C$4:$C$135)*LK_GradeDerivation!$E$4:$E$135),1)</f>
        <v>1</v>
      </c>
      <c r="R363" s="59" t="s">
        <v>4052</v>
      </c>
      <c r="S363" s="59" t="s">
        <v>4053</v>
      </c>
      <c r="T363" s="59" t="s">
        <v>1058</v>
      </c>
      <c r="U363" s="59" t="s">
        <v>1410</v>
      </c>
      <c r="V363" s="59" t="s">
        <v>2459</v>
      </c>
      <c r="W363" s="59" t="s">
        <v>285</v>
      </c>
      <c r="X363" s="59" t="s">
        <v>340</v>
      </c>
      <c r="Y363" s="59" t="s">
        <v>348</v>
      </c>
      <c r="Z363" s="64" t="str">
        <f>IFERROR(VLOOKUP(T363,LK_OrgMaster!$B$4:$H$89,5,FALSE()),"Administration")</f>
        <v>Technical</v>
      </c>
      <c r="AA363" s="65" t="str">
        <f>IFERROR(VLOOKUP(X363,LK_LocationMaster!$D$4:$G$157,4,FALSE()),"No")</f>
        <v>No</v>
      </c>
      <c r="AB363" s="65" t="str">
        <f t="shared" si="22"/>
        <v>No</v>
      </c>
      <c r="AC363" s="65" t="str">
        <f>IFERROR(VLOOKUP(X363,LK_LocationMaster!$D$4:$H$157,5,FALSE()),"No")</f>
        <v>No</v>
      </c>
      <c r="AD363" s="59" t="s">
        <v>4054</v>
      </c>
      <c r="AE363" s="59" t="s">
        <v>930</v>
      </c>
      <c r="AF363" s="59" t="s">
        <v>984</v>
      </c>
      <c r="AG363" s="59" t="s">
        <v>368</v>
      </c>
      <c r="AH363" s="59" t="s">
        <v>4055</v>
      </c>
      <c r="AI363" s="59" t="s">
        <v>285</v>
      </c>
      <c r="AJ363" s="59" t="s">
        <v>833</v>
      </c>
      <c r="AK363" s="59" t="s">
        <v>1550</v>
      </c>
      <c r="AL363" s="64" t="str">
        <f>IFERROR(INDEX(LK_BankMaster!$D$4:$D$23,MATCH(AJ363&amp;"|"&amp;AK363,LK_BankMaster!$H$4:$H$23,0)),"")</f>
        <v/>
      </c>
      <c r="AM363" s="59" t="s">
        <v>4056</v>
      </c>
      <c r="AN363" s="64" t="str">
        <f>IFERROR(VLOOKUP(AJ363,LK_BankMaster!$A$4:$E$23,5,FALSE()),"")</f>
        <v/>
      </c>
      <c r="AO363" s="59" t="s">
        <v>314</v>
      </c>
      <c r="AP363" s="66">
        <v>2</v>
      </c>
      <c r="AQ363" s="64" t="str">
        <f t="shared" si="23"/>
        <v>Position Allowance - General Staff</v>
      </c>
      <c r="AR363" s="65" t="str">
        <f>IFERROR(VLOOKUP(T363,LK_OrgMaster!$B$4:$G$89,6,FALSE()),"No")</f>
        <v>No</v>
      </c>
      <c r="AS363" s="64" t="str">
        <f>IFERROR(VLOOKUP(T363,LK_OrgMaster!$B$4:$H$89,7,FALSE()),"None")</f>
        <v>None</v>
      </c>
      <c r="AT363" s="70">
        <v>37935</v>
      </c>
      <c r="AU363" s="70"/>
      <c r="AV363" s="70">
        <v>37935</v>
      </c>
      <c r="AW363" s="70">
        <v>46023</v>
      </c>
      <c r="AX363" s="71" t="s">
        <v>750</v>
      </c>
      <c r="AY363" s="72" t="s">
        <v>6260</v>
      </c>
    </row>
    <row r="364" spans="1:51" ht="15" customHeight="1" x14ac:dyDescent="0.3">
      <c r="A364" s="59" t="s">
        <v>4057</v>
      </c>
      <c r="B364" s="59" t="s">
        <v>772</v>
      </c>
      <c r="C364" s="59" t="s">
        <v>1740</v>
      </c>
      <c r="D364" s="59" t="s">
        <v>947</v>
      </c>
      <c r="E364" s="59" t="s">
        <v>732</v>
      </c>
      <c r="F364" s="60">
        <v>30087</v>
      </c>
      <c r="G364" s="59" t="s">
        <v>4058</v>
      </c>
      <c r="H364" s="59" t="s">
        <v>4059</v>
      </c>
      <c r="I364" s="60">
        <v>39237</v>
      </c>
      <c r="J364" s="61">
        <f t="shared" ca="1" si="20"/>
        <v>18</v>
      </c>
      <c r="K364" s="62">
        <f t="shared" si="21"/>
        <v>52002</v>
      </c>
      <c r="L364" s="59" t="s">
        <v>735</v>
      </c>
      <c r="M364" s="59" t="s">
        <v>736</v>
      </c>
      <c r="N364" s="59" t="s">
        <v>779</v>
      </c>
      <c r="O364" s="63">
        <v>7</v>
      </c>
      <c r="P364" s="61">
        <f>IFERROR(SUMPRODUCT((LK_GradeDerivation!$A$4:$A$135=N364)*(IF(O364="",0,O364)&gt;=LK_GradeDerivation!$B$4:$B$135)*(IF(O364="",0,O364)&lt;=LK_GradeDerivation!$C$4:$C$135)*LK_GradeDerivation!$D$4:$D$135),1)</f>
        <v>2</v>
      </c>
      <c r="Q364" s="61">
        <f>IFERROR(SUMPRODUCT((LK_GradeDerivation!$A$4:$A$135=N364)*(IF(O364="",0,O364)&gt;=LK_GradeDerivation!$B$4:$B$135)*(IF(O364="",0,O364)&lt;=LK_GradeDerivation!$C$4:$C$135)*LK_GradeDerivation!$E$4:$E$135),1)</f>
        <v>4</v>
      </c>
      <c r="R364" s="59" t="s">
        <v>4060</v>
      </c>
      <c r="S364" s="59" t="s">
        <v>4061</v>
      </c>
      <c r="T364" s="59" t="s">
        <v>740</v>
      </c>
      <c r="U364" s="59" t="s">
        <v>927</v>
      </c>
      <c r="V364" s="59" t="s">
        <v>763</v>
      </c>
      <c r="W364" s="59" t="s">
        <v>285</v>
      </c>
      <c r="X364" s="59" t="s">
        <v>429</v>
      </c>
      <c r="Y364" s="59" t="s">
        <v>441</v>
      </c>
      <c r="Z364" s="64" t="str">
        <f>IFERROR(VLOOKUP(T364,LK_OrgMaster!$B$4:$H$89,5,FALSE()),"Administration")</f>
        <v>Teacher</v>
      </c>
      <c r="AA364" s="65" t="str">
        <f>IFERROR(VLOOKUP(X364,LK_LocationMaster!$D$4:$G$157,4,FALSE()),"No")</f>
        <v>Yes</v>
      </c>
      <c r="AB364" s="65" t="str">
        <f t="shared" si="22"/>
        <v>No</v>
      </c>
      <c r="AC364" s="65" t="str">
        <f>IFERROR(VLOOKUP(X364,LK_LocationMaster!$D$4:$H$157,5,FALSE()),"No")</f>
        <v>Yes</v>
      </c>
      <c r="AD364" s="59" t="s">
        <v>1316</v>
      </c>
      <c r="AE364" s="59" t="s">
        <v>800</v>
      </c>
      <c r="AF364" s="59" t="s">
        <v>847</v>
      </c>
      <c r="AG364" s="59" t="s">
        <v>329</v>
      </c>
      <c r="AH364" s="59" t="s">
        <v>4062</v>
      </c>
      <c r="AI364" s="59" t="s">
        <v>285</v>
      </c>
      <c r="AJ364" s="59" t="s">
        <v>788</v>
      </c>
      <c r="AK364" s="59" t="s">
        <v>1877</v>
      </c>
      <c r="AL364" s="64" t="str">
        <f>IFERROR(INDEX(LK_BankMaster!$D$4:$D$23,MATCH(AJ364&amp;"|"&amp;AK364,LK_BankMaster!$H$4:$H$23,0)),"")</f>
        <v/>
      </c>
      <c r="AM364" s="59" t="s">
        <v>4063</v>
      </c>
      <c r="AN364" s="64" t="str">
        <f>IFERROR(VLOOKUP(AJ364,LK_BankMaster!$A$4:$E$23,5,FALSE()),"")</f>
        <v/>
      </c>
      <c r="AO364" s="59" t="s">
        <v>291</v>
      </c>
      <c r="AP364" s="66">
        <v>0</v>
      </c>
      <c r="AQ364" s="64" t="str">
        <f t="shared" si="23"/>
        <v>Position Allowance - General Staff</v>
      </c>
      <c r="AR364" s="65" t="str">
        <f>IFERROR(VLOOKUP(T364,LK_OrgMaster!$B$4:$G$89,6,FALSE()),"No")</f>
        <v>No</v>
      </c>
      <c r="AS364" s="64" t="str">
        <f>IFERROR(VLOOKUP(T364,LK_OrgMaster!$B$4:$H$89,7,FALSE()),"None")</f>
        <v>Teaching</v>
      </c>
      <c r="AT364" s="67">
        <v>39237</v>
      </c>
      <c r="AU364" s="67"/>
      <c r="AV364" s="67">
        <v>39237</v>
      </c>
      <c r="AW364" s="67">
        <v>46023</v>
      </c>
      <c r="AX364" s="68" t="s">
        <v>750</v>
      </c>
      <c r="AY364" s="69" t="s">
        <v>6260</v>
      </c>
    </row>
    <row r="365" spans="1:51" ht="15" customHeight="1" x14ac:dyDescent="0.3">
      <c r="A365" s="59" t="s">
        <v>4064</v>
      </c>
      <c r="B365" s="59" t="s">
        <v>729</v>
      </c>
      <c r="C365" s="59" t="s">
        <v>1125</v>
      </c>
      <c r="D365" s="59" t="s">
        <v>1256</v>
      </c>
      <c r="E365" s="59" t="s">
        <v>732</v>
      </c>
      <c r="F365" s="60">
        <v>28322</v>
      </c>
      <c r="G365" s="59" t="s">
        <v>4065</v>
      </c>
      <c r="H365" s="59" t="s">
        <v>4066</v>
      </c>
      <c r="I365" s="60">
        <v>37788</v>
      </c>
      <c r="J365" s="61">
        <f t="shared" ca="1" si="20"/>
        <v>22</v>
      </c>
      <c r="K365" s="62">
        <f t="shared" si="21"/>
        <v>50237</v>
      </c>
      <c r="L365" s="59" t="s">
        <v>735</v>
      </c>
      <c r="M365" s="59" t="s">
        <v>841</v>
      </c>
      <c r="N365" s="59" t="s">
        <v>737</v>
      </c>
      <c r="O365" s="63">
        <v>3</v>
      </c>
      <c r="P365" s="61">
        <f>IFERROR(SUMPRODUCT((LK_GradeDerivation!$A$4:$A$135=N365)*(IF(O365="",0,O365)&gt;=LK_GradeDerivation!$B$4:$B$135)*(IF(O365="",0,O365)&lt;=LK_GradeDerivation!$C$4:$C$135)*LK_GradeDerivation!$D$4:$D$135),1)</f>
        <v>4</v>
      </c>
      <c r="Q365" s="61">
        <f>IFERROR(SUMPRODUCT((LK_GradeDerivation!$A$4:$A$135=N365)*(IF(O365="",0,O365)&gt;=LK_GradeDerivation!$B$4:$B$135)*(IF(O365="",0,O365)&lt;=LK_GradeDerivation!$C$4:$C$135)*LK_GradeDerivation!$E$4:$E$135),1)</f>
        <v>2</v>
      </c>
      <c r="R365" s="59" t="s">
        <v>4067</v>
      </c>
      <c r="S365" s="59" t="s">
        <v>4068</v>
      </c>
      <c r="T365" s="59" t="s">
        <v>1204</v>
      </c>
      <c r="U365" s="59" t="s">
        <v>1801</v>
      </c>
      <c r="V365" s="59" t="s">
        <v>763</v>
      </c>
      <c r="W365" s="59" t="s">
        <v>285</v>
      </c>
      <c r="X365" s="59" t="s">
        <v>527</v>
      </c>
      <c r="Y365" s="59" t="s">
        <v>538</v>
      </c>
      <c r="Z365" s="64" t="str">
        <f>IFERROR(VLOOKUP(T365,LK_OrgMaster!$B$4:$H$89,5,FALSE()),"Administration")</f>
        <v>Administration</v>
      </c>
      <c r="AA365" s="65" t="str">
        <f>IFERROR(VLOOKUP(X365,LK_LocationMaster!$D$4:$G$157,4,FALSE()),"No")</f>
        <v>No</v>
      </c>
      <c r="AB365" s="65" t="str">
        <f t="shared" si="22"/>
        <v>No</v>
      </c>
      <c r="AC365" s="65" t="str">
        <f>IFERROR(VLOOKUP(X365,LK_LocationMaster!$D$4:$H$157,5,FALSE()),"No")</f>
        <v>No</v>
      </c>
      <c r="AD365" s="59" t="s">
        <v>4069</v>
      </c>
      <c r="AE365" s="59" t="s">
        <v>4070</v>
      </c>
      <c r="AF365" s="59" t="s">
        <v>816</v>
      </c>
      <c r="AG365" s="59" t="s">
        <v>340</v>
      </c>
      <c r="AH365" s="59" t="s">
        <v>1195</v>
      </c>
      <c r="AI365" s="59" t="s">
        <v>285</v>
      </c>
      <c r="AJ365" s="59" t="s">
        <v>833</v>
      </c>
      <c r="AK365" s="59" t="s">
        <v>917</v>
      </c>
      <c r="AL365" s="64" t="str">
        <f>IFERROR(INDEX(LK_BankMaster!$D$4:$D$23,MATCH(AJ365&amp;"|"&amp;AK365,LK_BankMaster!$H$4:$H$23,0)),"")</f>
        <v/>
      </c>
      <c r="AM365" s="59" t="s">
        <v>4071</v>
      </c>
      <c r="AN365" s="64" t="str">
        <f>IFERROR(VLOOKUP(AJ365,LK_BankMaster!$A$4:$E$23,5,FALSE()),"")</f>
        <v/>
      </c>
      <c r="AO365" s="59" t="s">
        <v>314</v>
      </c>
      <c r="AP365" s="66">
        <v>3</v>
      </c>
      <c r="AQ365" s="64" t="str">
        <f t="shared" si="23"/>
        <v>Position Allowance - Director</v>
      </c>
      <c r="AR365" s="65" t="str">
        <f>IFERROR(VLOOKUP(T365,LK_OrgMaster!$B$4:$G$89,6,FALSE()),"No")</f>
        <v>No</v>
      </c>
      <c r="AS365" s="64" t="str">
        <f>IFERROR(VLOOKUP(T365,LK_OrgMaster!$B$4:$H$89,7,FALSE()),"None")</f>
        <v>None</v>
      </c>
      <c r="AT365" s="70">
        <v>37788</v>
      </c>
      <c r="AU365" s="70"/>
      <c r="AV365" s="70">
        <v>37788</v>
      </c>
      <c r="AW365" s="70">
        <v>46023</v>
      </c>
      <c r="AX365" s="71" t="s">
        <v>750</v>
      </c>
      <c r="AY365" s="72" t="s">
        <v>6260</v>
      </c>
    </row>
    <row r="366" spans="1:51" ht="15" customHeight="1" x14ac:dyDescent="0.3">
      <c r="A366" s="59" t="s">
        <v>4072</v>
      </c>
      <c r="B366" s="59" t="s">
        <v>851</v>
      </c>
      <c r="C366" s="59" t="s">
        <v>1111</v>
      </c>
      <c r="D366" s="59" t="s">
        <v>823</v>
      </c>
      <c r="E366" s="59" t="s">
        <v>775</v>
      </c>
      <c r="F366" s="60">
        <v>24119</v>
      </c>
      <c r="G366" s="59" t="s">
        <v>4073</v>
      </c>
      <c r="H366" s="59" t="s">
        <v>4074</v>
      </c>
      <c r="I366" s="60">
        <v>34762</v>
      </c>
      <c r="J366" s="61">
        <f t="shared" ca="1" si="20"/>
        <v>31</v>
      </c>
      <c r="K366" s="62">
        <f t="shared" si="21"/>
        <v>46034</v>
      </c>
      <c r="L366" s="59" t="s">
        <v>735</v>
      </c>
      <c r="M366" s="59" t="s">
        <v>1201</v>
      </c>
      <c r="N366" s="59" t="s">
        <v>1081</v>
      </c>
      <c r="O366" s="63">
        <v>9</v>
      </c>
      <c r="P366" s="61">
        <f>IFERROR(SUMPRODUCT((LK_GradeDerivation!$A$4:$A$135=N366)*(IF(O366="",0,O366)&gt;=LK_GradeDerivation!$B$4:$B$135)*(IF(O366="",0,O366)&lt;=LK_GradeDerivation!$C$4:$C$135)*LK_GradeDerivation!$D$4:$D$135),1)</f>
        <v>3</v>
      </c>
      <c r="Q366" s="61">
        <f>IFERROR(SUMPRODUCT((LK_GradeDerivation!$A$4:$A$135=N366)*(IF(O366="",0,O366)&gt;=LK_GradeDerivation!$B$4:$B$135)*(IF(O366="",0,O366)&lt;=LK_GradeDerivation!$C$4:$C$135)*LK_GradeDerivation!$E$4:$E$135),1)</f>
        <v>5</v>
      </c>
      <c r="R366" s="59" t="s">
        <v>4075</v>
      </c>
      <c r="S366" s="59" t="s">
        <v>4076</v>
      </c>
      <c r="T366" s="59" t="s">
        <v>952</v>
      </c>
      <c r="U366" s="59" t="s">
        <v>1229</v>
      </c>
      <c r="V366" s="59" t="s">
        <v>1230</v>
      </c>
      <c r="W366" s="59" t="s">
        <v>285</v>
      </c>
      <c r="X366" s="59" t="s">
        <v>356</v>
      </c>
      <c r="Y366" s="59" t="s">
        <v>362</v>
      </c>
      <c r="Z366" s="64" t="str">
        <f>IFERROR(VLOOKUP(T366,LK_OrgMaster!$B$4:$H$89,5,FALSE()),"Administration")</f>
        <v>Administration</v>
      </c>
      <c r="AA366" s="65" t="str">
        <f>IFERROR(VLOOKUP(X366,LK_LocationMaster!$D$4:$G$157,4,FALSE()),"No")</f>
        <v>Yes</v>
      </c>
      <c r="AB366" s="65" t="str">
        <f t="shared" si="22"/>
        <v>No</v>
      </c>
      <c r="AC366" s="65" t="str">
        <f>IFERROR(VLOOKUP(X366,LK_LocationMaster!$D$4:$H$157,5,FALSE()),"No")</f>
        <v>No</v>
      </c>
      <c r="AD366" s="59" t="s">
        <v>3836</v>
      </c>
      <c r="AE366" s="59" t="s">
        <v>930</v>
      </c>
      <c r="AF366" s="59" t="s">
        <v>786</v>
      </c>
      <c r="AG366" s="59" t="s">
        <v>340</v>
      </c>
      <c r="AH366" s="59" t="s">
        <v>4077</v>
      </c>
      <c r="AI366" s="59" t="s">
        <v>285</v>
      </c>
      <c r="AJ366" s="59" t="s">
        <v>818</v>
      </c>
      <c r="AK366" s="59" t="s">
        <v>819</v>
      </c>
      <c r="AL366" s="64" t="str">
        <f>IFERROR(INDEX(LK_BankMaster!$D$4:$D$23,MATCH(AJ366&amp;"|"&amp;AK366,LK_BankMaster!$H$4:$H$23,0)),"")</f>
        <v/>
      </c>
      <c r="AM366" s="59" t="s">
        <v>4078</v>
      </c>
      <c r="AN366" s="64" t="str">
        <f>IFERROR(VLOOKUP(AJ366,LK_BankMaster!$A$4:$E$23,5,FALSE()),"")</f>
        <v/>
      </c>
      <c r="AO366" s="59" t="s">
        <v>291</v>
      </c>
      <c r="AP366" s="66">
        <v>0</v>
      </c>
      <c r="AQ366" s="64" t="str">
        <f t="shared" si="23"/>
        <v>Position Allowance - General Staff</v>
      </c>
      <c r="AR366" s="65" t="str">
        <f>IFERROR(VLOOKUP(T366,LK_OrgMaster!$B$4:$G$89,6,FALSE()),"No")</f>
        <v>No</v>
      </c>
      <c r="AS366" s="64" t="str">
        <f>IFERROR(VLOOKUP(T366,LK_OrgMaster!$B$4:$H$89,7,FALSE()),"None")</f>
        <v>None</v>
      </c>
      <c r="AT366" s="67">
        <v>34762</v>
      </c>
      <c r="AU366" s="67"/>
      <c r="AV366" s="67">
        <v>34762</v>
      </c>
      <c r="AW366" s="67">
        <v>46023</v>
      </c>
      <c r="AX366" s="68" t="s">
        <v>750</v>
      </c>
      <c r="AY366" s="69" t="s">
        <v>6260</v>
      </c>
    </row>
    <row r="367" spans="1:51" ht="15" customHeight="1" x14ac:dyDescent="0.3">
      <c r="A367" s="59" t="s">
        <v>4079</v>
      </c>
      <c r="B367" s="59" t="s">
        <v>772</v>
      </c>
      <c r="C367" s="59" t="s">
        <v>1016</v>
      </c>
      <c r="D367" s="59" t="s">
        <v>1759</v>
      </c>
      <c r="E367" s="59" t="s">
        <v>732</v>
      </c>
      <c r="F367" s="60">
        <v>35842</v>
      </c>
      <c r="G367" s="59" t="s">
        <v>4080</v>
      </c>
      <c r="H367" s="59" t="s">
        <v>4081</v>
      </c>
      <c r="I367" s="60">
        <v>43788</v>
      </c>
      <c r="J367" s="61">
        <f t="shared" ca="1" si="20"/>
        <v>6</v>
      </c>
      <c r="K367" s="62">
        <f t="shared" si="21"/>
        <v>57757</v>
      </c>
      <c r="L367" s="59" t="s">
        <v>735</v>
      </c>
      <c r="M367" s="59" t="s">
        <v>736</v>
      </c>
      <c r="N367" s="59" t="s">
        <v>1081</v>
      </c>
      <c r="O367" s="63">
        <v>1</v>
      </c>
      <c r="P367" s="61">
        <f>IFERROR(SUMPRODUCT((LK_GradeDerivation!$A$4:$A$135=N367)*(IF(O367="",0,O367)&gt;=LK_GradeDerivation!$B$4:$B$135)*(IF(O367="",0,O367)&lt;=LK_GradeDerivation!$C$4:$C$135)*LK_GradeDerivation!$D$4:$D$135),1)</f>
        <v>3</v>
      </c>
      <c r="Q367" s="61">
        <f>IFERROR(SUMPRODUCT((LK_GradeDerivation!$A$4:$A$135=N367)*(IF(O367="",0,O367)&gt;=LK_GradeDerivation!$B$4:$B$135)*(IF(O367="",0,O367)&lt;=LK_GradeDerivation!$C$4:$C$135)*LK_GradeDerivation!$E$4:$E$135),1)</f>
        <v>1</v>
      </c>
      <c r="R367" s="59" t="s">
        <v>4082</v>
      </c>
      <c r="S367" s="59" t="s">
        <v>4083</v>
      </c>
      <c r="T367" s="59" t="s">
        <v>740</v>
      </c>
      <c r="U367" s="59" t="s">
        <v>1166</v>
      </c>
      <c r="V367" s="59" t="s">
        <v>1970</v>
      </c>
      <c r="W367" s="59" t="s">
        <v>285</v>
      </c>
      <c r="X367" s="59" t="s">
        <v>368</v>
      </c>
      <c r="Y367" s="59" t="s">
        <v>368</v>
      </c>
      <c r="Z367" s="64" t="str">
        <f>IFERROR(VLOOKUP(T367,LK_OrgMaster!$B$4:$H$89,5,FALSE()),"Administration")</f>
        <v>Teacher</v>
      </c>
      <c r="AA367" s="65" t="str">
        <f>IFERROR(VLOOKUP(X367,LK_LocationMaster!$D$4:$G$157,4,FALSE()),"No")</f>
        <v>No</v>
      </c>
      <c r="AB367" s="65" t="str">
        <f t="shared" si="22"/>
        <v>No</v>
      </c>
      <c r="AC367" s="65" t="str">
        <f>IFERROR(VLOOKUP(X367,LK_LocationMaster!$D$4:$H$157,5,FALSE()),"No")</f>
        <v>No</v>
      </c>
      <c r="AD367" s="59" t="s">
        <v>4084</v>
      </c>
      <c r="AE367" s="59" t="s">
        <v>765</v>
      </c>
      <c r="AF367" s="59" t="s">
        <v>801</v>
      </c>
      <c r="AG367" s="59" t="s">
        <v>391</v>
      </c>
      <c r="AH367" s="59" t="s">
        <v>4085</v>
      </c>
      <c r="AI367" s="59" t="s">
        <v>285</v>
      </c>
      <c r="AJ367" s="59" t="s">
        <v>833</v>
      </c>
      <c r="AK367" s="59" t="s">
        <v>834</v>
      </c>
      <c r="AL367" s="64" t="str">
        <f>IFERROR(INDEX(LK_BankMaster!$D$4:$D$23,MATCH(AJ367&amp;"|"&amp;AK367,LK_BankMaster!$H$4:$H$23,0)),"")</f>
        <v/>
      </c>
      <c r="AM367" s="59" t="s">
        <v>4086</v>
      </c>
      <c r="AN367" s="64" t="str">
        <f>IFERROR(VLOOKUP(AJ367,LK_BankMaster!$A$4:$E$23,5,FALSE()),"")</f>
        <v/>
      </c>
      <c r="AO367" s="59" t="s">
        <v>314</v>
      </c>
      <c r="AP367" s="66">
        <v>0</v>
      </c>
      <c r="AQ367" s="64" t="str">
        <f t="shared" si="23"/>
        <v>Position Allowance - General Staff</v>
      </c>
      <c r="AR367" s="65" t="str">
        <f>IFERROR(VLOOKUP(T367,LK_OrgMaster!$B$4:$G$89,6,FALSE()),"No")</f>
        <v>No</v>
      </c>
      <c r="AS367" s="64" t="str">
        <f>IFERROR(VLOOKUP(T367,LK_OrgMaster!$B$4:$H$89,7,FALSE()),"None")</f>
        <v>Teaching</v>
      </c>
      <c r="AT367" s="70">
        <v>43788</v>
      </c>
      <c r="AU367" s="70"/>
      <c r="AV367" s="70">
        <v>43788</v>
      </c>
      <c r="AW367" s="70">
        <v>46023</v>
      </c>
      <c r="AX367" s="71" t="s">
        <v>750</v>
      </c>
      <c r="AY367" s="72" t="s">
        <v>6260</v>
      </c>
    </row>
    <row r="368" spans="1:51" ht="15" customHeight="1" x14ac:dyDescent="0.3">
      <c r="A368" s="59" t="s">
        <v>4087</v>
      </c>
      <c r="B368" s="59" t="s">
        <v>729</v>
      </c>
      <c r="C368" s="59" t="s">
        <v>1016</v>
      </c>
      <c r="D368" s="59" t="s">
        <v>2444</v>
      </c>
      <c r="E368" s="59" t="s">
        <v>732</v>
      </c>
      <c r="F368" s="60">
        <v>34354</v>
      </c>
      <c r="G368" s="59" t="s">
        <v>4088</v>
      </c>
      <c r="H368" s="59" t="s">
        <v>4089</v>
      </c>
      <c r="I368" s="60">
        <v>42390</v>
      </c>
      <c r="J368" s="61">
        <f t="shared" ca="1" si="20"/>
        <v>10</v>
      </c>
      <c r="K368" s="62">
        <f t="shared" si="21"/>
        <v>56269</v>
      </c>
      <c r="L368" s="59" t="s">
        <v>735</v>
      </c>
      <c r="M368" s="59" t="s">
        <v>1201</v>
      </c>
      <c r="N368" s="59" t="s">
        <v>1081</v>
      </c>
      <c r="O368" s="63">
        <v>2</v>
      </c>
      <c r="P368" s="61">
        <f>IFERROR(SUMPRODUCT((LK_GradeDerivation!$A$4:$A$135=N368)*(IF(O368="",0,O368)&gt;=LK_GradeDerivation!$B$4:$B$135)*(IF(O368="",0,O368)&lt;=LK_GradeDerivation!$C$4:$C$135)*LK_GradeDerivation!$D$4:$D$135),1)</f>
        <v>3</v>
      </c>
      <c r="Q368" s="61">
        <f>IFERROR(SUMPRODUCT((LK_GradeDerivation!$A$4:$A$135=N368)*(IF(O368="",0,O368)&gt;=LK_GradeDerivation!$B$4:$B$135)*(IF(O368="",0,O368)&lt;=LK_GradeDerivation!$C$4:$C$135)*LK_GradeDerivation!$E$4:$E$135),1)</f>
        <v>2</v>
      </c>
      <c r="R368" s="59" t="s">
        <v>4090</v>
      </c>
      <c r="S368" s="59" t="s">
        <v>4091</v>
      </c>
      <c r="T368" s="59" t="s">
        <v>952</v>
      </c>
      <c r="U368" s="59" t="s">
        <v>953</v>
      </c>
      <c r="V368" s="59" t="s">
        <v>763</v>
      </c>
      <c r="W368" s="59" t="s">
        <v>285</v>
      </c>
      <c r="X368" s="59" t="s">
        <v>575</v>
      </c>
      <c r="Y368" s="59" t="s">
        <v>579</v>
      </c>
      <c r="Z368" s="64" t="str">
        <f>IFERROR(VLOOKUP(T368,LK_OrgMaster!$B$4:$H$89,5,FALSE()),"Administration")</f>
        <v>Administration</v>
      </c>
      <c r="AA368" s="65" t="str">
        <f>IFERROR(VLOOKUP(X368,LK_LocationMaster!$D$4:$G$157,4,FALSE()),"No")</f>
        <v>Yes</v>
      </c>
      <c r="AB368" s="65" t="str">
        <f t="shared" si="22"/>
        <v>No</v>
      </c>
      <c r="AC368" s="65" t="str">
        <f>IFERROR(VLOOKUP(X368,LK_LocationMaster!$D$4:$H$157,5,FALSE()),"No")</f>
        <v>Yes</v>
      </c>
      <c r="AD368" s="59" t="s">
        <v>4092</v>
      </c>
      <c r="AE368" s="59" t="s">
        <v>800</v>
      </c>
      <c r="AF368" s="59" t="s">
        <v>786</v>
      </c>
      <c r="AG368" s="59" t="s">
        <v>356</v>
      </c>
      <c r="AH368" s="59" t="s">
        <v>4093</v>
      </c>
      <c r="AI368" s="59" t="s">
        <v>285</v>
      </c>
      <c r="AJ368" s="59" t="s">
        <v>788</v>
      </c>
      <c r="AK368" s="59" t="s">
        <v>1221</v>
      </c>
      <c r="AL368" s="64" t="str">
        <f>IFERROR(INDEX(LK_BankMaster!$D$4:$D$23,MATCH(AJ368&amp;"|"&amp;AK368,LK_BankMaster!$H$4:$H$23,0)),"")</f>
        <v/>
      </c>
      <c r="AM368" s="59" t="s">
        <v>4094</v>
      </c>
      <c r="AN368" s="64" t="str">
        <f>IFERROR(VLOOKUP(AJ368,LK_BankMaster!$A$4:$E$23,5,FALSE()),"")</f>
        <v/>
      </c>
      <c r="AO368" s="59" t="s">
        <v>314</v>
      </c>
      <c r="AP368" s="66">
        <v>3</v>
      </c>
      <c r="AQ368" s="64" t="str">
        <f t="shared" si="23"/>
        <v>Position Allowance - General Staff</v>
      </c>
      <c r="AR368" s="65" t="str">
        <f>IFERROR(VLOOKUP(T368,LK_OrgMaster!$B$4:$G$89,6,FALSE()),"No")</f>
        <v>No</v>
      </c>
      <c r="AS368" s="64" t="str">
        <f>IFERROR(VLOOKUP(T368,LK_OrgMaster!$B$4:$H$89,7,FALSE()),"None")</f>
        <v>None</v>
      </c>
      <c r="AT368" s="67">
        <v>42390</v>
      </c>
      <c r="AU368" s="67"/>
      <c r="AV368" s="67">
        <v>42390</v>
      </c>
      <c r="AW368" s="67">
        <v>46023</v>
      </c>
      <c r="AX368" s="68" t="s">
        <v>750</v>
      </c>
      <c r="AY368" s="69" t="s">
        <v>6260</v>
      </c>
    </row>
    <row r="369" spans="1:51" ht="15" customHeight="1" x14ac:dyDescent="0.3">
      <c r="A369" s="59" t="s">
        <v>4095</v>
      </c>
      <c r="B369" s="59" t="s">
        <v>772</v>
      </c>
      <c r="C369" s="59" t="s">
        <v>1289</v>
      </c>
      <c r="D369" s="59" t="s">
        <v>1592</v>
      </c>
      <c r="E369" s="59" t="s">
        <v>775</v>
      </c>
      <c r="F369" s="60">
        <v>32129</v>
      </c>
      <c r="G369" s="59" t="s">
        <v>4096</v>
      </c>
      <c r="H369" s="59" t="s">
        <v>4097</v>
      </c>
      <c r="I369" s="60">
        <v>36612</v>
      </c>
      <c r="J369" s="61">
        <f t="shared" ca="1" si="20"/>
        <v>25</v>
      </c>
      <c r="K369" s="62">
        <f t="shared" si="21"/>
        <v>54044</v>
      </c>
      <c r="L369" s="59" t="s">
        <v>735</v>
      </c>
      <c r="M369" s="59" t="s">
        <v>1069</v>
      </c>
      <c r="N369" s="59" t="s">
        <v>737</v>
      </c>
      <c r="O369" s="63">
        <v>0</v>
      </c>
      <c r="P369" s="61">
        <f>IFERROR(SUMPRODUCT((LK_GradeDerivation!$A$4:$A$135=N369)*(IF(O369="",0,O369)&gt;=LK_GradeDerivation!$B$4:$B$135)*(IF(O369="",0,O369)&lt;=LK_GradeDerivation!$C$4:$C$135)*LK_GradeDerivation!$D$4:$D$135),1)</f>
        <v>4</v>
      </c>
      <c r="Q369" s="61">
        <f>IFERROR(SUMPRODUCT((LK_GradeDerivation!$A$4:$A$135=N369)*(IF(O369="",0,O369)&gt;=LK_GradeDerivation!$B$4:$B$135)*(IF(O369="",0,O369)&lt;=LK_GradeDerivation!$C$4:$C$135)*LK_GradeDerivation!$E$4:$E$135),1)</f>
        <v>1</v>
      </c>
      <c r="R369" s="59" t="s">
        <v>4098</v>
      </c>
      <c r="S369" s="59" t="s">
        <v>4099</v>
      </c>
      <c r="T369" s="59" t="s">
        <v>1035</v>
      </c>
      <c r="U369" s="59" t="s">
        <v>1597</v>
      </c>
      <c r="V369" s="59" t="s">
        <v>763</v>
      </c>
      <c r="W369" s="59" t="s">
        <v>285</v>
      </c>
      <c r="X369" s="59" t="s">
        <v>329</v>
      </c>
      <c r="Y369" s="59" t="s">
        <v>336</v>
      </c>
      <c r="Z369" s="64" t="str">
        <f>IFERROR(VLOOKUP(T369,LK_OrgMaster!$B$4:$H$89,5,FALSE()),"Administration")</f>
        <v>Administration</v>
      </c>
      <c r="AA369" s="65" t="str">
        <f>IFERROR(VLOOKUP(X369,LK_LocationMaster!$D$4:$G$157,4,FALSE()),"No")</f>
        <v>Yes</v>
      </c>
      <c r="AB369" s="65" t="str">
        <f t="shared" si="22"/>
        <v>No</v>
      </c>
      <c r="AC369" s="65" t="str">
        <f>IFERROR(VLOOKUP(X369,LK_LocationMaster!$D$4:$H$157,5,FALSE()),"No")</f>
        <v>No</v>
      </c>
      <c r="AD369" s="59" t="s">
        <v>4100</v>
      </c>
      <c r="AE369" s="59" t="s">
        <v>800</v>
      </c>
      <c r="AF369" s="59" t="s">
        <v>915</v>
      </c>
      <c r="AG369" s="59" t="s">
        <v>288</v>
      </c>
      <c r="AH369" s="59" t="s">
        <v>4101</v>
      </c>
      <c r="AI369" s="59" t="s">
        <v>285</v>
      </c>
      <c r="AJ369" s="59" t="s">
        <v>818</v>
      </c>
      <c r="AK369" s="59" t="s">
        <v>944</v>
      </c>
      <c r="AL369" s="64" t="str">
        <f>IFERROR(INDEX(LK_BankMaster!$D$4:$D$23,MATCH(AJ369&amp;"|"&amp;AK369,LK_BankMaster!$H$4:$H$23,0)),"")</f>
        <v/>
      </c>
      <c r="AM369" s="59" t="s">
        <v>4102</v>
      </c>
      <c r="AN369" s="64" t="str">
        <f>IFERROR(VLOOKUP(AJ369,LK_BankMaster!$A$4:$E$23,5,FALSE()),"")</f>
        <v/>
      </c>
      <c r="AO369" s="59" t="s">
        <v>291</v>
      </c>
      <c r="AP369" s="66">
        <v>0</v>
      </c>
      <c r="AQ369" s="64" t="str">
        <f t="shared" si="23"/>
        <v>Position Allowance - General Staff</v>
      </c>
      <c r="AR369" s="65" t="str">
        <f>IFERROR(VLOOKUP(T369,LK_OrgMaster!$B$4:$G$89,6,FALSE()),"No")</f>
        <v>No</v>
      </c>
      <c r="AS369" s="64" t="str">
        <f>IFERROR(VLOOKUP(T369,LK_OrgMaster!$B$4:$H$89,7,FALSE()),"None")</f>
        <v>None</v>
      </c>
      <c r="AT369" s="70">
        <v>36612</v>
      </c>
      <c r="AU369" s="70"/>
      <c r="AV369" s="70">
        <v>36612</v>
      </c>
      <c r="AW369" s="70">
        <v>46023</v>
      </c>
      <c r="AX369" s="71" t="s">
        <v>750</v>
      </c>
      <c r="AY369" s="72" t="s">
        <v>6260</v>
      </c>
    </row>
    <row r="370" spans="1:51" ht="15" customHeight="1" x14ac:dyDescent="0.3">
      <c r="A370" s="59" t="s">
        <v>4103</v>
      </c>
      <c r="B370" s="59" t="s">
        <v>772</v>
      </c>
      <c r="C370" s="59" t="s">
        <v>1111</v>
      </c>
      <c r="D370" s="59" t="s">
        <v>960</v>
      </c>
      <c r="E370" s="59" t="s">
        <v>775</v>
      </c>
      <c r="F370" s="60">
        <v>30354</v>
      </c>
      <c r="G370" s="59" t="s">
        <v>4104</v>
      </c>
      <c r="H370" s="59" t="s">
        <v>4105</v>
      </c>
      <c r="I370" s="60">
        <v>42251</v>
      </c>
      <c r="J370" s="61">
        <f t="shared" ca="1" si="20"/>
        <v>10</v>
      </c>
      <c r="K370" s="62">
        <f t="shared" si="21"/>
        <v>52269</v>
      </c>
      <c r="L370" s="59" t="s">
        <v>735</v>
      </c>
      <c r="M370" s="59" t="s">
        <v>2735</v>
      </c>
      <c r="N370" s="59" t="s">
        <v>737</v>
      </c>
      <c r="O370" s="63">
        <v>10</v>
      </c>
      <c r="P370" s="61">
        <f>IFERROR(SUMPRODUCT((LK_GradeDerivation!$A$4:$A$135=N370)*(IF(O370="",0,O370)&gt;=LK_GradeDerivation!$B$4:$B$135)*(IF(O370="",0,O370)&lt;=LK_GradeDerivation!$C$4:$C$135)*LK_GradeDerivation!$D$4:$D$135),1)</f>
        <v>4</v>
      </c>
      <c r="Q370" s="61">
        <f>IFERROR(SUMPRODUCT((LK_GradeDerivation!$A$4:$A$135=N370)*(IF(O370="",0,O370)&gt;=LK_GradeDerivation!$B$4:$B$135)*(IF(O370="",0,O370)&lt;=LK_GradeDerivation!$C$4:$C$135)*LK_GradeDerivation!$E$4:$E$135),1)</f>
        <v>6</v>
      </c>
      <c r="R370" s="59" t="s">
        <v>4106</v>
      </c>
      <c r="S370" s="59" t="s">
        <v>4107</v>
      </c>
      <c r="T370" s="59" t="s">
        <v>782</v>
      </c>
      <c r="U370" s="59" t="s">
        <v>965</v>
      </c>
      <c r="V370" s="59" t="s">
        <v>966</v>
      </c>
      <c r="W370" s="59" t="s">
        <v>285</v>
      </c>
      <c r="X370" s="59" t="s">
        <v>443</v>
      </c>
      <c r="Y370" s="59" t="s">
        <v>451</v>
      </c>
      <c r="Z370" s="64" t="str">
        <f>IFERROR(VLOOKUP(T370,LK_OrgMaster!$B$4:$H$89,5,FALSE()),"Administration")</f>
        <v>Medical</v>
      </c>
      <c r="AA370" s="65" t="str">
        <f>IFERROR(VLOOKUP(X370,LK_LocationMaster!$D$4:$G$157,4,FALSE()),"No")</f>
        <v>No</v>
      </c>
      <c r="AB370" s="65" t="str">
        <f t="shared" si="22"/>
        <v>No</v>
      </c>
      <c r="AC370" s="65" t="str">
        <f>IFERROR(VLOOKUP(X370,LK_LocationMaster!$D$4:$H$157,5,FALSE()),"No")</f>
        <v>No</v>
      </c>
      <c r="AD370" s="59" t="s">
        <v>4108</v>
      </c>
      <c r="AE370" s="59" t="s">
        <v>930</v>
      </c>
      <c r="AF370" s="59" t="s">
        <v>969</v>
      </c>
      <c r="AG370" s="59" t="s">
        <v>312</v>
      </c>
      <c r="AH370" s="59" t="s">
        <v>4109</v>
      </c>
      <c r="AI370" s="59" t="s">
        <v>285</v>
      </c>
      <c r="AJ370" s="59" t="s">
        <v>747</v>
      </c>
      <c r="AK370" s="59" t="s">
        <v>748</v>
      </c>
      <c r="AL370" s="64" t="str">
        <f>IFERROR(INDEX(LK_BankMaster!$D$4:$D$23,MATCH(AJ370&amp;"|"&amp;AK370,LK_BankMaster!$H$4:$H$23,0)),"")</f>
        <v/>
      </c>
      <c r="AM370" s="59" t="s">
        <v>4110</v>
      </c>
      <c r="AN370" s="64" t="str">
        <f>IFERROR(VLOOKUP(AJ370,LK_BankMaster!$A$4:$E$23,5,FALSE()),"")</f>
        <v/>
      </c>
      <c r="AO370" s="59" t="s">
        <v>291</v>
      </c>
      <c r="AP370" s="66">
        <v>0</v>
      </c>
      <c r="AQ370" s="64" t="str">
        <f t="shared" si="23"/>
        <v>Position Allowance - General Staff</v>
      </c>
      <c r="AR370" s="65" t="str">
        <f>IFERROR(VLOOKUP(T370,LK_OrgMaster!$B$4:$G$89,6,FALSE()),"No")</f>
        <v>No</v>
      </c>
      <c r="AS370" s="64" t="str">
        <f>IFERROR(VLOOKUP(T370,LK_OrgMaster!$B$4:$H$89,7,FALSE()),"None")</f>
        <v>Medical</v>
      </c>
      <c r="AT370" s="67">
        <v>42251</v>
      </c>
      <c r="AU370" s="67"/>
      <c r="AV370" s="67">
        <v>42251</v>
      </c>
      <c r="AW370" s="67">
        <v>46023</v>
      </c>
      <c r="AX370" s="68" t="s">
        <v>750</v>
      </c>
      <c r="AY370" s="69" t="s">
        <v>6260</v>
      </c>
    </row>
    <row r="371" spans="1:51" ht="15" customHeight="1" x14ac:dyDescent="0.3">
      <c r="A371" s="59" t="s">
        <v>4111</v>
      </c>
      <c r="B371" s="59" t="s">
        <v>752</v>
      </c>
      <c r="C371" s="59" t="s">
        <v>1002</v>
      </c>
      <c r="D371" s="59" t="s">
        <v>1017</v>
      </c>
      <c r="E371" s="59" t="s">
        <v>732</v>
      </c>
      <c r="F371" s="60">
        <v>27965</v>
      </c>
      <c r="G371" s="59" t="s">
        <v>3809</v>
      </c>
      <c r="H371" s="59" t="s">
        <v>4112</v>
      </c>
      <c r="I371" s="60">
        <v>34070</v>
      </c>
      <c r="J371" s="61">
        <f t="shared" ca="1" si="20"/>
        <v>32</v>
      </c>
      <c r="K371" s="62">
        <f t="shared" si="21"/>
        <v>49880</v>
      </c>
      <c r="L371" s="59" t="s">
        <v>735</v>
      </c>
      <c r="M371" s="59" t="s">
        <v>1115</v>
      </c>
      <c r="N371" s="59" t="s">
        <v>758</v>
      </c>
      <c r="O371" s="63">
        <v>0</v>
      </c>
      <c r="P371" s="61">
        <f>IFERROR(SUMPRODUCT((LK_GradeDerivation!$A$4:$A$135=N371)*(IF(O371="",0,O371)&gt;=LK_GradeDerivation!$B$4:$B$135)*(IF(O371="",0,O371)&lt;=LK_GradeDerivation!$C$4:$C$135)*LK_GradeDerivation!$D$4:$D$135),1)</f>
        <v>5</v>
      </c>
      <c r="Q371" s="61">
        <f>IFERROR(SUMPRODUCT((LK_GradeDerivation!$A$4:$A$135=N371)*(IF(O371="",0,O371)&gt;=LK_GradeDerivation!$B$4:$B$135)*(IF(O371="",0,O371)&lt;=LK_GradeDerivation!$C$4:$C$135)*LK_GradeDerivation!$E$4:$E$135),1)</f>
        <v>1</v>
      </c>
      <c r="R371" s="59" t="s">
        <v>4113</v>
      </c>
      <c r="S371" s="59" t="s">
        <v>4114</v>
      </c>
      <c r="T371" s="59" t="s">
        <v>1118</v>
      </c>
      <c r="U371" s="59" t="s">
        <v>1894</v>
      </c>
      <c r="V371" s="59" t="s">
        <v>2832</v>
      </c>
      <c r="W371" s="59" t="s">
        <v>598</v>
      </c>
      <c r="X371" s="59" t="s">
        <v>618</v>
      </c>
      <c r="Y371" s="59" t="s">
        <v>1180</v>
      </c>
      <c r="Z371" s="64" t="str">
        <f>IFERROR(VLOOKUP(T371,LK_OrgMaster!$B$4:$H$89,5,FALSE()),"Administration")</f>
        <v>Diplomatic</v>
      </c>
      <c r="AA371" s="65" t="str">
        <f>IFERROR(VLOOKUP(X371,LK_LocationMaster!$D$4:$G$157,4,FALSE()),"No")</f>
        <v>No</v>
      </c>
      <c r="AB371" s="65" t="str">
        <f t="shared" si="22"/>
        <v>Yes</v>
      </c>
      <c r="AC371" s="65" t="str">
        <f>IFERROR(VLOOKUP(X371,LK_LocationMaster!$D$4:$H$157,5,FALSE()),"No")</f>
        <v>No</v>
      </c>
      <c r="AD371" s="59" t="s">
        <v>4115</v>
      </c>
      <c r="AE371" s="59" t="s">
        <v>800</v>
      </c>
      <c r="AF371" s="59" t="s">
        <v>801</v>
      </c>
      <c r="AG371" s="59" t="s">
        <v>329</v>
      </c>
      <c r="AH371" s="59" t="s">
        <v>4116</v>
      </c>
      <c r="AI371" s="59" t="s">
        <v>285</v>
      </c>
      <c r="AJ371" s="59" t="s">
        <v>788</v>
      </c>
      <c r="AK371" s="59" t="s">
        <v>1460</v>
      </c>
      <c r="AL371" s="64" t="str">
        <f>IFERROR(INDEX(LK_BankMaster!$D$4:$D$23,MATCH(AJ371&amp;"|"&amp;AK371,LK_BankMaster!$H$4:$H$23,0)),"")</f>
        <v/>
      </c>
      <c r="AM371" s="59" t="s">
        <v>4117</v>
      </c>
      <c r="AN371" s="64" t="str">
        <f>IFERROR(VLOOKUP(AJ371,LK_BankMaster!$A$4:$E$23,5,FALSE()),"")</f>
        <v/>
      </c>
      <c r="AO371" s="59" t="s">
        <v>291</v>
      </c>
      <c r="AP371" s="66">
        <v>0</v>
      </c>
      <c r="AQ371" s="64" t="str">
        <f t="shared" si="23"/>
        <v>Position Allowance - General Staff</v>
      </c>
      <c r="AR371" s="65" t="str">
        <f>IFERROR(VLOOKUP(T371,LK_OrgMaster!$B$4:$G$89,6,FALSE()),"No")</f>
        <v>No</v>
      </c>
      <c r="AS371" s="64" t="str">
        <f>IFERROR(VLOOKUP(T371,LK_OrgMaster!$B$4:$H$89,7,FALSE()),"None")</f>
        <v>None</v>
      </c>
      <c r="AT371" s="70">
        <v>34070</v>
      </c>
      <c r="AU371" s="70"/>
      <c r="AV371" s="70">
        <v>34070</v>
      </c>
      <c r="AW371" s="70">
        <v>46023</v>
      </c>
      <c r="AX371" s="71" t="s">
        <v>750</v>
      </c>
      <c r="AY371" s="72" t="s">
        <v>6260</v>
      </c>
    </row>
    <row r="372" spans="1:51" ht="15" customHeight="1" x14ac:dyDescent="0.3">
      <c r="A372" s="59" t="s">
        <v>4118</v>
      </c>
      <c r="B372" s="59" t="s">
        <v>851</v>
      </c>
      <c r="C372" s="59" t="s">
        <v>1534</v>
      </c>
      <c r="D372" s="59" t="s">
        <v>907</v>
      </c>
      <c r="E372" s="59" t="s">
        <v>775</v>
      </c>
      <c r="F372" s="60">
        <v>32403</v>
      </c>
      <c r="G372" s="59" t="s">
        <v>4119</v>
      </c>
      <c r="H372" s="59" t="s">
        <v>4120</v>
      </c>
      <c r="I372" s="60">
        <v>42710</v>
      </c>
      <c r="J372" s="61">
        <f t="shared" ca="1" si="20"/>
        <v>9</v>
      </c>
      <c r="K372" s="62">
        <f t="shared" si="21"/>
        <v>54318</v>
      </c>
      <c r="L372" s="59" t="s">
        <v>735</v>
      </c>
      <c r="M372" s="59" t="s">
        <v>1045</v>
      </c>
      <c r="N372" s="59" t="s">
        <v>737</v>
      </c>
      <c r="O372" s="63">
        <v>6</v>
      </c>
      <c r="P372" s="61">
        <f>IFERROR(SUMPRODUCT((LK_GradeDerivation!$A$4:$A$135=N372)*(IF(O372="",0,O372)&gt;=LK_GradeDerivation!$B$4:$B$135)*(IF(O372="",0,O372)&lt;=LK_GradeDerivation!$C$4:$C$135)*LK_GradeDerivation!$D$4:$D$135),1)</f>
        <v>4</v>
      </c>
      <c r="Q372" s="61">
        <f>IFERROR(SUMPRODUCT((LK_GradeDerivation!$A$4:$A$135=N372)*(IF(O372="",0,O372)&gt;=LK_GradeDerivation!$B$4:$B$135)*(IF(O372="",0,O372)&lt;=LK_GradeDerivation!$C$4:$C$135)*LK_GradeDerivation!$E$4:$E$135),1)</f>
        <v>4</v>
      </c>
      <c r="R372" s="59" t="s">
        <v>4121</v>
      </c>
      <c r="S372" s="59" t="s">
        <v>4122</v>
      </c>
      <c r="T372" s="59" t="s">
        <v>844</v>
      </c>
      <c r="U372" s="59" t="s">
        <v>1345</v>
      </c>
      <c r="V372" s="59" t="s">
        <v>4123</v>
      </c>
      <c r="W372" s="59" t="s">
        <v>285</v>
      </c>
      <c r="X372" s="59" t="s">
        <v>575</v>
      </c>
      <c r="Y372" s="59" t="s">
        <v>581</v>
      </c>
      <c r="Z372" s="64" t="str">
        <f>IFERROR(VLOOKUP(T372,LK_OrgMaster!$B$4:$H$89,5,FALSE()),"Administration")</f>
        <v>Administration</v>
      </c>
      <c r="AA372" s="65" t="str">
        <f>IFERROR(VLOOKUP(X372,LK_LocationMaster!$D$4:$G$157,4,FALSE()),"No")</f>
        <v>Yes</v>
      </c>
      <c r="AB372" s="65" t="str">
        <f t="shared" si="22"/>
        <v>No</v>
      </c>
      <c r="AC372" s="65" t="str">
        <f>IFERROR(VLOOKUP(X372,LK_LocationMaster!$D$4:$H$157,5,FALSE()),"No")</f>
        <v>Yes</v>
      </c>
      <c r="AD372" s="59" t="s">
        <v>4124</v>
      </c>
      <c r="AE372" s="59" t="s">
        <v>1401</v>
      </c>
      <c r="AF372" s="59" t="s">
        <v>969</v>
      </c>
      <c r="AG372" s="59" t="s">
        <v>391</v>
      </c>
      <c r="AH372" s="59" t="s">
        <v>4125</v>
      </c>
      <c r="AI372" s="59" t="s">
        <v>285</v>
      </c>
      <c r="AJ372" s="59" t="s">
        <v>818</v>
      </c>
      <c r="AK372" s="59" t="s">
        <v>819</v>
      </c>
      <c r="AL372" s="64" t="str">
        <f>IFERROR(INDEX(LK_BankMaster!$D$4:$D$23,MATCH(AJ372&amp;"|"&amp;AK372,LK_BankMaster!$H$4:$H$23,0)),"")</f>
        <v/>
      </c>
      <c r="AM372" s="59" t="s">
        <v>4126</v>
      </c>
      <c r="AN372" s="64" t="str">
        <f>IFERROR(VLOOKUP(AJ372,LK_BankMaster!$A$4:$E$23,5,FALSE()),"")</f>
        <v/>
      </c>
      <c r="AO372" s="59" t="s">
        <v>314</v>
      </c>
      <c r="AP372" s="66">
        <v>3</v>
      </c>
      <c r="AQ372" s="64" t="str">
        <f t="shared" si="23"/>
        <v>Position Allowance - General Staff</v>
      </c>
      <c r="AR372" s="65" t="str">
        <f>IFERROR(VLOOKUP(T372,LK_OrgMaster!$B$4:$G$89,6,FALSE()),"No")</f>
        <v>No</v>
      </c>
      <c r="AS372" s="64" t="str">
        <f>IFERROR(VLOOKUP(T372,LK_OrgMaster!$B$4:$H$89,7,FALSE()),"None")</f>
        <v>None</v>
      </c>
      <c r="AT372" s="67">
        <v>42710</v>
      </c>
      <c r="AU372" s="67"/>
      <c r="AV372" s="67">
        <v>42710</v>
      </c>
      <c r="AW372" s="67">
        <v>46023</v>
      </c>
      <c r="AX372" s="68" t="s">
        <v>750</v>
      </c>
      <c r="AY372" s="69" t="s">
        <v>6260</v>
      </c>
    </row>
    <row r="373" spans="1:51" ht="15" customHeight="1" x14ac:dyDescent="0.3">
      <c r="A373" s="59" t="s">
        <v>4127</v>
      </c>
      <c r="B373" s="59" t="s">
        <v>772</v>
      </c>
      <c r="C373" s="59" t="s">
        <v>1511</v>
      </c>
      <c r="D373" s="59" t="s">
        <v>587</v>
      </c>
      <c r="E373" s="59" t="s">
        <v>775</v>
      </c>
      <c r="F373" s="60">
        <v>25637</v>
      </c>
      <c r="G373" s="59" t="s">
        <v>4128</v>
      </c>
      <c r="H373" s="59" t="s">
        <v>4129</v>
      </c>
      <c r="I373" s="60">
        <v>43688</v>
      </c>
      <c r="J373" s="61">
        <f t="shared" ca="1" si="20"/>
        <v>6</v>
      </c>
      <c r="K373" s="62">
        <f t="shared" si="21"/>
        <v>47552</v>
      </c>
      <c r="L373" s="59" t="s">
        <v>735</v>
      </c>
      <c r="M373" s="59" t="s">
        <v>1443</v>
      </c>
      <c r="N373" s="59" t="s">
        <v>737</v>
      </c>
      <c r="O373" s="63">
        <v>25</v>
      </c>
      <c r="P373" s="61">
        <f>IFERROR(SUMPRODUCT((LK_GradeDerivation!$A$4:$A$135=N373)*(IF(O373="",0,O373)&gt;=LK_GradeDerivation!$B$4:$B$135)*(IF(O373="",0,O373)&lt;=LK_GradeDerivation!$C$4:$C$135)*LK_GradeDerivation!$D$4:$D$135),1)</f>
        <v>4</v>
      </c>
      <c r="Q373" s="61">
        <f>IFERROR(SUMPRODUCT((LK_GradeDerivation!$A$4:$A$135=N373)*(IF(O373="",0,O373)&gt;=LK_GradeDerivation!$B$4:$B$135)*(IF(O373="",0,O373)&lt;=LK_GradeDerivation!$C$4:$C$135)*LK_GradeDerivation!$E$4:$E$135),1)</f>
        <v>13</v>
      </c>
      <c r="R373" s="59" t="s">
        <v>4130</v>
      </c>
      <c r="S373" s="59" t="s">
        <v>4131</v>
      </c>
      <c r="T373" s="59" t="s">
        <v>859</v>
      </c>
      <c r="U373" s="59" t="s">
        <v>2476</v>
      </c>
      <c r="V373" s="59" t="s">
        <v>763</v>
      </c>
      <c r="W373" s="59" t="s">
        <v>285</v>
      </c>
      <c r="X373" s="59" t="s">
        <v>429</v>
      </c>
      <c r="Y373" s="59" t="s">
        <v>439</v>
      </c>
      <c r="Z373" s="64" t="str">
        <f>IFERROR(VLOOKUP(T373,LK_OrgMaster!$B$4:$H$89,5,FALSE()),"Administration")</f>
        <v>Technical</v>
      </c>
      <c r="AA373" s="65" t="str">
        <f>IFERROR(VLOOKUP(X373,LK_LocationMaster!$D$4:$G$157,4,FALSE()),"No")</f>
        <v>Yes</v>
      </c>
      <c r="AB373" s="65" t="str">
        <f t="shared" si="22"/>
        <v>No</v>
      </c>
      <c r="AC373" s="65" t="str">
        <f>IFERROR(VLOOKUP(X373,LK_LocationMaster!$D$4:$H$157,5,FALSE()),"No")</f>
        <v>Yes</v>
      </c>
      <c r="AD373" s="59" t="s">
        <v>4132</v>
      </c>
      <c r="AE373" s="59" t="s">
        <v>765</v>
      </c>
      <c r="AF373" s="59" t="s">
        <v>847</v>
      </c>
      <c r="AG373" s="59" t="s">
        <v>356</v>
      </c>
      <c r="AH373" s="59" t="s">
        <v>4133</v>
      </c>
      <c r="AI373" s="59" t="s">
        <v>285</v>
      </c>
      <c r="AJ373" s="59" t="s">
        <v>768</v>
      </c>
      <c r="AK373" s="59" t="s">
        <v>769</v>
      </c>
      <c r="AL373" s="64" t="str">
        <f>IFERROR(INDEX(LK_BankMaster!$D$4:$D$23,MATCH(AJ373&amp;"|"&amp;AK373,LK_BankMaster!$H$4:$H$23,0)),"")</f>
        <v/>
      </c>
      <c r="AM373" s="59" t="s">
        <v>4134</v>
      </c>
      <c r="AN373" s="64" t="str">
        <f>IFERROR(VLOOKUP(AJ373,LK_BankMaster!$A$4:$E$23,5,FALSE()),"")</f>
        <v/>
      </c>
      <c r="AO373" s="59" t="s">
        <v>314</v>
      </c>
      <c r="AP373" s="66">
        <v>3</v>
      </c>
      <c r="AQ373" s="64" t="str">
        <f t="shared" si="23"/>
        <v>Position Allowance - General Staff</v>
      </c>
      <c r="AR373" s="65" t="str">
        <f>IFERROR(VLOOKUP(T373,LK_OrgMaster!$B$4:$G$89,6,FALSE()),"No")</f>
        <v>No</v>
      </c>
      <c r="AS373" s="64" t="str">
        <f>IFERROR(VLOOKUP(T373,LK_OrgMaster!$B$4:$H$89,7,FALSE()),"None")</f>
        <v>None</v>
      </c>
      <c r="AT373" s="70">
        <v>43688</v>
      </c>
      <c r="AU373" s="70"/>
      <c r="AV373" s="70">
        <v>43688</v>
      </c>
      <c r="AW373" s="70">
        <v>46023</v>
      </c>
      <c r="AX373" s="71" t="s">
        <v>750</v>
      </c>
      <c r="AY373" s="72" t="s">
        <v>6260</v>
      </c>
    </row>
    <row r="374" spans="1:51" ht="15" customHeight="1" x14ac:dyDescent="0.3">
      <c r="A374" s="59" t="s">
        <v>4135</v>
      </c>
      <c r="B374" s="59" t="s">
        <v>772</v>
      </c>
      <c r="C374" s="59" t="s">
        <v>1634</v>
      </c>
      <c r="D374" s="59" t="s">
        <v>2482</v>
      </c>
      <c r="E374" s="59" t="s">
        <v>732</v>
      </c>
      <c r="F374" s="60">
        <v>28644</v>
      </c>
      <c r="G374" s="59" t="s">
        <v>4136</v>
      </c>
      <c r="H374" s="59" t="s">
        <v>4137</v>
      </c>
      <c r="I374" s="60">
        <v>34253</v>
      </c>
      <c r="J374" s="61">
        <f t="shared" ca="1" si="20"/>
        <v>32</v>
      </c>
      <c r="K374" s="62">
        <f t="shared" si="21"/>
        <v>50559</v>
      </c>
      <c r="L374" s="59" t="s">
        <v>735</v>
      </c>
      <c r="M374" s="59" t="s">
        <v>2117</v>
      </c>
      <c r="N374" s="59" t="s">
        <v>1081</v>
      </c>
      <c r="O374" s="63">
        <v>0</v>
      </c>
      <c r="P374" s="61">
        <f>IFERROR(SUMPRODUCT((LK_GradeDerivation!$A$4:$A$135=N374)*(IF(O374="",0,O374)&gt;=LK_GradeDerivation!$B$4:$B$135)*(IF(O374="",0,O374)&lt;=LK_GradeDerivation!$C$4:$C$135)*LK_GradeDerivation!$D$4:$D$135),1)</f>
        <v>3</v>
      </c>
      <c r="Q374" s="61">
        <f>IFERROR(SUMPRODUCT((LK_GradeDerivation!$A$4:$A$135=N374)*(IF(O374="",0,O374)&gt;=LK_GradeDerivation!$B$4:$B$135)*(IF(O374="",0,O374)&lt;=LK_GradeDerivation!$C$4:$C$135)*LK_GradeDerivation!$E$4:$E$135),1)</f>
        <v>1</v>
      </c>
      <c r="R374" s="59" t="s">
        <v>4138</v>
      </c>
      <c r="S374" s="59" t="s">
        <v>4139</v>
      </c>
      <c r="T374" s="59" t="s">
        <v>1023</v>
      </c>
      <c r="U374" s="59" t="s">
        <v>2589</v>
      </c>
      <c r="V374" s="59" t="s">
        <v>2772</v>
      </c>
      <c r="W374" s="59" t="s">
        <v>285</v>
      </c>
      <c r="X374" s="59" t="s">
        <v>575</v>
      </c>
      <c r="Y374" s="59" t="s">
        <v>583</v>
      </c>
      <c r="Z374" s="64" t="str">
        <f>IFERROR(VLOOKUP(T374,LK_OrgMaster!$B$4:$H$89,5,FALSE()),"Administration")</f>
        <v>Technical</v>
      </c>
      <c r="AA374" s="65" t="str">
        <f>IFERROR(VLOOKUP(X374,LK_LocationMaster!$D$4:$G$157,4,FALSE()),"No")</f>
        <v>Yes</v>
      </c>
      <c r="AB374" s="65" t="str">
        <f t="shared" si="22"/>
        <v>No</v>
      </c>
      <c r="AC374" s="65" t="str">
        <f>IFERROR(VLOOKUP(X374,LK_LocationMaster!$D$4:$H$157,5,FALSE()),"No")</f>
        <v>Yes</v>
      </c>
      <c r="AD374" s="59" t="s">
        <v>4140</v>
      </c>
      <c r="AE374" s="59" t="s">
        <v>930</v>
      </c>
      <c r="AF374" s="59" t="s">
        <v>786</v>
      </c>
      <c r="AG374" s="59" t="s">
        <v>340</v>
      </c>
      <c r="AH374" s="59" t="s">
        <v>4141</v>
      </c>
      <c r="AI374" s="59" t="s">
        <v>285</v>
      </c>
      <c r="AJ374" s="59" t="s">
        <v>768</v>
      </c>
      <c r="AK374" s="59" t="s">
        <v>1589</v>
      </c>
      <c r="AL374" s="64" t="str">
        <f>IFERROR(INDEX(LK_BankMaster!$D$4:$D$23,MATCH(AJ374&amp;"|"&amp;AK374,LK_BankMaster!$H$4:$H$23,0)),"")</f>
        <v/>
      </c>
      <c r="AM374" s="59" t="s">
        <v>4142</v>
      </c>
      <c r="AN374" s="64" t="str">
        <f>IFERROR(VLOOKUP(AJ374,LK_BankMaster!$A$4:$E$23,5,FALSE()),"")</f>
        <v/>
      </c>
      <c r="AO374" s="59" t="s">
        <v>291</v>
      </c>
      <c r="AP374" s="66">
        <v>0</v>
      </c>
      <c r="AQ374" s="64" t="str">
        <f t="shared" si="23"/>
        <v>Position Allowance - General Staff</v>
      </c>
      <c r="AR374" s="65" t="str">
        <f>IFERROR(VLOOKUP(T374,LK_OrgMaster!$B$4:$G$89,6,FALSE()),"No")</f>
        <v>No</v>
      </c>
      <c r="AS374" s="64" t="str">
        <f>IFERROR(VLOOKUP(T374,LK_OrgMaster!$B$4:$H$89,7,FALSE()),"None")</f>
        <v>None</v>
      </c>
      <c r="AT374" s="67">
        <v>34253</v>
      </c>
      <c r="AU374" s="67"/>
      <c r="AV374" s="67">
        <v>34253</v>
      </c>
      <c r="AW374" s="67">
        <v>46023</v>
      </c>
      <c r="AX374" s="68" t="s">
        <v>750</v>
      </c>
      <c r="AY374" s="69" t="s">
        <v>6260</v>
      </c>
    </row>
    <row r="375" spans="1:51" ht="15" customHeight="1" x14ac:dyDescent="0.3">
      <c r="A375" s="59" t="s">
        <v>4143</v>
      </c>
      <c r="B375" s="59" t="s">
        <v>851</v>
      </c>
      <c r="C375" s="59" t="s">
        <v>1758</v>
      </c>
      <c r="D375" s="59" t="s">
        <v>1331</v>
      </c>
      <c r="E375" s="59" t="s">
        <v>775</v>
      </c>
      <c r="F375" s="60">
        <v>26532</v>
      </c>
      <c r="G375" s="59" t="s">
        <v>4144</v>
      </c>
      <c r="H375" s="59" t="s">
        <v>4145</v>
      </c>
      <c r="I375" s="60">
        <v>43997</v>
      </c>
      <c r="J375" s="61">
        <f t="shared" ca="1" si="20"/>
        <v>5</v>
      </c>
      <c r="K375" s="62">
        <f t="shared" si="21"/>
        <v>48447</v>
      </c>
      <c r="L375" s="59" t="s">
        <v>735</v>
      </c>
      <c r="M375" s="59" t="s">
        <v>1616</v>
      </c>
      <c r="N375" s="59" t="s">
        <v>758</v>
      </c>
      <c r="O375" s="63">
        <v>22</v>
      </c>
      <c r="P375" s="61">
        <f>IFERROR(SUMPRODUCT((LK_GradeDerivation!$A$4:$A$135=N375)*(IF(O375="",0,O375)&gt;=LK_GradeDerivation!$B$4:$B$135)*(IF(O375="",0,O375)&lt;=LK_GradeDerivation!$C$4:$C$135)*LK_GradeDerivation!$D$4:$D$135),1)</f>
        <v>5</v>
      </c>
      <c r="Q375" s="61">
        <f>IFERROR(SUMPRODUCT((LK_GradeDerivation!$A$4:$A$135=N375)*(IF(O375="",0,O375)&gt;=LK_GradeDerivation!$B$4:$B$135)*(IF(O375="",0,O375)&lt;=LK_GradeDerivation!$C$4:$C$135)*LK_GradeDerivation!$E$4:$E$135),1)</f>
        <v>12</v>
      </c>
      <c r="R375" s="59" t="s">
        <v>4146</v>
      </c>
      <c r="S375" s="59" t="s">
        <v>4147</v>
      </c>
      <c r="T375" s="59" t="s">
        <v>882</v>
      </c>
      <c r="U375" s="59" t="s">
        <v>1658</v>
      </c>
      <c r="V375" s="59" t="s">
        <v>763</v>
      </c>
      <c r="W375" s="59" t="s">
        <v>285</v>
      </c>
      <c r="X375" s="59" t="s">
        <v>544</v>
      </c>
      <c r="Y375" s="59" t="s">
        <v>546</v>
      </c>
      <c r="Z375" s="64" t="str">
        <f>IFERROR(VLOOKUP(T375,LK_OrgMaster!$B$4:$H$89,5,FALSE()),"Administration")</f>
        <v>Legal</v>
      </c>
      <c r="AA375" s="65" t="str">
        <f>IFERROR(VLOOKUP(X375,LK_LocationMaster!$D$4:$G$157,4,FALSE()),"No")</f>
        <v>Yes</v>
      </c>
      <c r="AB375" s="65" t="str">
        <f t="shared" si="22"/>
        <v>No</v>
      </c>
      <c r="AC375" s="65" t="str">
        <f>IFERROR(VLOOKUP(X375,LK_LocationMaster!$D$4:$H$157,5,FALSE()),"No")</f>
        <v>Yes</v>
      </c>
      <c r="AD375" s="59" t="s">
        <v>4148</v>
      </c>
      <c r="AE375" s="59" t="s">
        <v>886</v>
      </c>
      <c r="AF375" s="59" t="s">
        <v>901</v>
      </c>
      <c r="AG375" s="59" t="s">
        <v>391</v>
      </c>
      <c r="AH375" s="59" t="s">
        <v>4149</v>
      </c>
      <c r="AI375" s="59" t="s">
        <v>285</v>
      </c>
      <c r="AJ375" s="59" t="s">
        <v>788</v>
      </c>
      <c r="AK375" s="59" t="s">
        <v>1370</v>
      </c>
      <c r="AL375" s="64" t="str">
        <f>IFERROR(INDEX(LK_BankMaster!$D$4:$D$23,MATCH(AJ375&amp;"|"&amp;AK375,LK_BankMaster!$H$4:$H$23,0)),"")</f>
        <v/>
      </c>
      <c r="AM375" s="59" t="s">
        <v>4150</v>
      </c>
      <c r="AN375" s="64" t="str">
        <f>IFERROR(VLOOKUP(AJ375,LK_BankMaster!$A$4:$E$23,5,FALSE()),"")</f>
        <v/>
      </c>
      <c r="AO375" s="59" t="s">
        <v>314</v>
      </c>
      <c r="AP375" s="66">
        <v>3</v>
      </c>
      <c r="AQ375" s="64" t="str">
        <f t="shared" si="23"/>
        <v>Position Allowance - General Staff</v>
      </c>
      <c r="AR375" s="65" t="str">
        <f>IFERROR(VLOOKUP(T375,LK_OrgMaster!$B$4:$G$89,6,FALSE()),"No")</f>
        <v>No</v>
      </c>
      <c r="AS375" s="64" t="str">
        <f>IFERROR(VLOOKUP(T375,LK_OrgMaster!$B$4:$H$89,7,FALSE()),"None")</f>
        <v>None</v>
      </c>
      <c r="AT375" s="70">
        <v>43997</v>
      </c>
      <c r="AU375" s="70"/>
      <c r="AV375" s="70">
        <v>43997</v>
      </c>
      <c r="AW375" s="70">
        <v>46023</v>
      </c>
      <c r="AX375" s="71" t="s">
        <v>750</v>
      </c>
      <c r="AY375" s="72" t="s">
        <v>6260</v>
      </c>
    </row>
    <row r="376" spans="1:51" ht="15" customHeight="1" x14ac:dyDescent="0.3">
      <c r="A376" s="59" t="s">
        <v>4151</v>
      </c>
      <c r="B376" s="59" t="s">
        <v>851</v>
      </c>
      <c r="C376" s="59" t="s">
        <v>1840</v>
      </c>
      <c r="D376" s="59" t="s">
        <v>907</v>
      </c>
      <c r="E376" s="59" t="s">
        <v>775</v>
      </c>
      <c r="F376" s="60">
        <v>26103</v>
      </c>
      <c r="G376" s="59" t="s">
        <v>4152</v>
      </c>
      <c r="H376" s="59" t="s">
        <v>4153</v>
      </c>
      <c r="I376" s="60">
        <v>42681</v>
      </c>
      <c r="J376" s="61">
        <f t="shared" ca="1" si="20"/>
        <v>9</v>
      </c>
      <c r="K376" s="62">
        <f t="shared" si="21"/>
        <v>48018</v>
      </c>
      <c r="L376" s="59" t="s">
        <v>735</v>
      </c>
      <c r="M376" s="59" t="s">
        <v>1483</v>
      </c>
      <c r="N376" s="59" t="s">
        <v>779</v>
      </c>
      <c r="O376" s="63">
        <v>25</v>
      </c>
      <c r="P376" s="61">
        <f>IFERROR(SUMPRODUCT((LK_GradeDerivation!$A$4:$A$135=N376)*(IF(O376="",0,O376)&gt;=LK_GradeDerivation!$B$4:$B$135)*(IF(O376="",0,O376)&lt;=LK_GradeDerivation!$C$4:$C$135)*LK_GradeDerivation!$D$4:$D$135),1)</f>
        <v>2</v>
      </c>
      <c r="Q376" s="61">
        <f>IFERROR(SUMPRODUCT((LK_GradeDerivation!$A$4:$A$135=N376)*(IF(O376="",0,O376)&gt;=LK_GradeDerivation!$B$4:$B$135)*(IF(O376="",0,O376)&lt;=LK_GradeDerivation!$C$4:$C$135)*LK_GradeDerivation!$E$4:$E$135),1)</f>
        <v>13</v>
      </c>
      <c r="R376" s="59" t="s">
        <v>4154</v>
      </c>
      <c r="S376" s="59" t="s">
        <v>4155</v>
      </c>
      <c r="T376" s="59" t="s">
        <v>761</v>
      </c>
      <c r="U376" s="59" t="s">
        <v>1980</v>
      </c>
      <c r="V376" s="59" t="s">
        <v>763</v>
      </c>
      <c r="W376" s="59" t="s">
        <v>285</v>
      </c>
      <c r="X376" s="59" t="s">
        <v>288</v>
      </c>
      <c r="Y376" s="59" t="s">
        <v>290</v>
      </c>
      <c r="Z376" s="64" t="str">
        <f>IFERROR(VLOOKUP(T376,LK_OrgMaster!$B$4:$H$89,5,FALSE()),"Administration")</f>
        <v>Administration</v>
      </c>
      <c r="AA376" s="65" t="str">
        <f>IFERROR(VLOOKUP(X376,LK_LocationMaster!$D$4:$G$157,4,FALSE()),"No")</f>
        <v>No</v>
      </c>
      <c r="AB376" s="65" t="str">
        <f t="shared" si="22"/>
        <v>No</v>
      </c>
      <c r="AC376" s="65" t="str">
        <f>IFERROR(VLOOKUP(X376,LK_LocationMaster!$D$4:$H$157,5,FALSE()),"No")</f>
        <v>No</v>
      </c>
      <c r="AD376" s="59" t="s">
        <v>4156</v>
      </c>
      <c r="AE376" s="59" t="s">
        <v>765</v>
      </c>
      <c r="AF376" s="59" t="s">
        <v>984</v>
      </c>
      <c r="AG376" s="59" t="s">
        <v>408</v>
      </c>
      <c r="AH376" s="59" t="s">
        <v>4157</v>
      </c>
      <c r="AI376" s="59" t="s">
        <v>285</v>
      </c>
      <c r="AJ376" s="59" t="s">
        <v>747</v>
      </c>
      <c r="AK376" s="59" t="s">
        <v>748</v>
      </c>
      <c r="AL376" s="64" t="str">
        <f>IFERROR(INDEX(LK_BankMaster!$D$4:$D$23,MATCH(AJ376&amp;"|"&amp;AK376,LK_BankMaster!$H$4:$H$23,0)),"")</f>
        <v/>
      </c>
      <c r="AM376" s="59" t="s">
        <v>4158</v>
      </c>
      <c r="AN376" s="64" t="str">
        <f>IFERROR(VLOOKUP(AJ376,LK_BankMaster!$A$4:$E$23,5,FALSE()),"")</f>
        <v/>
      </c>
      <c r="AO376" s="59" t="s">
        <v>291</v>
      </c>
      <c r="AP376" s="66">
        <v>0</v>
      </c>
      <c r="AQ376" s="64" t="str">
        <f t="shared" si="23"/>
        <v>Position Allowance - General Staff</v>
      </c>
      <c r="AR376" s="65" t="str">
        <f>IFERROR(VLOOKUP(T376,LK_OrgMaster!$B$4:$G$89,6,FALSE()),"No")</f>
        <v>Yes</v>
      </c>
      <c r="AS376" s="64" t="str">
        <f>IFERROR(VLOOKUP(T376,LK_OrgMaster!$B$4:$H$89,7,FALSE()),"None")</f>
        <v>None</v>
      </c>
      <c r="AT376" s="67">
        <v>42681</v>
      </c>
      <c r="AU376" s="67"/>
      <c r="AV376" s="67">
        <v>42681</v>
      </c>
      <c r="AW376" s="67">
        <v>46023</v>
      </c>
      <c r="AX376" s="68" t="s">
        <v>750</v>
      </c>
      <c r="AY376" s="69" t="s">
        <v>6260</v>
      </c>
    </row>
    <row r="377" spans="1:51" ht="15" customHeight="1" x14ac:dyDescent="0.3">
      <c r="A377" s="59" t="s">
        <v>4159</v>
      </c>
      <c r="B377" s="59" t="s">
        <v>851</v>
      </c>
      <c r="C377" s="59" t="s">
        <v>837</v>
      </c>
      <c r="D377" s="59" t="s">
        <v>587</v>
      </c>
      <c r="E377" s="59" t="s">
        <v>775</v>
      </c>
      <c r="F377" s="60">
        <v>35263</v>
      </c>
      <c r="G377" s="59" t="s">
        <v>4160</v>
      </c>
      <c r="H377" s="59" t="s">
        <v>4161</v>
      </c>
      <c r="I377" s="60">
        <v>39066</v>
      </c>
      <c r="J377" s="61">
        <f t="shared" ca="1" si="20"/>
        <v>19</v>
      </c>
      <c r="K377" s="62">
        <f t="shared" si="21"/>
        <v>57178</v>
      </c>
      <c r="L377" s="59" t="s">
        <v>735</v>
      </c>
      <c r="M377" s="59" t="s">
        <v>910</v>
      </c>
      <c r="N377" s="59" t="s">
        <v>758</v>
      </c>
      <c r="O377" s="63">
        <v>0</v>
      </c>
      <c r="P377" s="61">
        <f>IFERROR(SUMPRODUCT((LK_GradeDerivation!$A$4:$A$135=N377)*(IF(O377="",0,O377)&gt;=LK_GradeDerivation!$B$4:$B$135)*(IF(O377="",0,O377)&lt;=LK_GradeDerivation!$C$4:$C$135)*LK_GradeDerivation!$D$4:$D$135),1)</f>
        <v>5</v>
      </c>
      <c r="Q377" s="61">
        <f>IFERROR(SUMPRODUCT((LK_GradeDerivation!$A$4:$A$135=N377)*(IF(O377="",0,O377)&gt;=LK_GradeDerivation!$B$4:$B$135)*(IF(O377="",0,O377)&lt;=LK_GradeDerivation!$C$4:$C$135)*LK_GradeDerivation!$E$4:$E$135),1)</f>
        <v>1</v>
      </c>
      <c r="R377" s="59" t="s">
        <v>4162</v>
      </c>
      <c r="S377" s="59" t="s">
        <v>4163</v>
      </c>
      <c r="T377" s="59" t="s">
        <v>761</v>
      </c>
      <c r="U377" s="59" t="s">
        <v>762</v>
      </c>
      <c r="V377" s="59" t="s">
        <v>4164</v>
      </c>
      <c r="W377" s="59" t="s">
        <v>285</v>
      </c>
      <c r="X377" s="59" t="s">
        <v>288</v>
      </c>
      <c r="Y377" s="59" t="s">
        <v>300</v>
      </c>
      <c r="Z377" s="64" t="str">
        <f>IFERROR(VLOOKUP(T377,LK_OrgMaster!$B$4:$H$89,5,FALSE()),"Administration")</f>
        <v>Administration</v>
      </c>
      <c r="AA377" s="65" t="str">
        <f>IFERROR(VLOOKUP(X377,LK_LocationMaster!$D$4:$G$157,4,FALSE()),"No")</f>
        <v>No</v>
      </c>
      <c r="AB377" s="65" t="str">
        <f t="shared" si="22"/>
        <v>No</v>
      </c>
      <c r="AC377" s="65" t="str">
        <f>IFERROR(VLOOKUP(X377,LK_LocationMaster!$D$4:$H$157,5,FALSE()),"No")</f>
        <v>No</v>
      </c>
      <c r="AD377" s="59" t="s">
        <v>2634</v>
      </c>
      <c r="AE377" s="59" t="s">
        <v>800</v>
      </c>
      <c r="AF377" s="59" t="s">
        <v>801</v>
      </c>
      <c r="AG377" s="59" t="s">
        <v>329</v>
      </c>
      <c r="AH377" s="59" t="s">
        <v>4165</v>
      </c>
      <c r="AI377" s="59" t="s">
        <v>285</v>
      </c>
      <c r="AJ377" s="59" t="s">
        <v>768</v>
      </c>
      <c r="AK377" s="59" t="s">
        <v>1122</v>
      </c>
      <c r="AL377" s="64" t="str">
        <f>IFERROR(INDEX(LK_BankMaster!$D$4:$D$23,MATCH(AJ377&amp;"|"&amp;AK377,LK_BankMaster!$H$4:$H$23,0)),"")</f>
        <v/>
      </c>
      <c r="AM377" s="59" t="s">
        <v>4166</v>
      </c>
      <c r="AN377" s="64" t="str">
        <f>IFERROR(VLOOKUP(AJ377,LK_BankMaster!$A$4:$E$23,5,FALSE()),"")</f>
        <v/>
      </c>
      <c r="AO377" s="59" t="s">
        <v>314</v>
      </c>
      <c r="AP377" s="66">
        <v>3</v>
      </c>
      <c r="AQ377" s="64" t="str">
        <f t="shared" si="23"/>
        <v>Position Allowance - Division Chief</v>
      </c>
      <c r="AR377" s="65" t="str">
        <f>IFERROR(VLOOKUP(T377,LK_OrgMaster!$B$4:$G$89,6,FALSE()),"No")</f>
        <v>Yes</v>
      </c>
      <c r="AS377" s="64" t="str">
        <f>IFERROR(VLOOKUP(T377,LK_OrgMaster!$B$4:$H$89,7,FALSE()),"None")</f>
        <v>None</v>
      </c>
      <c r="AT377" s="70">
        <v>39066</v>
      </c>
      <c r="AU377" s="70"/>
      <c r="AV377" s="70">
        <v>39066</v>
      </c>
      <c r="AW377" s="70">
        <v>46023</v>
      </c>
      <c r="AX377" s="71" t="s">
        <v>750</v>
      </c>
      <c r="AY377" s="72" t="s">
        <v>6260</v>
      </c>
    </row>
    <row r="378" spans="1:51" ht="15" customHeight="1" x14ac:dyDescent="0.3">
      <c r="A378" s="59" t="s">
        <v>4167</v>
      </c>
      <c r="B378" s="59" t="s">
        <v>729</v>
      </c>
      <c r="C378" s="59" t="s">
        <v>906</v>
      </c>
      <c r="D378" s="59" t="s">
        <v>1186</v>
      </c>
      <c r="E378" s="59" t="s">
        <v>732</v>
      </c>
      <c r="F378" s="60">
        <v>32801</v>
      </c>
      <c r="G378" s="59" t="s">
        <v>4168</v>
      </c>
      <c r="H378" s="59" t="s">
        <v>4169</v>
      </c>
      <c r="I378" s="60">
        <v>44552</v>
      </c>
      <c r="J378" s="61">
        <f t="shared" ca="1" si="20"/>
        <v>4</v>
      </c>
      <c r="K378" s="62">
        <f t="shared" si="21"/>
        <v>54716</v>
      </c>
      <c r="L378" s="59" t="s">
        <v>735</v>
      </c>
      <c r="M378" s="59" t="s">
        <v>1201</v>
      </c>
      <c r="N378" s="59" t="s">
        <v>737</v>
      </c>
      <c r="O378" s="63">
        <v>10</v>
      </c>
      <c r="P378" s="61">
        <f>IFERROR(SUMPRODUCT((LK_GradeDerivation!$A$4:$A$135=N378)*(IF(O378="",0,O378)&gt;=LK_GradeDerivation!$B$4:$B$135)*(IF(O378="",0,O378)&lt;=LK_GradeDerivation!$C$4:$C$135)*LK_GradeDerivation!$D$4:$D$135),1)</f>
        <v>4</v>
      </c>
      <c r="Q378" s="61">
        <f>IFERROR(SUMPRODUCT((LK_GradeDerivation!$A$4:$A$135=N378)*(IF(O378="",0,O378)&gt;=LK_GradeDerivation!$B$4:$B$135)*(IF(O378="",0,O378)&lt;=LK_GradeDerivation!$C$4:$C$135)*LK_GradeDerivation!$E$4:$E$135),1)</f>
        <v>6</v>
      </c>
      <c r="R378" s="59" t="s">
        <v>4170</v>
      </c>
      <c r="S378" s="59" t="s">
        <v>4171</v>
      </c>
      <c r="T378" s="59" t="s">
        <v>979</v>
      </c>
      <c r="U378" s="59" t="s">
        <v>1475</v>
      </c>
      <c r="V378" s="59" t="s">
        <v>763</v>
      </c>
      <c r="W378" s="59" t="s">
        <v>285</v>
      </c>
      <c r="X378" s="59" t="s">
        <v>463</v>
      </c>
      <c r="Y378" s="59" t="s">
        <v>465</v>
      </c>
      <c r="Z378" s="64" t="str">
        <f>IFERROR(VLOOKUP(T378,LK_OrgMaster!$B$4:$H$89,5,FALSE()),"Administration")</f>
        <v>Administration</v>
      </c>
      <c r="AA378" s="65" t="str">
        <f>IFERROR(VLOOKUP(X378,LK_LocationMaster!$D$4:$G$157,4,FALSE()),"No")</f>
        <v>No</v>
      </c>
      <c r="AB378" s="65" t="str">
        <f t="shared" si="22"/>
        <v>No</v>
      </c>
      <c r="AC378" s="65" t="str">
        <f>IFERROR(VLOOKUP(X378,LK_LocationMaster!$D$4:$H$157,5,FALSE()),"No")</f>
        <v>No</v>
      </c>
      <c r="AD378" s="59" t="s">
        <v>4172</v>
      </c>
      <c r="AE378" s="59" t="s">
        <v>930</v>
      </c>
      <c r="AF378" s="59" t="s">
        <v>801</v>
      </c>
      <c r="AG378" s="59" t="s">
        <v>391</v>
      </c>
      <c r="AH378" s="59" t="s">
        <v>4173</v>
      </c>
      <c r="AI378" s="59" t="s">
        <v>285</v>
      </c>
      <c r="AJ378" s="59" t="s">
        <v>833</v>
      </c>
      <c r="AK378" s="59" t="s">
        <v>1013</v>
      </c>
      <c r="AL378" s="64" t="str">
        <f>IFERROR(INDEX(LK_BankMaster!$D$4:$D$23,MATCH(AJ378&amp;"|"&amp;AK378,LK_BankMaster!$H$4:$H$23,0)),"")</f>
        <v/>
      </c>
      <c r="AM378" s="59" t="s">
        <v>4174</v>
      </c>
      <c r="AN378" s="64" t="str">
        <f>IFERROR(VLOOKUP(AJ378,LK_BankMaster!$A$4:$E$23,5,FALSE()),"")</f>
        <v/>
      </c>
      <c r="AO378" s="59" t="s">
        <v>314</v>
      </c>
      <c r="AP378" s="66">
        <v>2</v>
      </c>
      <c r="AQ378" s="64" t="str">
        <f t="shared" si="23"/>
        <v>Position Allowance - General Staff</v>
      </c>
      <c r="AR378" s="65" t="str">
        <f>IFERROR(VLOOKUP(T378,LK_OrgMaster!$B$4:$G$89,6,FALSE()),"No")</f>
        <v>No</v>
      </c>
      <c r="AS378" s="64" t="str">
        <f>IFERROR(VLOOKUP(T378,LK_OrgMaster!$B$4:$H$89,7,FALSE()),"None")</f>
        <v>None</v>
      </c>
      <c r="AT378" s="67">
        <v>44552</v>
      </c>
      <c r="AU378" s="67"/>
      <c r="AV378" s="67">
        <v>44552</v>
      </c>
      <c r="AW378" s="67">
        <v>46023</v>
      </c>
      <c r="AX378" s="68" t="s">
        <v>750</v>
      </c>
      <c r="AY378" s="69" t="s">
        <v>6260</v>
      </c>
    </row>
    <row r="379" spans="1:51" ht="15" customHeight="1" x14ac:dyDescent="0.3">
      <c r="A379" s="59" t="s">
        <v>4175</v>
      </c>
      <c r="B379" s="59" t="s">
        <v>851</v>
      </c>
      <c r="C379" s="59" t="s">
        <v>1429</v>
      </c>
      <c r="D379" s="59" t="s">
        <v>1512</v>
      </c>
      <c r="E379" s="59" t="s">
        <v>775</v>
      </c>
      <c r="F379" s="60">
        <v>24574</v>
      </c>
      <c r="G379" s="59" t="s">
        <v>4176</v>
      </c>
      <c r="H379" s="59" t="s">
        <v>4177</v>
      </c>
      <c r="I379" s="60">
        <v>42290</v>
      </c>
      <c r="J379" s="61">
        <f t="shared" ca="1" si="20"/>
        <v>10</v>
      </c>
      <c r="K379" s="62">
        <f t="shared" si="21"/>
        <v>46489</v>
      </c>
      <c r="L379" s="59" t="s">
        <v>735</v>
      </c>
      <c r="M379" s="59" t="s">
        <v>1407</v>
      </c>
      <c r="N379" s="59" t="s">
        <v>737</v>
      </c>
      <c r="O379" s="63">
        <v>25</v>
      </c>
      <c r="P379" s="61">
        <f>IFERROR(SUMPRODUCT((LK_GradeDerivation!$A$4:$A$135=N379)*(IF(O379="",0,O379)&gt;=LK_GradeDerivation!$B$4:$B$135)*(IF(O379="",0,O379)&lt;=LK_GradeDerivation!$C$4:$C$135)*LK_GradeDerivation!$D$4:$D$135),1)</f>
        <v>4</v>
      </c>
      <c r="Q379" s="61">
        <f>IFERROR(SUMPRODUCT((LK_GradeDerivation!$A$4:$A$135=N379)*(IF(O379="",0,O379)&gt;=LK_GradeDerivation!$B$4:$B$135)*(IF(O379="",0,O379)&lt;=LK_GradeDerivation!$C$4:$C$135)*LK_GradeDerivation!$E$4:$E$135),1)</f>
        <v>13</v>
      </c>
      <c r="R379" s="59" t="s">
        <v>4178</v>
      </c>
      <c r="S379" s="59" t="s">
        <v>4179</v>
      </c>
      <c r="T379" s="59" t="s">
        <v>1058</v>
      </c>
      <c r="U379" s="59" t="s">
        <v>1410</v>
      </c>
      <c r="V379" s="59" t="s">
        <v>1547</v>
      </c>
      <c r="W379" s="59" t="s">
        <v>285</v>
      </c>
      <c r="X379" s="59" t="s">
        <v>391</v>
      </c>
      <c r="Y379" s="59" t="s">
        <v>404</v>
      </c>
      <c r="Z379" s="64" t="str">
        <f>IFERROR(VLOOKUP(T379,LK_OrgMaster!$B$4:$H$89,5,FALSE()),"Administration")</f>
        <v>Technical</v>
      </c>
      <c r="AA379" s="65" t="str">
        <f>IFERROR(VLOOKUP(X379,LK_LocationMaster!$D$4:$G$157,4,FALSE()),"No")</f>
        <v>Yes</v>
      </c>
      <c r="AB379" s="65" t="str">
        <f t="shared" si="22"/>
        <v>No</v>
      </c>
      <c r="AC379" s="65" t="str">
        <f>IFERROR(VLOOKUP(X379,LK_LocationMaster!$D$4:$H$157,5,FALSE()),"No")</f>
        <v>Yes</v>
      </c>
      <c r="AD379" s="59" t="s">
        <v>4180</v>
      </c>
      <c r="AE379" s="59" t="s">
        <v>800</v>
      </c>
      <c r="AF379" s="59" t="s">
        <v>801</v>
      </c>
      <c r="AG379" s="59" t="s">
        <v>356</v>
      </c>
      <c r="AH379" s="59" t="s">
        <v>2730</v>
      </c>
      <c r="AI379" s="59" t="s">
        <v>285</v>
      </c>
      <c r="AJ379" s="59" t="s">
        <v>747</v>
      </c>
      <c r="AK379" s="59" t="s">
        <v>748</v>
      </c>
      <c r="AL379" s="64" t="str">
        <f>IFERROR(INDEX(LK_BankMaster!$D$4:$D$23,MATCH(AJ379&amp;"|"&amp;AK379,LK_BankMaster!$H$4:$H$23,0)),"")</f>
        <v/>
      </c>
      <c r="AM379" s="59" t="s">
        <v>4181</v>
      </c>
      <c r="AN379" s="64" t="str">
        <f>IFERROR(VLOOKUP(AJ379,LK_BankMaster!$A$4:$E$23,5,FALSE()),"")</f>
        <v/>
      </c>
      <c r="AO379" s="59" t="s">
        <v>291</v>
      </c>
      <c r="AP379" s="66">
        <v>0</v>
      </c>
      <c r="AQ379" s="64" t="str">
        <f t="shared" si="23"/>
        <v>Position Allowance - General Staff</v>
      </c>
      <c r="AR379" s="65" t="str">
        <f>IFERROR(VLOOKUP(T379,LK_OrgMaster!$B$4:$G$89,6,FALSE()),"No")</f>
        <v>No</v>
      </c>
      <c r="AS379" s="64" t="str">
        <f>IFERROR(VLOOKUP(T379,LK_OrgMaster!$B$4:$H$89,7,FALSE()),"None")</f>
        <v>None</v>
      </c>
      <c r="AT379" s="70">
        <v>42290</v>
      </c>
      <c r="AU379" s="70"/>
      <c r="AV379" s="70">
        <v>42290</v>
      </c>
      <c r="AW379" s="70">
        <v>46023</v>
      </c>
      <c r="AX379" s="71" t="s">
        <v>750</v>
      </c>
      <c r="AY379" s="72" t="s">
        <v>6260</v>
      </c>
    </row>
    <row r="380" spans="1:51" ht="15" customHeight="1" x14ac:dyDescent="0.3">
      <c r="A380" s="59" t="s">
        <v>4182</v>
      </c>
      <c r="B380" s="59" t="s">
        <v>772</v>
      </c>
      <c r="C380" s="59" t="s">
        <v>1041</v>
      </c>
      <c r="D380" s="59" t="s">
        <v>876</v>
      </c>
      <c r="E380" s="59" t="s">
        <v>732</v>
      </c>
      <c r="F380" s="60">
        <v>32950</v>
      </c>
      <c r="G380" s="59" t="s">
        <v>4183</v>
      </c>
      <c r="H380" s="59" t="s">
        <v>4184</v>
      </c>
      <c r="I380" s="60">
        <v>35258</v>
      </c>
      <c r="J380" s="61">
        <f t="shared" ca="1" si="20"/>
        <v>29</v>
      </c>
      <c r="K380" s="62">
        <f t="shared" si="21"/>
        <v>54865</v>
      </c>
      <c r="L380" s="59" t="s">
        <v>735</v>
      </c>
      <c r="M380" s="59" t="s">
        <v>1259</v>
      </c>
      <c r="N380" s="59" t="s">
        <v>779</v>
      </c>
      <c r="O380" s="63">
        <v>0</v>
      </c>
      <c r="P380" s="61">
        <f>IFERROR(SUMPRODUCT((LK_GradeDerivation!$A$4:$A$135=N380)*(IF(O380="",0,O380)&gt;=LK_GradeDerivation!$B$4:$B$135)*(IF(O380="",0,O380)&lt;=LK_GradeDerivation!$C$4:$C$135)*LK_GradeDerivation!$D$4:$D$135),1)</f>
        <v>2</v>
      </c>
      <c r="Q380" s="61">
        <f>IFERROR(SUMPRODUCT((LK_GradeDerivation!$A$4:$A$135=N380)*(IF(O380="",0,O380)&gt;=LK_GradeDerivation!$B$4:$B$135)*(IF(O380="",0,O380)&lt;=LK_GradeDerivation!$C$4:$C$135)*LK_GradeDerivation!$E$4:$E$135),1)</f>
        <v>1</v>
      </c>
      <c r="R380" s="59" t="s">
        <v>4185</v>
      </c>
      <c r="S380" s="59" t="s">
        <v>4186</v>
      </c>
      <c r="T380" s="59" t="s">
        <v>740</v>
      </c>
      <c r="U380" s="59" t="s">
        <v>1388</v>
      </c>
      <c r="V380" s="59" t="s">
        <v>2841</v>
      </c>
      <c r="W380" s="59" t="s">
        <v>285</v>
      </c>
      <c r="X380" s="59" t="s">
        <v>587</v>
      </c>
      <c r="Y380" s="59" t="s">
        <v>595</v>
      </c>
      <c r="Z380" s="64" t="str">
        <f>IFERROR(VLOOKUP(T380,LK_OrgMaster!$B$4:$H$89,5,FALSE()),"Administration")</f>
        <v>Teacher</v>
      </c>
      <c r="AA380" s="65" t="str">
        <f>IFERROR(VLOOKUP(X380,LK_LocationMaster!$D$4:$G$157,4,FALSE()),"No")</f>
        <v>Yes</v>
      </c>
      <c r="AB380" s="65" t="str">
        <f t="shared" si="22"/>
        <v>No</v>
      </c>
      <c r="AC380" s="65" t="str">
        <f>IFERROR(VLOOKUP(X380,LK_LocationMaster!$D$4:$H$157,5,FALSE()),"No")</f>
        <v>Yes</v>
      </c>
      <c r="AD380" s="59" t="s">
        <v>4187</v>
      </c>
      <c r="AE380" s="59" t="s">
        <v>930</v>
      </c>
      <c r="AF380" s="59" t="s">
        <v>847</v>
      </c>
      <c r="AG380" s="59" t="s">
        <v>356</v>
      </c>
      <c r="AH380" s="59" t="s">
        <v>4188</v>
      </c>
      <c r="AI380" s="59" t="s">
        <v>285</v>
      </c>
      <c r="AJ380" s="59" t="s">
        <v>818</v>
      </c>
      <c r="AK380" s="59" t="s">
        <v>944</v>
      </c>
      <c r="AL380" s="64" t="str">
        <f>IFERROR(INDEX(LK_BankMaster!$D$4:$D$23,MATCH(AJ380&amp;"|"&amp;AK380,LK_BankMaster!$H$4:$H$23,0)),"")</f>
        <v/>
      </c>
      <c r="AM380" s="59" t="s">
        <v>4189</v>
      </c>
      <c r="AN380" s="64" t="str">
        <f>IFERROR(VLOOKUP(AJ380,LK_BankMaster!$A$4:$E$23,5,FALSE()),"")</f>
        <v/>
      </c>
      <c r="AO380" s="59" t="s">
        <v>291</v>
      </c>
      <c r="AP380" s="66">
        <v>0</v>
      </c>
      <c r="AQ380" s="64" t="str">
        <f t="shared" si="23"/>
        <v>Position Allowance - General Staff</v>
      </c>
      <c r="AR380" s="65" t="str">
        <f>IFERROR(VLOOKUP(T380,LK_OrgMaster!$B$4:$G$89,6,FALSE()),"No")</f>
        <v>No</v>
      </c>
      <c r="AS380" s="64" t="str">
        <f>IFERROR(VLOOKUP(T380,LK_OrgMaster!$B$4:$H$89,7,FALSE()),"None")</f>
        <v>Teaching</v>
      </c>
      <c r="AT380" s="67">
        <v>35258</v>
      </c>
      <c r="AU380" s="67"/>
      <c r="AV380" s="67">
        <v>35258</v>
      </c>
      <c r="AW380" s="67">
        <v>46023</v>
      </c>
      <c r="AX380" s="68" t="s">
        <v>750</v>
      </c>
      <c r="AY380" s="69" t="s">
        <v>6260</v>
      </c>
    </row>
    <row r="381" spans="1:51" ht="15" customHeight="1" x14ac:dyDescent="0.3">
      <c r="A381" s="59" t="s">
        <v>4190</v>
      </c>
      <c r="B381" s="59" t="s">
        <v>772</v>
      </c>
      <c r="C381" s="59" t="s">
        <v>2220</v>
      </c>
      <c r="D381" s="59" t="s">
        <v>1704</v>
      </c>
      <c r="E381" s="59" t="s">
        <v>732</v>
      </c>
      <c r="F381" s="60">
        <v>34721</v>
      </c>
      <c r="G381" s="59" t="s">
        <v>4191</v>
      </c>
      <c r="H381" s="59" t="s">
        <v>4192</v>
      </c>
      <c r="I381" s="60">
        <v>35692</v>
      </c>
      <c r="J381" s="61">
        <f t="shared" ca="1" si="20"/>
        <v>28</v>
      </c>
      <c r="K381" s="62">
        <f t="shared" si="21"/>
        <v>56636</v>
      </c>
      <c r="L381" s="59" t="s">
        <v>735</v>
      </c>
      <c r="M381" s="59" t="s">
        <v>1237</v>
      </c>
      <c r="N381" s="59" t="s">
        <v>737</v>
      </c>
      <c r="O381" s="63">
        <v>0</v>
      </c>
      <c r="P381" s="61">
        <f>IFERROR(SUMPRODUCT((LK_GradeDerivation!$A$4:$A$135=N381)*(IF(O381="",0,O381)&gt;=LK_GradeDerivation!$B$4:$B$135)*(IF(O381="",0,O381)&lt;=LK_GradeDerivation!$C$4:$C$135)*LK_GradeDerivation!$D$4:$D$135),1)</f>
        <v>4</v>
      </c>
      <c r="Q381" s="61">
        <f>IFERROR(SUMPRODUCT((LK_GradeDerivation!$A$4:$A$135=N381)*(IF(O381="",0,O381)&gt;=LK_GradeDerivation!$B$4:$B$135)*(IF(O381="",0,O381)&lt;=LK_GradeDerivation!$C$4:$C$135)*LK_GradeDerivation!$E$4:$E$135),1)</f>
        <v>1</v>
      </c>
      <c r="R381" s="59" t="s">
        <v>4193</v>
      </c>
      <c r="S381" s="59" t="s">
        <v>4194</v>
      </c>
      <c r="T381" s="59" t="s">
        <v>782</v>
      </c>
      <c r="U381" s="59" t="s">
        <v>965</v>
      </c>
      <c r="V381" s="59" t="s">
        <v>966</v>
      </c>
      <c r="W381" s="59" t="s">
        <v>285</v>
      </c>
      <c r="X381" s="59" t="s">
        <v>527</v>
      </c>
      <c r="Y381" s="59" t="s">
        <v>534</v>
      </c>
      <c r="Z381" s="64" t="str">
        <f>IFERROR(VLOOKUP(T381,LK_OrgMaster!$B$4:$H$89,5,FALSE()),"Administration")</f>
        <v>Medical</v>
      </c>
      <c r="AA381" s="65" t="str">
        <f>IFERROR(VLOOKUP(X381,LK_LocationMaster!$D$4:$G$157,4,FALSE()),"No")</f>
        <v>No</v>
      </c>
      <c r="AB381" s="65" t="str">
        <f t="shared" si="22"/>
        <v>No</v>
      </c>
      <c r="AC381" s="65" t="str">
        <f>IFERROR(VLOOKUP(X381,LK_LocationMaster!$D$4:$H$157,5,FALSE()),"No")</f>
        <v>No</v>
      </c>
      <c r="AD381" s="59" t="s">
        <v>4195</v>
      </c>
      <c r="AE381" s="59" t="s">
        <v>800</v>
      </c>
      <c r="AF381" s="59" t="s">
        <v>816</v>
      </c>
      <c r="AG381" s="59" t="s">
        <v>368</v>
      </c>
      <c r="AH381" s="59" t="s">
        <v>4196</v>
      </c>
      <c r="AI381" s="59" t="s">
        <v>285</v>
      </c>
      <c r="AJ381" s="59" t="s">
        <v>833</v>
      </c>
      <c r="AK381" s="59" t="s">
        <v>1013</v>
      </c>
      <c r="AL381" s="64" t="str">
        <f>IFERROR(INDEX(LK_BankMaster!$D$4:$D$23,MATCH(AJ381&amp;"|"&amp;AK381,LK_BankMaster!$H$4:$H$23,0)),"")</f>
        <v/>
      </c>
      <c r="AM381" s="59" t="s">
        <v>4197</v>
      </c>
      <c r="AN381" s="64" t="str">
        <f>IFERROR(VLOOKUP(AJ381,LK_BankMaster!$A$4:$E$23,5,FALSE()),"")</f>
        <v/>
      </c>
      <c r="AO381" s="59" t="s">
        <v>314</v>
      </c>
      <c r="AP381" s="66">
        <v>1</v>
      </c>
      <c r="AQ381" s="64" t="str">
        <f t="shared" si="23"/>
        <v>Position Allowance - General Staff</v>
      </c>
      <c r="AR381" s="65" t="str">
        <f>IFERROR(VLOOKUP(T381,LK_OrgMaster!$B$4:$G$89,6,FALSE()),"No")</f>
        <v>No</v>
      </c>
      <c r="AS381" s="64" t="str">
        <f>IFERROR(VLOOKUP(T381,LK_OrgMaster!$B$4:$H$89,7,FALSE()),"None")</f>
        <v>Medical</v>
      </c>
      <c r="AT381" s="70">
        <v>35692</v>
      </c>
      <c r="AU381" s="70"/>
      <c r="AV381" s="70">
        <v>35692</v>
      </c>
      <c r="AW381" s="70">
        <v>46023</v>
      </c>
      <c r="AX381" s="71" t="s">
        <v>750</v>
      </c>
      <c r="AY381" s="72" t="s">
        <v>6260</v>
      </c>
    </row>
    <row r="382" spans="1:51" ht="15" customHeight="1" x14ac:dyDescent="0.3">
      <c r="A382" s="59" t="s">
        <v>4198</v>
      </c>
      <c r="B382" s="59" t="s">
        <v>729</v>
      </c>
      <c r="C382" s="59" t="s">
        <v>2500</v>
      </c>
      <c r="D382" s="59" t="s">
        <v>1137</v>
      </c>
      <c r="E382" s="59" t="s">
        <v>732</v>
      </c>
      <c r="F382" s="60">
        <v>31413</v>
      </c>
      <c r="G382" s="59" t="s">
        <v>4199</v>
      </c>
      <c r="H382" s="59" t="s">
        <v>4200</v>
      </c>
      <c r="I382" s="60">
        <v>45840</v>
      </c>
      <c r="J382" s="61">
        <f t="shared" ca="1" si="20"/>
        <v>0</v>
      </c>
      <c r="K382" s="62">
        <f t="shared" si="21"/>
        <v>53328</v>
      </c>
      <c r="L382" s="59" t="s">
        <v>3706</v>
      </c>
      <c r="M382" s="59" t="s">
        <v>924</v>
      </c>
      <c r="N382" s="59" t="s">
        <v>1292</v>
      </c>
      <c r="O382" s="63">
        <v>11</v>
      </c>
      <c r="P382" s="61">
        <f>IFERROR(SUMPRODUCT((LK_GradeDerivation!$A$4:$A$135=N382)*(IF(O382="",0,O382)&gt;=LK_GradeDerivation!$B$4:$B$135)*(IF(O382="",0,O382)&lt;=LK_GradeDerivation!$C$4:$C$135)*LK_GradeDerivation!$D$4:$D$135),1)</f>
        <v>5</v>
      </c>
      <c r="Q382" s="61">
        <f>IFERROR(SUMPRODUCT((LK_GradeDerivation!$A$4:$A$135=N382)*(IF(O382="",0,O382)&gt;=LK_GradeDerivation!$B$4:$B$135)*(IF(O382="",0,O382)&lt;=LK_GradeDerivation!$C$4:$C$135)*LK_GradeDerivation!$E$4:$E$135),1)</f>
        <v>11</v>
      </c>
      <c r="R382" s="59" t="s">
        <v>4201</v>
      </c>
      <c r="S382" s="59" t="s">
        <v>4202</v>
      </c>
      <c r="T382" s="59" t="s">
        <v>740</v>
      </c>
      <c r="U382" s="59" t="s">
        <v>1262</v>
      </c>
      <c r="V382" s="59" t="s">
        <v>1467</v>
      </c>
      <c r="W382" s="59" t="s">
        <v>285</v>
      </c>
      <c r="X382" s="59" t="s">
        <v>575</v>
      </c>
      <c r="Y382" s="59" t="s">
        <v>585</v>
      </c>
      <c r="Z382" s="64" t="str">
        <f>IFERROR(VLOOKUP(T382,LK_OrgMaster!$B$4:$H$89,5,FALSE()),"Administration")</f>
        <v>Teacher</v>
      </c>
      <c r="AA382" s="65" t="str">
        <f>IFERROR(VLOOKUP(X382,LK_LocationMaster!$D$4:$G$157,4,FALSE()),"No")</f>
        <v>Yes</v>
      </c>
      <c r="AB382" s="65" t="str">
        <f t="shared" si="22"/>
        <v>No</v>
      </c>
      <c r="AC382" s="65" t="str">
        <f>IFERROR(VLOOKUP(X382,LK_LocationMaster!$D$4:$H$157,5,FALSE()),"No")</f>
        <v>Yes</v>
      </c>
      <c r="AD382" s="59" t="s">
        <v>3457</v>
      </c>
      <c r="AE382" s="59" t="s">
        <v>800</v>
      </c>
      <c r="AF382" s="59" t="s">
        <v>984</v>
      </c>
      <c r="AG382" s="59" t="s">
        <v>391</v>
      </c>
      <c r="AH382" s="59" t="s">
        <v>4203</v>
      </c>
      <c r="AI382" s="59" t="s">
        <v>285</v>
      </c>
      <c r="AJ382" s="59" t="s">
        <v>768</v>
      </c>
      <c r="AK382" s="59" t="s">
        <v>769</v>
      </c>
      <c r="AL382" s="64" t="str">
        <f>IFERROR(INDEX(LK_BankMaster!$D$4:$D$23,MATCH(AJ382&amp;"|"&amp;AK382,LK_BankMaster!$H$4:$H$23,0)),"")</f>
        <v/>
      </c>
      <c r="AM382" s="59" t="s">
        <v>4204</v>
      </c>
      <c r="AN382" s="64" t="str">
        <f>IFERROR(VLOOKUP(AJ382,LK_BankMaster!$A$4:$E$23,5,FALSE()),"")</f>
        <v/>
      </c>
      <c r="AO382" s="59" t="s">
        <v>291</v>
      </c>
      <c r="AP382" s="66">
        <v>0</v>
      </c>
      <c r="AQ382" s="64" t="str">
        <f t="shared" si="23"/>
        <v>Position Allowance - General Staff</v>
      </c>
      <c r="AR382" s="65" t="str">
        <f>IFERROR(VLOOKUP(T382,LK_OrgMaster!$B$4:$G$89,6,FALSE()),"No")</f>
        <v>No</v>
      </c>
      <c r="AS382" s="64" t="str">
        <f>IFERROR(VLOOKUP(T382,LK_OrgMaster!$B$4:$H$89,7,FALSE()),"None")</f>
        <v>Teaching</v>
      </c>
      <c r="AT382" s="67">
        <v>45840</v>
      </c>
      <c r="AU382" s="67"/>
      <c r="AV382" s="67">
        <v>45840</v>
      </c>
      <c r="AW382" s="67">
        <v>46023</v>
      </c>
      <c r="AX382" s="68" t="s">
        <v>750</v>
      </c>
      <c r="AY382" s="69" t="s">
        <v>6260</v>
      </c>
    </row>
    <row r="383" spans="1:51" ht="15" customHeight="1" x14ac:dyDescent="0.3">
      <c r="A383" s="59" t="s">
        <v>4205</v>
      </c>
      <c r="B383" s="59" t="s">
        <v>851</v>
      </c>
      <c r="C383" s="59" t="s">
        <v>1198</v>
      </c>
      <c r="D383" s="59" t="s">
        <v>1604</v>
      </c>
      <c r="E383" s="59" t="s">
        <v>775</v>
      </c>
      <c r="F383" s="60">
        <v>35022</v>
      </c>
      <c r="G383" s="59" t="s">
        <v>4206</v>
      </c>
      <c r="H383" s="59" t="s">
        <v>4207</v>
      </c>
      <c r="I383" s="60">
        <v>42982</v>
      </c>
      <c r="J383" s="61">
        <f t="shared" ca="1" si="20"/>
        <v>8</v>
      </c>
      <c r="K383" s="62">
        <f t="shared" si="21"/>
        <v>56937</v>
      </c>
      <c r="L383" s="59" t="s">
        <v>735</v>
      </c>
      <c r="M383" s="59" t="s">
        <v>1407</v>
      </c>
      <c r="N383" s="59" t="s">
        <v>779</v>
      </c>
      <c r="O383" s="63">
        <v>3</v>
      </c>
      <c r="P383" s="61">
        <f>IFERROR(SUMPRODUCT((LK_GradeDerivation!$A$4:$A$135=N383)*(IF(O383="",0,O383)&gt;=LK_GradeDerivation!$B$4:$B$135)*(IF(O383="",0,O383)&lt;=LK_GradeDerivation!$C$4:$C$135)*LK_GradeDerivation!$D$4:$D$135),1)</f>
        <v>2</v>
      </c>
      <c r="Q383" s="61">
        <f>IFERROR(SUMPRODUCT((LK_GradeDerivation!$A$4:$A$135=N383)*(IF(O383="",0,O383)&gt;=LK_GradeDerivation!$B$4:$B$135)*(IF(O383="",0,O383)&lt;=LK_GradeDerivation!$C$4:$C$135)*LK_GradeDerivation!$E$4:$E$135),1)</f>
        <v>2</v>
      </c>
      <c r="R383" s="59" t="s">
        <v>4208</v>
      </c>
      <c r="S383" s="59" t="s">
        <v>4209</v>
      </c>
      <c r="T383" s="59" t="s">
        <v>859</v>
      </c>
      <c r="U383" s="59" t="s">
        <v>2476</v>
      </c>
      <c r="V383" s="59" t="s">
        <v>763</v>
      </c>
      <c r="W383" s="59" t="s">
        <v>285</v>
      </c>
      <c r="X383" s="59" t="s">
        <v>429</v>
      </c>
      <c r="Y383" s="59" t="s">
        <v>439</v>
      </c>
      <c r="Z383" s="64" t="str">
        <f>IFERROR(VLOOKUP(T383,LK_OrgMaster!$B$4:$H$89,5,FALSE()),"Administration")</f>
        <v>Technical</v>
      </c>
      <c r="AA383" s="65" t="str">
        <f>IFERROR(VLOOKUP(X383,LK_LocationMaster!$D$4:$G$157,4,FALSE()),"No")</f>
        <v>Yes</v>
      </c>
      <c r="AB383" s="65" t="str">
        <f t="shared" si="22"/>
        <v>No</v>
      </c>
      <c r="AC383" s="65" t="str">
        <f>IFERROR(VLOOKUP(X383,LK_LocationMaster!$D$4:$H$157,5,FALSE()),"No")</f>
        <v>Yes</v>
      </c>
      <c r="AD383" s="59" t="s">
        <v>4210</v>
      </c>
      <c r="AE383" s="59" t="s">
        <v>3458</v>
      </c>
      <c r="AF383" s="59" t="s">
        <v>847</v>
      </c>
      <c r="AG383" s="59" t="s">
        <v>329</v>
      </c>
      <c r="AH383" s="59" t="s">
        <v>4211</v>
      </c>
      <c r="AI383" s="59" t="s">
        <v>285</v>
      </c>
      <c r="AJ383" s="59" t="s">
        <v>833</v>
      </c>
      <c r="AK383" s="59" t="s">
        <v>834</v>
      </c>
      <c r="AL383" s="64" t="str">
        <f>IFERROR(INDEX(LK_BankMaster!$D$4:$D$23,MATCH(AJ383&amp;"|"&amp;AK383,LK_BankMaster!$H$4:$H$23,0)),"")</f>
        <v/>
      </c>
      <c r="AM383" s="59" t="s">
        <v>4212</v>
      </c>
      <c r="AN383" s="64" t="str">
        <f>IFERROR(VLOOKUP(AJ383,LK_BankMaster!$A$4:$E$23,5,FALSE()),"")</f>
        <v/>
      </c>
      <c r="AO383" s="59" t="s">
        <v>314</v>
      </c>
      <c r="AP383" s="66">
        <v>0</v>
      </c>
      <c r="AQ383" s="64" t="str">
        <f t="shared" si="23"/>
        <v>Position Allowance - General Staff</v>
      </c>
      <c r="AR383" s="65" t="str">
        <f>IFERROR(VLOOKUP(T383,LK_OrgMaster!$B$4:$G$89,6,FALSE()),"No")</f>
        <v>No</v>
      </c>
      <c r="AS383" s="64" t="str">
        <f>IFERROR(VLOOKUP(T383,LK_OrgMaster!$B$4:$H$89,7,FALSE()),"None")</f>
        <v>None</v>
      </c>
      <c r="AT383" s="70">
        <v>42982</v>
      </c>
      <c r="AU383" s="70"/>
      <c r="AV383" s="70">
        <v>42982</v>
      </c>
      <c r="AW383" s="70">
        <v>46023</v>
      </c>
      <c r="AX383" s="71" t="s">
        <v>750</v>
      </c>
      <c r="AY383" s="72" t="s">
        <v>6260</v>
      </c>
    </row>
    <row r="384" spans="1:51" ht="15" customHeight="1" x14ac:dyDescent="0.3">
      <c r="A384" s="59" t="s">
        <v>4213</v>
      </c>
      <c r="B384" s="59" t="s">
        <v>729</v>
      </c>
      <c r="C384" s="59" t="s">
        <v>806</v>
      </c>
      <c r="D384" s="59" t="s">
        <v>1395</v>
      </c>
      <c r="E384" s="59" t="s">
        <v>732</v>
      </c>
      <c r="F384" s="60">
        <v>31891</v>
      </c>
      <c r="G384" s="59" t="s">
        <v>4214</v>
      </c>
      <c r="H384" s="59" t="s">
        <v>4215</v>
      </c>
      <c r="I384" s="60">
        <v>38825</v>
      </c>
      <c r="J384" s="61">
        <f t="shared" ca="1" si="20"/>
        <v>19</v>
      </c>
      <c r="K384" s="62">
        <f t="shared" si="21"/>
        <v>53806</v>
      </c>
      <c r="L384" s="59" t="s">
        <v>735</v>
      </c>
      <c r="M384" s="59" t="s">
        <v>1454</v>
      </c>
      <c r="N384" s="59" t="s">
        <v>737</v>
      </c>
      <c r="O384" s="63">
        <v>0</v>
      </c>
      <c r="P384" s="61">
        <f>IFERROR(SUMPRODUCT((LK_GradeDerivation!$A$4:$A$135=N384)*(IF(O384="",0,O384)&gt;=LK_GradeDerivation!$B$4:$B$135)*(IF(O384="",0,O384)&lt;=LK_GradeDerivation!$C$4:$C$135)*LK_GradeDerivation!$D$4:$D$135),1)</f>
        <v>4</v>
      </c>
      <c r="Q384" s="61">
        <f>IFERROR(SUMPRODUCT((LK_GradeDerivation!$A$4:$A$135=N384)*(IF(O384="",0,O384)&gt;=LK_GradeDerivation!$B$4:$B$135)*(IF(O384="",0,O384)&lt;=LK_GradeDerivation!$C$4:$C$135)*LK_GradeDerivation!$E$4:$E$135),1)</f>
        <v>1</v>
      </c>
      <c r="R384" s="59" t="s">
        <v>4216</v>
      </c>
      <c r="S384" s="59" t="s">
        <v>4217</v>
      </c>
      <c r="T384" s="59" t="s">
        <v>740</v>
      </c>
      <c r="U384" s="59" t="s">
        <v>741</v>
      </c>
      <c r="V384" s="59" t="s">
        <v>1367</v>
      </c>
      <c r="W384" s="59" t="s">
        <v>285</v>
      </c>
      <c r="X384" s="59" t="s">
        <v>500</v>
      </c>
      <c r="Y384" s="59" t="s">
        <v>525</v>
      </c>
      <c r="Z384" s="64" t="str">
        <f>IFERROR(VLOOKUP(T384,LK_OrgMaster!$B$4:$H$89,5,FALSE()),"Administration")</f>
        <v>Teacher</v>
      </c>
      <c r="AA384" s="65" t="str">
        <f>IFERROR(VLOOKUP(X384,LK_LocationMaster!$D$4:$G$157,4,FALSE()),"No")</f>
        <v>No</v>
      </c>
      <c r="AB384" s="65" t="str">
        <f t="shared" si="22"/>
        <v>No</v>
      </c>
      <c r="AC384" s="65" t="str">
        <f>IFERROR(VLOOKUP(X384,LK_LocationMaster!$D$4:$H$157,5,FALSE()),"No")</f>
        <v>Yes</v>
      </c>
      <c r="AD384" s="59" t="s">
        <v>1193</v>
      </c>
      <c r="AE384" s="59" t="s">
        <v>3662</v>
      </c>
      <c r="AF384" s="59" t="s">
        <v>847</v>
      </c>
      <c r="AG384" s="59" t="s">
        <v>312</v>
      </c>
      <c r="AH384" s="59" t="s">
        <v>4218</v>
      </c>
      <c r="AI384" s="59" t="s">
        <v>285</v>
      </c>
      <c r="AJ384" s="59" t="s">
        <v>768</v>
      </c>
      <c r="AK384" s="59" t="s">
        <v>1589</v>
      </c>
      <c r="AL384" s="64" t="str">
        <f>IFERROR(INDEX(LK_BankMaster!$D$4:$D$23,MATCH(AJ384&amp;"|"&amp;AK384,LK_BankMaster!$H$4:$H$23,0)),"")</f>
        <v/>
      </c>
      <c r="AM384" s="59" t="s">
        <v>4219</v>
      </c>
      <c r="AN384" s="64" t="str">
        <f>IFERROR(VLOOKUP(AJ384,LK_BankMaster!$A$4:$E$23,5,FALSE()),"")</f>
        <v/>
      </c>
      <c r="AO384" s="59" t="s">
        <v>314</v>
      </c>
      <c r="AP384" s="66">
        <v>1</v>
      </c>
      <c r="AQ384" s="64" t="str">
        <f t="shared" si="23"/>
        <v>Position Allowance - General Staff</v>
      </c>
      <c r="AR384" s="65" t="str">
        <f>IFERROR(VLOOKUP(T384,LK_OrgMaster!$B$4:$G$89,6,FALSE()),"No")</f>
        <v>No</v>
      </c>
      <c r="AS384" s="64" t="str">
        <f>IFERROR(VLOOKUP(T384,LK_OrgMaster!$B$4:$H$89,7,FALSE()),"None")</f>
        <v>Teaching</v>
      </c>
      <c r="AT384" s="67">
        <v>38825</v>
      </c>
      <c r="AU384" s="67"/>
      <c r="AV384" s="67">
        <v>38825</v>
      </c>
      <c r="AW384" s="67">
        <v>46023</v>
      </c>
      <c r="AX384" s="68" t="s">
        <v>750</v>
      </c>
      <c r="AY384" s="69" t="s">
        <v>6260</v>
      </c>
    </row>
    <row r="385" spans="1:51" ht="15" customHeight="1" x14ac:dyDescent="0.3">
      <c r="A385" s="59" t="s">
        <v>4220</v>
      </c>
      <c r="B385" s="59" t="s">
        <v>752</v>
      </c>
      <c r="C385" s="59" t="s">
        <v>1750</v>
      </c>
      <c r="D385" s="59" t="s">
        <v>1256</v>
      </c>
      <c r="E385" s="59" t="s">
        <v>732</v>
      </c>
      <c r="F385" s="60">
        <v>32156</v>
      </c>
      <c r="G385" s="59" t="s">
        <v>4221</v>
      </c>
      <c r="H385" s="59" t="s">
        <v>4222</v>
      </c>
      <c r="I385" s="60">
        <v>36572</v>
      </c>
      <c r="J385" s="61">
        <f t="shared" ca="1" si="20"/>
        <v>26</v>
      </c>
      <c r="K385" s="62">
        <f t="shared" si="21"/>
        <v>54071</v>
      </c>
      <c r="L385" s="59" t="s">
        <v>735</v>
      </c>
      <c r="M385" s="59" t="s">
        <v>893</v>
      </c>
      <c r="N385" s="59" t="s">
        <v>1081</v>
      </c>
      <c r="O385" s="63">
        <v>0</v>
      </c>
      <c r="P385" s="61">
        <f>IFERROR(SUMPRODUCT((LK_GradeDerivation!$A$4:$A$135=N385)*(IF(O385="",0,O385)&gt;=LK_GradeDerivation!$B$4:$B$135)*(IF(O385="",0,O385)&lt;=LK_GradeDerivation!$C$4:$C$135)*LK_GradeDerivation!$D$4:$D$135),1)</f>
        <v>3</v>
      </c>
      <c r="Q385" s="61">
        <f>IFERROR(SUMPRODUCT((LK_GradeDerivation!$A$4:$A$135=N385)*(IF(O385="",0,O385)&gt;=LK_GradeDerivation!$B$4:$B$135)*(IF(O385="",0,O385)&lt;=LK_GradeDerivation!$C$4:$C$135)*LK_GradeDerivation!$E$4:$E$135),1)</f>
        <v>1</v>
      </c>
      <c r="R385" s="59" t="s">
        <v>4223</v>
      </c>
      <c r="S385" s="59" t="s">
        <v>4224</v>
      </c>
      <c r="T385" s="59" t="s">
        <v>952</v>
      </c>
      <c r="U385" s="59" t="s">
        <v>1229</v>
      </c>
      <c r="V385" s="59" t="s">
        <v>2234</v>
      </c>
      <c r="W385" s="59" t="s">
        <v>285</v>
      </c>
      <c r="X385" s="59" t="s">
        <v>329</v>
      </c>
      <c r="Y385" s="59" t="s">
        <v>332</v>
      </c>
      <c r="Z385" s="64" t="str">
        <f>IFERROR(VLOOKUP(T385,LK_OrgMaster!$B$4:$H$89,5,FALSE()),"Administration")</f>
        <v>Administration</v>
      </c>
      <c r="AA385" s="65" t="str">
        <f>IFERROR(VLOOKUP(X385,LK_LocationMaster!$D$4:$G$157,4,FALSE()),"No")</f>
        <v>Yes</v>
      </c>
      <c r="AB385" s="65" t="str">
        <f t="shared" si="22"/>
        <v>No</v>
      </c>
      <c r="AC385" s="65" t="str">
        <f>IFERROR(VLOOKUP(X385,LK_LocationMaster!$D$4:$H$157,5,FALSE()),"No")</f>
        <v>No</v>
      </c>
      <c r="AD385" s="59" t="s">
        <v>4225</v>
      </c>
      <c r="AE385" s="59" t="s">
        <v>765</v>
      </c>
      <c r="AF385" s="59" t="s">
        <v>969</v>
      </c>
      <c r="AG385" s="59" t="s">
        <v>329</v>
      </c>
      <c r="AH385" s="59" t="s">
        <v>4226</v>
      </c>
      <c r="AI385" s="59" t="s">
        <v>285</v>
      </c>
      <c r="AJ385" s="59" t="s">
        <v>818</v>
      </c>
      <c r="AK385" s="59" t="s">
        <v>944</v>
      </c>
      <c r="AL385" s="64" t="str">
        <f>IFERROR(INDEX(LK_BankMaster!$D$4:$D$23,MATCH(AJ385&amp;"|"&amp;AK385,LK_BankMaster!$H$4:$H$23,0)),"")</f>
        <v/>
      </c>
      <c r="AM385" s="59" t="s">
        <v>4227</v>
      </c>
      <c r="AN385" s="64" t="str">
        <f>IFERROR(VLOOKUP(AJ385,LK_BankMaster!$A$4:$E$23,5,FALSE()),"")</f>
        <v/>
      </c>
      <c r="AO385" s="59" t="s">
        <v>291</v>
      </c>
      <c r="AP385" s="66">
        <v>0</v>
      </c>
      <c r="AQ385" s="64" t="str">
        <f t="shared" si="23"/>
        <v>Position Allowance - General Staff</v>
      </c>
      <c r="AR385" s="65" t="str">
        <f>IFERROR(VLOOKUP(T385,LK_OrgMaster!$B$4:$G$89,6,FALSE()),"No")</f>
        <v>No</v>
      </c>
      <c r="AS385" s="64" t="str">
        <f>IFERROR(VLOOKUP(T385,LK_OrgMaster!$B$4:$H$89,7,FALSE()),"None")</f>
        <v>None</v>
      </c>
      <c r="AT385" s="70">
        <v>36572</v>
      </c>
      <c r="AU385" s="70"/>
      <c r="AV385" s="70">
        <v>36572</v>
      </c>
      <c r="AW385" s="70">
        <v>46023</v>
      </c>
      <c r="AX385" s="71" t="s">
        <v>750</v>
      </c>
      <c r="AY385" s="72" t="s">
        <v>6260</v>
      </c>
    </row>
    <row r="386" spans="1:51" ht="15" customHeight="1" x14ac:dyDescent="0.3">
      <c r="A386" s="59" t="s">
        <v>4228</v>
      </c>
      <c r="B386" s="59" t="s">
        <v>772</v>
      </c>
      <c r="C386" s="59" t="s">
        <v>822</v>
      </c>
      <c r="D386" s="59" t="s">
        <v>853</v>
      </c>
      <c r="E386" s="59" t="s">
        <v>732</v>
      </c>
      <c r="F386" s="60">
        <v>33276</v>
      </c>
      <c r="G386" s="59" t="s">
        <v>4229</v>
      </c>
      <c r="H386" s="59" t="s">
        <v>4230</v>
      </c>
      <c r="I386" s="60">
        <v>33947</v>
      </c>
      <c r="J386" s="61">
        <f t="shared" ca="1" si="20"/>
        <v>33</v>
      </c>
      <c r="K386" s="62">
        <f t="shared" si="21"/>
        <v>55191</v>
      </c>
      <c r="L386" s="59" t="s">
        <v>735</v>
      </c>
      <c r="M386" s="59" t="s">
        <v>992</v>
      </c>
      <c r="N386" s="59" t="s">
        <v>779</v>
      </c>
      <c r="O386" s="63">
        <v>0</v>
      </c>
      <c r="P386" s="61">
        <f>IFERROR(SUMPRODUCT((LK_GradeDerivation!$A$4:$A$135=N386)*(IF(O386="",0,O386)&gt;=LK_GradeDerivation!$B$4:$B$135)*(IF(O386="",0,O386)&lt;=LK_GradeDerivation!$C$4:$C$135)*LK_GradeDerivation!$D$4:$D$135),1)</f>
        <v>2</v>
      </c>
      <c r="Q386" s="61">
        <f>IFERROR(SUMPRODUCT((LK_GradeDerivation!$A$4:$A$135=N386)*(IF(O386="",0,O386)&gt;=LK_GradeDerivation!$B$4:$B$135)*(IF(O386="",0,O386)&lt;=LK_GradeDerivation!$C$4:$C$135)*LK_GradeDerivation!$E$4:$E$135),1)</f>
        <v>1</v>
      </c>
      <c r="R386" s="59" t="s">
        <v>4231</v>
      </c>
      <c r="S386" s="59" t="s">
        <v>4232</v>
      </c>
      <c r="T386" s="59" t="s">
        <v>740</v>
      </c>
      <c r="U386" s="59" t="s">
        <v>741</v>
      </c>
      <c r="V386" s="59" t="s">
        <v>995</v>
      </c>
      <c r="W386" s="59" t="s">
        <v>285</v>
      </c>
      <c r="X386" s="59" t="s">
        <v>587</v>
      </c>
      <c r="Y386" s="59" t="s">
        <v>589</v>
      </c>
      <c r="Z386" s="64" t="str">
        <f>IFERROR(VLOOKUP(T386,LK_OrgMaster!$B$4:$H$89,5,FALSE()),"Administration")</f>
        <v>Teacher</v>
      </c>
      <c r="AA386" s="65" t="str">
        <f>IFERROR(VLOOKUP(X386,LK_LocationMaster!$D$4:$G$157,4,FALSE()),"No")</f>
        <v>Yes</v>
      </c>
      <c r="AB386" s="65" t="str">
        <f t="shared" si="22"/>
        <v>No</v>
      </c>
      <c r="AC386" s="65" t="str">
        <f>IFERROR(VLOOKUP(X386,LK_LocationMaster!$D$4:$H$157,5,FALSE()),"No")</f>
        <v>Yes</v>
      </c>
      <c r="AD386" s="59" t="s">
        <v>4233</v>
      </c>
      <c r="AE386" s="59" t="s">
        <v>765</v>
      </c>
      <c r="AF386" s="59" t="s">
        <v>847</v>
      </c>
      <c r="AG386" s="59" t="s">
        <v>288</v>
      </c>
      <c r="AH386" s="59" t="s">
        <v>4234</v>
      </c>
      <c r="AI386" s="59" t="s">
        <v>285</v>
      </c>
      <c r="AJ386" s="59" t="s">
        <v>747</v>
      </c>
      <c r="AK386" s="59" t="s">
        <v>748</v>
      </c>
      <c r="AL386" s="64" t="str">
        <f>IFERROR(INDEX(LK_BankMaster!$D$4:$D$23,MATCH(AJ386&amp;"|"&amp;AK386,LK_BankMaster!$H$4:$H$23,0)),"")</f>
        <v/>
      </c>
      <c r="AM386" s="59" t="s">
        <v>4235</v>
      </c>
      <c r="AN386" s="64" t="str">
        <f>IFERROR(VLOOKUP(AJ386,LK_BankMaster!$A$4:$E$23,5,FALSE()),"")</f>
        <v/>
      </c>
      <c r="AO386" s="59" t="s">
        <v>291</v>
      </c>
      <c r="AP386" s="66">
        <v>0</v>
      </c>
      <c r="AQ386" s="64" t="str">
        <f t="shared" si="23"/>
        <v>Position Allowance - General Staff</v>
      </c>
      <c r="AR386" s="65" t="str">
        <f>IFERROR(VLOOKUP(T386,LK_OrgMaster!$B$4:$G$89,6,FALSE()),"No")</f>
        <v>No</v>
      </c>
      <c r="AS386" s="64" t="str">
        <f>IFERROR(VLOOKUP(T386,LK_OrgMaster!$B$4:$H$89,7,FALSE()),"None")</f>
        <v>Teaching</v>
      </c>
      <c r="AT386" s="67">
        <v>33947</v>
      </c>
      <c r="AU386" s="67"/>
      <c r="AV386" s="67">
        <v>33947</v>
      </c>
      <c r="AW386" s="67">
        <v>46023</v>
      </c>
      <c r="AX386" s="68" t="s">
        <v>750</v>
      </c>
      <c r="AY386" s="69" t="s">
        <v>6260</v>
      </c>
    </row>
    <row r="387" spans="1:51" ht="15" customHeight="1" x14ac:dyDescent="0.3">
      <c r="A387" s="59" t="s">
        <v>4236</v>
      </c>
      <c r="B387" s="59" t="s">
        <v>729</v>
      </c>
      <c r="C387" s="59" t="s">
        <v>1394</v>
      </c>
      <c r="D387" s="59" t="s">
        <v>1256</v>
      </c>
      <c r="E387" s="59" t="s">
        <v>732</v>
      </c>
      <c r="F387" s="60">
        <v>30542</v>
      </c>
      <c r="G387" s="59" t="s">
        <v>4237</v>
      </c>
      <c r="H387" s="59" t="s">
        <v>4238</v>
      </c>
      <c r="I387" s="60">
        <v>35425</v>
      </c>
      <c r="J387" s="61">
        <f t="shared" ca="1" si="20"/>
        <v>29</v>
      </c>
      <c r="K387" s="62">
        <f t="shared" si="21"/>
        <v>52457</v>
      </c>
      <c r="L387" s="59" t="s">
        <v>735</v>
      </c>
      <c r="M387" s="59" t="s">
        <v>1912</v>
      </c>
      <c r="N387" s="59" t="s">
        <v>737</v>
      </c>
      <c r="O387" s="63">
        <v>0</v>
      </c>
      <c r="P387" s="61">
        <f>IFERROR(SUMPRODUCT((LK_GradeDerivation!$A$4:$A$135=N387)*(IF(O387="",0,O387)&gt;=LK_GradeDerivation!$B$4:$B$135)*(IF(O387="",0,O387)&lt;=LK_GradeDerivation!$C$4:$C$135)*LK_GradeDerivation!$D$4:$D$135),1)</f>
        <v>4</v>
      </c>
      <c r="Q387" s="61">
        <f>IFERROR(SUMPRODUCT((LK_GradeDerivation!$A$4:$A$135=N387)*(IF(O387="",0,O387)&gt;=LK_GradeDerivation!$B$4:$B$135)*(IF(O387="",0,O387)&lt;=LK_GradeDerivation!$C$4:$C$135)*LK_GradeDerivation!$E$4:$E$135),1)</f>
        <v>1</v>
      </c>
      <c r="R387" s="59" t="s">
        <v>4239</v>
      </c>
      <c r="S387" s="59" t="s">
        <v>4240</v>
      </c>
      <c r="T387" s="59" t="s">
        <v>782</v>
      </c>
      <c r="U387" s="59" t="s">
        <v>1191</v>
      </c>
      <c r="V387" s="59" t="s">
        <v>1192</v>
      </c>
      <c r="W387" s="59" t="s">
        <v>285</v>
      </c>
      <c r="X387" s="59" t="s">
        <v>500</v>
      </c>
      <c r="Y387" s="59" t="s">
        <v>507</v>
      </c>
      <c r="Z387" s="64" t="str">
        <f>IFERROR(VLOOKUP(T387,LK_OrgMaster!$B$4:$H$89,5,FALSE()),"Administration")</f>
        <v>Medical</v>
      </c>
      <c r="AA387" s="65" t="str">
        <f>IFERROR(VLOOKUP(X387,LK_LocationMaster!$D$4:$G$157,4,FALSE()),"No")</f>
        <v>No</v>
      </c>
      <c r="AB387" s="65" t="str">
        <f t="shared" si="22"/>
        <v>No</v>
      </c>
      <c r="AC387" s="65" t="str">
        <f>IFERROR(VLOOKUP(X387,LK_LocationMaster!$D$4:$H$157,5,FALSE()),"No")</f>
        <v>Yes</v>
      </c>
      <c r="AD387" s="59" t="s">
        <v>3298</v>
      </c>
      <c r="AE387" s="59" t="s">
        <v>4241</v>
      </c>
      <c r="AF387" s="59" t="s">
        <v>745</v>
      </c>
      <c r="AG387" s="59" t="s">
        <v>312</v>
      </c>
      <c r="AH387" s="59" t="s">
        <v>4242</v>
      </c>
      <c r="AI387" s="59" t="s">
        <v>285</v>
      </c>
      <c r="AJ387" s="59" t="s">
        <v>768</v>
      </c>
      <c r="AK387" s="59" t="s">
        <v>1122</v>
      </c>
      <c r="AL387" s="64" t="str">
        <f>IFERROR(INDEX(LK_BankMaster!$D$4:$D$23,MATCH(AJ387&amp;"|"&amp;AK387,LK_BankMaster!$H$4:$H$23,0)),"")</f>
        <v/>
      </c>
      <c r="AM387" s="59" t="s">
        <v>4243</v>
      </c>
      <c r="AN387" s="64" t="str">
        <f>IFERROR(VLOOKUP(AJ387,LK_BankMaster!$A$4:$E$23,5,FALSE()),"")</f>
        <v/>
      </c>
      <c r="AO387" s="59" t="s">
        <v>291</v>
      </c>
      <c r="AP387" s="66">
        <v>0</v>
      </c>
      <c r="AQ387" s="64" t="str">
        <f t="shared" si="23"/>
        <v>Position Allowance - General Staff</v>
      </c>
      <c r="AR387" s="65" t="str">
        <f>IFERROR(VLOOKUP(T387,LK_OrgMaster!$B$4:$G$89,6,FALSE()),"No")</f>
        <v>No</v>
      </c>
      <c r="AS387" s="64" t="str">
        <f>IFERROR(VLOOKUP(T387,LK_OrgMaster!$B$4:$H$89,7,FALSE()),"None")</f>
        <v>Medical</v>
      </c>
      <c r="AT387" s="70">
        <v>35425</v>
      </c>
      <c r="AU387" s="70"/>
      <c r="AV387" s="70">
        <v>35425</v>
      </c>
      <c r="AW387" s="70">
        <v>46023</v>
      </c>
      <c r="AX387" s="71" t="s">
        <v>750</v>
      </c>
      <c r="AY387" s="72" t="s">
        <v>6260</v>
      </c>
    </row>
    <row r="388" spans="1:51" ht="15" customHeight="1" x14ac:dyDescent="0.3">
      <c r="A388" s="59" t="s">
        <v>4244</v>
      </c>
      <c r="B388" s="59" t="s">
        <v>772</v>
      </c>
      <c r="C388" s="59" t="s">
        <v>1553</v>
      </c>
      <c r="D388" s="59" t="s">
        <v>876</v>
      </c>
      <c r="E388" s="59" t="s">
        <v>732</v>
      </c>
      <c r="F388" s="60">
        <v>34984</v>
      </c>
      <c r="G388" s="59" t="s">
        <v>4245</v>
      </c>
      <c r="H388" s="59" t="s">
        <v>4246</v>
      </c>
      <c r="I388" s="60">
        <v>37079</v>
      </c>
      <c r="J388" s="61">
        <f t="shared" ref="J388:J451" ca="1" si="24">IFERROR(DATEDIF(I388,TODAY(),"Y"),0)</f>
        <v>24</v>
      </c>
      <c r="K388" s="62">
        <f t="shared" ref="K388:K451" si="25">IFERROR(DATE(YEAR(F388)+60,MONTH(F388),DAY(F388)),"")</f>
        <v>56899</v>
      </c>
      <c r="L388" s="59" t="s">
        <v>735</v>
      </c>
      <c r="M388" s="59" t="s">
        <v>924</v>
      </c>
      <c r="N388" s="59" t="s">
        <v>1292</v>
      </c>
      <c r="O388" s="63">
        <v>0</v>
      </c>
      <c r="P388" s="61">
        <f>IFERROR(SUMPRODUCT((LK_GradeDerivation!$A$4:$A$135=N388)*(IF(O388="",0,O388)&gt;=LK_GradeDerivation!$B$4:$B$135)*(IF(O388="",0,O388)&lt;=LK_GradeDerivation!$C$4:$C$135)*LK_GradeDerivation!$D$4:$D$135),1)</f>
        <v>5</v>
      </c>
      <c r="Q388" s="61">
        <f>IFERROR(SUMPRODUCT((LK_GradeDerivation!$A$4:$A$135=N388)*(IF(O388="",0,O388)&gt;=LK_GradeDerivation!$B$4:$B$135)*(IF(O388="",0,O388)&lt;=LK_GradeDerivation!$C$4:$C$135)*LK_GradeDerivation!$E$4:$E$135),1)</f>
        <v>6</v>
      </c>
      <c r="R388" s="59" t="s">
        <v>4247</v>
      </c>
      <c r="S388" s="59" t="s">
        <v>4248</v>
      </c>
      <c r="T388" s="59" t="s">
        <v>740</v>
      </c>
      <c r="U388" s="59" t="s">
        <v>927</v>
      </c>
      <c r="V388" s="59" t="s">
        <v>763</v>
      </c>
      <c r="W388" s="59" t="s">
        <v>285</v>
      </c>
      <c r="X388" s="59" t="s">
        <v>329</v>
      </c>
      <c r="Y388" s="59" t="s">
        <v>336</v>
      </c>
      <c r="Z388" s="64" t="str">
        <f>IFERROR(VLOOKUP(T388,LK_OrgMaster!$B$4:$H$89,5,FALSE()),"Administration")</f>
        <v>Teacher</v>
      </c>
      <c r="AA388" s="65" t="str">
        <f>IFERROR(VLOOKUP(X388,LK_LocationMaster!$D$4:$G$157,4,FALSE()),"No")</f>
        <v>Yes</v>
      </c>
      <c r="AB388" s="65" t="str">
        <f t="shared" ref="AB388:AB451" si="26">IF(W388="Foreign / International","Yes","No")</f>
        <v>No</v>
      </c>
      <c r="AC388" s="65" t="str">
        <f>IFERROR(VLOOKUP(X388,LK_LocationMaster!$D$4:$H$157,5,FALSE()),"No")</f>
        <v>No</v>
      </c>
      <c r="AD388" s="59" t="s">
        <v>1358</v>
      </c>
      <c r="AE388" s="59" t="s">
        <v>930</v>
      </c>
      <c r="AF388" s="59" t="s">
        <v>786</v>
      </c>
      <c r="AG388" s="59" t="s">
        <v>368</v>
      </c>
      <c r="AH388" s="59" t="s">
        <v>4249</v>
      </c>
      <c r="AI388" s="59" t="s">
        <v>285</v>
      </c>
      <c r="AJ388" s="59" t="s">
        <v>833</v>
      </c>
      <c r="AK388" s="59" t="s">
        <v>1550</v>
      </c>
      <c r="AL388" s="64" t="str">
        <f>IFERROR(INDEX(LK_BankMaster!$D$4:$D$23,MATCH(AJ388&amp;"|"&amp;AK388,LK_BankMaster!$H$4:$H$23,0)),"")</f>
        <v/>
      </c>
      <c r="AM388" s="59" t="s">
        <v>4250</v>
      </c>
      <c r="AN388" s="64" t="str">
        <f>IFERROR(VLOOKUP(AJ388,LK_BankMaster!$A$4:$E$23,5,FALSE()),"")</f>
        <v/>
      </c>
      <c r="AO388" s="59" t="s">
        <v>314</v>
      </c>
      <c r="AP388" s="66">
        <v>3</v>
      </c>
      <c r="AQ388" s="64" t="str">
        <f t="shared" ref="AQ388:AQ451" si="27">IF(ISNUMBER(SEARCH("Deputy Minister",M388)),"Position Allowance - Deputy Minister",IF(AND(ISNUMBER(SEARCH("Minister",M388)),NOT(ISNUMBER(SEARCH("Deputy",M388)))),"Position Allowance - Minister",IF(ISNUMBER(SEARCH("Deputy Director",M388)),"Position Allowance - Deputy Director",IF(AND(ISNUMBER(SEARCH("Director",M388)),NOT(ISNUMBER(SEARCH("Deputy",M388)))),"Position Allowance - Director",IF(ISNUMBER(SEARCH("Division Chief",M388)),"Position Allowance - Division Chief",IF(ISNUMBER(SEARCH("Section Chief",M388)),"Position Allowance - Section Chief","Position Allowance - General Staff"))))))</f>
        <v>Position Allowance - General Staff</v>
      </c>
      <c r="AR388" s="65" t="str">
        <f>IFERROR(VLOOKUP(T388,LK_OrgMaster!$B$4:$G$89,6,FALSE()),"No")</f>
        <v>No</v>
      </c>
      <c r="AS388" s="64" t="str">
        <f>IFERROR(VLOOKUP(T388,LK_OrgMaster!$B$4:$H$89,7,FALSE()),"None")</f>
        <v>Teaching</v>
      </c>
      <c r="AT388" s="67">
        <v>37079</v>
      </c>
      <c r="AU388" s="67"/>
      <c r="AV388" s="67">
        <v>37079</v>
      </c>
      <c r="AW388" s="67">
        <v>46023</v>
      </c>
      <c r="AX388" s="68" t="s">
        <v>750</v>
      </c>
      <c r="AY388" s="69" t="s">
        <v>6260</v>
      </c>
    </row>
    <row r="389" spans="1:51" ht="15" customHeight="1" x14ac:dyDescent="0.3">
      <c r="A389" s="59" t="s">
        <v>4251</v>
      </c>
      <c r="B389" s="59" t="s">
        <v>752</v>
      </c>
      <c r="C389" s="59" t="s">
        <v>2143</v>
      </c>
      <c r="D389" s="59" t="s">
        <v>1663</v>
      </c>
      <c r="E389" s="59" t="s">
        <v>732</v>
      </c>
      <c r="F389" s="60">
        <v>28501</v>
      </c>
      <c r="G389" s="59" t="s">
        <v>4252</v>
      </c>
      <c r="H389" s="59" t="s">
        <v>4253</v>
      </c>
      <c r="I389" s="60">
        <v>42525</v>
      </c>
      <c r="J389" s="61">
        <f t="shared" ca="1" si="24"/>
        <v>9</v>
      </c>
      <c r="K389" s="62">
        <f t="shared" si="25"/>
        <v>50416</v>
      </c>
      <c r="L389" s="59" t="s">
        <v>735</v>
      </c>
      <c r="M389" s="59" t="s">
        <v>1020</v>
      </c>
      <c r="N389" s="59" t="s">
        <v>758</v>
      </c>
      <c r="O389" s="63">
        <v>13</v>
      </c>
      <c r="P389" s="61">
        <f>IFERROR(SUMPRODUCT((LK_GradeDerivation!$A$4:$A$135=N389)*(IF(O389="",0,O389)&gt;=LK_GradeDerivation!$B$4:$B$135)*(IF(O389="",0,O389)&lt;=LK_GradeDerivation!$C$4:$C$135)*LK_GradeDerivation!$D$4:$D$135),1)</f>
        <v>5</v>
      </c>
      <c r="Q389" s="61">
        <f>IFERROR(SUMPRODUCT((LK_GradeDerivation!$A$4:$A$135=N389)*(IF(O389="",0,O389)&gt;=LK_GradeDerivation!$B$4:$B$135)*(IF(O389="",0,O389)&lt;=LK_GradeDerivation!$C$4:$C$135)*LK_GradeDerivation!$E$4:$E$135),1)</f>
        <v>7</v>
      </c>
      <c r="R389" s="59" t="s">
        <v>4254</v>
      </c>
      <c r="S389" s="59" t="s">
        <v>4255</v>
      </c>
      <c r="T389" s="59" t="s">
        <v>882</v>
      </c>
      <c r="U389" s="59" t="s">
        <v>1619</v>
      </c>
      <c r="V389" s="59" t="s">
        <v>2675</v>
      </c>
      <c r="W389" s="59" t="s">
        <v>285</v>
      </c>
      <c r="X389" s="59" t="s">
        <v>463</v>
      </c>
      <c r="Y389" s="59" t="s">
        <v>467</v>
      </c>
      <c r="Z389" s="64" t="str">
        <f>IFERROR(VLOOKUP(T389,LK_OrgMaster!$B$4:$H$89,5,FALSE()),"Administration")</f>
        <v>Legal</v>
      </c>
      <c r="AA389" s="65" t="str">
        <f>IFERROR(VLOOKUP(X389,LK_LocationMaster!$D$4:$G$157,4,FALSE()),"No")</f>
        <v>No</v>
      </c>
      <c r="AB389" s="65" t="str">
        <f t="shared" si="26"/>
        <v>No</v>
      </c>
      <c r="AC389" s="65" t="str">
        <f>IFERROR(VLOOKUP(X389,LK_LocationMaster!$D$4:$H$157,5,FALSE()),"No")</f>
        <v>No</v>
      </c>
      <c r="AD389" s="59" t="s">
        <v>4256</v>
      </c>
      <c r="AE389" s="59" t="s">
        <v>930</v>
      </c>
      <c r="AF389" s="59" t="s">
        <v>766</v>
      </c>
      <c r="AG389" s="59" t="s">
        <v>340</v>
      </c>
      <c r="AH389" s="59" t="s">
        <v>4257</v>
      </c>
      <c r="AI389" s="59" t="s">
        <v>285</v>
      </c>
      <c r="AJ389" s="59" t="s">
        <v>818</v>
      </c>
      <c r="AK389" s="59" t="s">
        <v>944</v>
      </c>
      <c r="AL389" s="64" t="str">
        <f>IFERROR(INDEX(LK_BankMaster!$D$4:$D$23,MATCH(AJ389&amp;"|"&amp;AK389,LK_BankMaster!$H$4:$H$23,0)),"")</f>
        <v/>
      </c>
      <c r="AM389" s="59" t="s">
        <v>4258</v>
      </c>
      <c r="AN389" s="64" t="str">
        <f>IFERROR(VLOOKUP(AJ389,LK_BankMaster!$A$4:$E$23,5,FALSE()),"")</f>
        <v/>
      </c>
      <c r="AO389" s="59" t="s">
        <v>314</v>
      </c>
      <c r="AP389" s="66">
        <v>3</v>
      </c>
      <c r="AQ389" s="64" t="str">
        <f t="shared" si="27"/>
        <v>Position Allowance - Section Chief</v>
      </c>
      <c r="AR389" s="65" t="str">
        <f>IFERROR(VLOOKUP(T389,LK_OrgMaster!$B$4:$G$89,6,FALSE()),"No")</f>
        <v>No</v>
      </c>
      <c r="AS389" s="64" t="str">
        <f>IFERROR(VLOOKUP(T389,LK_OrgMaster!$B$4:$H$89,7,FALSE()),"None")</f>
        <v>None</v>
      </c>
      <c r="AT389" s="70">
        <v>42525</v>
      </c>
      <c r="AU389" s="70"/>
      <c r="AV389" s="70">
        <v>42525</v>
      </c>
      <c r="AW389" s="70">
        <v>46023</v>
      </c>
      <c r="AX389" s="71" t="s">
        <v>750</v>
      </c>
      <c r="AY389" s="72" t="s">
        <v>6260</v>
      </c>
    </row>
    <row r="390" spans="1:51" ht="15" customHeight="1" x14ac:dyDescent="0.3">
      <c r="A390" s="59" t="s">
        <v>4259</v>
      </c>
      <c r="B390" s="59" t="s">
        <v>752</v>
      </c>
      <c r="C390" s="59" t="s">
        <v>988</v>
      </c>
      <c r="D390" s="59" t="s">
        <v>1604</v>
      </c>
      <c r="E390" s="59" t="s">
        <v>732</v>
      </c>
      <c r="F390" s="60">
        <v>25753</v>
      </c>
      <c r="G390" s="59" t="s">
        <v>4260</v>
      </c>
      <c r="H390" s="59" t="s">
        <v>4261</v>
      </c>
      <c r="I390" s="60">
        <v>34343</v>
      </c>
      <c r="J390" s="61">
        <f t="shared" ca="1" si="24"/>
        <v>32</v>
      </c>
      <c r="K390" s="62">
        <f t="shared" si="25"/>
        <v>47668</v>
      </c>
      <c r="L390" s="59" t="s">
        <v>735</v>
      </c>
      <c r="M390" s="59" t="s">
        <v>1574</v>
      </c>
      <c r="N390" s="59" t="s">
        <v>737</v>
      </c>
      <c r="O390" s="63">
        <v>1</v>
      </c>
      <c r="P390" s="61">
        <f>IFERROR(SUMPRODUCT((LK_GradeDerivation!$A$4:$A$135=N390)*(IF(O390="",0,O390)&gt;=LK_GradeDerivation!$B$4:$B$135)*(IF(O390="",0,O390)&lt;=LK_GradeDerivation!$C$4:$C$135)*LK_GradeDerivation!$D$4:$D$135),1)</f>
        <v>4</v>
      </c>
      <c r="Q390" s="61">
        <f>IFERROR(SUMPRODUCT((LK_GradeDerivation!$A$4:$A$135=N390)*(IF(O390="",0,O390)&gt;=LK_GradeDerivation!$B$4:$B$135)*(IF(O390="",0,O390)&lt;=LK_GradeDerivation!$C$4:$C$135)*LK_GradeDerivation!$E$4:$E$135),1)</f>
        <v>1</v>
      </c>
      <c r="R390" s="59" t="s">
        <v>4262</v>
      </c>
      <c r="S390" s="59" t="s">
        <v>4263</v>
      </c>
      <c r="T390" s="59" t="s">
        <v>1096</v>
      </c>
      <c r="U390" s="59" t="s">
        <v>1597</v>
      </c>
      <c r="V390" s="59" t="s">
        <v>763</v>
      </c>
      <c r="W390" s="59" t="s">
        <v>285</v>
      </c>
      <c r="X390" s="59" t="s">
        <v>368</v>
      </c>
      <c r="Y390" s="59" t="s">
        <v>387</v>
      </c>
      <c r="Z390" s="64" t="str">
        <f>IFERROR(VLOOKUP(T390,LK_OrgMaster!$B$4:$H$89,5,FALSE()),"Administration")</f>
        <v>Administration</v>
      </c>
      <c r="AA390" s="65" t="str">
        <f>IFERROR(VLOOKUP(X390,LK_LocationMaster!$D$4:$G$157,4,FALSE()),"No")</f>
        <v>No</v>
      </c>
      <c r="AB390" s="65" t="str">
        <f t="shared" si="26"/>
        <v>No</v>
      </c>
      <c r="AC390" s="65" t="str">
        <f>IFERROR(VLOOKUP(X390,LK_LocationMaster!$D$4:$H$157,5,FALSE()),"No")</f>
        <v>No</v>
      </c>
      <c r="AD390" s="59" t="s">
        <v>4264</v>
      </c>
      <c r="AE390" s="59" t="s">
        <v>886</v>
      </c>
      <c r="AF390" s="59" t="s">
        <v>786</v>
      </c>
      <c r="AG390" s="59" t="s">
        <v>288</v>
      </c>
      <c r="AH390" s="59" t="s">
        <v>4265</v>
      </c>
      <c r="AI390" s="59" t="s">
        <v>285</v>
      </c>
      <c r="AJ390" s="59" t="s">
        <v>768</v>
      </c>
      <c r="AK390" s="59" t="s">
        <v>1063</v>
      </c>
      <c r="AL390" s="64" t="str">
        <f>IFERROR(INDEX(LK_BankMaster!$D$4:$D$23,MATCH(AJ390&amp;"|"&amp;AK390,LK_BankMaster!$H$4:$H$23,0)),"")</f>
        <v/>
      </c>
      <c r="AM390" s="59" t="s">
        <v>4266</v>
      </c>
      <c r="AN390" s="64" t="str">
        <f>IFERROR(VLOOKUP(AJ390,LK_BankMaster!$A$4:$E$23,5,FALSE()),"")</f>
        <v/>
      </c>
      <c r="AO390" s="59" t="s">
        <v>314</v>
      </c>
      <c r="AP390" s="66">
        <v>0</v>
      </c>
      <c r="AQ390" s="64" t="str">
        <f t="shared" si="27"/>
        <v>Position Allowance - Deputy Director</v>
      </c>
      <c r="AR390" s="65" t="str">
        <f>IFERROR(VLOOKUP(T390,LK_OrgMaster!$B$4:$G$89,6,FALSE()),"No")</f>
        <v>No</v>
      </c>
      <c r="AS390" s="64" t="str">
        <f>IFERROR(VLOOKUP(T390,LK_OrgMaster!$B$4:$H$89,7,FALSE()),"None")</f>
        <v>None</v>
      </c>
      <c r="AT390" s="67">
        <v>34343</v>
      </c>
      <c r="AU390" s="67"/>
      <c r="AV390" s="67">
        <v>34343</v>
      </c>
      <c r="AW390" s="67">
        <v>46023</v>
      </c>
      <c r="AX390" s="68" t="s">
        <v>750</v>
      </c>
      <c r="AY390" s="69" t="s">
        <v>6260</v>
      </c>
    </row>
    <row r="391" spans="1:51" ht="15" customHeight="1" x14ac:dyDescent="0.3">
      <c r="A391" s="59" t="s">
        <v>4267</v>
      </c>
      <c r="B391" s="59" t="s">
        <v>752</v>
      </c>
      <c r="C391" s="59" t="s">
        <v>1521</v>
      </c>
      <c r="D391" s="59" t="s">
        <v>1759</v>
      </c>
      <c r="E391" s="59" t="s">
        <v>732</v>
      </c>
      <c r="F391" s="60">
        <v>27558</v>
      </c>
      <c r="G391" s="59" t="s">
        <v>4268</v>
      </c>
      <c r="H391" s="59" t="s">
        <v>4269</v>
      </c>
      <c r="I391" s="60">
        <v>38848</v>
      </c>
      <c r="J391" s="61">
        <f t="shared" ca="1" si="24"/>
        <v>19</v>
      </c>
      <c r="K391" s="62">
        <f t="shared" si="25"/>
        <v>49473</v>
      </c>
      <c r="L391" s="59" t="s">
        <v>735</v>
      </c>
      <c r="M391" s="59" t="s">
        <v>1006</v>
      </c>
      <c r="N391" s="59" t="s">
        <v>779</v>
      </c>
      <c r="O391" s="63">
        <v>12</v>
      </c>
      <c r="P391" s="61">
        <f>IFERROR(SUMPRODUCT((LK_GradeDerivation!$A$4:$A$135=N391)*(IF(O391="",0,O391)&gt;=LK_GradeDerivation!$B$4:$B$135)*(IF(O391="",0,O391)&lt;=LK_GradeDerivation!$C$4:$C$135)*LK_GradeDerivation!$D$4:$D$135),1)</f>
        <v>2</v>
      </c>
      <c r="Q391" s="61">
        <f>IFERROR(SUMPRODUCT((LK_GradeDerivation!$A$4:$A$135=N391)*(IF(O391="",0,O391)&gt;=LK_GradeDerivation!$B$4:$B$135)*(IF(O391="",0,O391)&lt;=LK_GradeDerivation!$C$4:$C$135)*LK_GradeDerivation!$E$4:$E$135),1)</f>
        <v>7</v>
      </c>
      <c r="R391" s="59" t="s">
        <v>4270</v>
      </c>
      <c r="S391" s="59" t="s">
        <v>4271</v>
      </c>
      <c r="T391" s="59" t="s">
        <v>1058</v>
      </c>
      <c r="U391" s="59" t="s">
        <v>2438</v>
      </c>
      <c r="V391" s="59" t="s">
        <v>2554</v>
      </c>
      <c r="W391" s="59" t="s">
        <v>285</v>
      </c>
      <c r="X391" s="59" t="s">
        <v>429</v>
      </c>
      <c r="Y391" s="59" t="s">
        <v>437</v>
      </c>
      <c r="Z391" s="64" t="str">
        <f>IFERROR(VLOOKUP(T391,LK_OrgMaster!$B$4:$H$89,5,FALSE()),"Administration")</f>
        <v>Technical</v>
      </c>
      <c r="AA391" s="65" t="str">
        <f>IFERROR(VLOOKUP(X391,LK_LocationMaster!$D$4:$G$157,4,FALSE()),"No")</f>
        <v>Yes</v>
      </c>
      <c r="AB391" s="65" t="str">
        <f t="shared" si="26"/>
        <v>No</v>
      </c>
      <c r="AC391" s="65" t="str">
        <f>IFERROR(VLOOKUP(X391,LK_LocationMaster!$D$4:$H$157,5,FALSE()),"No")</f>
        <v>Yes</v>
      </c>
      <c r="AD391" s="59" t="s">
        <v>4272</v>
      </c>
      <c r="AE391" s="59" t="s">
        <v>1413</v>
      </c>
      <c r="AF391" s="59" t="s">
        <v>847</v>
      </c>
      <c r="AG391" s="59" t="s">
        <v>312</v>
      </c>
      <c r="AH391" s="59" t="s">
        <v>4273</v>
      </c>
      <c r="AI391" s="59" t="s">
        <v>285</v>
      </c>
      <c r="AJ391" s="59" t="s">
        <v>747</v>
      </c>
      <c r="AK391" s="59" t="s">
        <v>748</v>
      </c>
      <c r="AL391" s="64" t="str">
        <f>IFERROR(INDEX(LK_BankMaster!$D$4:$D$23,MATCH(AJ391&amp;"|"&amp;AK391,LK_BankMaster!$H$4:$H$23,0)),"")</f>
        <v/>
      </c>
      <c r="AM391" s="59" t="s">
        <v>4274</v>
      </c>
      <c r="AN391" s="64" t="str">
        <f>IFERROR(VLOOKUP(AJ391,LK_BankMaster!$A$4:$E$23,5,FALSE()),"")</f>
        <v/>
      </c>
      <c r="AO391" s="59" t="s">
        <v>314</v>
      </c>
      <c r="AP391" s="66">
        <v>3</v>
      </c>
      <c r="AQ391" s="64" t="str">
        <f t="shared" si="27"/>
        <v>Position Allowance - General Staff</v>
      </c>
      <c r="AR391" s="65" t="str">
        <f>IFERROR(VLOOKUP(T391,LK_OrgMaster!$B$4:$G$89,6,FALSE()),"No")</f>
        <v>No</v>
      </c>
      <c r="AS391" s="64" t="str">
        <f>IFERROR(VLOOKUP(T391,LK_OrgMaster!$B$4:$H$89,7,FALSE()),"None")</f>
        <v>None</v>
      </c>
      <c r="AT391" s="70">
        <v>38848</v>
      </c>
      <c r="AU391" s="70"/>
      <c r="AV391" s="70">
        <v>38848</v>
      </c>
      <c r="AW391" s="70">
        <v>46023</v>
      </c>
      <c r="AX391" s="71" t="s">
        <v>750</v>
      </c>
      <c r="AY391" s="72" t="s">
        <v>6260</v>
      </c>
    </row>
    <row r="392" spans="1:51" ht="15" customHeight="1" x14ac:dyDescent="0.3">
      <c r="A392" s="59" t="s">
        <v>4275</v>
      </c>
      <c r="B392" s="59" t="s">
        <v>772</v>
      </c>
      <c r="C392" s="59" t="s">
        <v>1101</v>
      </c>
      <c r="D392" s="59" t="s">
        <v>1112</v>
      </c>
      <c r="E392" s="59" t="s">
        <v>775</v>
      </c>
      <c r="F392" s="60">
        <v>32137</v>
      </c>
      <c r="G392" s="59" t="s">
        <v>4276</v>
      </c>
      <c r="H392" s="59" t="s">
        <v>4277</v>
      </c>
      <c r="I392" s="60">
        <v>42042</v>
      </c>
      <c r="J392" s="61">
        <f t="shared" ca="1" si="24"/>
        <v>11</v>
      </c>
      <c r="K392" s="62">
        <f t="shared" si="25"/>
        <v>54052</v>
      </c>
      <c r="L392" s="59" t="s">
        <v>735</v>
      </c>
      <c r="M392" s="59" t="s">
        <v>910</v>
      </c>
      <c r="N392" s="59" t="s">
        <v>758</v>
      </c>
      <c r="O392" s="63">
        <v>2</v>
      </c>
      <c r="P392" s="61">
        <f>IFERROR(SUMPRODUCT((LK_GradeDerivation!$A$4:$A$135=N392)*(IF(O392="",0,O392)&gt;=LK_GradeDerivation!$B$4:$B$135)*(IF(O392="",0,O392)&lt;=LK_GradeDerivation!$C$4:$C$135)*LK_GradeDerivation!$D$4:$D$135),1)</f>
        <v>5</v>
      </c>
      <c r="Q392" s="61">
        <f>IFERROR(SUMPRODUCT((LK_GradeDerivation!$A$4:$A$135=N392)*(IF(O392="",0,O392)&gt;=LK_GradeDerivation!$B$4:$B$135)*(IF(O392="",0,O392)&lt;=LK_GradeDerivation!$C$4:$C$135)*LK_GradeDerivation!$E$4:$E$135),1)</f>
        <v>2</v>
      </c>
      <c r="R392" s="59" t="s">
        <v>4278</v>
      </c>
      <c r="S392" s="59" t="s">
        <v>4279</v>
      </c>
      <c r="T392" s="59" t="s">
        <v>882</v>
      </c>
      <c r="U392" s="59" t="s">
        <v>883</v>
      </c>
      <c r="V392" s="59" t="s">
        <v>3602</v>
      </c>
      <c r="W392" s="59" t="s">
        <v>285</v>
      </c>
      <c r="X392" s="59" t="s">
        <v>587</v>
      </c>
      <c r="Y392" s="59" t="s">
        <v>589</v>
      </c>
      <c r="Z392" s="64" t="str">
        <f>IFERROR(VLOOKUP(T392,LK_OrgMaster!$B$4:$H$89,5,FALSE()),"Administration")</f>
        <v>Legal</v>
      </c>
      <c r="AA392" s="65" t="str">
        <f>IFERROR(VLOOKUP(X392,LK_LocationMaster!$D$4:$G$157,4,FALSE()),"No")</f>
        <v>Yes</v>
      </c>
      <c r="AB392" s="65" t="str">
        <f t="shared" si="26"/>
        <v>No</v>
      </c>
      <c r="AC392" s="65" t="str">
        <f>IFERROR(VLOOKUP(X392,LK_LocationMaster!$D$4:$H$157,5,FALSE()),"No")</f>
        <v>Yes</v>
      </c>
      <c r="AD392" s="59" t="s">
        <v>4280</v>
      </c>
      <c r="AE392" s="59" t="s">
        <v>4281</v>
      </c>
      <c r="AF392" s="59" t="s">
        <v>816</v>
      </c>
      <c r="AG392" s="59" t="s">
        <v>356</v>
      </c>
      <c r="AH392" s="59" t="s">
        <v>4101</v>
      </c>
      <c r="AI392" s="59" t="s">
        <v>285</v>
      </c>
      <c r="AJ392" s="59" t="s">
        <v>788</v>
      </c>
      <c r="AK392" s="59" t="s">
        <v>903</v>
      </c>
      <c r="AL392" s="64" t="str">
        <f>IFERROR(INDEX(LK_BankMaster!$D$4:$D$23,MATCH(AJ392&amp;"|"&amp;AK392,LK_BankMaster!$H$4:$H$23,0)),"")</f>
        <v/>
      </c>
      <c r="AM392" s="59" t="s">
        <v>4282</v>
      </c>
      <c r="AN392" s="64" t="str">
        <f>IFERROR(VLOOKUP(AJ392,LK_BankMaster!$A$4:$E$23,5,FALSE()),"")</f>
        <v/>
      </c>
      <c r="AO392" s="59" t="s">
        <v>314</v>
      </c>
      <c r="AP392" s="66">
        <v>0</v>
      </c>
      <c r="AQ392" s="64" t="str">
        <f t="shared" si="27"/>
        <v>Position Allowance - Division Chief</v>
      </c>
      <c r="AR392" s="65" t="str">
        <f>IFERROR(VLOOKUP(T392,LK_OrgMaster!$B$4:$G$89,6,FALSE()),"No")</f>
        <v>No</v>
      </c>
      <c r="AS392" s="64" t="str">
        <f>IFERROR(VLOOKUP(T392,LK_OrgMaster!$B$4:$H$89,7,FALSE()),"None")</f>
        <v>None</v>
      </c>
      <c r="AT392" s="67">
        <v>42042</v>
      </c>
      <c r="AU392" s="67"/>
      <c r="AV392" s="67">
        <v>42042</v>
      </c>
      <c r="AW392" s="67">
        <v>46023</v>
      </c>
      <c r="AX392" s="68" t="s">
        <v>750</v>
      </c>
      <c r="AY392" s="69" t="s">
        <v>6260</v>
      </c>
    </row>
    <row r="393" spans="1:51" ht="15" customHeight="1" x14ac:dyDescent="0.3">
      <c r="A393" s="59" t="s">
        <v>4283</v>
      </c>
      <c r="B393" s="59" t="s">
        <v>729</v>
      </c>
      <c r="C393" s="59" t="s">
        <v>1417</v>
      </c>
      <c r="D393" s="59" t="s">
        <v>754</v>
      </c>
      <c r="E393" s="59" t="s">
        <v>732</v>
      </c>
      <c r="F393" s="60">
        <v>26773</v>
      </c>
      <c r="G393" s="59" t="s">
        <v>4284</v>
      </c>
      <c r="H393" s="59" t="s">
        <v>4285</v>
      </c>
      <c r="I393" s="60">
        <v>43360</v>
      </c>
      <c r="J393" s="61">
        <f t="shared" ca="1" si="24"/>
        <v>7</v>
      </c>
      <c r="K393" s="62">
        <f t="shared" si="25"/>
        <v>48688</v>
      </c>
      <c r="L393" s="59" t="s">
        <v>735</v>
      </c>
      <c r="M393" s="59" t="s">
        <v>841</v>
      </c>
      <c r="N393" s="59" t="s">
        <v>758</v>
      </c>
      <c r="O393" s="63">
        <v>20</v>
      </c>
      <c r="P393" s="61">
        <f>IFERROR(SUMPRODUCT((LK_GradeDerivation!$A$4:$A$135=N393)*(IF(O393="",0,O393)&gt;=LK_GradeDerivation!$B$4:$B$135)*(IF(O393="",0,O393)&lt;=LK_GradeDerivation!$C$4:$C$135)*LK_GradeDerivation!$D$4:$D$135),1)</f>
        <v>5</v>
      </c>
      <c r="Q393" s="61">
        <f>IFERROR(SUMPRODUCT((LK_GradeDerivation!$A$4:$A$135=N393)*(IF(O393="",0,O393)&gt;=LK_GradeDerivation!$B$4:$B$135)*(IF(O393="",0,O393)&lt;=LK_GradeDerivation!$C$4:$C$135)*LK_GradeDerivation!$E$4:$E$135),1)</f>
        <v>11</v>
      </c>
      <c r="R393" s="59" t="s">
        <v>4286</v>
      </c>
      <c r="S393" s="59" t="s">
        <v>4287</v>
      </c>
      <c r="T393" s="59" t="s">
        <v>2790</v>
      </c>
      <c r="U393" s="59" t="s">
        <v>1229</v>
      </c>
      <c r="V393" s="59" t="s">
        <v>2029</v>
      </c>
      <c r="W393" s="59" t="s">
        <v>285</v>
      </c>
      <c r="X393" s="59" t="s">
        <v>554</v>
      </c>
      <c r="Y393" s="59" t="s">
        <v>564</v>
      </c>
      <c r="Z393" s="64" t="str">
        <f>IFERROR(VLOOKUP(T393,LK_OrgMaster!$B$4:$H$89,5,FALSE()),"Administration")</f>
        <v>Administration</v>
      </c>
      <c r="AA393" s="65" t="str">
        <f>IFERROR(VLOOKUP(X393,LK_LocationMaster!$D$4:$G$157,4,FALSE()),"No")</f>
        <v>No</v>
      </c>
      <c r="AB393" s="65" t="str">
        <f t="shared" si="26"/>
        <v>No</v>
      </c>
      <c r="AC393" s="65" t="str">
        <f>IFERROR(VLOOKUP(X393,LK_LocationMaster!$D$4:$H$157,5,FALSE()),"No")</f>
        <v>No</v>
      </c>
      <c r="AD393" s="59" t="s">
        <v>4288</v>
      </c>
      <c r="AE393" s="59" t="s">
        <v>765</v>
      </c>
      <c r="AF393" s="59" t="s">
        <v>847</v>
      </c>
      <c r="AG393" s="59" t="s">
        <v>340</v>
      </c>
      <c r="AH393" s="59" t="s">
        <v>4289</v>
      </c>
      <c r="AI393" s="59" t="s">
        <v>285</v>
      </c>
      <c r="AJ393" s="59" t="s">
        <v>768</v>
      </c>
      <c r="AK393" s="59" t="s">
        <v>803</v>
      </c>
      <c r="AL393" s="64" t="str">
        <f>IFERROR(INDEX(LK_BankMaster!$D$4:$D$23,MATCH(AJ393&amp;"|"&amp;AK393,LK_BankMaster!$H$4:$H$23,0)),"")</f>
        <v/>
      </c>
      <c r="AM393" s="59" t="s">
        <v>4290</v>
      </c>
      <c r="AN393" s="64" t="str">
        <f>IFERROR(VLOOKUP(AJ393,LK_BankMaster!$A$4:$E$23,5,FALSE()),"")</f>
        <v/>
      </c>
      <c r="AO393" s="59" t="s">
        <v>314</v>
      </c>
      <c r="AP393" s="66">
        <v>2</v>
      </c>
      <c r="AQ393" s="64" t="str">
        <f t="shared" si="27"/>
        <v>Position Allowance - Director</v>
      </c>
      <c r="AR393" s="65" t="str">
        <f>IFERROR(VLOOKUP(T393,LK_OrgMaster!$B$4:$G$89,6,FALSE()),"No")</f>
        <v>No</v>
      </c>
      <c r="AS393" s="64" t="str">
        <f>IFERROR(VLOOKUP(T393,LK_OrgMaster!$B$4:$H$89,7,FALSE()),"None")</f>
        <v>None</v>
      </c>
      <c r="AT393" s="70">
        <v>43360</v>
      </c>
      <c r="AU393" s="70"/>
      <c r="AV393" s="70">
        <v>43360</v>
      </c>
      <c r="AW393" s="70">
        <v>46023</v>
      </c>
      <c r="AX393" s="71" t="s">
        <v>750</v>
      </c>
      <c r="AY393" s="72" t="s">
        <v>6260</v>
      </c>
    </row>
    <row r="394" spans="1:51" ht="15" customHeight="1" x14ac:dyDescent="0.3">
      <c r="A394" s="59" t="s">
        <v>4291</v>
      </c>
      <c r="B394" s="59" t="s">
        <v>851</v>
      </c>
      <c r="C394" s="59" t="s">
        <v>1511</v>
      </c>
      <c r="D394" s="59" t="s">
        <v>1137</v>
      </c>
      <c r="E394" s="59" t="s">
        <v>775</v>
      </c>
      <c r="F394" s="60">
        <v>32625</v>
      </c>
      <c r="G394" s="59" t="s">
        <v>4292</v>
      </c>
      <c r="H394" s="59" t="s">
        <v>4293</v>
      </c>
      <c r="I394" s="60">
        <v>34376</v>
      </c>
      <c r="J394" s="61">
        <f t="shared" ca="1" si="24"/>
        <v>32</v>
      </c>
      <c r="K394" s="62">
        <f t="shared" si="25"/>
        <v>54540</v>
      </c>
      <c r="L394" s="59" t="s">
        <v>735</v>
      </c>
      <c r="M394" s="59" t="s">
        <v>1334</v>
      </c>
      <c r="N394" s="59" t="s">
        <v>1081</v>
      </c>
      <c r="O394" s="63">
        <v>0</v>
      </c>
      <c r="P394" s="61">
        <f>IFERROR(SUMPRODUCT((LK_GradeDerivation!$A$4:$A$135=N394)*(IF(O394="",0,O394)&gt;=LK_GradeDerivation!$B$4:$B$135)*(IF(O394="",0,O394)&lt;=LK_GradeDerivation!$C$4:$C$135)*LK_GradeDerivation!$D$4:$D$135),1)</f>
        <v>3</v>
      </c>
      <c r="Q394" s="61">
        <f>IFERROR(SUMPRODUCT((LK_GradeDerivation!$A$4:$A$135=N394)*(IF(O394="",0,O394)&gt;=LK_GradeDerivation!$B$4:$B$135)*(IF(O394="",0,O394)&lt;=LK_GradeDerivation!$C$4:$C$135)*LK_GradeDerivation!$E$4:$E$135),1)</f>
        <v>1</v>
      </c>
      <c r="R394" s="59" t="s">
        <v>4294</v>
      </c>
      <c r="S394" s="59" t="s">
        <v>4295</v>
      </c>
      <c r="T394" s="59" t="s">
        <v>740</v>
      </c>
      <c r="U394" s="59" t="s">
        <v>1388</v>
      </c>
      <c r="V394" s="59" t="s">
        <v>1389</v>
      </c>
      <c r="W394" s="59" t="s">
        <v>285</v>
      </c>
      <c r="X394" s="59" t="s">
        <v>575</v>
      </c>
      <c r="Y394" s="59" t="s">
        <v>585</v>
      </c>
      <c r="Z394" s="64" t="str">
        <f>IFERROR(VLOOKUP(T394,LK_OrgMaster!$B$4:$H$89,5,FALSE()),"Administration")</f>
        <v>Teacher</v>
      </c>
      <c r="AA394" s="65" t="str">
        <f>IFERROR(VLOOKUP(X394,LK_LocationMaster!$D$4:$G$157,4,FALSE()),"No")</f>
        <v>Yes</v>
      </c>
      <c r="AB394" s="65" t="str">
        <f t="shared" si="26"/>
        <v>No</v>
      </c>
      <c r="AC394" s="65" t="str">
        <f>IFERROR(VLOOKUP(X394,LK_LocationMaster!$D$4:$H$157,5,FALSE()),"No")</f>
        <v>Yes</v>
      </c>
      <c r="AD394" s="59" t="s">
        <v>1073</v>
      </c>
      <c r="AE394" s="59" t="s">
        <v>800</v>
      </c>
      <c r="AF394" s="59" t="s">
        <v>801</v>
      </c>
      <c r="AG394" s="59" t="s">
        <v>329</v>
      </c>
      <c r="AH394" s="59" t="s">
        <v>4296</v>
      </c>
      <c r="AI394" s="59" t="s">
        <v>285</v>
      </c>
      <c r="AJ394" s="59" t="s">
        <v>768</v>
      </c>
      <c r="AK394" s="59" t="s">
        <v>769</v>
      </c>
      <c r="AL394" s="64" t="str">
        <f>IFERROR(INDEX(LK_BankMaster!$D$4:$D$23,MATCH(AJ394&amp;"|"&amp;AK394,LK_BankMaster!$H$4:$H$23,0)),"")</f>
        <v/>
      </c>
      <c r="AM394" s="59" t="s">
        <v>4297</v>
      </c>
      <c r="AN394" s="64" t="str">
        <f>IFERROR(VLOOKUP(AJ394,LK_BankMaster!$A$4:$E$23,5,FALSE()),"")</f>
        <v/>
      </c>
      <c r="AO394" s="59" t="s">
        <v>314</v>
      </c>
      <c r="AP394" s="66">
        <v>1</v>
      </c>
      <c r="AQ394" s="64" t="str">
        <f t="shared" si="27"/>
        <v>Position Allowance - General Staff</v>
      </c>
      <c r="AR394" s="65" t="str">
        <f>IFERROR(VLOOKUP(T394,LK_OrgMaster!$B$4:$G$89,6,FALSE()),"No")</f>
        <v>No</v>
      </c>
      <c r="AS394" s="64" t="str">
        <f>IFERROR(VLOOKUP(T394,LK_OrgMaster!$B$4:$H$89,7,FALSE()),"None")</f>
        <v>Teaching</v>
      </c>
      <c r="AT394" s="67">
        <v>34376</v>
      </c>
      <c r="AU394" s="67"/>
      <c r="AV394" s="67">
        <v>34376</v>
      </c>
      <c r="AW394" s="67">
        <v>46023</v>
      </c>
      <c r="AX394" s="68" t="s">
        <v>750</v>
      </c>
      <c r="AY394" s="69" t="s">
        <v>6260</v>
      </c>
    </row>
    <row r="395" spans="1:51" ht="15" customHeight="1" x14ac:dyDescent="0.3">
      <c r="A395" s="59" t="s">
        <v>4298</v>
      </c>
      <c r="B395" s="59" t="s">
        <v>772</v>
      </c>
      <c r="C395" s="59" t="s">
        <v>2374</v>
      </c>
      <c r="D395" s="59" t="s">
        <v>1418</v>
      </c>
      <c r="E395" s="59" t="s">
        <v>775</v>
      </c>
      <c r="F395" s="60">
        <v>35037</v>
      </c>
      <c r="G395" s="59" t="s">
        <v>4299</v>
      </c>
      <c r="H395" s="59" t="s">
        <v>4300</v>
      </c>
      <c r="I395" s="60">
        <v>42586</v>
      </c>
      <c r="J395" s="61">
        <f t="shared" ca="1" si="24"/>
        <v>9</v>
      </c>
      <c r="K395" s="62">
        <f t="shared" si="25"/>
        <v>56952</v>
      </c>
      <c r="L395" s="59" t="s">
        <v>735</v>
      </c>
      <c r="M395" s="59" t="s">
        <v>841</v>
      </c>
      <c r="N395" s="59" t="s">
        <v>758</v>
      </c>
      <c r="O395" s="63">
        <v>0</v>
      </c>
      <c r="P395" s="61">
        <f>IFERROR(SUMPRODUCT((LK_GradeDerivation!$A$4:$A$135=N395)*(IF(O395="",0,O395)&gt;=LK_GradeDerivation!$B$4:$B$135)*(IF(O395="",0,O395)&lt;=LK_GradeDerivation!$C$4:$C$135)*LK_GradeDerivation!$D$4:$D$135),1)</f>
        <v>5</v>
      </c>
      <c r="Q395" s="61">
        <f>IFERROR(SUMPRODUCT((LK_GradeDerivation!$A$4:$A$135=N395)*(IF(O395="",0,O395)&gt;=LK_GradeDerivation!$B$4:$B$135)*(IF(O395="",0,O395)&lt;=LK_GradeDerivation!$C$4:$C$135)*LK_GradeDerivation!$E$4:$E$135),1)</f>
        <v>1</v>
      </c>
      <c r="R395" s="59" t="s">
        <v>4301</v>
      </c>
      <c r="S395" s="59" t="s">
        <v>4302</v>
      </c>
      <c r="T395" s="59" t="s">
        <v>1096</v>
      </c>
      <c r="U395" s="59" t="s">
        <v>1229</v>
      </c>
      <c r="V395" s="59" t="s">
        <v>763</v>
      </c>
      <c r="W395" s="59" t="s">
        <v>285</v>
      </c>
      <c r="X395" s="59" t="s">
        <v>544</v>
      </c>
      <c r="Y395" s="59" t="s">
        <v>548</v>
      </c>
      <c r="Z395" s="64" t="str">
        <f>IFERROR(VLOOKUP(T395,LK_OrgMaster!$B$4:$H$89,5,FALSE()),"Administration")</f>
        <v>Administration</v>
      </c>
      <c r="AA395" s="65" t="str">
        <f>IFERROR(VLOOKUP(X395,LK_LocationMaster!$D$4:$G$157,4,FALSE()),"No")</f>
        <v>Yes</v>
      </c>
      <c r="AB395" s="65" t="str">
        <f t="shared" si="26"/>
        <v>No</v>
      </c>
      <c r="AC395" s="65" t="str">
        <f>IFERROR(VLOOKUP(X395,LK_LocationMaster!$D$4:$H$157,5,FALSE()),"No")</f>
        <v>Yes</v>
      </c>
      <c r="AD395" s="59" t="s">
        <v>4054</v>
      </c>
      <c r="AE395" s="59" t="s">
        <v>930</v>
      </c>
      <c r="AF395" s="59" t="s">
        <v>901</v>
      </c>
      <c r="AG395" s="59" t="s">
        <v>356</v>
      </c>
      <c r="AH395" s="59" t="s">
        <v>4303</v>
      </c>
      <c r="AI395" s="59" t="s">
        <v>285</v>
      </c>
      <c r="AJ395" s="59" t="s">
        <v>768</v>
      </c>
      <c r="AK395" s="59" t="s">
        <v>1589</v>
      </c>
      <c r="AL395" s="64" t="str">
        <f>IFERROR(INDEX(LK_BankMaster!$D$4:$D$23,MATCH(AJ395&amp;"|"&amp;AK395,LK_BankMaster!$H$4:$H$23,0)),"")</f>
        <v/>
      </c>
      <c r="AM395" s="59" t="s">
        <v>4304</v>
      </c>
      <c r="AN395" s="64" t="str">
        <f>IFERROR(VLOOKUP(AJ395,LK_BankMaster!$A$4:$E$23,5,FALSE()),"")</f>
        <v/>
      </c>
      <c r="AO395" s="59" t="s">
        <v>291</v>
      </c>
      <c r="AP395" s="66">
        <v>0</v>
      </c>
      <c r="AQ395" s="64" t="str">
        <f t="shared" si="27"/>
        <v>Position Allowance - Director</v>
      </c>
      <c r="AR395" s="65" t="str">
        <f>IFERROR(VLOOKUP(T395,LK_OrgMaster!$B$4:$G$89,6,FALSE()),"No")</f>
        <v>No</v>
      </c>
      <c r="AS395" s="64" t="str">
        <f>IFERROR(VLOOKUP(T395,LK_OrgMaster!$B$4:$H$89,7,FALSE()),"None")</f>
        <v>None</v>
      </c>
      <c r="AT395" s="70">
        <v>42586</v>
      </c>
      <c r="AU395" s="70"/>
      <c r="AV395" s="70">
        <v>42586</v>
      </c>
      <c r="AW395" s="70">
        <v>46023</v>
      </c>
      <c r="AX395" s="71" t="s">
        <v>750</v>
      </c>
      <c r="AY395" s="72" t="s">
        <v>6260</v>
      </c>
    </row>
    <row r="396" spans="1:51" ht="15" customHeight="1" x14ac:dyDescent="0.3">
      <c r="A396" s="59" t="s">
        <v>4305</v>
      </c>
      <c r="B396" s="59" t="s">
        <v>772</v>
      </c>
      <c r="C396" s="59" t="s">
        <v>1330</v>
      </c>
      <c r="D396" s="59" t="s">
        <v>876</v>
      </c>
      <c r="E396" s="59" t="s">
        <v>732</v>
      </c>
      <c r="F396" s="60">
        <v>26685</v>
      </c>
      <c r="G396" s="59" t="s">
        <v>4306</v>
      </c>
      <c r="H396" s="59" t="s">
        <v>4307</v>
      </c>
      <c r="I396" s="60">
        <v>39603</v>
      </c>
      <c r="J396" s="61">
        <f t="shared" ca="1" si="24"/>
        <v>17</v>
      </c>
      <c r="K396" s="62">
        <f t="shared" si="25"/>
        <v>48600</v>
      </c>
      <c r="L396" s="59" t="s">
        <v>735</v>
      </c>
      <c r="M396" s="59" t="s">
        <v>1115</v>
      </c>
      <c r="N396" s="59" t="s">
        <v>737</v>
      </c>
      <c r="O396" s="63">
        <v>13</v>
      </c>
      <c r="P396" s="61">
        <f>IFERROR(SUMPRODUCT((LK_GradeDerivation!$A$4:$A$135=N396)*(IF(O396="",0,O396)&gt;=LK_GradeDerivation!$B$4:$B$135)*(IF(O396="",0,O396)&lt;=LK_GradeDerivation!$C$4:$C$135)*LK_GradeDerivation!$D$4:$D$135),1)</f>
        <v>4</v>
      </c>
      <c r="Q396" s="61">
        <f>IFERROR(SUMPRODUCT((LK_GradeDerivation!$A$4:$A$135=N396)*(IF(O396="",0,O396)&gt;=LK_GradeDerivation!$B$4:$B$135)*(IF(O396="",0,O396)&lt;=LK_GradeDerivation!$C$4:$C$135)*LK_GradeDerivation!$E$4:$E$135),1)</f>
        <v>7</v>
      </c>
      <c r="R396" s="59" t="s">
        <v>4308</v>
      </c>
      <c r="S396" s="59" t="s">
        <v>4309</v>
      </c>
      <c r="T396" s="59" t="s">
        <v>1118</v>
      </c>
      <c r="U396" s="59" t="s">
        <v>2930</v>
      </c>
      <c r="V396" s="59" t="s">
        <v>2931</v>
      </c>
      <c r="W396" s="59" t="s">
        <v>598</v>
      </c>
      <c r="X396" s="59" t="s">
        <v>654</v>
      </c>
      <c r="Y396" s="59" t="s">
        <v>1180</v>
      </c>
      <c r="Z396" s="64" t="str">
        <f>IFERROR(VLOOKUP(T396,LK_OrgMaster!$B$4:$H$89,5,FALSE()),"Administration")</f>
        <v>Diplomatic</v>
      </c>
      <c r="AA396" s="65" t="str">
        <f>IFERROR(VLOOKUP(X396,LK_LocationMaster!$D$4:$G$157,4,FALSE()),"No")</f>
        <v>No</v>
      </c>
      <c r="AB396" s="65" t="str">
        <f t="shared" si="26"/>
        <v>Yes</v>
      </c>
      <c r="AC396" s="65" t="str">
        <f>IFERROR(VLOOKUP(X396,LK_LocationMaster!$D$4:$H$157,5,FALSE()),"No")</f>
        <v>No</v>
      </c>
      <c r="AD396" s="59" t="s">
        <v>4310</v>
      </c>
      <c r="AE396" s="59" t="s">
        <v>930</v>
      </c>
      <c r="AF396" s="59" t="s">
        <v>984</v>
      </c>
      <c r="AG396" s="59" t="s">
        <v>408</v>
      </c>
      <c r="AH396" s="59" t="s">
        <v>4311</v>
      </c>
      <c r="AI396" s="59" t="s">
        <v>285</v>
      </c>
      <c r="AJ396" s="59" t="s">
        <v>833</v>
      </c>
      <c r="AK396" s="59" t="s">
        <v>834</v>
      </c>
      <c r="AL396" s="64" t="str">
        <f>IFERROR(INDEX(LK_BankMaster!$D$4:$D$23,MATCH(AJ396&amp;"|"&amp;AK396,LK_BankMaster!$H$4:$H$23,0)),"")</f>
        <v/>
      </c>
      <c r="AM396" s="59" t="s">
        <v>4312</v>
      </c>
      <c r="AN396" s="64" t="str">
        <f>IFERROR(VLOOKUP(AJ396,LK_BankMaster!$A$4:$E$23,5,FALSE()),"")</f>
        <v/>
      </c>
      <c r="AO396" s="59" t="s">
        <v>314</v>
      </c>
      <c r="AP396" s="66">
        <v>3</v>
      </c>
      <c r="AQ396" s="64" t="str">
        <f t="shared" si="27"/>
        <v>Position Allowance - General Staff</v>
      </c>
      <c r="AR396" s="65" t="str">
        <f>IFERROR(VLOOKUP(T396,LK_OrgMaster!$B$4:$G$89,6,FALSE()),"No")</f>
        <v>No</v>
      </c>
      <c r="AS396" s="64" t="str">
        <f>IFERROR(VLOOKUP(T396,LK_OrgMaster!$B$4:$H$89,7,FALSE()),"None")</f>
        <v>None</v>
      </c>
      <c r="AT396" s="67">
        <v>39603</v>
      </c>
      <c r="AU396" s="67"/>
      <c r="AV396" s="67">
        <v>39603</v>
      </c>
      <c r="AW396" s="67">
        <v>46023</v>
      </c>
      <c r="AX396" s="68" t="s">
        <v>750</v>
      </c>
      <c r="AY396" s="69" t="s">
        <v>6260</v>
      </c>
    </row>
    <row r="397" spans="1:51" ht="15" customHeight="1" x14ac:dyDescent="0.3">
      <c r="A397" s="59" t="s">
        <v>4313</v>
      </c>
      <c r="B397" s="59" t="s">
        <v>772</v>
      </c>
      <c r="C397" s="59" t="s">
        <v>2706</v>
      </c>
      <c r="D397" s="59" t="s">
        <v>1042</v>
      </c>
      <c r="E397" s="59" t="s">
        <v>775</v>
      </c>
      <c r="F397" s="60">
        <v>24768</v>
      </c>
      <c r="G397" s="59" t="s">
        <v>4314</v>
      </c>
      <c r="H397" s="59" t="s">
        <v>4315</v>
      </c>
      <c r="I397" s="60">
        <v>43593</v>
      </c>
      <c r="J397" s="61">
        <f t="shared" ca="1" si="24"/>
        <v>6</v>
      </c>
      <c r="K397" s="62">
        <f t="shared" si="25"/>
        <v>46683</v>
      </c>
      <c r="L397" s="59" t="s">
        <v>735</v>
      </c>
      <c r="M397" s="59" t="s">
        <v>1574</v>
      </c>
      <c r="N397" s="59" t="s">
        <v>737</v>
      </c>
      <c r="O397" s="63">
        <v>25</v>
      </c>
      <c r="P397" s="61">
        <f>IFERROR(SUMPRODUCT((LK_GradeDerivation!$A$4:$A$135=N397)*(IF(O397="",0,O397)&gt;=LK_GradeDerivation!$B$4:$B$135)*(IF(O397="",0,O397)&lt;=LK_GradeDerivation!$C$4:$C$135)*LK_GradeDerivation!$D$4:$D$135),1)</f>
        <v>4</v>
      </c>
      <c r="Q397" s="61">
        <f>IFERROR(SUMPRODUCT((LK_GradeDerivation!$A$4:$A$135=N397)*(IF(O397="",0,O397)&gt;=LK_GradeDerivation!$B$4:$B$135)*(IF(O397="",0,O397)&lt;=LK_GradeDerivation!$C$4:$C$135)*LK_GradeDerivation!$E$4:$E$135),1)</f>
        <v>13</v>
      </c>
      <c r="R397" s="59" t="s">
        <v>4316</v>
      </c>
      <c r="S397" s="59" t="s">
        <v>4317</v>
      </c>
      <c r="T397" s="59" t="s">
        <v>896</v>
      </c>
      <c r="U397" s="59" t="s">
        <v>1629</v>
      </c>
      <c r="V397" s="59" t="s">
        <v>1598</v>
      </c>
      <c r="W397" s="59" t="s">
        <v>285</v>
      </c>
      <c r="X397" s="59" t="s">
        <v>288</v>
      </c>
      <c r="Y397" s="59" t="s">
        <v>306</v>
      </c>
      <c r="Z397" s="64" t="str">
        <f>IFERROR(VLOOKUP(T397,LK_OrgMaster!$B$4:$H$89,5,FALSE()),"Administration")</f>
        <v>Administration</v>
      </c>
      <c r="AA397" s="65" t="str">
        <f>IFERROR(VLOOKUP(X397,LK_LocationMaster!$D$4:$G$157,4,FALSE()),"No")</f>
        <v>No</v>
      </c>
      <c r="AB397" s="65" t="str">
        <f t="shared" si="26"/>
        <v>No</v>
      </c>
      <c r="AC397" s="65" t="str">
        <f>IFERROR(VLOOKUP(X397,LK_LocationMaster!$D$4:$H$157,5,FALSE()),"No")</f>
        <v>No</v>
      </c>
      <c r="AD397" s="59" t="s">
        <v>4318</v>
      </c>
      <c r="AE397" s="59" t="s">
        <v>886</v>
      </c>
      <c r="AF397" s="59" t="s">
        <v>745</v>
      </c>
      <c r="AG397" s="59" t="s">
        <v>329</v>
      </c>
      <c r="AH397" s="59" t="s">
        <v>4319</v>
      </c>
      <c r="AI397" s="59" t="s">
        <v>285</v>
      </c>
      <c r="AJ397" s="59" t="s">
        <v>818</v>
      </c>
      <c r="AK397" s="59" t="s">
        <v>944</v>
      </c>
      <c r="AL397" s="64" t="str">
        <f>IFERROR(INDEX(LK_BankMaster!$D$4:$D$23,MATCH(AJ397&amp;"|"&amp;AK397,LK_BankMaster!$H$4:$H$23,0)),"")</f>
        <v/>
      </c>
      <c r="AM397" s="59" t="s">
        <v>4320</v>
      </c>
      <c r="AN397" s="64" t="str">
        <f>IFERROR(VLOOKUP(AJ397,LK_BankMaster!$A$4:$E$23,5,FALSE()),"")</f>
        <v/>
      </c>
      <c r="AO397" s="59" t="s">
        <v>314</v>
      </c>
      <c r="AP397" s="66">
        <v>2</v>
      </c>
      <c r="AQ397" s="64" t="str">
        <f t="shared" si="27"/>
        <v>Position Allowance - Deputy Director</v>
      </c>
      <c r="AR397" s="65" t="str">
        <f>IFERROR(VLOOKUP(T397,LK_OrgMaster!$B$4:$G$89,6,FALSE()),"No")</f>
        <v>No</v>
      </c>
      <c r="AS397" s="64" t="str">
        <f>IFERROR(VLOOKUP(T397,LK_OrgMaster!$B$4:$H$89,7,FALSE()),"None")</f>
        <v>None</v>
      </c>
      <c r="AT397" s="70">
        <v>43593</v>
      </c>
      <c r="AU397" s="70"/>
      <c r="AV397" s="70">
        <v>43593</v>
      </c>
      <c r="AW397" s="70">
        <v>46023</v>
      </c>
      <c r="AX397" s="71" t="s">
        <v>750</v>
      </c>
      <c r="AY397" s="72" t="s">
        <v>6260</v>
      </c>
    </row>
    <row r="398" spans="1:51" ht="15" customHeight="1" x14ac:dyDescent="0.3">
      <c r="A398" s="59" t="s">
        <v>4321</v>
      </c>
      <c r="B398" s="59" t="s">
        <v>772</v>
      </c>
      <c r="C398" s="59" t="s">
        <v>2662</v>
      </c>
      <c r="D398" s="59" t="s">
        <v>793</v>
      </c>
      <c r="E398" s="59" t="s">
        <v>775</v>
      </c>
      <c r="F398" s="60">
        <v>33303</v>
      </c>
      <c r="G398" s="59" t="s">
        <v>4322</v>
      </c>
      <c r="H398" s="59" t="s">
        <v>4323</v>
      </c>
      <c r="I398" s="60">
        <v>38659</v>
      </c>
      <c r="J398" s="61">
        <f t="shared" ca="1" si="24"/>
        <v>20</v>
      </c>
      <c r="K398" s="62">
        <f t="shared" si="25"/>
        <v>55218</v>
      </c>
      <c r="L398" s="59" t="s">
        <v>735</v>
      </c>
      <c r="M398" s="59" t="s">
        <v>910</v>
      </c>
      <c r="N398" s="59" t="s">
        <v>737</v>
      </c>
      <c r="O398" s="63">
        <v>0</v>
      </c>
      <c r="P398" s="61">
        <f>IFERROR(SUMPRODUCT((LK_GradeDerivation!$A$4:$A$135=N398)*(IF(O398="",0,O398)&gt;=LK_GradeDerivation!$B$4:$B$135)*(IF(O398="",0,O398)&lt;=LK_GradeDerivation!$C$4:$C$135)*LK_GradeDerivation!$D$4:$D$135),1)</f>
        <v>4</v>
      </c>
      <c r="Q398" s="61">
        <f>IFERROR(SUMPRODUCT((LK_GradeDerivation!$A$4:$A$135=N398)*(IF(O398="",0,O398)&gt;=LK_GradeDerivation!$B$4:$B$135)*(IF(O398="",0,O398)&lt;=LK_GradeDerivation!$C$4:$C$135)*LK_GradeDerivation!$E$4:$E$135),1)</f>
        <v>1</v>
      </c>
      <c r="R398" s="59" t="s">
        <v>4324</v>
      </c>
      <c r="S398" s="59" t="s">
        <v>4325</v>
      </c>
      <c r="T398" s="59" t="s">
        <v>2790</v>
      </c>
      <c r="U398" s="59" t="s">
        <v>1597</v>
      </c>
      <c r="V398" s="59" t="s">
        <v>2251</v>
      </c>
      <c r="W398" s="59" t="s">
        <v>285</v>
      </c>
      <c r="X398" s="59" t="s">
        <v>544</v>
      </c>
      <c r="Y398" s="59" t="s">
        <v>548</v>
      </c>
      <c r="Z398" s="64" t="str">
        <f>IFERROR(VLOOKUP(T398,LK_OrgMaster!$B$4:$H$89,5,FALSE()),"Administration")</f>
        <v>Administration</v>
      </c>
      <c r="AA398" s="65" t="str">
        <f>IFERROR(VLOOKUP(X398,LK_LocationMaster!$D$4:$G$157,4,FALSE()),"No")</f>
        <v>Yes</v>
      </c>
      <c r="AB398" s="65" t="str">
        <f t="shared" si="26"/>
        <v>No</v>
      </c>
      <c r="AC398" s="65" t="str">
        <f>IFERROR(VLOOKUP(X398,LK_LocationMaster!$D$4:$H$157,5,FALSE()),"No")</f>
        <v>Yes</v>
      </c>
      <c r="AD398" s="59" t="s">
        <v>4326</v>
      </c>
      <c r="AE398" s="59" t="s">
        <v>930</v>
      </c>
      <c r="AF398" s="59" t="s">
        <v>969</v>
      </c>
      <c r="AG398" s="59" t="s">
        <v>329</v>
      </c>
      <c r="AH398" s="59" t="s">
        <v>4327</v>
      </c>
      <c r="AI398" s="59" t="s">
        <v>285</v>
      </c>
      <c r="AJ398" s="59" t="s">
        <v>788</v>
      </c>
      <c r="AK398" s="59" t="s">
        <v>789</v>
      </c>
      <c r="AL398" s="64" t="str">
        <f>IFERROR(INDEX(LK_BankMaster!$D$4:$D$23,MATCH(AJ398&amp;"|"&amp;AK398,LK_BankMaster!$H$4:$H$23,0)),"")</f>
        <v/>
      </c>
      <c r="AM398" s="59" t="s">
        <v>4328</v>
      </c>
      <c r="AN398" s="64" t="str">
        <f>IFERROR(VLOOKUP(AJ398,LK_BankMaster!$A$4:$E$23,5,FALSE()),"")</f>
        <v/>
      </c>
      <c r="AO398" s="59" t="s">
        <v>314</v>
      </c>
      <c r="AP398" s="66">
        <v>1</v>
      </c>
      <c r="AQ398" s="64" t="str">
        <f t="shared" si="27"/>
        <v>Position Allowance - Division Chief</v>
      </c>
      <c r="AR398" s="65" t="str">
        <f>IFERROR(VLOOKUP(T398,LK_OrgMaster!$B$4:$G$89,6,FALSE()),"No")</f>
        <v>No</v>
      </c>
      <c r="AS398" s="64" t="str">
        <f>IFERROR(VLOOKUP(T398,LK_OrgMaster!$B$4:$H$89,7,FALSE()),"None")</f>
        <v>None</v>
      </c>
      <c r="AT398" s="67">
        <v>38659</v>
      </c>
      <c r="AU398" s="67"/>
      <c r="AV398" s="67">
        <v>38659</v>
      </c>
      <c r="AW398" s="67">
        <v>46023</v>
      </c>
      <c r="AX398" s="68" t="s">
        <v>750</v>
      </c>
      <c r="AY398" s="69" t="s">
        <v>6260</v>
      </c>
    </row>
    <row r="399" spans="1:51" ht="15" customHeight="1" x14ac:dyDescent="0.3">
      <c r="A399" s="59" t="s">
        <v>4329</v>
      </c>
      <c r="B399" s="59" t="s">
        <v>752</v>
      </c>
      <c r="C399" s="59" t="s">
        <v>2143</v>
      </c>
      <c r="D399" s="59" t="s">
        <v>1300</v>
      </c>
      <c r="E399" s="59" t="s">
        <v>732</v>
      </c>
      <c r="F399" s="60">
        <v>30400</v>
      </c>
      <c r="G399" s="59" t="s">
        <v>4330</v>
      </c>
      <c r="H399" s="59" t="s">
        <v>4331</v>
      </c>
      <c r="I399" s="60">
        <v>40803</v>
      </c>
      <c r="J399" s="61">
        <f t="shared" ca="1" si="24"/>
        <v>14</v>
      </c>
      <c r="K399" s="62">
        <f t="shared" si="25"/>
        <v>52315</v>
      </c>
      <c r="L399" s="59" t="s">
        <v>735</v>
      </c>
      <c r="M399" s="59" t="s">
        <v>1201</v>
      </c>
      <c r="N399" s="59" t="s">
        <v>779</v>
      </c>
      <c r="O399" s="63">
        <v>10</v>
      </c>
      <c r="P399" s="61">
        <f>IFERROR(SUMPRODUCT((LK_GradeDerivation!$A$4:$A$135=N399)*(IF(O399="",0,O399)&gt;=LK_GradeDerivation!$B$4:$B$135)*(IF(O399="",0,O399)&lt;=LK_GradeDerivation!$C$4:$C$135)*LK_GradeDerivation!$D$4:$D$135),1)</f>
        <v>2</v>
      </c>
      <c r="Q399" s="61">
        <f>IFERROR(SUMPRODUCT((LK_GradeDerivation!$A$4:$A$135=N399)*(IF(O399="",0,O399)&gt;=LK_GradeDerivation!$B$4:$B$135)*(IF(O399="",0,O399)&lt;=LK_GradeDerivation!$C$4:$C$135)*LK_GradeDerivation!$E$4:$E$135),1)</f>
        <v>6</v>
      </c>
      <c r="R399" s="59" t="s">
        <v>4332</v>
      </c>
      <c r="S399" s="59" t="s">
        <v>4333</v>
      </c>
      <c r="T399" s="59" t="s">
        <v>1035</v>
      </c>
      <c r="U399" s="59" t="s">
        <v>1036</v>
      </c>
      <c r="V399" s="59" t="s">
        <v>4334</v>
      </c>
      <c r="W399" s="59" t="s">
        <v>285</v>
      </c>
      <c r="X399" s="59" t="s">
        <v>340</v>
      </c>
      <c r="Y399" s="59" t="s">
        <v>342</v>
      </c>
      <c r="Z399" s="64" t="str">
        <f>IFERROR(VLOOKUP(T399,LK_OrgMaster!$B$4:$H$89,5,FALSE()),"Administration")</f>
        <v>Administration</v>
      </c>
      <c r="AA399" s="65" t="str">
        <f>IFERROR(VLOOKUP(X399,LK_LocationMaster!$D$4:$G$157,4,FALSE()),"No")</f>
        <v>No</v>
      </c>
      <c r="AB399" s="65" t="str">
        <f t="shared" si="26"/>
        <v>No</v>
      </c>
      <c r="AC399" s="65" t="str">
        <f>IFERROR(VLOOKUP(X399,LK_LocationMaster!$D$4:$H$157,5,FALSE()),"No")</f>
        <v>No</v>
      </c>
      <c r="AD399" s="59" t="s">
        <v>4335</v>
      </c>
      <c r="AE399" s="59" t="s">
        <v>800</v>
      </c>
      <c r="AF399" s="59" t="s">
        <v>984</v>
      </c>
      <c r="AG399" s="59" t="s">
        <v>408</v>
      </c>
      <c r="AH399" s="59" t="s">
        <v>4336</v>
      </c>
      <c r="AI399" s="59" t="s">
        <v>285</v>
      </c>
      <c r="AJ399" s="59" t="s">
        <v>768</v>
      </c>
      <c r="AK399" s="59" t="s">
        <v>769</v>
      </c>
      <c r="AL399" s="64" t="str">
        <f>IFERROR(INDEX(LK_BankMaster!$D$4:$D$23,MATCH(AJ399&amp;"|"&amp;AK399,LK_BankMaster!$H$4:$H$23,0)),"")</f>
        <v/>
      </c>
      <c r="AM399" s="59" t="s">
        <v>4337</v>
      </c>
      <c r="AN399" s="64" t="str">
        <f>IFERROR(VLOOKUP(AJ399,LK_BankMaster!$A$4:$E$23,5,FALSE()),"")</f>
        <v/>
      </c>
      <c r="AO399" s="59" t="s">
        <v>314</v>
      </c>
      <c r="AP399" s="66">
        <v>2</v>
      </c>
      <c r="AQ399" s="64" t="str">
        <f t="shared" si="27"/>
        <v>Position Allowance - General Staff</v>
      </c>
      <c r="AR399" s="65" t="str">
        <f>IFERROR(VLOOKUP(T399,LK_OrgMaster!$B$4:$G$89,6,FALSE()),"No")</f>
        <v>No</v>
      </c>
      <c r="AS399" s="64" t="str">
        <f>IFERROR(VLOOKUP(T399,LK_OrgMaster!$B$4:$H$89,7,FALSE()),"None")</f>
        <v>None</v>
      </c>
      <c r="AT399" s="70">
        <v>40803</v>
      </c>
      <c r="AU399" s="70"/>
      <c r="AV399" s="70">
        <v>40803</v>
      </c>
      <c r="AW399" s="70">
        <v>46023</v>
      </c>
      <c r="AX399" s="71" t="s">
        <v>750</v>
      </c>
      <c r="AY399" s="72" t="s">
        <v>6260</v>
      </c>
    </row>
    <row r="400" spans="1:51" ht="15" customHeight="1" x14ac:dyDescent="0.3">
      <c r="A400" s="59" t="s">
        <v>4338</v>
      </c>
      <c r="B400" s="59" t="s">
        <v>772</v>
      </c>
      <c r="C400" s="59" t="s">
        <v>1417</v>
      </c>
      <c r="D400" s="59" t="s">
        <v>1418</v>
      </c>
      <c r="E400" s="59" t="s">
        <v>732</v>
      </c>
      <c r="F400" s="60">
        <v>36638</v>
      </c>
      <c r="G400" s="59" t="s">
        <v>1419</v>
      </c>
      <c r="H400" s="59" t="s">
        <v>4339</v>
      </c>
      <c r="I400" s="60">
        <v>42579</v>
      </c>
      <c r="J400" s="61">
        <f t="shared" ca="1" si="24"/>
        <v>9</v>
      </c>
      <c r="K400" s="62">
        <f t="shared" si="25"/>
        <v>58553</v>
      </c>
      <c r="L400" s="59" t="s">
        <v>735</v>
      </c>
      <c r="M400" s="59" t="s">
        <v>1483</v>
      </c>
      <c r="N400" s="59" t="s">
        <v>737</v>
      </c>
      <c r="O400" s="63">
        <v>0</v>
      </c>
      <c r="P400" s="61">
        <f>IFERROR(SUMPRODUCT((LK_GradeDerivation!$A$4:$A$135=N400)*(IF(O400="",0,O400)&gt;=LK_GradeDerivation!$B$4:$B$135)*(IF(O400="",0,O400)&lt;=LK_GradeDerivation!$C$4:$C$135)*LK_GradeDerivation!$D$4:$D$135),1)</f>
        <v>4</v>
      </c>
      <c r="Q400" s="61">
        <f>IFERROR(SUMPRODUCT((LK_GradeDerivation!$A$4:$A$135=N400)*(IF(O400="",0,O400)&gt;=LK_GradeDerivation!$B$4:$B$135)*(IF(O400="",0,O400)&lt;=LK_GradeDerivation!$C$4:$C$135)*LK_GradeDerivation!$E$4:$E$135),1)</f>
        <v>1</v>
      </c>
      <c r="R400" s="59" t="s">
        <v>4340</v>
      </c>
      <c r="S400" s="59" t="s">
        <v>4341</v>
      </c>
      <c r="T400" s="59" t="s">
        <v>1204</v>
      </c>
      <c r="U400" s="59" t="s">
        <v>1205</v>
      </c>
      <c r="V400" s="59" t="s">
        <v>4342</v>
      </c>
      <c r="W400" s="59" t="s">
        <v>285</v>
      </c>
      <c r="X400" s="59" t="s">
        <v>477</v>
      </c>
      <c r="Y400" s="59" t="s">
        <v>494</v>
      </c>
      <c r="Z400" s="64" t="str">
        <f>IFERROR(VLOOKUP(T400,LK_OrgMaster!$B$4:$H$89,5,FALSE()),"Administration")</f>
        <v>Administration</v>
      </c>
      <c r="AA400" s="65" t="str">
        <f>IFERROR(VLOOKUP(X400,LK_LocationMaster!$D$4:$G$157,4,FALSE()),"No")</f>
        <v>No</v>
      </c>
      <c r="AB400" s="65" t="str">
        <f t="shared" si="26"/>
        <v>No</v>
      </c>
      <c r="AC400" s="65" t="str">
        <f>IFERROR(VLOOKUP(X400,LK_LocationMaster!$D$4:$H$157,5,FALSE()),"No")</f>
        <v>Yes</v>
      </c>
      <c r="AD400" s="59" t="s">
        <v>4343</v>
      </c>
      <c r="AE400" s="59" t="s">
        <v>765</v>
      </c>
      <c r="AF400" s="59" t="s">
        <v>816</v>
      </c>
      <c r="AG400" s="59" t="s">
        <v>340</v>
      </c>
      <c r="AH400" s="59" t="s">
        <v>4344</v>
      </c>
      <c r="AI400" s="59" t="s">
        <v>285</v>
      </c>
      <c r="AJ400" s="59" t="s">
        <v>788</v>
      </c>
      <c r="AK400" s="59" t="s">
        <v>999</v>
      </c>
      <c r="AL400" s="64" t="str">
        <f>IFERROR(INDEX(LK_BankMaster!$D$4:$D$23,MATCH(AJ400&amp;"|"&amp;AK400,LK_BankMaster!$H$4:$H$23,0)),"")</f>
        <v/>
      </c>
      <c r="AM400" s="59" t="s">
        <v>4345</v>
      </c>
      <c r="AN400" s="64" t="str">
        <f>IFERROR(VLOOKUP(AJ400,LK_BankMaster!$A$4:$E$23,5,FALSE()),"")</f>
        <v/>
      </c>
      <c r="AO400" s="59" t="s">
        <v>291</v>
      </c>
      <c r="AP400" s="66">
        <v>0</v>
      </c>
      <c r="AQ400" s="64" t="str">
        <f t="shared" si="27"/>
        <v>Position Allowance - General Staff</v>
      </c>
      <c r="AR400" s="65" t="str">
        <f>IFERROR(VLOOKUP(T400,LK_OrgMaster!$B$4:$G$89,6,FALSE()),"No")</f>
        <v>No</v>
      </c>
      <c r="AS400" s="64" t="str">
        <f>IFERROR(VLOOKUP(T400,LK_OrgMaster!$B$4:$H$89,7,FALSE()),"None")</f>
        <v>None</v>
      </c>
      <c r="AT400" s="67">
        <v>42579</v>
      </c>
      <c r="AU400" s="67"/>
      <c r="AV400" s="67">
        <v>42579</v>
      </c>
      <c r="AW400" s="67">
        <v>46023</v>
      </c>
      <c r="AX400" s="68" t="s">
        <v>750</v>
      </c>
      <c r="AY400" s="69" t="s">
        <v>6260</v>
      </c>
    </row>
    <row r="401" spans="1:51" ht="15" customHeight="1" x14ac:dyDescent="0.3">
      <c r="A401" s="59" t="s">
        <v>4346</v>
      </c>
      <c r="B401" s="59" t="s">
        <v>772</v>
      </c>
      <c r="C401" s="59" t="s">
        <v>2689</v>
      </c>
      <c r="D401" s="59" t="s">
        <v>1352</v>
      </c>
      <c r="E401" s="59" t="s">
        <v>775</v>
      </c>
      <c r="F401" s="60">
        <v>27413</v>
      </c>
      <c r="G401" s="59" t="s">
        <v>4347</v>
      </c>
      <c r="H401" s="59" t="s">
        <v>4348</v>
      </c>
      <c r="I401" s="60">
        <v>39575</v>
      </c>
      <c r="J401" s="61">
        <f t="shared" ca="1" si="24"/>
        <v>17</v>
      </c>
      <c r="K401" s="62">
        <f t="shared" si="25"/>
        <v>49328</v>
      </c>
      <c r="L401" s="59" t="s">
        <v>735</v>
      </c>
      <c r="M401" s="59" t="s">
        <v>1376</v>
      </c>
      <c r="N401" s="59" t="s">
        <v>758</v>
      </c>
      <c r="O401" s="63">
        <v>8</v>
      </c>
      <c r="P401" s="61">
        <f>IFERROR(SUMPRODUCT((LK_GradeDerivation!$A$4:$A$135=N401)*(IF(O401="",0,O401)&gt;=LK_GradeDerivation!$B$4:$B$135)*(IF(O401="",0,O401)&lt;=LK_GradeDerivation!$C$4:$C$135)*LK_GradeDerivation!$D$4:$D$135),1)</f>
        <v>5</v>
      </c>
      <c r="Q401" s="61">
        <f>IFERROR(SUMPRODUCT((LK_GradeDerivation!$A$4:$A$135=N401)*(IF(O401="",0,O401)&gt;=LK_GradeDerivation!$B$4:$B$135)*(IF(O401="",0,O401)&lt;=LK_GradeDerivation!$C$4:$C$135)*LK_GradeDerivation!$E$4:$E$135),1)</f>
        <v>5</v>
      </c>
      <c r="R401" s="59" t="s">
        <v>4349</v>
      </c>
      <c r="S401" s="59" t="s">
        <v>4350</v>
      </c>
      <c r="T401" s="59" t="s">
        <v>782</v>
      </c>
      <c r="U401" s="59" t="s">
        <v>1191</v>
      </c>
      <c r="V401" s="59" t="s">
        <v>1991</v>
      </c>
      <c r="W401" s="59" t="s">
        <v>285</v>
      </c>
      <c r="X401" s="59" t="s">
        <v>463</v>
      </c>
      <c r="Y401" s="59" t="s">
        <v>473</v>
      </c>
      <c r="Z401" s="64" t="str">
        <f>IFERROR(VLOOKUP(T401,LK_OrgMaster!$B$4:$H$89,5,FALSE()),"Administration")</f>
        <v>Medical</v>
      </c>
      <c r="AA401" s="65" t="str">
        <f>IFERROR(VLOOKUP(X401,LK_LocationMaster!$D$4:$G$157,4,FALSE()),"No")</f>
        <v>No</v>
      </c>
      <c r="AB401" s="65" t="str">
        <f t="shared" si="26"/>
        <v>No</v>
      </c>
      <c r="AC401" s="65" t="str">
        <f>IFERROR(VLOOKUP(X401,LK_LocationMaster!$D$4:$H$157,5,FALSE()),"No")</f>
        <v>No</v>
      </c>
      <c r="AD401" s="59" t="s">
        <v>1425</v>
      </c>
      <c r="AE401" s="59" t="s">
        <v>765</v>
      </c>
      <c r="AF401" s="59" t="s">
        <v>801</v>
      </c>
      <c r="AG401" s="59" t="s">
        <v>288</v>
      </c>
      <c r="AH401" s="59" t="s">
        <v>4351</v>
      </c>
      <c r="AI401" s="59" t="s">
        <v>285</v>
      </c>
      <c r="AJ401" s="59" t="s">
        <v>788</v>
      </c>
      <c r="AK401" s="59" t="s">
        <v>1221</v>
      </c>
      <c r="AL401" s="64" t="str">
        <f>IFERROR(INDEX(LK_BankMaster!$D$4:$D$23,MATCH(AJ401&amp;"|"&amp;AK401,LK_BankMaster!$H$4:$H$23,0)),"")</f>
        <v/>
      </c>
      <c r="AM401" s="59" t="s">
        <v>4352</v>
      </c>
      <c r="AN401" s="64" t="str">
        <f>IFERROR(VLOOKUP(AJ401,LK_BankMaster!$A$4:$E$23,5,FALSE()),"")</f>
        <v/>
      </c>
      <c r="AO401" s="59" t="s">
        <v>314</v>
      </c>
      <c r="AP401" s="66">
        <v>2</v>
      </c>
      <c r="AQ401" s="64" t="str">
        <f t="shared" si="27"/>
        <v>Position Allowance - Director</v>
      </c>
      <c r="AR401" s="65" t="str">
        <f>IFERROR(VLOOKUP(T401,LK_OrgMaster!$B$4:$G$89,6,FALSE()),"No")</f>
        <v>No</v>
      </c>
      <c r="AS401" s="64" t="str">
        <f>IFERROR(VLOOKUP(T401,LK_OrgMaster!$B$4:$H$89,7,FALSE()),"None")</f>
        <v>Medical</v>
      </c>
      <c r="AT401" s="70">
        <v>39575</v>
      </c>
      <c r="AU401" s="70"/>
      <c r="AV401" s="70">
        <v>39575</v>
      </c>
      <c r="AW401" s="70">
        <v>46023</v>
      </c>
      <c r="AX401" s="71" t="s">
        <v>750</v>
      </c>
      <c r="AY401" s="72" t="s">
        <v>6260</v>
      </c>
    </row>
    <row r="402" spans="1:51" ht="15" customHeight="1" x14ac:dyDescent="0.3">
      <c r="A402" s="59" t="s">
        <v>4353</v>
      </c>
      <c r="B402" s="59" t="s">
        <v>772</v>
      </c>
      <c r="C402" s="59" t="s">
        <v>959</v>
      </c>
      <c r="D402" s="59" t="s">
        <v>1704</v>
      </c>
      <c r="E402" s="59" t="s">
        <v>775</v>
      </c>
      <c r="F402" s="60">
        <v>37038</v>
      </c>
      <c r="G402" s="59" t="s">
        <v>4354</v>
      </c>
      <c r="H402" s="59" t="s">
        <v>4355</v>
      </c>
      <c r="I402" s="60">
        <v>35071</v>
      </c>
      <c r="J402" s="61">
        <f t="shared" ca="1" si="24"/>
        <v>30</v>
      </c>
      <c r="K402" s="62">
        <f t="shared" si="25"/>
        <v>58953</v>
      </c>
      <c r="L402" s="59" t="s">
        <v>735</v>
      </c>
      <c r="M402" s="59" t="s">
        <v>1045</v>
      </c>
      <c r="N402" s="59" t="s">
        <v>758</v>
      </c>
      <c r="O402" s="63">
        <v>0</v>
      </c>
      <c r="P402" s="61">
        <f>IFERROR(SUMPRODUCT((LK_GradeDerivation!$A$4:$A$135=N402)*(IF(O402="",0,O402)&gt;=LK_GradeDerivation!$B$4:$B$135)*(IF(O402="",0,O402)&lt;=LK_GradeDerivation!$C$4:$C$135)*LK_GradeDerivation!$D$4:$D$135),1)</f>
        <v>5</v>
      </c>
      <c r="Q402" s="61">
        <f>IFERROR(SUMPRODUCT((LK_GradeDerivation!$A$4:$A$135=N402)*(IF(O402="",0,O402)&gt;=LK_GradeDerivation!$B$4:$B$135)*(IF(O402="",0,O402)&lt;=LK_GradeDerivation!$C$4:$C$135)*LK_GradeDerivation!$E$4:$E$135),1)</f>
        <v>1</v>
      </c>
      <c r="R402" s="59" t="s">
        <v>4356</v>
      </c>
      <c r="S402" s="59" t="s">
        <v>4357</v>
      </c>
      <c r="T402" s="59" t="s">
        <v>896</v>
      </c>
      <c r="U402" s="59" t="s">
        <v>897</v>
      </c>
      <c r="V402" s="59" t="s">
        <v>913</v>
      </c>
      <c r="W402" s="59" t="s">
        <v>285</v>
      </c>
      <c r="X402" s="59" t="s">
        <v>288</v>
      </c>
      <c r="Y402" s="59" t="s">
        <v>296</v>
      </c>
      <c r="Z402" s="64" t="str">
        <f>IFERROR(VLOOKUP(T402,LK_OrgMaster!$B$4:$H$89,5,FALSE()),"Administration")</f>
        <v>Administration</v>
      </c>
      <c r="AA402" s="65" t="str">
        <f>IFERROR(VLOOKUP(X402,LK_LocationMaster!$D$4:$G$157,4,FALSE()),"No")</f>
        <v>No</v>
      </c>
      <c r="AB402" s="65" t="str">
        <f t="shared" si="26"/>
        <v>No</v>
      </c>
      <c r="AC402" s="65" t="str">
        <f>IFERROR(VLOOKUP(X402,LK_LocationMaster!$D$4:$H$157,5,FALSE()),"No")</f>
        <v>No</v>
      </c>
      <c r="AD402" s="59" t="s">
        <v>4358</v>
      </c>
      <c r="AE402" s="59" t="s">
        <v>886</v>
      </c>
      <c r="AF402" s="59" t="s">
        <v>766</v>
      </c>
      <c r="AG402" s="59" t="s">
        <v>356</v>
      </c>
      <c r="AH402" s="59" t="s">
        <v>4359</v>
      </c>
      <c r="AI402" s="59" t="s">
        <v>285</v>
      </c>
      <c r="AJ402" s="59" t="s">
        <v>788</v>
      </c>
      <c r="AK402" s="59" t="s">
        <v>789</v>
      </c>
      <c r="AL402" s="64" t="str">
        <f>IFERROR(INDEX(LK_BankMaster!$D$4:$D$23,MATCH(AJ402&amp;"|"&amp;AK402,LK_BankMaster!$H$4:$H$23,0)),"")</f>
        <v/>
      </c>
      <c r="AM402" s="59" t="s">
        <v>4360</v>
      </c>
      <c r="AN402" s="64" t="str">
        <f>IFERROR(VLOOKUP(AJ402,LK_BankMaster!$A$4:$E$23,5,FALSE()),"")</f>
        <v/>
      </c>
      <c r="AO402" s="59" t="s">
        <v>314</v>
      </c>
      <c r="AP402" s="66">
        <v>2</v>
      </c>
      <c r="AQ402" s="64" t="str">
        <f t="shared" si="27"/>
        <v>Position Allowance - General Staff</v>
      </c>
      <c r="AR402" s="65" t="str">
        <f>IFERROR(VLOOKUP(T402,LK_OrgMaster!$B$4:$G$89,6,FALSE()),"No")</f>
        <v>No</v>
      </c>
      <c r="AS402" s="64" t="str">
        <f>IFERROR(VLOOKUP(T402,LK_OrgMaster!$B$4:$H$89,7,FALSE()),"None")</f>
        <v>None</v>
      </c>
      <c r="AT402" s="67">
        <v>35071</v>
      </c>
      <c r="AU402" s="67"/>
      <c r="AV402" s="67">
        <v>35071</v>
      </c>
      <c r="AW402" s="67">
        <v>46023</v>
      </c>
      <c r="AX402" s="68" t="s">
        <v>750</v>
      </c>
      <c r="AY402" s="69" t="s">
        <v>6260</v>
      </c>
    </row>
    <row r="403" spans="1:51" ht="15" customHeight="1" x14ac:dyDescent="0.3">
      <c r="A403" s="59" t="s">
        <v>4361</v>
      </c>
      <c r="B403" s="59" t="s">
        <v>772</v>
      </c>
      <c r="C403" s="59" t="s">
        <v>1136</v>
      </c>
      <c r="D403" s="59" t="s">
        <v>1880</v>
      </c>
      <c r="E403" s="59" t="s">
        <v>775</v>
      </c>
      <c r="F403" s="60">
        <v>30475</v>
      </c>
      <c r="G403" s="59" t="s">
        <v>4362</v>
      </c>
      <c r="H403" s="59" t="s">
        <v>4363</v>
      </c>
      <c r="I403" s="60">
        <v>40559</v>
      </c>
      <c r="J403" s="61">
        <f t="shared" ca="1" si="24"/>
        <v>15</v>
      </c>
      <c r="K403" s="62">
        <f t="shared" si="25"/>
        <v>52390</v>
      </c>
      <c r="L403" s="59" t="s">
        <v>735</v>
      </c>
      <c r="M403" s="59" t="s">
        <v>1069</v>
      </c>
      <c r="N403" s="59" t="s">
        <v>737</v>
      </c>
      <c r="O403" s="63">
        <v>5</v>
      </c>
      <c r="P403" s="61">
        <f>IFERROR(SUMPRODUCT((LK_GradeDerivation!$A$4:$A$135=N403)*(IF(O403="",0,O403)&gt;=LK_GradeDerivation!$B$4:$B$135)*(IF(O403="",0,O403)&lt;=LK_GradeDerivation!$C$4:$C$135)*LK_GradeDerivation!$D$4:$D$135),1)</f>
        <v>4</v>
      </c>
      <c r="Q403" s="61">
        <f>IFERROR(SUMPRODUCT((LK_GradeDerivation!$A$4:$A$135=N403)*(IF(O403="",0,O403)&gt;=LK_GradeDerivation!$B$4:$B$135)*(IF(O403="",0,O403)&lt;=LK_GradeDerivation!$C$4:$C$135)*LK_GradeDerivation!$E$4:$E$135),1)</f>
        <v>3</v>
      </c>
      <c r="R403" s="59" t="s">
        <v>4364</v>
      </c>
      <c r="S403" s="59" t="s">
        <v>4365</v>
      </c>
      <c r="T403" s="59" t="s">
        <v>844</v>
      </c>
      <c r="U403" s="59" t="s">
        <v>845</v>
      </c>
      <c r="V403" s="59" t="s">
        <v>4366</v>
      </c>
      <c r="W403" s="59" t="s">
        <v>285</v>
      </c>
      <c r="X403" s="59" t="s">
        <v>500</v>
      </c>
      <c r="Y403" s="59" t="s">
        <v>513</v>
      </c>
      <c r="Z403" s="64" t="str">
        <f>IFERROR(VLOOKUP(T403,LK_OrgMaster!$B$4:$H$89,5,FALSE()),"Administration")</f>
        <v>Administration</v>
      </c>
      <c r="AA403" s="65" t="str">
        <f>IFERROR(VLOOKUP(X403,LK_LocationMaster!$D$4:$G$157,4,FALSE()),"No")</f>
        <v>No</v>
      </c>
      <c r="AB403" s="65" t="str">
        <f t="shared" si="26"/>
        <v>No</v>
      </c>
      <c r="AC403" s="65" t="str">
        <f>IFERROR(VLOOKUP(X403,LK_LocationMaster!$D$4:$H$157,5,FALSE()),"No")</f>
        <v>Yes</v>
      </c>
      <c r="AD403" s="59" t="s">
        <v>4326</v>
      </c>
      <c r="AE403" s="59" t="s">
        <v>4367</v>
      </c>
      <c r="AF403" s="59" t="s">
        <v>786</v>
      </c>
      <c r="AG403" s="59" t="s">
        <v>391</v>
      </c>
      <c r="AH403" s="59" t="s">
        <v>1327</v>
      </c>
      <c r="AI403" s="59" t="s">
        <v>285</v>
      </c>
      <c r="AJ403" s="59" t="s">
        <v>818</v>
      </c>
      <c r="AK403" s="59" t="s">
        <v>819</v>
      </c>
      <c r="AL403" s="64" t="str">
        <f>IFERROR(INDEX(LK_BankMaster!$D$4:$D$23,MATCH(AJ403&amp;"|"&amp;AK403,LK_BankMaster!$H$4:$H$23,0)),"")</f>
        <v/>
      </c>
      <c r="AM403" s="59" t="s">
        <v>4368</v>
      </c>
      <c r="AN403" s="64" t="str">
        <f>IFERROR(VLOOKUP(AJ403,LK_BankMaster!$A$4:$E$23,5,FALSE()),"")</f>
        <v/>
      </c>
      <c r="AO403" s="59" t="s">
        <v>291</v>
      </c>
      <c r="AP403" s="66">
        <v>0</v>
      </c>
      <c r="AQ403" s="64" t="str">
        <f t="shared" si="27"/>
        <v>Position Allowance - General Staff</v>
      </c>
      <c r="AR403" s="65" t="str">
        <f>IFERROR(VLOOKUP(T403,LK_OrgMaster!$B$4:$G$89,6,FALSE()),"No")</f>
        <v>No</v>
      </c>
      <c r="AS403" s="64" t="str">
        <f>IFERROR(VLOOKUP(T403,LK_OrgMaster!$B$4:$H$89,7,FALSE()),"None")</f>
        <v>None</v>
      </c>
      <c r="AT403" s="70">
        <v>40559</v>
      </c>
      <c r="AU403" s="70"/>
      <c r="AV403" s="70">
        <v>40559</v>
      </c>
      <c r="AW403" s="70">
        <v>46023</v>
      </c>
      <c r="AX403" s="71" t="s">
        <v>750</v>
      </c>
      <c r="AY403" s="72" t="s">
        <v>6260</v>
      </c>
    </row>
    <row r="404" spans="1:51" ht="15" customHeight="1" x14ac:dyDescent="0.3">
      <c r="A404" s="59" t="s">
        <v>4369</v>
      </c>
      <c r="B404" s="59" t="s">
        <v>729</v>
      </c>
      <c r="C404" s="59" t="s">
        <v>753</v>
      </c>
      <c r="D404" s="59" t="s">
        <v>1880</v>
      </c>
      <c r="E404" s="59" t="s">
        <v>732</v>
      </c>
      <c r="F404" s="60">
        <v>30200</v>
      </c>
      <c r="G404" s="59" t="s">
        <v>4370</v>
      </c>
      <c r="H404" s="59" t="s">
        <v>4371</v>
      </c>
      <c r="I404" s="60">
        <v>32827</v>
      </c>
      <c r="J404" s="61">
        <f t="shared" ca="1" si="24"/>
        <v>36</v>
      </c>
      <c r="K404" s="62">
        <f t="shared" si="25"/>
        <v>52115</v>
      </c>
      <c r="L404" s="59" t="s">
        <v>735</v>
      </c>
      <c r="M404" s="59" t="s">
        <v>826</v>
      </c>
      <c r="N404" s="59" t="s">
        <v>737</v>
      </c>
      <c r="O404" s="63">
        <v>0</v>
      </c>
      <c r="P404" s="61">
        <f>IFERROR(SUMPRODUCT((LK_GradeDerivation!$A$4:$A$135=N404)*(IF(O404="",0,O404)&gt;=LK_GradeDerivation!$B$4:$B$135)*(IF(O404="",0,O404)&lt;=LK_GradeDerivation!$C$4:$C$135)*LK_GradeDerivation!$D$4:$D$135),1)</f>
        <v>4</v>
      </c>
      <c r="Q404" s="61">
        <f>IFERROR(SUMPRODUCT((LK_GradeDerivation!$A$4:$A$135=N404)*(IF(O404="",0,O404)&gt;=LK_GradeDerivation!$B$4:$B$135)*(IF(O404="",0,O404)&lt;=LK_GradeDerivation!$C$4:$C$135)*LK_GradeDerivation!$E$4:$E$135),1)</f>
        <v>1</v>
      </c>
      <c r="R404" s="59" t="s">
        <v>4372</v>
      </c>
      <c r="S404" s="59" t="s">
        <v>4373</v>
      </c>
      <c r="T404" s="59" t="s">
        <v>782</v>
      </c>
      <c r="U404" s="59" t="s">
        <v>1191</v>
      </c>
      <c r="V404" s="59" t="s">
        <v>1424</v>
      </c>
      <c r="W404" s="59" t="s">
        <v>285</v>
      </c>
      <c r="X404" s="59" t="s">
        <v>527</v>
      </c>
      <c r="Y404" s="59" t="s">
        <v>530</v>
      </c>
      <c r="Z404" s="64" t="str">
        <f>IFERROR(VLOOKUP(T404,LK_OrgMaster!$B$4:$H$89,5,FALSE()),"Administration")</f>
        <v>Medical</v>
      </c>
      <c r="AA404" s="65" t="str">
        <f>IFERROR(VLOOKUP(X404,LK_LocationMaster!$D$4:$G$157,4,FALSE()),"No")</f>
        <v>No</v>
      </c>
      <c r="AB404" s="65" t="str">
        <f t="shared" si="26"/>
        <v>No</v>
      </c>
      <c r="AC404" s="65" t="str">
        <f>IFERROR(VLOOKUP(X404,LK_LocationMaster!$D$4:$H$157,5,FALSE()),"No")</f>
        <v>No</v>
      </c>
      <c r="AD404" s="59" t="s">
        <v>2235</v>
      </c>
      <c r="AE404" s="59" t="s">
        <v>800</v>
      </c>
      <c r="AF404" s="59" t="s">
        <v>801</v>
      </c>
      <c r="AG404" s="59" t="s">
        <v>391</v>
      </c>
      <c r="AH404" s="59" t="s">
        <v>4374</v>
      </c>
      <c r="AI404" s="59" t="s">
        <v>285</v>
      </c>
      <c r="AJ404" s="59" t="s">
        <v>833</v>
      </c>
      <c r="AK404" s="59" t="s">
        <v>1013</v>
      </c>
      <c r="AL404" s="64" t="str">
        <f>IFERROR(INDEX(LK_BankMaster!$D$4:$D$23,MATCH(AJ404&amp;"|"&amp;AK404,LK_BankMaster!$H$4:$H$23,0)),"")</f>
        <v/>
      </c>
      <c r="AM404" s="59" t="s">
        <v>4375</v>
      </c>
      <c r="AN404" s="64" t="str">
        <f>IFERROR(VLOOKUP(AJ404,LK_BankMaster!$A$4:$E$23,5,FALSE()),"")</f>
        <v/>
      </c>
      <c r="AO404" s="59" t="s">
        <v>314</v>
      </c>
      <c r="AP404" s="66">
        <v>2</v>
      </c>
      <c r="AQ404" s="64" t="str">
        <f t="shared" si="27"/>
        <v>Position Allowance - General Staff</v>
      </c>
      <c r="AR404" s="65" t="str">
        <f>IFERROR(VLOOKUP(T404,LK_OrgMaster!$B$4:$G$89,6,FALSE()),"No")</f>
        <v>No</v>
      </c>
      <c r="AS404" s="64" t="str">
        <f>IFERROR(VLOOKUP(T404,LK_OrgMaster!$B$4:$H$89,7,FALSE()),"None")</f>
        <v>Medical</v>
      </c>
      <c r="AT404" s="67">
        <v>32827</v>
      </c>
      <c r="AU404" s="67"/>
      <c r="AV404" s="67">
        <v>32827</v>
      </c>
      <c r="AW404" s="67">
        <v>46023</v>
      </c>
      <c r="AX404" s="68" t="s">
        <v>750</v>
      </c>
      <c r="AY404" s="69" t="s">
        <v>6260</v>
      </c>
    </row>
    <row r="405" spans="1:51" ht="15" customHeight="1" x14ac:dyDescent="0.3">
      <c r="A405" s="59" t="s">
        <v>4376</v>
      </c>
      <c r="B405" s="59" t="s">
        <v>772</v>
      </c>
      <c r="C405" s="59" t="s">
        <v>3167</v>
      </c>
      <c r="D405" s="59" t="s">
        <v>754</v>
      </c>
      <c r="E405" s="59" t="s">
        <v>775</v>
      </c>
      <c r="F405" s="60">
        <v>25465</v>
      </c>
      <c r="G405" s="59" t="s">
        <v>4377</v>
      </c>
      <c r="H405" s="59" t="s">
        <v>4378</v>
      </c>
      <c r="I405" s="60">
        <v>37335</v>
      </c>
      <c r="J405" s="61">
        <f t="shared" ca="1" si="24"/>
        <v>23</v>
      </c>
      <c r="K405" s="62">
        <f t="shared" si="25"/>
        <v>47380</v>
      </c>
      <c r="L405" s="59" t="s">
        <v>735</v>
      </c>
      <c r="M405" s="59" t="s">
        <v>910</v>
      </c>
      <c r="N405" s="59" t="s">
        <v>737</v>
      </c>
      <c r="O405" s="63">
        <v>10</v>
      </c>
      <c r="P405" s="61">
        <f>IFERROR(SUMPRODUCT((LK_GradeDerivation!$A$4:$A$135=N405)*(IF(O405="",0,O405)&gt;=LK_GradeDerivation!$B$4:$B$135)*(IF(O405="",0,O405)&lt;=LK_GradeDerivation!$C$4:$C$135)*LK_GradeDerivation!$D$4:$D$135),1)</f>
        <v>4</v>
      </c>
      <c r="Q405" s="61">
        <f>IFERROR(SUMPRODUCT((LK_GradeDerivation!$A$4:$A$135=N405)*(IF(O405="",0,O405)&gt;=LK_GradeDerivation!$B$4:$B$135)*(IF(O405="",0,O405)&lt;=LK_GradeDerivation!$C$4:$C$135)*LK_GradeDerivation!$E$4:$E$135),1)</f>
        <v>6</v>
      </c>
      <c r="R405" s="59" t="s">
        <v>4379</v>
      </c>
      <c r="S405" s="59" t="s">
        <v>4380</v>
      </c>
      <c r="T405" s="59" t="s">
        <v>882</v>
      </c>
      <c r="U405" s="59" t="s">
        <v>2009</v>
      </c>
      <c r="V405" s="59" t="s">
        <v>763</v>
      </c>
      <c r="W405" s="59" t="s">
        <v>285</v>
      </c>
      <c r="X405" s="59" t="s">
        <v>312</v>
      </c>
      <c r="Y405" s="59" t="s">
        <v>327</v>
      </c>
      <c r="Z405" s="64" t="str">
        <f>IFERROR(VLOOKUP(T405,LK_OrgMaster!$B$4:$H$89,5,FALSE()),"Administration")</f>
        <v>Legal</v>
      </c>
      <c r="AA405" s="65" t="str">
        <f>IFERROR(VLOOKUP(X405,LK_LocationMaster!$D$4:$G$157,4,FALSE()),"No")</f>
        <v>Yes</v>
      </c>
      <c r="AB405" s="65" t="str">
        <f t="shared" si="26"/>
        <v>No</v>
      </c>
      <c r="AC405" s="65" t="str">
        <f>IFERROR(VLOOKUP(X405,LK_LocationMaster!$D$4:$H$157,5,FALSE()),"No")</f>
        <v>No</v>
      </c>
      <c r="AD405" s="59" t="s">
        <v>4381</v>
      </c>
      <c r="AE405" s="59" t="s">
        <v>930</v>
      </c>
      <c r="AF405" s="59" t="s">
        <v>984</v>
      </c>
      <c r="AG405" s="59" t="s">
        <v>408</v>
      </c>
      <c r="AH405" s="59" t="s">
        <v>4382</v>
      </c>
      <c r="AI405" s="59" t="s">
        <v>285</v>
      </c>
      <c r="AJ405" s="59" t="s">
        <v>818</v>
      </c>
      <c r="AK405" s="59" t="s">
        <v>819</v>
      </c>
      <c r="AL405" s="64" t="str">
        <f>IFERROR(INDEX(LK_BankMaster!$D$4:$D$23,MATCH(AJ405&amp;"|"&amp;AK405,LK_BankMaster!$H$4:$H$23,0)),"")</f>
        <v/>
      </c>
      <c r="AM405" s="59" t="s">
        <v>4383</v>
      </c>
      <c r="AN405" s="64" t="str">
        <f>IFERROR(VLOOKUP(AJ405,LK_BankMaster!$A$4:$E$23,5,FALSE()),"")</f>
        <v/>
      </c>
      <c r="AO405" s="59" t="s">
        <v>291</v>
      </c>
      <c r="AP405" s="66">
        <v>0</v>
      </c>
      <c r="AQ405" s="64" t="str">
        <f t="shared" si="27"/>
        <v>Position Allowance - Division Chief</v>
      </c>
      <c r="AR405" s="65" t="str">
        <f>IFERROR(VLOOKUP(T405,LK_OrgMaster!$B$4:$G$89,6,FALSE()),"No")</f>
        <v>No</v>
      </c>
      <c r="AS405" s="64" t="str">
        <f>IFERROR(VLOOKUP(T405,LK_OrgMaster!$B$4:$H$89,7,FALSE()),"None")</f>
        <v>None</v>
      </c>
      <c r="AT405" s="70">
        <v>37335</v>
      </c>
      <c r="AU405" s="70"/>
      <c r="AV405" s="70">
        <v>37335</v>
      </c>
      <c r="AW405" s="70">
        <v>46023</v>
      </c>
      <c r="AX405" s="71" t="s">
        <v>750</v>
      </c>
      <c r="AY405" s="72" t="s">
        <v>6260</v>
      </c>
    </row>
    <row r="406" spans="1:51" ht="15" customHeight="1" x14ac:dyDescent="0.3">
      <c r="A406" s="59" t="s">
        <v>4384</v>
      </c>
      <c r="B406" s="59" t="s">
        <v>772</v>
      </c>
      <c r="C406" s="59" t="s">
        <v>773</v>
      </c>
      <c r="D406" s="59" t="s">
        <v>1186</v>
      </c>
      <c r="E406" s="59" t="s">
        <v>775</v>
      </c>
      <c r="F406" s="60">
        <v>36116</v>
      </c>
      <c r="G406" s="59" t="s">
        <v>4385</v>
      </c>
      <c r="H406" s="59" t="s">
        <v>4386</v>
      </c>
      <c r="I406" s="60">
        <v>43453</v>
      </c>
      <c r="J406" s="61">
        <f t="shared" ca="1" si="24"/>
        <v>7</v>
      </c>
      <c r="K406" s="62">
        <f t="shared" si="25"/>
        <v>58031</v>
      </c>
      <c r="L406" s="59" t="s">
        <v>735</v>
      </c>
      <c r="M406" s="59" t="s">
        <v>1020</v>
      </c>
      <c r="N406" s="59" t="s">
        <v>758</v>
      </c>
      <c r="O406" s="63">
        <v>0</v>
      </c>
      <c r="P406" s="61">
        <f>IFERROR(SUMPRODUCT((LK_GradeDerivation!$A$4:$A$135=N406)*(IF(O406="",0,O406)&gt;=LK_GradeDerivation!$B$4:$B$135)*(IF(O406="",0,O406)&lt;=LK_GradeDerivation!$C$4:$C$135)*LK_GradeDerivation!$D$4:$D$135),1)</f>
        <v>5</v>
      </c>
      <c r="Q406" s="61">
        <f>IFERROR(SUMPRODUCT((LK_GradeDerivation!$A$4:$A$135=N406)*(IF(O406="",0,O406)&gt;=LK_GradeDerivation!$B$4:$B$135)*(IF(O406="",0,O406)&lt;=LK_GradeDerivation!$C$4:$C$135)*LK_GradeDerivation!$E$4:$E$135),1)</f>
        <v>1</v>
      </c>
      <c r="R406" s="59" t="s">
        <v>4387</v>
      </c>
      <c r="S406" s="59" t="s">
        <v>4388</v>
      </c>
      <c r="T406" s="59" t="s">
        <v>882</v>
      </c>
      <c r="U406" s="59" t="s">
        <v>2009</v>
      </c>
      <c r="V406" s="59" t="s">
        <v>2225</v>
      </c>
      <c r="W406" s="59" t="s">
        <v>285</v>
      </c>
      <c r="X406" s="59" t="s">
        <v>312</v>
      </c>
      <c r="Y406" s="59" t="s">
        <v>325</v>
      </c>
      <c r="Z406" s="64" t="str">
        <f>IFERROR(VLOOKUP(T406,LK_OrgMaster!$B$4:$H$89,5,FALSE()),"Administration")</f>
        <v>Legal</v>
      </c>
      <c r="AA406" s="65" t="str">
        <f>IFERROR(VLOOKUP(X406,LK_LocationMaster!$D$4:$G$157,4,FALSE()),"No")</f>
        <v>Yes</v>
      </c>
      <c r="AB406" s="65" t="str">
        <f t="shared" si="26"/>
        <v>No</v>
      </c>
      <c r="AC406" s="65" t="str">
        <f>IFERROR(VLOOKUP(X406,LK_LocationMaster!$D$4:$H$157,5,FALSE()),"No")</f>
        <v>No</v>
      </c>
      <c r="AD406" s="59" t="s">
        <v>3603</v>
      </c>
      <c r="AE406" s="59" t="s">
        <v>765</v>
      </c>
      <c r="AF406" s="59" t="s">
        <v>745</v>
      </c>
      <c r="AG406" s="59" t="s">
        <v>340</v>
      </c>
      <c r="AH406" s="59" t="s">
        <v>4389</v>
      </c>
      <c r="AI406" s="59" t="s">
        <v>285</v>
      </c>
      <c r="AJ406" s="59" t="s">
        <v>833</v>
      </c>
      <c r="AK406" s="59" t="s">
        <v>917</v>
      </c>
      <c r="AL406" s="64" t="str">
        <f>IFERROR(INDEX(LK_BankMaster!$D$4:$D$23,MATCH(AJ406&amp;"|"&amp;AK406,LK_BankMaster!$H$4:$H$23,0)),"")</f>
        <v/>
      </c>
      <c r="AM406" s="59" t="s">
        <v>4390</v>
      </c>
      <c r="AN406" s="64" t="str">
        <f>IFERROR(VLOOKUP(AJ406,LK_BankMaster!$A$4:$E$23,5,FALSE()),"")</f>
        <v/>
      </c>
      <c r="AO406" s="59" t="s">
        <v>291</v>
      </c>
      <c r="AP406" s="66">
        <v>0</v>
      </c>
      <c r="AQ406" s="64" t="str">
        <f t="shared" si="27"/>
        <v>Position Allowance - Section Chief</v>
      </c>
      <c r="AR406" s="65" t="str">
        <f>IFERROR(VLOOKUP(T406,LK_OrgMaster!$B$4:$G$89,6,FALSE()),"No")</f>
        <v>No</v>
      </c>
      <c r="AS406" s="64" t="str">
        <f>IFERROR(VLOOKUP(T406,LK_OrgMaster!$B$4:$H$89,7,FALSE()),"None")</f>
        <v>None</v>
      </c>
      <c r="AT406" s="67">
        <v>43453</v>
      </c>
      <c r="AU406" s="67"/>
      <c r="AV406" s="67">
        <v>43453</v>
      </c>
      <c r="AW406" s="67">
        <v>46023</v>
      </c>
      <c r="AX406" s="68" t="s">
        <v>750</v>
      </c>
      <c r="AY406" s="69" t="s">
        <v>6260</v>
      </c>
    </row>
    <row r="407" spans="1:51" ht="15" customHeight="1" x14ac:dyDescent="0.3">
      <c r="A407" s="59" t="s">
        <v>4391</v>
      </c>
      <c r="B407" s="59" t="s">
        <v>851</v>
      </c>
      <c r="C407" s="59" t="s">
        <v>1921</v>
      </c>
      <c r="D407" s="59" t="s">
        <v>1663</v>
      </c>
      <c r="E407" s="59" t="s">
        <v>775</v>
      </c>
      <c r="F407" s="60">
        <v>24884</v>
      </c>
      <c r="G407" s="59" t="s">
        <v>4392</v>
      </c>
      <c r="H407" s="59" t="s">
        <v>4393</v>
      </c>
      <c r="I407" s="60">
        <v>43562</v>
      </c>
      <c r="J407" s="61">
        <f t="shared" ca="1" si="24"/>
        <v>6</v>
      </c>
      <c r="K407" s="62">
        <f t="shared" si="25"/>
        <v>46799</v>
      </c>
      <c r="L407" s="59" t="s">
        <v>735</v>
      </c>
      <c r="M407" s="59" t="s">
        <v>841</v>
      </c>
      <c r="N407" s="59" t="s">
        <v>737</v>
      </c>
      <c r="O407" s="63">
        <v>25</v>
      </c>
      <c r="P407" s="61">
        <f>IFERROR(SUMPRODUCT((LK_GradeDerivation!$A$4:$A$135=N407)*(IF(O407="",0,O407)&gt;=LK_GradeDerivation!$B$4:$B$135)*(IF(O407="",0,O407)&lt;=LK_GradeDerivation!$C$4:$C$135)*LK_GradeDerivation!$D$4:$D$135),1)</f>
        <v>4</v>
      </c>
      <c r="Q407" s="61">
        <f>IFERROR(SUMPRODUCT((LK_GradeDerivation!$A$4:$A$135=N407)*(IF(O407="",0,O407)&gt;=LK_GradeDerivation!$B$4:$B$135)*(IF(O407="",0,O407)&lt;=LK_GradeDerivation!$C$4:$C$135)*LK_GradeDerivation!$E$4:$E$135),1)</f>
        <v>13</v>
      </c>
      <c r="R407" s="59" t="s">
        <v>4394</v>
      </c>
      <c r="S407" s="59" t="s">
        <v>4395</v>
      </c>
      <c r="T407" s="59" t="s">
        <v>952</v>
      </c>
      <c r="U407" s="59" t="s">
        <v>1597</v>
      </c>
      <c r="V407" s="59" t="s">
        <v>763</v>
      </c>
      <c r="W407" s="59" t="s">
        <v>285</v>
      </c>
      <c r="X407" s="59" t="s">
        <v>587</v>
      </c>
      <c r="Y407" s="59" t="s">
        <v>595</v>
      </c>
      <c r="Z407" s="64" t="str">
        <f>IFERROR(VLOOKUP(T407,LK_OrgMaster!$B$4:$H$89,5,FALSE()),"Administration")</f>
        <v>Administration</v>
      </c>
      <c r="AA407" s="65" t="str">
        <f>IFERROR(VLOOKUP(X407,LK_LocationMaster!$D$4:$G$157,4,FALSE()),"No")</f>
        <v>Yes</v>
      </c>
      <c r="AB407" s="65" t="str">
        <f t="shared" si="26"/>
        <v>No</v>
      </c>
      <c r="AC407" s="65" t="str">
        <f>IFERROR(VLOOKUP(X407,LK_LocationMaster!$D$4:$H$157,5,FALSE()),"No")</f>
        <v>Yes</v>
      </c>
      <c r="AD407" s="59" t="s">
        <v>3537</v>
      </c>
      <c r="AE407" s="59" t="s">
        <v>800</v>
      </c>
      <c r="AF407" s="59" t="s">
        <v>969</v>
      </c>
      <c r="AG407" s="59" t="s">
        <v>356</v>
      </c>
      <c r="AH407" s="59" t="s">
        <v>4396</v>
      </c>
      <c r="AI407" s="59" t="s">
        <v>285</v>
      </c>
      <c r="AJ407" s="59" t="s">
        <v>818</v>
      </c>
      <c r="AK407" s="59" t="s">
        <v>819</v>
      </c>
      <c r="AL407" s="64" t="str">
        <f>IFERROR(INDEX(LK_BankMaster!$D$4:$D$23,MATCH(AJ407&amp;"|"&amp;AK407,LK_BankMaster!$H$4:$H$23,0)),"")</f>
        <v/>
      </c>
      <c r="AM407" s="59" t="s">
        <v>4397</v>
      </c>
      <c r="AN407" s="64" t="str">
        <f>IFERROR(VLOOKUP(AJ407,LK_BankMaster!$A$4:$E$23,5,FALSE()),"")</f>
        <v/>
      </c>
      <c r="AO407" s="59" t="s">
        <v>314</v>
      </c>
      <c r="AP407" s="66">
        <v>3</v>
      </c>
      <c r="AQ407" s="64" t="str">
        <f t="shared" si="27"/>
        <v>Position Allowance - Director</v>
      </c>
      <c r="AR407" s="65" t="str">
        <f>IFERROR(VLOOKUP(T407,LK_OrgMaster!$B$4:$G$89,6,FALSE()),"No")</f>
        <v>No</v>
      </c>
      <c r="AS407" s="64" t="str">
        <f>IFERROR(VLOOKUP(T407,LK_OrgMaster!$B$4:$H$89,7,FALSE()),"None")</f>
        <v>None</v>
      </c>
      <c r="AT407" s="70">
        <v>43562</v>
      </c>
      <c r="AU407" s="70"/>
      <c r="AV407" s="70">
        <v>43562</v>
      </c>
      <c r="AW407" s="70">
        <v>46023</v>
      </c>
      <c r="AX407" s="71" t="s">
        <v>750</v>
      </c>
      <c r="AY407" s="72" t="s">
        <v>6260</v>
      </c>
    </row>
    <row r="408" spans="1:51" ht="15" customHeight="1" x14ac:dyDescent="0.3">
      <c r="A408" s="59" t="s">
        <v>4398</v>
      </c>
      <c r="B408" s="59" t="s">
        <v>851</v>
      </c>
      <c r="C408" s="59" t="s">
        <v>792</v>
      </c>
      <c r="D408" s="59" t="s">
        <v>587</v>
      </c>
      <c r="E408" s="59" t="s">
        <v>775</v>
      </c>
      <c r="F408" s="60">
        <v>26241</v>
      </c>
      <c r="G408" s="59" t="s">
        <v>4399</v>
      </c>
      <c r="H408" s="59" t="s">
        <v>4400</v>
      </c>
      <c r="I408" s="60">
        <v>34829</v>
      </c>
      <c r="J408" s="61">
        <f t="shared" ca="1" si="24"/>
        <v>30</v>
      </c>
      <c r="K408" s="62">
        <f t="shared" si="25"/>
        <v>48156</v>
      </c>
      <c r="L408" s="59" t="s">
        <v>735</v>
      </c>
      <c r="M408" s="59" t="s">
        <v>1454</v>
      </c>
      <c r="N408" s="59" t="s">
        <v>737</v>
      </c>
      <c r="O408" s="63">
        <v>1</v>
      </c>
      <c r="P408" s="61">
        <f>IFERROR(SUMPRODUCT((LK_GradeDerivation!$A$4:$A$135=N408)*(IF(O408="",0,O408)&gt;=LK_GradeDerivation!$B$4:$B$135)*(IF(O408="",0,O408)&lt;=LK_GradeDerivation!$C$4:$C$135)*LK_GradeDerivation!$D$4:$D$135),1)</f>
        <v>4</v>
      </c>
      <c r="Q408" s="61">
        <f>IFERROR(SUMPRODUCT((LK_GradeDerivation!$A$4:$A$135=N408)*(IF(O408="",0,O408)&gt;=LK_GradeDerivation!$B$4:$B$135)*(IF(O408="",0,O408)&lt;=LK_GradeDerivation!$C$4:$C$135)*LK_GradeDerivation!$E$4:$E$135),1)</f>
        <v>1</v>
      </c>
      <c r="R408" s="59" t="s">
        <v>4401</v>
      </c>
      <c r="S408" s="59" t="s">
        <v>4402</v>
      </c>
      <c r="T408" s="59" t="s">
        <v>740</v>
      </c>
      <c r="U408" s="59" t="s">
        <v>1388</v>
      </c>
      <c r="V408" s="59" t="s">
        <v>1457</v>
      </c>
      <c r="W408" s="59" t="s">
        <v>285</v>
      </c>
      <c r="X408" s="59" t="s">
        <v>554</v>
      </c>
      <c r="Y408" s="59" t="s">
        <v>566</v>
      </c>
      <c r="Z408" s="64" t="str">
        <f>IFERROR(VLOOKUP(T408,LK_OrgMaster!$B$4:$H$89,5,FALSE()),"Administration")</f>
        <v>Teacher</v>
      </c>
      <c r="AA408" s="65" t="str">
        <f>IFERROR(VLOOKUP(X408,LK_LocationMaster!$D$4:$G$157,4,FALSE()),"No")</f>
        <v>No</v>
      </c>
      <c r="AB408" s="65" t="str">
        <f t="shared" si="26"/>
        <v>No</v>
      </c>
      <c r="AC408" s="65" t="str">
        <f>IFERROR(VLOOKUP(X408,LK_LocationMaster!$D$4:$H$157,5,FALSE()),"No")</f>
        <v>No</v>
      </c>
      <c r="AD408" s="59" t="s">
        <v>982</v>
      </c>
      <c r="AE408" s="59" t="s">
        <v>765</v>
      </c>
      <c r="AF408" s="59" t="s">
        <v>984</v>
      </c>
      <c r="AG408" s="59" t="s">
        <v>391</v>
      </c>
      <c r="AH408" s="59" t="s">
        <v>4403</v>
      </c>
      <c r="AI408" s="59" t="s">
        <v>285</v>
      </c>
      <c r="AJ408" s="59" t="s">
        <v>768</v>
      </c>
      <c r="AK408" s="59" t="s">
        <v>803</v>
      </c>
      <c r="AL408" s="64" t="str">
        <f>IFERROR(INDEX(LK_BankMaster!$D$4:$D$23,MATCH(AJ408&amp;"|"&amp;AK408,LK_BankMaster!$H$4:$H$23,0)),"")</f>
        <v/>
      </c>
      <c r="AM408" s="59" t="s">
        <v>4404</v>
      </c>
      <c r="AN408" s="64" t="str">
        <f>IFERROR(VLOOKUP(AJ408,LK_BankMaster!$A$4:$E$23,5,FALSE()),"")</f>
        <v/>
      </c>
      <c r="AO408" s="59" t="s">
        <v>291</v>
      </c>
      <c r="AP408" s="66">
        <v>0</v>
      </c>
      <c r="AQ408" s="64" t="str">
        <f t="shared" si="27"/>
        <v>Position Allowance - General Staff</v>
      </c>
      <c r="AR408" s="65" t="str">
        <f>IFERROR(VLOOKUP(T408,LK_OrgMaster!$B$4:$G$89,6,FALSE()),"No")</f>
        <v>No</v>
      </c>
      <c r="AS408" s="64" t="str">
        <f>IFERROR(VLOOKUP(T408,LK_OrgMaster!$B$4:$H$89,7,FALSE()),"None")</f>
        <v>Teaching</v>
      </c>
      <c r="AT408" s="67">
        <v>34829</v>
      </c>
      <c r="AU408" s="67"/>
      <c r="AV408" s="67">
        <v>34829</v>
      </c>
      <c r="AW408" s="67">
        <v>46023</v>
      </c>
      <c r="AX408" s="68" t="s">
        <v>750</v>
      </c>
      <c r="AY408" s="69" t="s">
        <v>6260</v>
      </c>
    </row>
    <row r="409" spans="1:51" ht="15" customHeight="1" x14ac:dyDescent="0.3">
      <c r="A409" s="59" t="s">
        <v>4405</v>
      </c>
      <c r="B409" s="59" t="s">
        <v>729</v>
      </c>
      <c r="C409" s="59" t="s">
        <v>2542</v>
      </c>
      <c r="D409" s="59" t="s">
        <v>1430</v>
      </c>
      <c r="E409" s="59" t="s">
        <v>732</v>
      </c>
      <c r="F409" s="60">
        <v>26900</v>
      </c>
      <c r="G409" s="59" t="s">
        <v>4406</v>
      </c>
      <c r="H409" s="59" t="s">
        <v>4407</v>
      </c>
      <c r="I409" s="60">
        <v>45082</v>
      </c>
      <c r="J409" s="61">
        <f t="shared" ca="1" si="24"/>
        <v>2</v>
      </c>
      <c r="K409" s="62">
        <f t="shared" si="25"/>
        <v>48815</v>
      </c>
      <c r="L409" s="59" t="s">
        <v>735</v>
      </c>
      <c r="M409" s="59" t="s">
        <v>2006</v>
      </c>
      <c r="N409" s="59" t="s">
        <v>737</v>
      </c>
      <c r="O409" s="63">
        <v>25</v>
      </c>
      <c r="P409" s="61">
        <f>IFERROR(SUMPRODUCT((LK_GradeDerivation!$A$4:$A$135=N409)*(IF(O409="",0,O409)&gt;=LK_GradeDerivation!$B$4:$B$135)*(IF(O409="",0,O409)&lt;=LK_GradeDerivation!$C$4:$C$135)*LK_GradeDerivation!$D$4:$D$135),1)</f>
        <v>4</v>
      </c>
      <c r="Q409" s="61">
        <f>IFERROR(SUMPRODUCT((LK_GradeDerivation!$A$4:$A$135=N409)*(IF(O409="",0,O409)&gt;=LK_GradeDerivation!$B$4:$B$135)*(IF(O409="",0,O409)&lt;=LK_GradeDerivation!$C$4:$C$135)*LK_GradeDerivation!$E$4:$E$135),1)</f>
        <v>13</v>
      </c>
      <c r="R409" s="59" t="s">
        <v>4408</v>
      </c>
      <c r="S409" s="59" t="s">
        <v>4409</v>
      </c>
      <c r="T409" s="59" t="s">
        <v>882</v>
      </c>
      <c r="U409" s="59" t="s">
        <v>1619</v>
      </c>
      <c r="V409" s="59" t="s">
        <v>2450</v>
      </c>
      <c r="W409" s="59" t="s">
        <v>285</v>
      </c>
      <c r="X409" s="59" t="s">
        <v>288</v>
      </c>
      <c r="Y409" s="59" t="s">
        <v>298</v>
      </c>
      <c r="Z409" s="64" t="str">
        <f>IFERROR(VLOOKUP(T409,LK_OrgMaster!$B$4:$H$89,5,FALSE()),"Administration")</f>
        <v>Legal</v>
      </c>
      <c r="AA409" s="65" t="str">
        <f>IFERROR(VLOOKUP(X409,LK_LocationMaster!$D$4:$G$157,4,FALSE()),"No")</f>
        <v>No</v>
      </c>
      <c r="AB409" s="65" t="str">
        <f t="shared" si="26"/>
        <v>No</v>
      </c>
      <c r="AC409" s="65" t="str">
        <f>IFERROR(VLOOKUP(X409,LK_LocationMaster!$D$4:$H$157,5,FALSE()),"No")</f>
        <v>No</v>
      </c>
      <c r="AD409" s="59" t="s">
        <v>4410</v>
      </c>
      <c r="AE409" s="59" t="s">
        <v>765</v>
      </c>
      <c r="AF409" s="59" t="s">
        <v>901</v>
      </c>
      <c r="AG409" s="59" t="s">
        <v>312</v>
      </c>
      <c r="AH409" s="59" t="s">
        <v>4411</v>
      </c>
      <c r="AI409" s="59" t="s">
        <v>285</v>
      </c>
      <c r="AJ409" s="59" t="s">
        <v>768</v>
      </c>
      <c r="AK409" s="59" t="s">
        <v>1063</v>
      </c>
      <c r="AL409" s="64" t="str">
        <f>IFERROR(INDEX(LK_BankMaster!$D$4:$D$23,MATCH(AJ409&amp;"|"&amp;AK409,LK_BankMaster!$H$4:$H$23,0)),"")</f>
        <v/>
      </c>
      <c r="AM409" s="59" t="s">
        <v>4412</v>
      </c>
      <c r="AN409" s="64" t="str">
        <f>IFERROR(VLOOKUP(AJ409,LK_BankMaster!$A$4:$E$23,5,FALSE()),"")</f>
        <v/>
      </c>
      <c r="AO409" s="59" t="s">
        <v>314</v>
      </c>
      <c r="AP409" s="66">
        <v>3</v>
      </c>
      <c r="AQ409" s="64" t="str">
        <f t="shared" si="27"/>
        <v>Position Allowance - General Staff</v>
      </c>
      <c r="AR409" s="65" t="str">
        <f>IFERROR(VLOOKUP(T409,LK_OrgMaster!$B$4:$G$89,6,FALSE()),"No")</f>
        <v>No</v>
      </c>
      <c r="AS409" s="64" t="str">
        <f>IFERROR(VLOOKUP(T409,LK_OrgMaster!$B$4:$H$89,7,FALSE()),"None")</f>
        <v>None</v>
      </c>
      <c r="AT409" s="70">
        <v>45082</v>
      </c>
      <c r="AU409" s="70"/>
      <c r="AV409" s="70">
        <v>45082</v>
      </c>
      <c r="AW409" s="70">
        <v>46023</v>
      </c>
      <c r="AX409" s="71" t="s">
        <v>750</v>
      </c>
      <c r="AY409" s="72" t="s">
        <v>6260</v>
      </c>
    </row>
    <row r="410" spans="1:51" ht="15" customHeight="1" x14ac:dyDescent="0.3">
      <c r="A410" s="59" t="s">
        <v>4413</v>
      </c>
      <c r="B410" s="59" t="s">
        <v>729</v>
      </c>
      <c r="C410" s="59" t="s">
        <v>1603</v>
      </c>
      <c r="D410" s="59" t="s">
        <v>1137</v>
      </c>
      <c r="E410" s="59" t="s">
        <v>732</v>
      </c>
      <c r="F410" s="60">
        <v>26243</v>
      </c>
      <c r="G410" s="59" t="s">
        <v>4414</v>
      </c>
      <c r="H410" s="59" t="s">
        <v>4415</v>
      </c>
      <c r="I410" s="60">
        <v>37123</v>
      </c>
      <c r="J410" s="61">
        <f t="shared" ca="1" si="24"/>
        <v>24</v>
      </c>
      <c r="K410" s="62">
        <f t="shared" si="25"/>
        <v>48158</v>
      </c>
      <c r="L410" s="59" t="s">
        <v>735</v>
      </c>
      <c r="M410" s="59" t="s">
        <v>736</v>
      </c>
      <c r="N410" s="59" t="s">
        <v>779</v>
      </c>
      <c r="O410" s="63">
        <v>11</v>
      </c>
      <c r="P410" s="61">
        <f>IFERROR(SUMPRODUCT((LK_GradeDerivation!$A$4:$A$135=N410)*(IF(O410="",0,O410)&gt;=LK_GradeDerivation!$B$4:$B$135)*(IF(O410="",0,O410)&lt;=LK_GradeDerivation!$C$4:$C$135)*LK_GradeDerivation!$D$4:$D$135),1)</f>
        <v>2</v>
      </c>
      <c r="Q410" s="61">
        <f>IFERROR(SUMPRODUCT((LK_GradeDerivation!$A$4:$A$135=N410)*(IF(O410="",0,O410)&gt;=LK_GradeDerivation!$B$4:$B$135)*(IF(O410="",0,O410)&lt;=LK_GradeDerivation!$C$4:$C$135)*LK_GradeDerivation!$E$4:$E$135),1)</f>
        <v>6</v>
      </c>
      <c r="R410" s="59" t="s">
        <v>4416</v>
      </c>
      <c r="S410" s="59" t="s">
        <v>4417</v>
      </c>
      <c r="T410" s="59" t="s">
        <v>740</v>
      </c>
      <c r="U410" s="59" t="s">
        <v>1388</v>
      </c>
      <c r="V410" s="59" t="s">
        <v>1457</v>
      </c>
      <c r="W410" s="59" t="s">
        <v>285</v>
      </c>
      <c r="X410" s="59" t="s">
        <v>575</v>
      </c>
      <c r="Y410" s="59" t="s">
        <v>585</v>
      </c>
      <c r="Z410" s="64" t="str">
        <f>IFERROR(VLOOKUP(T410,LK_OrgMaster!$B$4:$H$89,5,FALSE()),"Administration")</f>
        <v>Teacher</v>
      </c>
      <c r="AA410" s="65" t="str">
        <f>IFERROR(VLOOKUP(X410,LK_LocationMaster!$D$4:$G$157,4,FALSE()),"No")</f>
        <v>Yes</v>
      </c>
      <c r="AB410" s="65" t="str">
        <f t="shared" si="26"/>
        <v>No</v>
      </c>
      <c r="AC410" s="65" t="str">
        <f>IFERROR(VLOOKUP(X410,LK_LocationMaster!$D$4:$H$157,5,FALSE()),"No")</f>
        <v>Yes</v>
      </c>
      <c r="AD410" s="59" t="s">
        <v>4418</v>
      </c>
      <c r="AE410" s="59" t="s">
        <v>930</v>
      </c>
      <c r="AF410" s="59" t="s">
        <v>786</v>
      </c>
      <c r="AG410" s="59" t="s">
        <v>391</v>
      </c>
      <c r="AH410" s="59" t="s">
        <v>4419</v>
      </c>
      <c r="AI410" s="59" t="s">
        <v>285</v>
      </c>
      <c r="AJ410" s="59" t="s">
        <v>768</v>
      </c>
      <c r="AK410" s="59" t="s">
        <v>1122</v>
      </c>
      <c r="AL410" s="64" t="str">
        <f>IFERROR(INDEX(LK_BankMaster!$D$4:$D$23,MATCH(AJ410&amp;"|"&amp;AK410,LK_BankMaster!$H$4:$H$23,0)),"")</f>
        <v/>
      </c>
      <c r="AM410" s="59" t="s">
        <v>4420</v>
      </c>
      <c r="AN410" s="64" t="str">
        <f>IFERROR(VLOOKUP(AJ410,LK_BankMaster!$A$4:$E$23,5,FALSE()),"")</f>
        <v/>
      </c>
      <c r="AO410" s="59" t="s">
        <v>314</v>
      </c>
      <c r="AP410" s="66">
        <v>3</v>
      </c>
      <c r="AQ410" s="64" t="str">
        <f t="shared" si="27"/>
        <v>Position Allowance - General Staff</v>
      </c>
      <c r="AR410" s="65" t="str">
        <f>IFERROR(VLOOKUP(T410,LK_OrgMaster!$B$4:$G$89,6,FALSE()),"No")</f>
        <v>No</v>
      </c>
      <c r="AS410" s="64" t="str">
        <f>IFERROR(VLOOKUP(T410,LK_OrgMaster!$B$4:$H$89,7,FALSE()),"None")</f>
        <v>Teaching</v>
      </c>
      <c r="AT410" s="67">
        <v>37123</v>
      </c>
      <c r="AU410" s="67"/>
      <c r="AV410" s="67">
        <v>37123</v>
      </c>
      <c r="AW410" s="67">
        <v>46023</v>
      </c>
      <c r="AX410" s="68" t="s">
        <v>750</v>
      </c>
      <c r="AY410" s="69" t="s">
        <v>6260</v>
      </c>
    </row>
    <row r="411" spans="1:51" ht="15" customHeight="1" x14ac:dyDescent="0.3">
      <c r="A411" s="59" t="s">
        <v>4421</v>
      </c>
      <c r="B411" s="59" t="s">
        <v>729</v>
      </c>
      <c r="C411" s="59" t="s">
        <v>1703</v>
      </c>
      <c r="D411" s="59" t="s">
        <v>1300</v>
      </c>
      <c r="E411" s="59" t="s">
        <v>732</v>
      </c>
      <c r="F411" s="60">
        <v>34883</v>
      </c>
      <c r="G411" s="59" t="s">
        <v>4422</v>
      </c>
      <c r="H411" s="59" t="s">
        <v>4423</v>
      </c>
      <c r="I411" s="60">
        <v>41986</v>
      </c>
      <c r="J411" s="61">
        <f t="shared" ca="1" si="24"/>
        <v>11</v>
      </c>
      <c r="K411" s="62">
        <f t="shared" si="25"/>
        <v>56798</v>
      </c>
      <c r="L411" s="59" t="s">
        <v>735</v>
      </c>
      <c r="M411" s="59" t="s">
        <v>1574</v>
      </c>
      <c r="N411" s="59" t="s">
        <v>737</v>
      </c>
      <c r="O411" s="63">
        <v>0</v>
      </c>
      <c r="P411" s="61">
        <f>IFERROR(SUMPRODUCT((LK_GradeDerivation!$A$4:$A$135=N411)*(IF(O411="",0,O411)&gt;=LK_GradeDerivation!$B$4:$B$135)*(IF(O411="",0,O411)&lt;=LK_GradeDerivation!$C$4:$C$135)*LK_GradeDerivation!$D$4:$D$135),1)</f>
        <v>4</v>
      </c>
      <c r="Q411" s="61">
        <f>IFERROR(SUMPRODUCT((LK_GradeDerivation!$A$4:$A$135=N411)*(IF(O411="",0,O411)&gt;=LK_GradeDerivation!$B$4:$B$135)*(IF(O411="",0,O411)&lt;=LK_GradeDerivation!$C$4:$C$135)*LK_GradeDerivation!$E$4:$E$135),1)</f>
        <v>1</v>
      </c>
      <c r="R411" s="59" t="s">
        <v>4424</v>
      </c>
      <c r="S411" s="59" t="s">
        <v>4425</v>
      </c>
      <c r="T411" s="59" t="s">
        <v>1305</v>
      </c>
      <c r="U411" s="59" t="s">
        <v>1792</v>
      </c>
      <c r="V411" s="59" t="s">
        <v>4426</v>
      </c>
      <c r="W411" s="59" t="s">
        <v>285</v>
      </c>
      <c r="X411" s="59" t="s">
        <v>408</v>
      </c>
      <c r="Y411" s="59" t="s">
        <v>411</v>
      </c>
      <c r="Z411" s="64" t="str">
        <f>IFERROR(VLOOKUP(T411,LK_OrgMaster!$B$4:$H$89,5,FALSE()),"Administration")</f>
        <v>Administration</v>
      </c>
      <c r="AA411" s="65" t="str">
        <f>IFERROR(VLOOKUP(X411,LK_LocationMaster!$D$4:$G$157,4,FALSE()),"No")</f>
        <v>Yes</v>
      </c>
      <c r="AB411" s="65" t="str">
        <f t="shared" si="26"/>
        <v>No</v>
      </c>
      <c r="AC411" s="65" t="str">
        <f>IFERROR(VLOOKUP(X411,LK_LocationMaster!$D$4:$H$157,5,FALSE()),"No")</f>
        <v>No</v>
      </c>
      <c r="AD411" s="59" t="s">
        <v>4427</v>
      </c>
      <c r="AE411" s="59" t="s">
        <v>800</v>
      </c>
      <c r="AF411" s="59" t="s">
        <v>816</v>
      </c>
      <c r="AG411" s="59" t="s">
        <v>368</v>
      </c>
      <c r="AH411" s="59" t="s">
        <v>4428</v>
      </c>
      <c r="AI411" s="59" t="s">
        <v>285</v>
      </c>
      <c r="AJ411" s="59" t="s">
        <v>788</v>
      </c>
      <c r="AK411" s="59" t="s">
        <v>1146</v>
      </c>
      <c r="AL411" s="64" t="str">
        <f>IFERROR(INDEX(LK_BankMaster!$D$4:$D$23,MATCH(AJ411&amp;"|"&amp;AK411,LK_BankMaster!$H$4:$H$23,0)),"")</f>
        <v/>
      </c>
      <c r="AM411" s="59" t="s">
        <v>4429</v>
      </c>
      <c r="AN411" s="64" t="str">
        <f>IFERROR(VLOOKUP(AJ411,LK_BankMaster!$A$4:$E$23,5,FALSE()),"")</f>
        <v/>
      </c>
      <c r="AO411" s="59" t="s">
        <v>291</v>
      </c>
      <c r="AP411" s="66">
        <v>0</v>
      </c>
      <c r="AQ411" s="64" t="str">
        <f t="shared" si="27"/>
        <v>Position Allowance - Deputy Director</v>
      </c>
      <c r="AR411" s="65" t="str">
        <f>IFERROR(VLOOKUP(T411,LK_OrgMaster!$B$4:$G$89,6,FALSE()),"No")</f>
        <v>No</v>
      </c>
      <c r="AS411" s="64" t="str">
        <f>IFERROR(VLOOKUP(T411,LK_OrgMaster!$B$4:$H$89,7,FALSE()),"None")</f>
        <v>None</v>
      </c>
      <c r="AT411" s="70">
        <v>41986</v>
      </c>
      <c r="AU411" s="70"/>
      <c r="AV411" s="70">
        <v>41986</v>
      </c>
      <c r="AW411" s="70">
        <v>46023</v>
      </c>
      <c r="AX411" s="71" t="s">
        <v>750</v>
      </c>
      <c r="AY411" s="72" t="s">
        <v>6260</v>
      </c>
    </row>
    <row r="412" spans="1:51" ht="15" customHeight="1" x14ac:dyDescent="0.3">
      <c r="A412" s="59" t="s">
        <v>4430</v>
      </c>
      <c r="B412" s="59" t="s">
        <v>772</v>
      </c>
      <c r="C412" s="59" t="s">
        <v>2689</v>
      </c>
      <c r="D412" s="59" t="s">
        <v>1704</v>
      </c>
      <c r="E412" s="59" t="s">
        <v>775</v>
      </c>
      <c r="F412" s="60">
        <v>32777</v>
      </c>
      <c r="G412" s="59" t="s">
        <v>4431</v>
      </c>
      <c r="H412" s="59" t="s">
        <v>4432</v>
      </c>
      <c r="I412" s="60">
        <v>42212</v>
      </c>
      <c r="J412" s="61">
        <f t="shared" ca="1" si="24"/>
        <v>10</v>
      </c>
      <c r="K412" s="62">
        <f t="shared" si="25"/>
        <v>54692</v>
      </c>
      <c r="L412" s="59" t="s">
        <v>735</v>
      </c>
      <c r="M412" s="59" t="s">
        <v>910</v>
      </c>
      <c r="N412" s="59" t="s">
        <v>737</v>
      </c>
      <c r="O412" s="63">
        <v>3</v>
      </c>
      <c r="P412" s="61">
        <f>IFERROR(SUMPRODUCT((LK_GradeDerivation!$A$4:$A$135=N412)*(IF(O412="",0,O412)&gt;=LK_GradeDerivation!$B$4:$B$135)*(IF(O412="",0,O412)&lt;=LK_GradeDerivation!$C$4:$C$135)*LK_GradeDerivation!$D$4:$D$135),1)</f>
        <v>4</v>
      </c>
      <c r="Q412" s="61">
        <f>IFERROR(SUMPRODUCT((LK_GradeDerivation!$A$4:$A$135=N412)*(IF(O412="",0,O412)&gt;=LK_GradeDerivation!$B$4:$B$135)*(IF(O412="",0,O412)&lt;=LK_GradeDerivation!$C$4:$C$135)*LK_GradeDerivation!$E$4:$E$135),1)</f>
        <v>2</v>
      </c>
      <c r="R412" s="59" t="s">
        <v>4433</v>
      </c>
      <c r="S412" s="59" t="s">
        <v>4434</v>
      </c>
      <c r="T412" s="59" t="s">
        <v>1305</v>
      </c>
      <c r="U412" s="59" t="s">
        <v>2268</v>
      </c>
      <c r="V412" s="59" t="s">
        <v>2269</v>
      </c>
      <c r="W412" s="59" t="s">
        <v>285</v>
      </c>
      <c r="X412" s="59" t="s">
        <v>329</v>
      </c>
      <c r="Y412" s="59" t="s">
        <v>338</v>
      </c>
      <c r="Z412" s="64" t="str">
        <f>IFERROR(VLOOKUP(T412,LK_OrgMaster!$B$4:$H$89,5,FALSE()),"Administration")</f>
        <v>Administration</v>
      </c>
      <c r="AA412" s="65" t="str">
        <f>IFERROR(VLOOKUP(X412,LK_LocationMaster!$D$4:$G$157,4,FALSE()),"No")</f>
        <v>Yes</v>
      </c>
      <c r="AB412" s="65" t="str">
        <f t="shared" si="26"/>
        <v>No</v>
      </c>
      <c r="AC412" s="65" t="str">
        <f>IFERROR(VLOOKUP(X412,LK_LocationMaster!$D$4:$H$157,5,FALSE()),"No")</f>
        <v>No</v>
      </c>
      <c r="AD412" s="59" t="s">
        <v>4435</v>
      </c>
      <c r="AE412" s="59" t="s">
        <v>930</v>
      </c>
      <c r="AF412" s="59" t="s">
        <v>901</v>
      </c>
      <c r="AG412" s="59" t="s">
        <v>391</v>
      </c>
      <c r="AH412" s="59" t="s">
        <v>4436</v>
      </c>
      <c r="AI412" s="59" t="s">
        <v>285</v>
      </c>
      <c r="AJ412" s="59" t="s">
        <v>788</v>
      </c>
      <c r="AK412" s="59" t="s">
        <v>1146</v>
      </c>
      <c r="AL412" s="64" t="str">
        <f>IFERROR(INDEX(LK_BankMaster!$D$4:$D$23,MATCH(AJ412&amp;"|"&amp;AK412,LK_BankMaster!$H$4:$H$23,0)),"")</f>
        <v/>
      </c>
      <c r="AM412" s="59" t="s">
        <v>4437</v>
      </c>
      <c r="AN412" s="64" t="str">
        <f>IFERROR(VLOOKUP(AJ412,LK_BankMaster!$A$4:$E$23,5,FALSE()),"")</f>
        <v/>
      </c>
      <c r="AO412" s="59" t="s">
        <v>314</v>
      </c>
      <c r="AP412" s="66">
        <v>1</v>
      </c>
      <c r="AQ412" s="64" t="str">
        <f t="shared" si="27"/>
        <v>Position Allowance - Division Chief</v>
      </c>
      <c r="AR412" s="65" t="str">
        <f>IFERROR(VLOOKUP(T412,LK_OrgMaster!$B$4:$G$89,6,FALSE()),"No")</f>
        <v>No</v>
      </c>
      <c r="AS412" s="64" t="str">
        <f>IFERROR(VLOOKUP(T412,LK_OrgMaster!$B$4:$H$89,7,FALSE()),"None")</f>
        <v>None</v>
      </c>
      <c r="AT412" s="67">
        <v>42212</v>
      </c>
      <c r="AU412" s="67"/>
      <c r="AV412" s="67">
        <v>42212</v>
      </c>
      <c r="AW412" s="67">
        <v>46023</v>
      </c>
      <c r="AX412" s="68" t="s">
        <v>750</v>
      </c>
      <c r="AY412" s="69" t="s">
        <v>6260</v>
      </c>
    </row>
    <row r="413" spans="1:51" ht="15" customHeight="1" x14ac:dyDescent="0.3">
      <c r="A413" s="59" t="s">
        <v>4438</v>
      </c>
      <c r="B413" s="59" t="s">
        <v>772</v>
      </c>
      <c r="C413" s="59" t="s">
        <v>1429</v>
      </c>
      <c r="D413" s="59" t="s">
        <v>1186</v>
      </c>
      <c r="E413" s="59" t="s">
        <v>775</v>
      </c>
      <c r="F413" s="60">
        <v>28901</v>
      </c>
      <c r="G413" s="59" t="s">
        <v>4439</v>
      </c>
      <c r="H413" s="59" t="s">
        <v>4440</v>
      </c>
      <c r="I413" s="60">
        <v>32958</v>
      </c>
      <c r="J413" s="61">
        <f t="shared" ca="1" si="24"/>
        <v>35</v>
      </c>
      <c r="K413" s="62">
        <f t="shared" si="25"/>
        <v>50816</v>
      </c>
      <c r="L413" s="59" t="s">
        <v>735</v>
      </c>
      <c r="M413" s="59" t="s">
        <v>2545</v>
      </c>
      <c r="N413" s="59" t="s">
        <v>758</v>
      </c>
      <c r="O413" s="63">
        <v>0</v>
      </c>
      <c r="P413" s="61">
        <f>IFERROR(SUMPRODUCT((LK_GradeDerivation!$A$4:$A$135=N413)*(IF(O413="",0,O413)&gt;=LK_GradeDerivation!$B$4:$B$135)*(IF(O413="",0,O413)&lt;=LK_GradeDerivation!$C$4:$C$135)*LK_GradeDerivation!$D$4:$D$135),1)</f>
        <v>5</v>
      </c>
      <c r="Q413" s="61">
        <f>IFERROR(SUMPRODUCT((LK_GradeDerivation!$A$4:$A$135=N413)*(IF(O413="",0,O413)&gt;=LK_GradeDerivation!$B$4:$B$135)*(IF(O413="",0,O413)&lt;=LK_GradeDerivation!$C$4:$C$135)*LK_GradeDerivation!$E$4:$E$135),1)</f>
        <v>1</v>
      </c>
      <c r="R413" s="59" t="s">
        <v>4441</v>
      </c>
      <c r="S413" s="59" t="s">
        <v>4442</v>
      </c>
      <c r="T413" s="59" t="s">
        <v>782</v>
      </c>
      <c r="U413" s="59" t="s">
        <v>783</v>
      </c>
      <c r="V413" s="59" t="s">
        <v>763</v>
      </c>
      <c r="W413" s="59" t="s">
        <v>285</v>
      </c>
      <c r="X413" s="59" t="s">
        <v>500</v>
      </c>
      <c r="Y413" s="59" t="s">
        <v>504</v>
      </c>
      <c r="Z413" s="64" t="str">
        <f>IFERROR(VLOOKUP(T413,LK_OrgMaster!$B$4:$H$89,5,FALSE()),"Administration")</f>
        <v>Medical</v>
      </c>
      <c r="AA413" s="65" t="str">
        <f>IFERROR(VLOOKUP(X413,LK_LocationMaster!$D$4:$G$157,4,FALSE()),"No")</f>
        <v>No</v>
      </c>
      <c r="AB413" s="65" t="str">
        <f t="shared" si="26"/>
        <v>No</v>
      </c>
      <c r="AC413" s="65" t="str">
        <f>IFERROR(VLOOKUP(X413,LK_LocationMaster!$D$4:$H$157,5,FALSE()),"No")</f>
        <v>Yes</v>
      </c>
      <c r="AD413" s="59" t="s">
        <v>1425</v>
      </c>
      <c r="AE413" s="59" t="s">
        <v>930</v>
      </c>
      <c r="AF413" s="59" t="s">
        <v>969</v>
      </c>
      <c r="AG413" s="59" t="s">
        <v>312</v>
      </c>
      <c r="AH413" s="59" t="s">
        <v>4443</v>
      </c>
      <c r="AI413" s="59" t="s">
        <v>285</v>
      </c>
      <c r="AJ413" s="59" t="s">
        <v>747</v>
      </c>
      <c r="AK413" s="59" t="s">
        <v>748</v>
      </c>
      <c r="AL413" s="64" t="str">
        <f>IFERROR(INDEX(LK_BankMaster!$D$4:$D$23,MATCH(AJ413&amp;"|"&amp;AK413,LK_BankMaster!$H$4:$H$23,0)),"")</f>
        <v/>
      </c>
      <c r="AM413" s="59" t="s">
        <v>4444</v>
      </c>
      <c r="AN413" s="64" t="str">
        <f>IFERROR(VLOOKUP(AJ413,LK_BankMaster!$A$4:$E$23,5,FALSE()),"")</f>
        <v/>
      </c>
      <c r="AO413" s="59" t="s">
        <v>291</v>
      </c>
      <c r="AP413" s="66">
        <v>0</v>
      </c>
      <c r="AQ413" s="64" t="str">
        <f t="shared" si="27"/>
        <v>Position Allowance - General Staff</v>
      </c>
      <c r="AR413" s="65" t="str">
        <f>IFERROR(VLOOKUP(T413,LK_OrgMaster!$B$4:$G$89,6,FALSE()),"No")</f>
        <v>No</v>
      </c>
      <c r="AS413" s="64" t="str">
        <f>IFERROR(VLOOKUP(T413,LK_OrgMaster!$B$4:$H$89,7,FALSE()),"None")</f>
        <v>Medical</v>
      </c>
      <c r="AT413" s="70">
        <v>32958</v>
      </c>
      <c r="AU413" s="70"/>
      <c r="AV413" s="70">
        <v>32958</v>
      </c>
      <c r="AW413" s="70">
        <v>46023</v>
      </c>
      <c r="AX413" s="71" t="s">
        <v>750</v>
      </c>
      <c r="AY413" s="72" t="s">
        <v>6260</v>
      </c>
    </row>
    <row r="414" spans="1:51" ht="15" customHeight="1" x14ac:dyDescent="0.3">
      <c r="A414" s="59" t="s">
        <v>4445</v>
      </c>
      <c r="B414" s="59" t="s">
        <v>772</v>
      </c>
      <c r="C414" s="59" t="s">
        <v>773</v>
      </c>
      <c r="D414" s="59" t="s">
        <v>2375</v>
      </c>
      <c r="E414" s="59" t="s">
        <v>775</v>
      </c>
      <c r="F414" s="60">
        <v>33519</v>
      </c>
      <c r="G414" s="59" t="s">
        <v>4446</v>
      </c>
      <c r="H414" s="59" t="s">
        <v>4447</v>
      </c>
      <c r="I414" s="60">
        <v>39131</v>
      </c>
      <c r="J414" s="61">
        <f t="shared" ca="1" si="24"/>
        <v>19</v>
      </c>
      <c r="K414" s="62">
        <f t="shared" si="25"/>
        <v>55434</v>
      </c>
      <c r="L414" s="59" t="s">
        <v>735</v>
      </c>
      <c r="M414" s="59" t="s">
        <v>1020</v>
      </c>
      <c r="N414" s="59" t="s">
        <v>737</v>
      </c>
      <c r="O414" s="63">
        <v>0</v>
      </c>
      <c r="P414" s="61">
        <f>IFERROR(SUMPRODUCT((LK_GradeDerivation!$A$4:$A$135=N414)*(IF(O414="",0,O414)&gt;=LK_GradeDerivation!$B$4:$B$135)*(IF(O414="",0,O414)&lt;=LK_GradeDerivation!$C$4:$C$135)*LK_GradeDerivation!$D$4:$D$135),1)</f>
        <v>4</v>
      </c>
      <c r="Q414" s="61">
        <f>IFERROR(SUMPRODUCT((LK_GradeDerivation!$A$4:$A$135=N414)*(IF(O414="",0,O414)&gt;=LK_GradeDerivation!$B$4:$B$135)*(IF(O414="",0,O414)&lt;=LK_GradeDerivation!$C$4:$C$135)*LK_GradeDerivation!$E$4:$E$135),1)</f>
        <v>1</v>
      </c>
      <c r="R414" s="59" t="s">
        <v>4448</v>
      </c>
      <c r="S414" s="59" t="s">
        <v>4449</v>
      </c>
      <c r="T414" s="59" t="s">
        <v>1305</v>
      </c>
      <c r="U414" s="59" t="s">
        <v>1486</v>
      </c>
      <c r="V414" s="59" t="s">
        <v>1649</v>
      </c>
      <c r="W414" s="59" t="s">
        <v>285</v>
      </c>
      <c r="X414" s="59" t="s">
        <v>575</v>
      </c>
      <c r="Y414" s="59" t="s">
        <v>581</v>
      </c>
      <c r="Z414" s="64" t="str">
        <f>IFERROR(VLOOKUP(T414,LK_OrgMaster!$B$4:$H$89,5,FALSE()),"Administration")</f>
        <v>Administration</v>
      </c>
      <c r="AA414" s="65" t="str">
        <f>IFERROR(VLOOKUP(X414,LK_LocationMaster!$D$4:$G$157,4,FALSE()),"No")</f>
        <v>Yes</v>
      </c>
      <c r="AB414" s="65" t="str">
        <f t="shared" si="26"/>
        <v>No</v>
      </c>
      <c r="AC414" s="65" t="str">
        <f>IFERROR(VLOOKUP(X414,LK_LocationMaster!$D$4:$H$157,5,FALSE()),"No")</f>
        <v>Yes</v>
      </c>
      <c r="AD414" s="59" t="s">
        <v>1971</v>
      </c>
      <c r="AE414" s="59" t="s">
        <v>930</v>
      </c>
      <c r="AF414" s="59" t="s">
        <v>984</v>
      </c>
      <c r="AG414" s="59" t="s">
        <v>408</v>
      </c>
      <c r="AH414" s="59" t="s">
        <v>4450</v>
      </c>
      <c r="AI414" s="59" t="s">
        <v>285</v>
      </c>
      <c r="AJ414" s="59" t="s">
        <v>818</v>
      </c>
      <c r="AK414" s="59" t="s">
        <v>819</v>
      </c>
      <c r="AL414" s="64" t="str">
        <f>IFERROR(INDEX(LK_BankMaster!$D$4:$D$23,MATCH(AJ414&amp;"|"&amp;AK414,LK_BankMaster!$H$4:$H$23,0)),"")</f>
        <v/>
      </c>
      <c r="AM414" s="59" t="s">
        <v>4451</v>
      </c>
      <c r="AN414" s="64" t="str">
        <f>IFERROR(VLOOKUP(AJ414,LK_BankMaster!$A$4:$E$23,5,FALSE()),"")</f>
        <v/>
      </c>
      <c r="AO414" s="59" t="s">
        <v>291</v>
      </c>
      <c r="AP414" s="66">
        <v>0</v>
      </c>
      <c r="AQ414" s="64" t="str">
        <f t="shared" si="27"/>
        <v>Position Allowance - Section Chief</v>
      </c>
      <c r="AR414" s="65" t="str">
        <f>IFERROR(VLOOKUP(T414,LK_OrgMaster!$B$4:$G$89,6,FALSE()),"No")</f>
        <v>No</v>
      </c>
      <c r="AS414" s="64" t="str">
        <f>IFERROR(VLOOKUP(T414,LK_OrgMaster!$B$4:$H$89,7,FALSE()),"None")</f>
        <v>None</v>
      </c>
      <c r="AT414" s="67">
        <v>39131</v>
      </c>
      <c r="AU414" s="67"/>
      <c r="AV414" s="67">
        <v>39131</v>
      </c>
      <c r="AW414" s="67">
        <v>46023</v>
      </c>
      <c r="AX414" s="68" t="s">
        <v>750</v>
      </c>
      <c r="AY414" s="69" t="s">
        <v>6260</v>
      </c>
    </row>
    <row r="415" spans="1:51" ht="15" customHeight="1" x14ac:dyDescent="0.3">
      <c r="A415" s="59" t="s">
        <v>4452</v>
      </c>
      <c r="B415" s="59" t="s">
        <v>851</v>
      </c>
      <c r="C415" s="59" t="s">
        <v>1255</v>
      </c>
      <c r="D415" s="59" t="s">
        <v>1289</v>
      </c>
      <c r="E415" s="59" t="s">
        <v>775</v>
      </c>
      <c r="F415" s="60">
        <v>24213</v>
      </c>
      <c r="G415" s="59" t="s">
        <v>4453</v>
      </c>
      <c r="H415" s="59" t="s">
        <v>4454</v>
      </c>
      <c r="I415" s="60">
        <v>38293</v>
      </c>
      <c r="J415" s="61">
        <f t="shared" ca="1" si="24"/>
        <v>21</v>
      </c>
      <c r="K415" s="62">
        <f t="shared" si="25"/>
        <v>46128</v>
      </c>
      <c r="L415" s="59" t="s">
        <v>735</v>
      </c>
      <c r="M415" s="59" t="s">
        <v>841</v>
      </c>
      <c r="N415" s="59" t="s">
        <v>737</v>
      </c>
      <c r="O415" s="63">
        <v>16</v>
      </c>
      <c r="P415" s="61">
        <f>IFERROR(SUMPRODUCT((LK_GradeDerivation!$A$4:$A$135=N415)*(IF(O415="",0,O415)&gt;=LK_GradeDerivation!$B$4:$B$135)*(IF(O415="",0,O415)&lt;=LK_GradeDerivation!$C$4:$C$135)*LK_GradeDerivation!$D$4:$D$135),1)</f>
        <v>4</v>
      </c>
      <c r="Q415" s="61">
        <f>IFERROR(SUMPRODUCT((LK_GradeDerivation!$A$4:$A$135=N415)*(IF(O415="",0,O415)&gt;=LK_GradeDerivation!$B$4:$B$135)*(IF(O415="",0,O415)&lt;=LK_GradeDerivation!$C$4:$C$135)*LK_GradeDerivation!$E$4:$E$135),1)</f>
        <v>9</v>
      </c>
      <c r="R415" s="59" t="s">
        <v>4455</v>
      </c>
      <c r="S415" s="59" t="s">
        <v>4456</v>
      </c>
      <c r="T415" s="59" t="s">
        <v>844</v>
      </c>
      <c r="U415" s="59" t="s">
        <v>1048</v>
      </c>
      <c r="V415" s="59" t="s">
        <v>1049</v>
      </c>
      <c r="W415" s="59" t="s">
        <v>285</v>
      </c>
      <c r="X415" s="59" t="s">
        <v>312</v>
      </c>
      <c r="Y415" s="59" t="s">
        <v>319</v>
      </c>
      <c r="Z415" s="64" t="str">
        <f>IFERROR(VLOOKUP(T415,LK_OrgMaster!$B$4:$H$89,5,FALSE()),"Administration")</f>
        <v>Administration</v>
      </c>
      <c r="AA415" s="65" t="str">
        <f>IFERROR(VLOOKUP(X415,LK_LocationMaster!$D$4:$G$157,4,FALSE()),"No")</f>
        <v>Yes</v>
      </c>
      <c r="AB415" s="65" t="str">
        <f t="shared" si="26"/>
        <v>No</v>
      </c>
      <c r="AC415" s="65" t="str">
        <f>IFERROR(VLOOKUP(X415,LK_LocationMaster!$D$4:$H$157,5,FALSE()),"No")</f>
        <v>No</v>
      </c>
      <c r="AD415" s="59" t="s">
        <v>4457</v>
      </c>
      <c r="AE415" s="59" t="s">
        <v>886</v>
      </c>
      <c r="AF415" s="59" t="s">
        <v>984</v>
      </c>
      <c r="AG415" s="59" t="s">
        <v>408</v>
      </c>
      <c r="AH415" s="59" t="s">
        <v>4458</v>
      </c>
      <c r="AI415" s="59" t="s">
        <v>285</v>
      </c>
      <c r="AJ415" s="59" t="s">
        <v>788</v>
      </c>
      <c r="AK415" s="59" t="s">
        <v>1221</v>
      </c>
      <c r="AL415" s="64" t="str">
        <f>IFERROR(INDEX(LK_BankMaster!$D$4:$D$23,MATCH(AJ415&amp;"|"&amp;AK415,LK_BankMaster!$H$4:$H$23,0)),"")</f>
        <v/>
      </c>
      <c r="AM415" s="59" t="s">
        <v>4459</v>
      </c>
      <c r="AN415" s="64" t="str">
        <f>IFERROR(VLOOKUP(AJ415,LK_BankMaster!$A$4:$E$23,5,FALSE()),"")</f>
        <v/>
      </c>
      <c r="AO415" s="59" t="s">
        <v>291</v>
      </c>
      <c r="AP415" s="66">
        <v>0</v>
      </c>
      <c r="AQ415" s="64" t="str">
        <f t="shared" si="27"/>
        <v>Position Allowance - Director</v>
      </c>
      <c r="AR415" s="65" t="str">
        <f>IFERROR(VLOOKUP(T415,LK_OrgMaster!$B$4:$G$89,6,FALSE()),"No")</f>
        <v>No</v>
      </c>
      <c r="AS415" s="64" t="str">
        <f>IFERROR(VLOOKUP(T415,LK_OrgMaster!$B$4:$H$89,7,FALSE()),"None")</f>
        <v>None</v>
      </c>
      <c r="AT415" s="70">
        <v>38293</v>
      </c>
      <c r="AU415" s="70"/>
      <c r="AV415" s="70">
        <v>38293</v>
      </c>
      <c r="AW415" s="70">
        <v>46023</v>
      </c>
      <c r="AX415" s="71" t="s">
        <v>750</v>
      </c>
      <c r="AY415" s="72" t="s">
        <v>6260</v>
      </c>
    </row>
    <row r="416" spans="1:51" ht="15" customHeight="1" x14ac:dyDescent="0.3">
      <c r="A416" s="59" t="s">
        <v>4460</v>
      </c>
      <c r="B416" s="59" t="s">
        <v>772</v>
      </c>
      <c r="C416" s="59" t="s">
        <v>4461</v>
      </c>
      <c r="D416" s="59" t="s">
        <v>1320</v>
      </c>
      <c r="E416" s="59" t="s">
        <v>775</v>
      </c>
      <c r="F416" s="60">
        <v>31885</v>
      </c>
      <c r="G416" s="59" t="s">
        <v>4462</v>
      </c>
      <c r="H416" s="59" t="s">
        <v>4463</v>
      </c>
      <c r="I416" s="60">
        <v>45292</v>
      </c>
      <c r="J416" s="61">
        <f t="shared" ca="1" si="24"/>
        <v>2</v>
      </c>
      <c r="K416" s="62">
        <f t="shared" si="25"/>
        <v>53800</v>
      </c>
      <c r="L416" s="59" t="s">
        <v>735</v>
      </c>
      <c r="M416" s="59" t="s">
        <v>2927</v>
      </c>
      <c r="N416" s="59" t="s">
        <v>758</v>
      </c>
      <c r="O416" s="63">
        <v>11</v>
      </c>
      <c r="P416" s="61">
        <f>IFERROR(SUMPRODUCT((LK_GradeDerivation!$A$4:$A$135=N416)*(IF(O416="",0,O416)&gt;=LK_GradeDerivation!$B$4:$B$135)*(IF(O416="",0,O416)&lt;=LK_GradeDerivation!$C$4:$C$135)*LK_GradeDerivation!$D$4:$D$135),1)</f>
        <v>5</v>
      </c>
      <c r="Q416" s="61">
        <f>IFERROR(SUMPRODUCT((LK_GradeDerivation!$A$4:$A$135=N416)*(IF(O416="",0,O416)&gt;=LK_GradeDerivation!$B$4:$B$135)*(IF(O416="",0,O416)&lt;=LK_GradeDerivation!$C$4:$C$135)*LK_GradeDerivation!$E$4:$E$135),1)</f>
        <v>6</v>
      </c>
      <c r="R416" s="59" t="s">
        <v>4464</v>
      </c>
      <c r="S416" s="59" t="s">
        <v>4465</v>
      </c>
      <c r="T416" s="59" t="s">
        <v>1118</v>
      </c>
      <c r="U416" s="59" t="s">
        <v>1894</v>
      </c>
      <c r="V416" s="59" t="s">
        <v>763</v>
      </c>
      <c r="W416" s="59" t="s">
        <v>285</v>
      </c>
      <c r="X416" s="59" t="s">
        <v>288</v>
      </c>
      <c r="Y416" s="59" t="s">
        <v>310</v>
      </c>
      <c r="Z416" s="64" t="str">
        <f>IFERROR(VLOOKUP(T416,LK_OrgMaster!$B$4:$H$89,5,FALSE()),"Administration")</f>
        <v>Diplomatic</v>
      </c>
      <c r="AA416" s="65" t="str">
        <f>IFERROR(VLOOKUP(X416,LK_LocationMaster!$D$4:$G$157,4,FALSE()),"No")</f>
        <v>No</v>
      </c>
      <c r="AB416" s="65" t="str">
        <f t="shared" si="26"/>
        <v>No</v>
      </c>
      <c r="AC416" s="65" t="str">
        <f>IFERROR(VLOOKUP(X416,LK_LocationMaster!$D$4:$H$157,5,FALSE()),"No")</f>
        <v>No</v>
      </c>
      <c r="AD416" s="59" t="s">
        <v>4466</v>
      </c>
      <c r="AE416" s="59" t="s">
        <v>930</v>
      </c>
      <c r="AF416" s="59" t="s">
        <v>801</v>
      </c>
      <c r="AG416" s="59" t="s">
        <v>391</v>
      </c>
      <c r="AH416" s="59" t="s">
        <v>4467</v>
      </c>
      <c r="AI416" s="59" t="s">
        <v>285</v>
      </c>
      <c r="AJ416" s="59" t="s">
        <v>818</v>
      </c>
      <c r="AK416" s="59" t="s">
        <v>819</v>
      </c>
      <c r="AL416" s="64" t="str">
        <f>IFERROR(INDEX(LK_BankMaster!$D$4:$D$23,MATCH(AJ416&amp;"|"&amp;AK416,LK_BankMaster!$H$4:$H$23,0)),"")</f>
        <v/>
      </c>
      <c r="AM416" s="59" t="s">
        <v>4468</v>
      </c>
      <c r="AN416" s="64" t="str">
        <f>IFERROR(VLOOKUP(AJ416,LK_BankMaster!$A$4:$E$23,5,FALSE()),"")</f>
        <v/>
      </c>
      <c r="AO416" s="59" t="s">
        <v>291</v>
      </c>
      <c r="AP416" s="66">
        <v>0</v>
      </c>
      <c r="AQ416" s="64" t="str">
        <f t="shared" si="27"/>
        <v>Position Allowance - General Staff</v>
      </c>
      <c r="AR416" s="65" t="str">
        <f>IFERROR(VLOOKUP(T416,LK_OrgMaster!$B$4:$G$89,6,FALSE()),"No")</f>
        <v>No</v>
      </c>
      <c r="AS416" s="64" t="str">
        <f>IFERROR(VLOOKUP(T416,LK_OrgMaster!$B$4:$H$89,7,FALSE()),"None")</f>
        <v>None</v>
      </c>
      <c r="AT416" s="67">
        <v>45292</v>
      </c>
      <c r="AU416" s="67"/>
      <c r="AV416" s="67">
        <v>45292</v>
      </c>
      <c r="AW416" s="67">
        <v>46023</v>
      </c>
      <c r="AX416" s="68" t="s">
        <v>750</v>
      </c>
      <c r="AY416" s="69" t="s">
        <v>6260</v>
      </c>
    </row>
    <row r="417" spans="1:51" ht="15" customHeight="1" x14ac:dyDescent="0.3">
      <c r="A417" s="59" t="s">
        <v>4469</v>
      </c>
      <c r="B417" s="59" t="s">
        <v>851</v>
      </c>
      <c r="C417" s="59" t="s">
        <v>1255</v>
      </c>
      <c r="D417" s="59" t="s">
        <v>876</v>
      </c>
      <c r="E417" s="59" t="s">
        <v>775</v>
      </c>
      <c r="F417" s="60">
        <v>35424</v>
      </c>
      <c r="G417" s="59" t="s">
        <v>4470</v>
      </c>
      <c r="H417" s="59" t="s">
        <v>4471</v>
      </c>
      <c r="I417" s="60">
        <v>45761</v>
      </c>
      <c r="J417" s="61">
        <f t="shared" ca="1" si="24"/>
        <v>0</v>
      </c>
      <c r="K417" s="62">
        <f t="shared" si="25"/>
        <v>57339</v>
      </c>
      <c r="L417" s="59" t="s">
        <v>3706</v>
      </c>
      <c r="M417" s="59" t="s">
        <v>1574</v>
      </c>
      <c r="N417" s="59" t="s">
        <v>737</v>
      </c>
      <c r="O417" s="63">
        <v>6</v>
      </c>
      <c r="P417" s="61">
        <f>IFERROR(SUMPRODUCT((LK_GradeDerivation!$A$4:$A$135=N417)*(IF(O417="",0,O417)&gt;=LK_GradeDerivation!$B$4:$B$135)*(IF(O417="",0,O417)&lt;=LK_GradeDerivation!$C$4:$C$135)*LK_GradeDerivation!$D$4:$D$135),1)</f>
        <v>4</v>
      </c>
      <c r="Q417" s="61">
        <f>IFERROR(SUMPRODUCT((LK_GradeDerivation!$A$4:$A$135=N417)*(IF(O417="",0,O417)&gt;=LK_GradeDerivation!$B$4:$B$135)*(IF(O417="",0,O417)&lt;=LK_GradeDerivation!$C$4:$C$135)*LK_GradeDerivation!$E$4:$E$135),1)</f>
        <v>4</v>
      </c>
      <c r="R417" s="59" t="s">
        <v>4472</v>
      </c>
      <c r="S417" s="59" t="s">
        <v>4473</v>
      </c>
      <c r="T417" s="59" t="s">
        <v>1096</v>
      </c>
      <c r="U417" s="59" t="s">
        <v>953</v>
      </c>
      <c r="V417" s="59" t="s">
        <v>2701</v>
      </c>
      <c r="W417" s="59" t="s">
        <v>285</v>
      </c>
      <c r="X417" s="59" t="s">
        <v>288</v>
      </c>
      <c r="Y417" s="59" t="s">
        <v>300</v>
      </c>
      <c r="Z417" s="64" t="str">
        <f>IFERROR(VLOOKUP(T417,LK_OrgMaster!$B$4:$H$89,5,FALSE()),"Administration")</f>
        <v>Administration</v>
      </c>
      <c r="AA417" s="65" t="str">
        <f>IFERROR(VLOOKUP(X417,LK_LocationMaster!$D$4:$G$157,4,FALSE()),"No")</f>
        <v>No</v>
      </c>
      <c r="AB417" s="65" t="str">
        <f t="shared" si="26"/>
        <v>No</v>
      </c>
      <c r="AC417" s="65" t="str">
        <f>IFERROR(VLOOKUP(X417,LK_LocationMaster!$D$4:$H$157,5,FALSE()),"No")</f>
        <v>No</v>
      </c>
      <c r="AD417" s="59" t="s">
        <v>4474</v>
      </c>
      <c r="AE417" s="59" t="s">
        <v>765</v>
      </c>
      <c r="AF417" s="59" t="s">
        <v>745</v>
      </c>
      <c r="AG417" s="59" t="s">
        <v>368</v>
      </c>
      <c r="AH417" s="59" t="s">
        <v>4475</v>
      </c>
      <c r="AI417" s="59" t="s">
        <v>285</v>
      </c>
      <c r="AJ417" s="59" t="s">
        <v>788</v>
      </c>
      <c r="AK417" s="59" t="s">
        <v>1146</v>
      </c>
      <c r="AL417" s="64" t="str">
        <f>IFERROR(INDEX(LK_BankMaster!$D$4:$D$23,MATCH(AJ417&amp;"|"&amp;AK417,LK_BankMaster!$H$4:$H$23,0)),"")</f>
        <v/>
      </c>
      <c r="AM417" s="59" t="s">
        <v>4476</v>
      </c>
      <c r="AN417" s="64" t="str">
        <f>IFERROR(VLOOKUP(AJ417,LK_BankMaster!$A$4:$E$23,5,FALSE()),"")</f>
        <v/>
      </c>
      <c r="AO417" s="59" t="s">
        <v>314</v>
      </c>
      <c r="AP417" s="66">
        <v>1</v>
      </c>
      <c r="AQ417" s="64" t="str">
        <f t="shared" si="27"/>
        <v>Position Allowance - Deputy Director</v>
      </c>
      <c r="AR417" s="65" t="str">
        <f>IFERROR(VLOOKUP(T417,LK_OrgMaster!$B$4:$G$89,6,FALSE()),"No")</f>
        <v>No</v>
      </c>
      <c r="AS417" s="64" t="str">
        <f>IFERROR(VLOOKUP(T417,LK_OrgMaster!$B$4:$H$89,7,FALSE()),"None")</f>
        <v>None</v>
      </c>
      <c r="AT417" s="70">
        <v>45761</v>
      </c>
      <c r="AU417" s="70"/>
      <c r="AV417" s="70">
        <v>45761</v>
      </c>
      <c r="AW417" s="70">
        <v>46023</v>
      </c>
      <c r="AX417" s="71" t="s">
        <v>750</v>
      </c>
      <c r="AY417" s="72" t="s">
        <v>6260</v>
      </c>
    </row>
    <row r="418" spans="1:51" ht="15" customHeight="1" x14ac:dyDescent="0.3">
      <c r="A418" s="59" t="s">
        <v>4477</v>
      </c>
      <c r="B418" s="59" t="s">
        <v>851</v>
      </c>
      <c r="C418" s="59" t="s">
        <v>2015</v>
      </c>
      <c r="D418" s="59" t="s">
        <v>1663</v>
      </c>
      <c r="E418" s="59" t="s">
        <v>775</v>
      </c>
      <c r="F418" s="60">
        <v>25912</v>
      </c>
      <c r="G418" s="59" t="s">
        <v>4478</v>
      </c>
      <c r="H418" s="59" t="s">
        <v>4479</v>
      </c>
      <c r="I418" s="60">
        <v>37726</v>
      </c>
      <c r="J418" s="61">
        <f t="shared" ca="1" si="24"/>
        <v>22</v>
      </c>
      <c r="K418" s="62">
        <f t="shared" si="25"/>
        <v>47827</v>
      </c>
      <c r="L418" s="59" t="s">
        <v>735</v>
      </c>
      <c r="M418" s="59" t="s">
        <v>910</v>
      </c>
      <c r="N418" s="59" t="s">
        <v>737</v>
      </c>
      <c r="O418" s="63">
        <v>10</v>
      </c>
      <c r="P418" s="61">
        <f>IFERROR(SUMPRODUCT((LK_GradeDerivation!$A$4:$A$135=N418)*(IF(O418="",0,O418)&gt;=LK_GradeDerivation!$B$4:$B$135)*(IF(O418="",0,O418)&lt;=LK_GradeDerivation!$C$4:$C$135)*LK_GradeDerivation!$D$4:$D$135),1)</f>
        <v>4</v>
      </c>
      <c r="Q418" s="61">
        <f>IFERROR(SUMPRODUCT((LK_GradeDerivation!$A$4:$A$135=N418)*(IF(O418="",0,O418)&gt;=LK_GradeDerivation!$B$4:$B$135)*(IF(O418="",0,O418)&lt;=LK_GradeDerivation!$C$4:$C$135)*LK_GradeDerivation!$E$4:$E$135),1)</f>
        <v>6</v>
      </c>
      <c r="R418" s="59" t="s">
        <v>4480</v>
      </c>
      <c r="S418" s="59" t="s">
        <v>4481</v>
      </c>
      <c r="T418" s="59" t="s">
        <v>1096</v>
      </c>
      <c r="U418" s="59" t="s">
        <v>2369</v>
      </c>
      <c r="V418" s="59" t="s">
        <v>763</v>
      </c>
      <c r="W418" s="59" t="s">
        <v>285</v>
      </c>
      <c r="X418" s="59" t="s">
        <v>587</v>
      </c>
      <c r="Y418" s="59" t="s">
        <v>593</v>
      </c>
      <c r="Z418" s="64" t="str">
        <f>IFERROR(VLOOKUP(T418,LK_OrgMaster!$B$4:$H$89,5,FALSE()),"Administration")</f>
        <v>Administration</v>
      </c>
      <c r="AA418" s="65" t="str">
        <f>IFERROR(VLOOKUP(X418,LK_LocationMaster!$D$4:$G$157,4,FALSE()),"No")</f>
        <v>Yes</v>
      </c>
      <c r="AB418" s="65" t="str">
        <f t="shared" si="26"/>
        <v>No</v>
      </c>
      <c r="AC418" s="65" t="str">
        <f>IFERROR(VLOOKUP(X418,LK_LocationMaster!$D$4:$H$157,5,FALSE()),"No")</f>
        <v>Yes</v>
      </c>
      <c r="AD418" s="59" t="s">
        <v>4482</v>
      </c>
      <c r="AE418" s="59" t="s">
        <v>2982</v>
      </c>
      <c r="AF418" s="59" t="s">
        <v>801</v>
      </c>
      <c r="AG418" s="59" t="s">
        <v>288</v>
      </c>
      <c r="AH418" s="59" t="s">
        <v>4483</v>
      </c>
      <c r="AI418" s="59" t="s">
        <v>285</v>
      </c>
      <c r="AJ418" s="59" t="s">
        <v>833</v>
      </c>
      <c r="AK418" s="59" t="s">
        <v>834</v>
      </c>
      <c r="AL418" s="64" t="str">
        <f>IFERROR(INDEX(LK_BankMaster!$D$4:$D$23,MATCH(AJ418&amp;"|"&amp;AK418,LK_BankMaster!$H$4:$H$23,0)),"")</f>
        <v/>
      </c>
      <c r="AM418" s="59" t="s">
        <v>4484</v>
      </c>
      <c r="AN418" s="64" t="str">
        <f>IFERROR(VLOOKUP(AJ418,LK_BankMaster!$A$4:$E$23,5,FALSE()),"")</f>
        <v/>
      </c>
      <c r="AO418" s="59" t="s">
        <v>291</v>
      </c>
      <c r="AP418" s="66">
        <v>0</v>
      </c>
      <c r="AQ418" s="64" t="str">
        <f t="shared" si="27"/>
        <v>Position Allowance - Division Chief</v>
      </c>
      <c r="AR418" s="65" t="str">
        <f>IFERROR(VLOOKUP(T418,LK_OrgMaster!$B$4:$G$89,6,FALSE()),"No")</f>
        <v>No</v>
      </c>
      <c r="AS418" s="64" t="str">
        <f>IFERROR(VLOOKUP(T418,LK_OrgMaster!$B$4:$H$89,7,FALSE()),"None")</f>
        <v>None</v>
      </c>
      <c r="AT418" s="67">
        <v>37726</v>
      </c>
      <c r="AU418" s="67"/>
      <c r="AV418" s="67">
        <v>37726</v>
      </c>
      <c r="AW418" s="67">
        <v>46023</v>
      </c>
      <c r="AX418" s="68" t="s">
        <v>750</v>
      </c>
      <c r="AY418" s="69" t="s">
        <v>6260</v>
      </c>
    </row>
    <row r="419" spans="1:51" ht="15" customHeight="1" x14ac:dyDescent="0.3">
      <c r="A419" s="59" t="s">
        <v>4485</v>
      </c>
      <c r="B419" s="59" t="s">
        <v>772</v>
      </c>
      <c r="C419" s="59" t="s">
        <v>1224</v>
      </c>
      <c r="D419" s="59" t="s">
        <v>1003</v>
      </c>
      <c r="E419" s="59" t="s">
        <v>775</v>
      </c>
      <c r="F419" s="60">
        <v>32204</v>
      </c>
      <c r="G419" s="59" t="s">
        <v>4486</v>
      </c>
      <c r="H419" s="59" t="s">
        <v>4487</v>
      </c>
      <c r="I419" s="60">
        <v>43275</v>
      </c>
      <c r="J419" s="61">
        <f t="shared" ca="1" si="24"/>
        <v>7</v>
      </c>
      <c r="K419" s="62">
        <f t="shared" si="25"/>
        <v>54119</v>
      </c>
      <c r="L419" s="59" t="s">
        <v>735</v>
      </c>
      <c r="M419" s="59" t="s">
        <v>1912</v>
      </c>
      <c r="N419" s="59" t="s">
        <v>737</v>
      </c>
      <c r="O419" s="63">
        <v>8</v>
      </c>
      <c r="P419" s="61">
        <f>IFERROR(SUMPRODUCT((LK_GradeDerivation!$A$4:$A$135=N419)*(IF(O419="",0,O419)&gt;=LK_GradeDerivation!$B$4:$B$135)*(IF(O419="",0,O419)&lt;=LK_GradeDerivation!$C$4:$C$135)*LK_GradeDerivation!$D$4:$D$135),1)</f>
        <v>4</v>
      </c>
      <c r="Q419" s="61">
        <f>IFERROR(SUMPRODUCT((LK_GradeDerivation!$A$4:$A$135=N419)*(IF(O419="",0,O419)&gt;=LK_GradeDerivation!$B$4:$B$135)*(IF(O419="",0,O419)&lt;=LK_GradeDerivation!$C$4:$C$135)*LK_GradeDerivation!$E$4:$E$135),1)</f>
        <v>5</v>
      </c>
      <c r="R419" s="59" t="s">
        <v>4488</v>
      </c>
      <c r="S419" s="59" t="s">
        <v>4489</v>
      </c>
      <c r="T419" s="59" t="s">
        <v>782</v>
      </c>
      <c r="U419" s="59" t="s">
        <v>965</v>
      </c>
      <c r="V419" s="59" t="s">
        <v>3724</v>
      </c>
      <c r="W419" s="59" t="s">
        <v>285</v>
      </c>
      <c r="X419" s="59" t="s">
        <v>544</v>
      </c>
      <c r="Y419" s="59" t="s">
        <v>552</v>
      </c>
      <c r="Z419" s="64" t="str">
        <f>IFERROR(VLOOKUP(T419,LK_OrgMaster!$B$4:$H$89,5,FALSE()),"Administration")</f>
        <v>Medical</v>
      </c>
      <c r="AA419" s="65" t="str">
        <f>IFERROR(VLOOKUP(X419,LK_LocationMaster!$D$4:$G$157,4,FALSE()),"No")</f>
        <v>Yes</v>
      </c>
      <c r="AB419" s="65" t="str">
        <f t="shared" si="26"/>
        <v>No</v>
      </c>
      <c r="AC419" s="65" t="str">
        <f>IFERROR(VLOOKUP(X419,LK_LocationMaster!$D$4:$H$157,5,FALSE()),"No")</f>
        <v>Yes</v>
      </c>
      <c r="AD419" s="59" t="s">
        <v>4490</v>
      </c>
      <c r="AE419" s="59" t="s">
        <v>930</v>
      </c>
      <c r="AF419" s="59" t="s">
        <v>745</v>
      </c>
      <c r="AG419" s="59" t="s">
        <v>391</v>
      </c>
      <c r="AH419" s="59" t="s">
        <v>4491</v>
      </c>
      <c r="AI419" s="59" t="s">
        <v>285</v>
      </c>
      <c r="AJ419" s="59" t="s">
        <v>788</v>
      </c>
      <c r="AK419" s="59" t="s">
        <v>1877</v>
      </c>
      <c r="AL419" s="64" t="str">
        <f>IFERROR(INDEX(LK_BankMaster!$D$4:$D$23,MATCH(AJ419&amp;"|"&amp;AK419,LK_BankMaster!$H$4:$H$23,0)),"")</f>
        <v/>
      </c>
      <c r="AM419" s="59" t="s">
        <v>4492</v>
      </c>
      <c r="AN419" s="64" t="str">
        <f>IFERROR(VLOOKUP(AJ419,LK_BankMaster!$A$4:$E$23,5,FALSE()),"")</f>
        <v/>
      </c>
      <c r="AO419" s="59" t="s">
        <v>291</v>
      </c>
      <c r="AP419" s="66">
        <v>0</v>
      </c>
      <c r="AQ419" s="64" t="str">
        <f t="shared" si="27"/>
        <v>Position Allowance - General Staff</v>
      </c>
      <c r="AR419" s="65" t="str">
        <f>IFERROR(VLOOKUP(T419,LK_OrgMaster!$B$4:$G$89,6,FALSE()),"No")</f>
        <v>No</v>
      </c>
      <c r="AS419" s="64" t="str">
        <f>IFERROR(VLOOKUP(T419,LK_OrgMaster!$B$4:$H$89,7,FALSE()),"None")</f>
        <v>Medical</v>
      </c>
      <c r="AT419" s="70">
        <v>43275</v>
      </c>
      <c r="AU419" s="70"/>
      <c r="AV419" s="70">
        <v>43275</v>
      </c>
      <c r="AW419" s="70">
        <v>46023</v>
      </c>
      <c r="AX419" s="71" t="s">
        <v>750</v>
      </c>
      <c r="AY419" s="72" t="s">
        <v>6260</v>
      </c>
    </row>
    <row r="420" spans="1:51" ht="15" customHeight="1" x14ac:dyDescent="0.3">
      <c r="A420" s="59" t="s">
        <v>4493</v>
      </c>
      <c r="B420" s="59" t="s">
        <v>752</v>
      </c>
      <c r="C420" s="59" t="s">
        <v>2517</v>
      </c>
      <c r="D420" s="59" t="s">
        <v>2194</v>
      </c>
      <c r="E420" s="59" t="s">
        <v>732</v>
      </c>
      <c r="F420" s="60">
        <v>28370</v>
      </c>
      <c r="G420" s="59" t="s">
        <v>4494</v>
      </c>
      <c r="H420" s="59" t="s">
        <v>4495</v>
      </c>
      <c r="I420" s="60">
        <v>41957</v>
      </c>
      <c r="J420" s="61">
        <f t="shared" ca="1" si="24"/>
        <v>11</v>
      </c>
      <c r="K420" s="62">
        <f t="shared" si="25"/>
        <v>50285</v>
      </c>
      <c r="L420" s="59" t="s">
        <v>735</v>
      </c>
      <c r="M420" s="59" t="s">
        <v>1574</v>
      </c>
      <c r="N420" s="59" t="s">
        <v>737</v>
      </c>
      <c r="O420" s="63">
        <v>15</v>
      </c>
      <c r="P420" s="61">
        <f>IFERROR(SUMPRODUCT((LK_GradeDerivation!$A$4:$A$135=N420)*(IF(O420="",0,O420)&gt;=LK_GradeDerivation!$B$4:$B$135)*(IF(O420="",0,O420)&lt;=LK_GradeDerivation!$C$4:$C$135)*LK_GradeDerivation!$D$4:$D$135),1)</f>
        <v>4</v>
      </c>
      <c r="Q420" s="61">
        <f>IFERROR(SUMPRODUCT((LK_GradeDerivation!$A$4:$A$135=N420)*(IF(O420="",0,O420)&gt;=LK_GradeDerivation!$B$4:$B$135)*(IF(O420="",0,O420)&lt;=LK_GradeDerivation!$C$4:$C$135)*LK_GradeDerivation!$E$4:$E$135),1)</f>
        <v>8</v>
      </c>
      <c r="R420" s="59" t="s">
        <v>4496</v>
      </c>
      <c r="S420" s="59" t="s">
        <v>4497</v>
      </c>
      <c r="T420" s="59" t="s">
        <v>952</v>
      </c>
      <c r="U420" s="59" t="s">
        <v>2972</v>
      </c>
      <c r="V420" s="59" t="s">
        <v>4498</v>
      </c>
      <c r="W420" s="59" t="s">
        <v>285</v>
      </c>
      <c r="X420" s="59" t="s">
        <v>312</v>
      </c>
      <c r="Y420" s="59" t="s">
        <v>323</v>
      </c>
      <c r="Z420" s="64" t="str">
        <f>IFERROR(VLOOKUP(T420,LK_OrgMaster!$B$4:$H$89,5,FALSE()),"Administration")</f>
        <v>Administration</v>
      </c>
      <c r="AA420" s="65" t="str">
        <f>IFERROR(VLOOKUP(X420,LK_LocationMaster!$D$4:$G$157,4,FALSE()),"No")</f>
        <v>Yes</v>
      </c>
      <c r="AB420" s="65" t="str">
        <f t="shared" si="26"/>
        <v>No</v>
      </c>
      <c r="AC420" s="65" t="str">
        <f>IFERROR(VLOOKUP(X420,LK_LocationMaster!$D$4:$H$157,5,FALSE()),"No")</f>
        <v>No</v>
      </c>
      <c r="AD420" s="59" t="s">
        <v>4499</v>
      </c>
      <c r="AE420" s="59" t="s">
        <v>886</v>
      </c>
      <c r="AF420" s="59" t="s">
        <v>969</v>
      </c>
      <c r="AG420" s="59" t="s">
        <v>340</v>
      </c>
      <c r="AH420" s="59" t="s">
        <v>4500</v>
      </c>
      <c r="AI420" s="59" t="s">
        <v>285</v>
      </c>
      <c r="AJ420" s="59" t="s">
        <v>768</v>
      </c>
      <c r="AK420" s="59" t="s">
        <v>1589</v>
      </c>
      <c r="AL420" s="64" t="str">
        <f>IFERROR(INDEX(LK_BankMaster!$D$4:$D$23,MATCH(AJ420&amp;"|"&amp;AK420,LK_BankMaster!$H$4:$H$23,0)),"")</f>
        <v/>
      </c>
      <c r="AM420" s="59" t="s">
        <v>4501</v>
      </c>
      <c r="AN420" s="64" t="str">
        <f>IFERROR(VLOOKUP(AJ420,LK_BankMaster!$A$4:$E$23,5,FALSE()),"")</f>
        <v/>
      </c>
      <c r="AO420" s="59" t="s">
        <v>291</v>
      </c>
      <c r="AP420" s="66">
        <v>0</v>
      </c>
      <c r="AQ420" s="64" t="str">
        <f t="shared" si="27"/>
        <v>Position Allowance - Deputy Director</v>
      </c>
      <c r="AR420" s="65" t="str">
        <f>IFERROR(VLOOKUP(T420,LK_OrgMaster!$B$4:$G$89,6,FALSE()),"No")</f>
        <v>No</v>
      </c>
      <c r="AS420" s="64" t="str">
        <f>IFERROR(VLOOKUP(T420,LK_OrgMaster!$B$4:$H$89,7,FALSE()),"None")</f>
        <v>None</v>
      </c>
      <c r="AT420" s="67">
        <v>41957</v>
      </c>
      <c r="AU420" s="67"/>
      <c r="AV420" s="67">
        <v>41957</v>
      </c>
      <c r="AW420" s="67">
        <v>46023</v>
      </c>
      <c r="AX420" s="68" t="s">
        <v>750</v>
      </c>
      <c r="AY420" s="69" t="s">
        <v>6260</v>
      </c>
    </row>
    <row r="421" spans="1:51" ht="15" customHeight="1" x14ac:dyDescent="0.3">
      <c r="A421" s="59" t="s">
        <v>4502</v>
      </c>
      <c r="B421" s="59" t="s">
        <v>772</v>
      </c>
      <c r="C421" s="59" t="s">
        <v>1159</v>
      </c>
      <c r="D421" s="59" t="s">
        <v>1066</v>
      </c>
      <c r="E421" s="59" t="s">
        <v>775</v>
      </c>
      <c r="F421" s="60">
        <v>27281</v>
      </c>
      <c r="G421" s="59" t="s">
        <v>4503</v>
      </c>
      <c r="H421" s="59" t="s">
        <v>4504</v>
      </c>
      <c r="I421" s="60">
        <v>32861</v>
      </c>
      <c r="J421" s="61">
        <f t="shared" ca="1" si="24"/>
        <v>36</v>
      </c>
      <c r="K421" s="62">
        <f t="shared" si="25"/>
        <v>49196</v>
      </c>
      <c r="L421" s="59" t="s">
        <v>735</v>
      </c>
      <c r="M421" s="59" t="s">
        <v>1483</v>
      </c>
      <c r="N421" s="59" t="s">
        <v>1081</v>
      </c>
      <c r="O421" s="63">
        <v>0</v>
      </c>
      <c r="P421" s="61">
        <f>IFERROR(SUMPRODUCT((LK_GradeDerivation!$A$4:$A$135=N421)*(IF(O421="",0,O421)&gt;=LK_GradeDerivation!$B$4:$B$135)*(IF(O421="",0,O421)&lt;=LK_GradeDerivation!$C$4:$C$135)*LK_GradeDerivation!$D$4:$D$135),1)</f>
        <v>3</v>
      </c>
      <c r="Q421" s="61">
        <f>IFERROR(SUMPRODUCT((LK_GradeDerivation!$A$4:$A$135=N421)*(IF(O421="",0,O421)&gt;=LK_GradeDerivation!$B$4:$B$135)*(IF(O421="",0,O421)&lt;=LK_GradeDerivation!$C$4:$C$135)*LK_GradeDerivation!$E$4:$E$135),1)</f>
        <v>1</v>
      </c>
      <c r="R421" s="59" t="s">
        <v>4505</v>
      </c>
      <c r="S421" s="59" t="s">
        <v>4506</v>
      </c>
      <c r="T421" s="59" t="s">
        <v>1035</v>
      </c>
      <c r="U421" s="59" t="s">
        <v>1036</v>
      </c>
      <c r="V421" s="59" t="s">
        <v>4334</v>
      </c>
      <c r="W421" s="59" t="s">
        <v>285</v>
      </c>
      <c r="X421" s="59" t="s">
        <v>500</v>
      </c>
      <c r="Y421" s="59" t="s">
        <v>515</v>
      </c>
      <c r="Z421" s="64" t="str">
        <f>IFERROR(VLOOKUP(T421,LK_OrgMaster!$B$4:$H$89,5,FALSE()),"Administration")</f>
        <v>Administration</v>
      </c>
      <c r="AA421" s="65" t="str">
        <f>IFERROR(VLOOKUP(X421,LK_LocationMaster!$D$4:$G$157,4,FALSE()),"No")</f>
        <v>No</v>
      </c>
      <c r="AB421" s="65" t="str">
        <f t="shared" si="26"/>
        <v>No</v>
      </c>
      <c r="AC421" s="65" t="str">
        <f>IFERROR(VLOOKUP(X421,LK_LocationMaster!$D$4:$H$157,5,FALSE()),"No")</f>
        <v>Yes</v>
      </c>
      <c r="AD421" s="59" t="s">
        <v>3381</v>
      </c>
      <c r="AE421" s="59" t="s">
        <v>800</v>
      </c>
      <c r="AF421" s="59" t="s">
        <v>984</v>
      </c>
      <c r="AG421" s="59" t="s">
        <v>356</v>
      </c>
      <c r="AH421" s="59" t="s">
        <v>4507</v>
      </c>
      <c r="AI421" s="59" t="s">
        <v>285</v>
      </c>
      <c r="AJ421" s="59" t="s">
        <v>833</v>
      </c>
      <c r="AK421" s="59" t="s">
        <v>917</v>
      </c>
      <c r="AL421" s="64" t="str">
        <f>IFERROR(INDEX(LK_BankMaster!$D$4:$D$23,MATCH(AJ421&amp;"|"&amp;AK421,LK_BankMaster!$H$4:$H$23,0)),"")</f>
        <v/>
      </c>
      <c r="AM421" s="59" t="s">
        <v>4508</v>
      </c>
      <c r="AN421" s="64" t="str">
        <f>IFERROR(VLOOKUP(AJ421,LK_BankMaster!$A$4:$E$23,5,FALSE()),"")</f>
        <v/>
      </c>
      <c r="AO421" s="59" t="s">
        <v>314</v>
      </c>
      <c r="AP421" s="66">
        <v>2</v>
      </c>
      <c r="AQ421" s="64" t="str">
        <f t="shared" si="27"/>
        <v>Position Allowance - General Staff</v>
      </c>
      <c r="AR421" s="65" t="str">
        <f>IFERROR(VLOOKUP(T421,LK_OrgMaster!$B$4:$G$89,6,FALSE()),"No")</f>
        <v>No</v>
      </c>
      <c r="AS421" s="64" t="str">
        <f>IFERROR(VLOOKUP(T421,LK_OrgMaster!$B$4:$H$89,7,FALSE()),"None")</f>
        <v>None</v>
      </c>
      <c r="AT421" s="70">
        <v>32861</v>
      </c>
      <c r="AU421" s="70"/>
      <c r="AV421" s="70">
        <v>32861</v>
      </c>
      <c r="AW421" s="70">
        <v>46023</v>
      </c>
      <c r="AX421" s="71" t="s">
        <v>750</v>
      </c>
      <c r="AY421" s="72" t="s">
        <v>6260</v>
      </c>
    </row>
    <row r="422" spans="1:51" ht="15" customHeight="1" x14ac:dyDescent="0.3">
      <c r="A422" s="59" t="s">
        <v>4509</v>
      </c>
      <c r="B422" s="59" t="s">
        <v>772</v>
      </c>
      <c r="C422" s="59" t="s">
        <v>1521</v>
      </c>
      <c r="D422" s="59" t="s">
        <v>1172</v>
      </c>
      <c r="E422" s="59" t="s">
        <v>732</v>
      </c>
      <c r="F422" s="60">
        <v>30099</v>
      </c>
      <c r="G422" s="59" t="s">
        <v>4510</v>
      </c>
      <c r="H422" s="59" t="s">
        <v>4511</v>
      </c>
      <c r="I422" s="60">
        <v>32823</v>
      </c>
      <c r="J422" s="61">
        <f t="shared" ca="1" si="24"/>
        <v>36</v>
      </c>
      <c r="K422" s="62">
        <f t="shared" si="25"/>
        <v>52014</v>
      </c>
      <c r="L422" s="59" t="s">
        <v>735</v>
      </c>
      <c r="M422" s="59" t="s">
        <v>796</v>
      </c>
      <c r="N422" s="59" t="s">
        <v>779</v>
      </c>
      <c r="O422" s="63">
        <v>0</v>
      </c>
      <c r="P422" s="61">
        <f>IFERROR(SUMPRODUCT((LK_GradeDerivation!$A$4:$A$135=N422)*(IF(O422="",0,O422)&gt;=LK_GradeDerivation!$B$4:$B$135)*(IF(O422="",0,O422)&lt;=LK_GradeDerivation!$C$4:$C$135)*LK_GradeDerivation!$D$4:$D$135),1)</f>
        <v>2</v>
      </c>
      <c r="Q422" s="61">
        <f>IFERROR(SUMPRODUCT((LK_GradeDerivation!$A$4:$A$135=N422)*(IF(O422="",0,O422)&gt;=LK_GradeDerivation!$B$4:$B$135)*(IF(O422="",0,O422)&lt;=LK_GradeDerivation!$C$4:$C$135)*LK_GradeDerivation!$E$4:$E$135),1)</f>
        <v>1</v>
      </c>
      <c r="R422" s="59" t="s">
        <v>4512</v>
      </c>
      <c r="S422" s="59" t="s">
        <v>4513</v>
      </c>
      <c r="T422" s="59" t="s">
        <v>740</v>
      </c>
      <c r="U422" s="59" t="s">
        <v>1262</v>
      </c>
      <c r="V422" s="59" t="s">
        <v>1263</v>
      </c>
      <c r="W422" s="59" t="s">
        <v>285</v>
      </c>
      <c r="X422" s="59" t="s">
        <v>544</v>
      </c>
      <c r="Y422" s="59" t="s">
        <v>546</v>
      </c>
      <c r="Z422" s="64" t="str">
        <f>IFERROR(VLOOKUP(T422,LK_OrgMaster!$B$4:$H$89,5,FALSE()),"Administration")</f>
        <v>Teacher</v>
      </c>
      <c r="AA422" s="65" t="str">
        <f>IFERROR(VLOOKUP(X422,LK_LocationMaster!$D$4:$G$157,4,FALSE()),"No")</f>
        <v>Yes</v>
      </c>
      <c r="AB422" s="65" t="str">
        <f t="shared" si="26"/>
        <v>No</v>
      </c>
      <c r="AC422" s="65" t="str">
        <f>IFERROR(VLOOKUP(X422,LK_LocationMaster!$D$4:$H$157,5,FALSE()),"No")</f>
        <v>Yes</v>
      </c>
      <c r="AD422" s="59" t="s">
        <v>1578</v>
      </c>
      <c r="AE422" s="59" t="s">
        <v>3974</v>
      </c>
      <c r="AF422" s="59" t="s">
        <v>847</v>
      </c>
      <c r="AG422" s="59" t="s">
        <v>340</v>
      </c>
      <c r="AH422" s="59" t="s">
        <v>4514</v>
      </c>
      <c r="AI422" s="59" t="s">
        <v>285</v>
      </c>
      <c r="AJ422" s="59" t="s">
        <v>818</v>
      </c>
      <c r="AK422" s="59" t="s">
        <v>819</v>
      </c>
      <c r="AL422" s="64" t="str">
        <f>IFERROR(INDEX(LK_BankMaster!$D$4:$D$23,MATCH(AJ422&amp;"|"&amp;AK422,LK_BankMaster!$H$4:$H$23,0)),"")</f>
        <v/>
      </c>
      <c r="AM422" s="59" t="s">
        <v>4515</v>
      </c>
      <c r="AN422" s="64" t="str">
        <f>IFERROR(VLOOKUP(AJ422,LK_BankMaster!$A$4:$E$23,5,FALSE()),"")</f>
        <v/>
      </c>
      <c r="AO422" s="59" t="s">
        <v>314</v>
      </c>
      <c r="AP422" s="66">
        <v>2</v>
      </c>
      <c r="AQ422" s="64" t="str">
        <f t="shared" si="27"/>
        <v>Position Allowance - General Staff</v>
      </c>
      <c r="AR422" s="65" t="str">
        <f>IFERROR(VLOOKUP(T422,LK_OrgMaster!$B$4:$G$89,6,FALSE()),"No")</f>
        <v>No</v>
      </c>
      <c r="AS422" s="64" t="str">
        <f>IFERROR(VLOOKUP(T422,LK_OrgMaster!$B$4:$H$89,7,FALSE()),"None")</f>
        <v>Teaching</v>
      </c>
      <c r="AT422" s="67">
        <v>32823</v>
      </c>
      <c r="AU422" s="67"/>
      <c r="AV422" s="67">
        <v>32823</v>
      </c>
      <c r="AW422" s="67">
        <v>46023</v>
      </c>
      <c r="AX422" s="68" t="s">
        <v>750</v>
      </c>
      <c r="AY422" s="69" t="s">
        <v>6260</v>
      </c>
    </row>
    <row r="423" spans="1:51" ht="15" customHeight="1" x14ac:dyDescent="0.3">
      <c r="A423" s="59" t="s">
        <v>4516</v>
      </c>
      <c r="B423" s="59" t="s">
        <v>772</v>
      </c>
      <c r="C423" s="59" t="s">
        <v>1245</v>
      </c>
      <c r="D423" s="59" t="s">
        <v>947</v>
      </c>
      <c r="E423" s="59" t="s">
        <v>775</v>
      </c>
      <c r="F423" s="60">
        <v>25632</v>
      </c>
      <c r="G423" s="59" t="s">
        <v>4517</v>
      </c>
      <c r="H423" s="59" t="s">
        <v>4518</v>
      </c>
      <c r="I423" s="60">
        <v>42846</v>
      </c>
      <c r="J423" s="61">
        <f t="shared" ca="1" si="24"/>
        <v>8</v>
      </c>
      <c r="K423" s="62">
        <f t="shared" si="25"/>
        <v>47547</v>
      </c>
      <c r="L423" s="59" t="s">
        <v>735</v>
      </c>
      <c r="M423" s="59" t="s">
        <v>910</v>
      </c>
      <c r="N423" s="59" t="s">
        <v>758</v>
      </c>
      <c r="O423" s="63">
        <v>22</v>
      </c>
      <c r="P423" s="61">
        <f>IFERROR(SUMPRODUCT((LK_GradeDerivation!$A$4:$A$135=N423)*(IF(O423="",0,O423)&gt;=LK_GradeDerivation!$B$4:$B$135)*(IF(O423="",0,O423)&lt;=LK_GradeDerivation!$C$4:$C$135)*LK_GradeDerivation!$D$4:$D$135),1)</f>
        <v>5</v>
      </c>
      <c r="Q423" s="61">
        <f>IFERROR(SUMPRODUCT((LK_GradeDerivation!$A$4:$A$135=N423)*(IF(O423="",0,O423)&gt;=LK_GradeDerivation!$B$4:$B$135)*(IF(O423="",0,O423)&lt;=LK_GradeDerivation!$C$4:$C$135)*LK_GradeDerivation!$E$4:$E$135),1)</f>
        <v>12</v>
      </c>
      <c r="R423" s="59" t="s">
        <v>4519</v>
      </c>
      <c r="S423" s="59" t="s">
        <v>4520</v>
      </c>
      <c r="T423" s="59" t="s">
        <v>761</v>
      </c>
      <c r="U423" s="59" t="s">
        <v>2889</v>
      </c>
      <c r="V423" s="59" t="s">
        <v>4521</v>
      </c>
      <c r="W423" s="59" t="s">
        <v>285</v>
      </c>
      <c r="X423" s="59" t="s">
        <v>288</v>
      </c>
      <c r="Y423" s="59" t="s">
        <v>290</v>
      </c>
      <c r="Z423" s="64" t="str">
        <f>IFERROR(VLOOKUP(T423,LK_OrgMaster!$B$4:$H$89,5,FALSE()),"Administration")</f>
        <v>Administration</v>
      </c>
      <c r="AA423" s="65" t="str">
        <f>IFERROR(VLOOKUP(X423,LK_LocationMaster!$D$4:$G$157,4,FALSE()),"No")</f>
        <v>No</v>
      </c>
      <c r="AB423" s="65" t="str">
        <f t="shared" si="26"/>
        <v>No</v>
      </c>
      <c r="AC423" s="65" t="str">
        <f>IFERROR(VLOOKUP(X423,LK_LocationMaster!$D$4:$H$157,5,FALSE()),"No")</f>
        <v>No</v>
      </c>
      <c r="AD423" s="59" t="s">
        <v>4522</v>
      </c>
      <c r="AE423" s="59" t="s">
        <v>765</v>
      </c>
      <c r="AF423" s="59" t="s">
        <v>984</v>
      </c>
      <c r="AG423" s="59" t="s">
        <v>368</v>
      </c>
      <c r="AH423" s="59" t="s">
        <v>4523</v>
      </c>
      <c r="AI423" s="59" t="s">
        <v>285</v>
      </c>
      <c r="AJ423" s="59" t="s">
        <v>833</v>
      </c>
      <c r="AK423" s="59" t="s">
        <v>1550</v>
      </c>
      <c r="AL423" s="64" t="str">
        <f>IFERROR(INDEX(LK_BankMaster!$D$4:$D$23,MATCH(AJ423&amp;"|"&amp;AK423,LK_BankMaster!$H$4:$H$23,0)),"")</f>
        <v/>
      </c>
      <c r="AM423" s="59" t="s">
        <v>4524</v>
      </c>
      <c r="AN423" s="64" t="str">
        <f>IFERROR(VLOOKUP(AJ423,LK_BankMaster!$A$4:$E$23,5,FALSE()),"")</f>
        <v/>
      </c>
      <c r="AO423" s="59" t="s">
        <v>314</v>
      </c>
      <c r="AP423" s="66">
        <v>3</v>
      </c>
      <c r="AQ423" s="64" t="str">
        <f t="shared" si="27"/>
        <v>Position Allowance - Division Chief</v>
      </c>
      <c r="AR423" s="65" t="str">
        <f>IFERROR(VLOOKUP(T423,LK_OrgMaster!$B$4:$G$89,6,FALSE()),"No")</f>
        <v>Yes</v>
      </c>
      <c r="AS423" s="64" t="str">
        <f>IFERROR(VLOOKUP(T423,LK_OrgMaster!$B$4:$H$89,7,FALSE()),"None")</f>
        <v>None</v>
      </c>
      <c r="AT423" s="70">
        <v>42846</v>
      </c>
      <c r="AU423" s="70"/>
      <c r="AV423" s="70">
        <v>42846</v>
      </c>
      <c r="AW423" s="70">
        <v>46023</v>
      </c>
      <c r="AX423" s="71" t="s">
        <v>750</v>
      </c>
      <c r="AY423" s="72" t="s">
        <v>6260</v>
      </c>
    </row>
    <row r="424" spans="1:51" ht="15" customHeight="1" x14ac:dyDescent="0.3">
      <c r="A424" s="59" t="s">
        <v>4525</v>
      </c>
      <c r="B424" s="59" t="s">
        <v>752</v>
      </c>
      <c r="C424" s="59" t="s">
        <v>1041</v>
      </c>
      <c r="D424" s="59" t="s">
        <v>1373</v>
      </c>
      <c r="E424" s="59" t="s">
        <v>732</v>
      </c>
      <c r="F424" s="60">
        <v>34747</v>
      </c>
      <c r="G424" s="59" t="s">
        <v>4526</v>
      </c>
      <c r="H424" s="59" t="s">
        <v>4527</v>
      </c>
      <c r="I424" s="60">
        <v>44454</v>
      </c>
      <c r="J424" s="61">
        <f t="shared" ca="1" si="24"/>
        <v>4</v>
      </c>
      <c r="K424" s="62">
        <f t="shared" si="25"/>
        <v>56662</v>
      </c>
      <c r="L424" s="59" t="s">
        <v>735</v>
      </c>
      <c r="M424" s="59" t="s">
        <v>1950</v>
      </c>
      <c r="N424" s="59" t="s">
        <v>758</v>
      </c>
      <c r="O424" s="63">
        <v>1</v>
      </c>
      <c r="P424" s="61">
        <f>IFERROR(SUMPRODUCT((LK_GradeDerivation!$A$4:$A$135=N424)*(IF(O424="",0,O424)&gt;=LK_GradeDerivation!$B$4:$B$135)*(IF(O424="",0,O424)&lt;=LK_GradeDerivation!$C$4:$C$135)*LK_GradeDerivation!$D$4:$D$135),1)</f>
        <v>5</v>
      </c>
      <c r="Q424" s="61">
        <f>IFERROR(SUMPRODUCT((LK_GradeDerivation!$A$4:$A$135=N424)*(IF(O424="",0,O424)&gt;=LK_GradeDerivation!$B$4:$B$135)*(IF(O424="",0,O424)&lt;=LK_GradeDerivation!$C$4:$C$135)*LK_GradeDerivation!$E$4:$E$135),1)</f>
        <v>1</v>
      </c>
      <c r="R424" s="59" t="s">
        <v>4528</v>
      </c>
      <c r="S424" s="59" t="s">
        <v>4529</v>
      </c>
      <c r="T424" s="59" t="s">
        <v>740</v>
      </c>
      <c r="U424" s="59" t="s">
        <v>1262</v>
      </c>
      <c r="V424" s="59" t="s">
        <v>1325</v>
      </c>
      <c r="W424" s="59" t="s">
        <v>285</v>
      </c>
      <c r="X424" s="59" t="s">
        <v>391</v>
      </c>
      <c r="Y424" s="59" t="s">
        <v>398</v>
      </c>
      <c r="Z424" s="64" t="str">
        <f>IFERROR(VLOOKUP(T424,LK_OrgMaster!$B$4:$H$89,5,FALSE()),"Administration")</f>
        <v>Teacher</v>
      </c>
      <c r="AA424" s="65" t="str">
        <f>IFERROR(VLOOKUP(X424,LK_LocationMaster!$D$4:$G$157,4,FALSE()),"No")</f>
        <v>Yes</v>
      </c>
      <c r="AB424" s="65" t="str">
        <f t="shared" si="26"/>
        <v>No</v>
      </c>
      <c r="AC424" s="65" t="str">
        <f>IFERROR(VLOOKUP(X424,LK_LocationMaster!$D$4:$H$157,5,FALSE()),"No")</f>
        <v>Yes</v>
      </c>
      <c r="AD424" s="59" t="s">
        <v>4530</v>
      </c>
      <c r="AE424" s="59" t="s">
        <v>765</v>
      </c>
      <c r="AF424" s="59" t="s">
        <v>984</v>
      </c>
      <c r="AG424" s="59" t="s">
        <v>391</v>
      </c>
      <c r="AH424" s="59" t="s">
        <v>4531</v>
      </c>
      <c r="AI424" s="59" t="s">
        <v>285</v>
      </c>
      <c r="AJ424" s="59" t="s">
        <v>747</v>
      </c>
      <c r="AK424" s="59" t="s">
        <v>748</v>
      </c>
      <c r="AL424" s="64" t="str">
        <f>IFERROR(INDEX(LK_BankMaster!$D$4:$D$23,MATCH(AJ424&amp;"|"&amp;AK424,LK_BankMaster!$H$4:$H$23,0)),"")</f>
        <v/>
      </c>
      <c r="AM424" s="59" t="s">
        <v>4532</v>
      </c>
      <c r="AN424" s="64" t="str">
        <f>IFERROR(VLOOKUP(AJ424,LK_BankMaster!$A$4:$E$23,5,FALSE()),"")</f>
        <v/>
      </c>
      <c r="AO424" s="59" t="s">
        <v>291</v>
      </c>
      <c r="AP424" s="66">
        <v>0</v>
      </c>
      <c r="AQ424" s="64" t="str">
        <f t="shared" si="27"/>
        <v>Position Allowance - General Staff</v>
      </c>
      <c r="AR424" s="65" t="str">
        <f>IFERROR(VLOOKUP(T424,LK_OrgMaster!$B$4:$G$89,6,FALSE()),"No")</f>
        <v>No</v>
      </c>
      <c r="AS424" s="64" t="str">
        <f>IFERROR(VLOOKUP(T424,LK_OrgMaster!$B$4:$H$89,7,FALSE()),"None")</f>
        <v>Teaching</v>
      </c>
      <c r="AT424" s="67">
        <v>44454</v>
      </c>
      <c r="AU424" s="67"/>
      <c r="AV424" s="67">
        <v>44454</v>
      </c>
      <c r="AW424" s="67">
        <v>46023</v>
      </c>
      <c r="AX424" s="68" t="s">
        <v>750</v>
      </c>
      <c r="AY424" s="69" t="s">
        <v>6260</v>
      </c>
    </row>
    <row r="425" spans="1:51" ht="15" customHeight="1" x14ac:dyDescent="0.3">
      <c r="A425" s="59" t="s">
        <v>4533</v>
      </c>
      <c r="B425" s="59" t="s">
        <v>729</v>
      </c>
      <c r="C425" s="59" t="s">
        <v>1521</v>
      </c>
      <c r="D425" s="59" t="s">
        <v>1522</v>
      </c>
      <c r="E425" s="59" t="s">
        <v>732</v>
      </c>
      <c r="F425" s="60">
        <v>36651</v>
      </c>
      <c r="G425" s="59" t="s">
        <v>1523</v>
      </c>
      <c r="H425" s="59" t="s">
        <v>4534</v>
      </c>
      <c r="I425" s="60">
        <v>42157</v>
      </c>
      <c r="J425" s="61">
        <f t="shared" ca="1" si="24"/>
        <v>10</v>
      </c>
      <c r="K425" s="62">
        <f t="shared" si="25"/>
        <v>58566</v>
      </c>
      <c r="L425" s="59" t="s">
        <v>735</v>
      </c>
      <c r="M425" s="59" t="s">
        <v>2447</v>
      </c>
      <c r="N425" s="59" t="s">
        <v>737</v>
      </c>
      <c r="O425" s="63">
        <v>0</v>
      </c>
      <c r="P425" s="61">
        <f>IFERROR(SUMPRODUCT((LK_GradeDerivation!$A$4:$A$135=N425)*(IF(O425="",0,O425)&gt;=LK_GradeDerivation!$B$4:$B$135)*(IF(O425="",0,O425)&lt;=LK_GradeDerivation!$C$4:$C$135)*LK_GradeDerivation!$D$4:$D$135),1)</f>
        <v>4</v>
      </c>
      <c r="Q425" s="61">
        <f>IFERROR(SUMPRODUCT((LK_GradeDerivation!$A$4:$A$135=N425)*(IF(O425="",0,O425)&gt;=LK_GradeDerivation!$B$4:$B$135)*(IF(O425="",0,O425)&lt;=LK_GradeDerivation!$C$4:$C$135)*LK_GradeDerivation!$E$4:$E$135),1)</f>
        <v>1</v>
      </c>
      <c r="R425" s="59" t="s">
        <v>4535</v>
      </c>
      <c r="S425" s="59" t="s">
        <v>4536</v>
      </c>
      <c r="T425" s="59" t="s">
        <v>882</v>
      </c>
      <c r="U425" s="59" t="s">
        <v>1658</v>
      </c>
      <c r="V425" s="59" t="s">
        <v>4537</v>
      </c>
      <c r="W425" s="59" t="s">
        <v>285</v>
      </c>
      <c r="X425" s="59" t="s">
        <v>288</v>
      </c>
      <c r="Y425" s="59" t="s">
        <v>296</v>
      </c>
      <c r="Z425" s="64" t="str">
        <f>IFERROR(VLOOKUP(T425,LK_OrgMaster!$B$4:$H$89,5,FALSE()),"Administration")</f>
        <v>Legal</v>
      </c>
      <c r="AA425" s="65" t="str">
        <f>IFERROR(VLOOKUP(X425,LK_LocationMaster!$D$4:$G$157,4,FALSE()),"No")</f>
        <v>No</v>
      </c>
      <c r="AB425" s="65" t="str">
        <f t="shared" si="26"/>
        <v>No</v>
      </c>
      <c r="AC425" s="65" t="str">
        <f>IFERROR(VLOOKUP(X425,LK_LocationMaster!$D$4:$H$157,5,FALSE()),"No")</f>
        <v>No</v>
      </c>
      <c r="AD425" s="59" t="s">
        <v>1087</v>
      </c>
      <c r="AE425" s="59" t="s">
        <v>930</v>
      </c>
      <c r="AF425" s="59" t="s">
        <v>786</v>
      </c>
      <c r="AG425" s="59" t="s">
        <v>391</v>
      </c>
      <c r="AH425" s="59" t="s">
        <v>4538</v>
      </c>
      <c r="AI425" s="59" t="s">
        <v>285</v>
      </c>
      <c r="AJ425" s="59" t="s">
        <v>747</v>
      </c>
      <c r="AK425" s="59" t="s">
        <v>748</v>
      </c>
      <c r="AL425" s="64" t="str">
        <f>IFERROR(INDEX(LK_BankMaster!$D$4:$D$23,MATCH(AJ425&amp;"|"&amp;AK425,LK_BankMaster!$H$4:$H$23,0)),"")</f>
        <v/>
      </c>
      <c r="AM425" s="59" t="s">
        <v>4539</v>
      </c>
      <c r="AN425" s="64" t="str">
        <f>IFERROR(VLOOKUP(AJ425,LK_BankMaster!$A$4:$E$23,5,FALSE()),"")</f>
        <v/>
      </c>
      <c r="AO425" s="59" t="s">
        <v>314</v>
      </c>
      <c r="AP425" s="66">
        <v>3</v>
      </c>
      <c r="AQ425" s="64" t="str">
        <f t="shared" si="27"/>
        <v>Position Allowance - General Staff</v>
      </c>
      <c r="AR425" s="65" t="str">
        <f>IFERROR(VLOOKUP(T425,LK_OrgMaster!$B$4:$G$89,6,FALSE()),"No")</f>
        <v>No</v>
      </c>
      <c r="AS425" s="64" t="str">
        <f>IFERROR(VLOOKUP(T425,LK_OrgMaster!$B$4:$H$89,7,FALSE()),"None")</f>
        <v>None</v>
      </c>
      <c r="AT425" s="70">
        <v>42157</v>
      </c>
      <c r="AU425" s="70"/>
      <c r="AV425" s="70">
        <v>42157</v>
      </c>
      <c r="AW425" s="70">
        <v>46023</v>
      </c>
      <c r="AX425" s="71" t="s">
        <v>750</v>
      </c>
      <c r="AY425" s="72" t="s">
        <v>6260</v>
      </c>
    </row>
    <row r="426" spans="1:51" ht="15" customHeight="1" x14ac:dyDescent="0.3">
      <c r="A426" s="59" t="s">
        <v>4540</v>
      </c>
      <c r="B426" s="59" t="s">
        <v>772</v>
      </c>
      <c r="C426" s="59" t="s">
        <v>1582</v>
      </c>
      <c r="D426" s="59" t="s">
        <v>1186</v>
      </c>
      <c r="E426" s="59" t="s">
        <v>775</v>
      </c>
      <c r="F426" s="60">
        <v>25159</v>
      </c>
      <c r="G426" s="59" t="s">
        <v>4541</v>
      </c>
      <c r="H426" s="59" t="s">
        <v>4542</v>
      </c>
      <c r="I426" s="60">
        <v>44850</v>
      </c>
      <c r="J426" s="61">
        <f t="shared" ca="1" si="24"/>
        <v>3</v>
      </c>
      <c r="K426" s="62">
        <f t="shared" si="25"/>
        <v>47074</v>
      </c>
      <c r="L426" s="59" t="s">
        <v>735</v>
      </c>
      <c r="M426" s="59" t="s">
        <v>2545</v>
      </c>
      <c r="N426" s="59" t="s">
        <v>737</v>
      </c>
      <c r="O426" s="63">
        <v>25</v>
      </c>
      <c r="P426" s="61">
        <f>IFERROR(SUMPRODUCT((LK_GradeDerivation!$A$4:$A$135=N426)*(IF(O426="",0,O426)&gt;=LK_GradeDerivation!$B$4:$B$135)*(IF(O426="",0,O426)&lt;=LK_GradeDerivation!$C$4:$C$135)*LK_GradeDerivation!$D$4:$D$135),1)</f>
        <v>4</v>
      </c>
      <c r="Q426" s="61">
        <f>IFERROR(SUMPRODUCT((LK_GradeDerivation!$A$4:$A$135=N426)*(IF(O426="",0,O426)&gt;=LK_GradeDerivation!$B$4:$B$135)*(IF(O426="",0,O426)&lt;=LK_GradeDerivation!$C$4:$C$135)*LK_GradeDerivation!$E$4:$E$135),1)</f>
        <v>13</v>
      </c>
      <c r="R426" s="59" t="s">
        <v>4543</v>
      </c>
      <c r="S426" s="59" t="s">
        <v>4544</v>
      </c>
      <c r="T426" s="59" t="s">
        <v>782</v>
      </c>
      <c r="U426" s="59" t="s">
        <v>783</v>
      </c>
      <c r="V426" s="59" t="s">
        <v>3138</v>
      </c>
      <c r="W426" s="59" t="s">
        <v>285</v>
      </c>
      <c r="X426" s="59" t="s">
        <v>463</v>
      </c>
      <c r="Y426" s="59" t="s">
        <v>469</v>
      </c>
      <c r="Z426" s="64" t="str">
        <f>IFERROR(VLOOKUP(T426,LK_OrgMaster!$B$4:$H$89,5,FALSE()),"Administration")</f>
        <v>Medical</v>
      </c>
      <c r="AA426" s="65" t="str">
        <f>IFERROR(VLOOKUP(X426,LK_LocationMaster!$D$4:$G$157,4,FALSE()),"No")</f>
        <v>No</v>
      </c>
      <c r="AB426" s="65" t="str">
        <f t="shared" si="26"/>
        <v>No</v>
      </c>
      <c r="AC426" s="65" t="str">
        <f>IFERROR(VLOOKUP(X426,LK_LocationMaster!$D$4:$H$157,5,FALSE()),"No")</f>
        <v>No</v>
      </c>
      <c r="AD426" s="59" t="s">
        <v>4545</v>
      </c>
      <c r="AE426" s="59" t="s">
        <v>765</v>
      </c>
      <c r="AF426" s="59" t="s">
        <v>801</v>
      </c>
      <c r="AG426" s="59" t="s">
        <v>368</v>
      </c>
      <c r="AH426" s="59" t="s">
        <v>4546</v>
      </c>
      <c r="AI426" s="59" t="s">
        <v>285</v>
      </c>
      <c r="AJ426" s="59" t="s">
        <v>833</v>
      </c>
      <c r="AK426" s="59" t="s">
        <v>834</v>
      </c>
      <c r="AL426" s="64" t="str">
        <f>IFERROR(INDEX(LK_BankMaster!$D$4:$D$23,MATCH(AJ426&amp;"|"&amp;AK426,LK_BankMaster!$H$4:$H$23,0)),"")</f>
        <v/>
      </c>
      <c r="AM426" s="59" t="s">
        <v>4547</v>
      </c>
      <c r="AN426" s="64" t="str">
        <f>IFERROR(VLOOKUP(AJ426,LK_BankMaster!$A$4:$E$23,5,FALSE()),"")</f>
        <v/>
      </c>
      <c r="AO426" s="59" t="s">
        <v>314</v>
      </c>
      <c r="AP426" s="66">
        <v>2</v>
      </c>
      <c r="AQ426" s="64" t="str">
        <f t="shared" si="27"/>
        <v>Position Allowance - General Staff</v>
      </c>
      <c r="AR426" s="65" t="str">
        <f>IFERROR(VLOOKUP(T426,LK_OrgMaster!$B$4:$G$89,6,FALSE()),"No")</f>
        <v>No</v>
      </c>
      <c r="AS426" s="64" t="str">
        <f>IFERROR(VLOOKUP(T426,LK_OrgMaster!$B$4:$H$89,7,FALSE()),"None")</f>
        <v>Medical</v>
      </c>
      <c r="AT426" s="67">
        <v>44850</v>
      </c>
      <c r="AU426" s="67"/>
      <c r="AV426" s="67">
        <v>44850</v>
      </c>
      <c r="AW426" s="67">
        <v>46023</v>
      </c>
      <c r="AX426" s="68" t="s">
        <v>750</v>
      </c>
      <c r="AY426" s="69" t="s">
        <v>6260</v>
      </c>
    </row>
    <row r="427" spans="1:51" ht="15" customHeight="1" x14ac:dyDescent="0.3">
      <c r="A427" s="59" t="s">
        <v>4548</v>
      </c>
      <c r="B427" s="59" t="s">
        <v>752</v>
      </c>
      <c r="C427" s="59" t="s">
        <v>753</v>
      </c>
      <c r="D427" s="59" t="s">
        <v>774</v>
      </c>
      <c r="E427" s="59" t="s">
        <v>732</v>
      </c>
      <c r="F427" s="60">
        <v>32077</v>
      </c>
      <c r="G427" s="59" t="s">
        <v>4549</v>
      </c>
      <c r="H427" s="59" t="s">
        <v>4550</v>
      </c>
      <c r="I427" s="60">
        <v>35619</v>
      </c>
      <c r="J427" s="61">
        <f t="shared" ca="1" si="24"/>
        <v>28</v>
      </c>
      <c r="K427" s="62">
        <f t="shared" si="25"/>
        <v>53992</v>
      </c>
      <c r="L427" s="59" t="s">
        <v>735</v>
      </c>
      <c r="M427" s="59" t="s">
        <v>1376</v>
      </c>
      <c r="N427" s="59" t="s">
        <v>758</v>
      </c>
      <c r="O427" s="63">
        <v>0</v>
      </c>
      <c r="P427" s="61">
        <f>IFERROR(SUMPRODUCT((LK_GradeDerivation!$A$4:$A$135=N427)*(IF(O427="",0,O427)&gt;=LK_GradeDerivation!$B$4:$B$135)*(IF(O427="",0,O427)&lt;=LK_GradeDerivation!$C$4:$C$135)*LK_GradeDerivation!$D$4:$D$135),1)</f>
        <v>5</v>
      </c>
      <c r="Q427" s="61">
        <f>IFERROR(SUMPRODUCT((LK_GradeDerivation!$A$4:$A$135=N427)*(IF(O427="",0,O427)&gt;=LK_GradeDerivation!$B$4:$B$135)*(IF(O427="",0,O427)&lt;=LK_GradeDerivation!$C$4:$C$135)*LK_GradeDerivation!$E$4:$E$135),1)</f>
        <v>1</v>
      </c>
      <c r="R427" s="59" t="s">
        <v>4551</v>
      </c>
      <c r="S427" s="59" t="s">
        <v>4552</v>
      </c>
      <c r="T427" s="59" t="s">
        <v>782</v>
      </c>
      <c r="U427" s="59" t="s">
        <v>1191</v>
      </c>
      <c r="V427" s="59" t="s">
        <v>3473</v>
      </c>
      <c r="W427" s="59" t="s">
        <v>285</v>
      </c>
      <c r="X427" s="59" t="s">
        <v>356</v>
      </c>
      <c r="Y427" s="59" t="s">
        <v>366</v>
      </c>
      <c r="Z427" s="64" t="str">
        <f>IFERROR(VLOOKUP(T427,LK_OrgMaster!$B$4:$H$89,5,FALSE()),"Administration")</f>
        <v>Medical</v>
      </c>
      <c r="AA427" s="65" t="str">
        <f>IFERROR(VLOOKUP(X427,LK_LocationMaster!$D$4:$G$157,4,FALSE()),"No")</f>
        <v>Yes</v>
      </c>
      <c r="AB427" s="65" t="str">
        <f t="shared" si="26"/>
        <v>No</v>
      </c>
      <c r="AC427" s="65" t="str">
        <f>IFERROR(VLOOKUP(X427,LK_LocationMaster!$D$4:$H$157,5,FALSE()),"No")</f>
        <v>No</v>
      </c>
      <c r="AD427" s="59" t="s">
        <v>4553</v>
      </c>
      <c r="AE427" s="59" t="s">
        <v>930</v>
      </c>
      <c r="AF427" s="59" t="s">
        <v>816</v>
      </c>
      <c r="AG427" s="59" t="s">
        <v>368</v>
      </c>
      <c r="AH427" s="59" t="s">
        <v>4554</v>
      </c>
      <c r="AI427" s="59" t="s">
        <v>285</v>
      </c>
      <c r="AJ427" s="59" t="s">
        <v>833</v>
      </c>
      <c r="AK427" s="59" t="s">
        <v>1013</v>
      </c>
      <c r="AL427" s="64" t="str">
        <f>IFERROR(INDEX(LK_BankMaster!$D$4:$D$23,MATCH(AJ427&amp;"|"&amp;AK427,LK_BankMaster!$H$4:$H$23,0)),"")</f>
        <v/>
      </c>
      <c r="AM427" s="59" t="s">
        <v>4555</v>
      </c>
      <c r="AN427" s="64" t="str">
        <f>IFERROR(VLOOKUP(AJ427,LK_BankMaster!$A$4:$E$23,5,FALSE()),"")</f>
        <v/>
      </c>
      <c r="AO427" s="59" t="s">
        <v>314</v>
      </c>
      <c r="AP427" s="66">
        <v>1</v>
      </c>
      <c r="AQ427" s="64" t="str">
        <f t="shared" si="27"/>
        <v>Position Allowance - Director</v>
      </c>
      <c r="AR427" s="65" t="str">
        <f>IFERROR(VLOOKUP(T427,LK_OrgMaster!$B$4:$G$89,6,FALSE()),"No")</f>
        <v>No</v>
      </c>
      <c r="AS427" s="64" t="str">
        <f>IFERROR(VLOOKUP(T427,LK_OrgMaster!$B$4:$H$89,7,FALSE()),"None")</f>
        <v>Medical</v>
      </c>
      <c r="AT427" s="70">
        <v>35619</v>
      </c>
      <c r="AU427" s="70"/>
      <c r="AV427" s="70">
        <v>35619</v>
      </c>
      <c r="AW427" s="70">
        <v>46023</v>
      </c>
      <c r="AX427" s="71" t="s">
        <v>750</v>
      </c>
      <c r="AY427" s="72" t="s">
        <v>6260</v>
      </c>
    </row>
    <row r="428" spans="1:51" ht="15" customHeight="1" x14ac:dyDescent="0.3">
      <c r="A428" s="59" t="s">
        <v>4556</v>
      </c>
      <c r="B428" s="59" t="s">
        <v>851</v>
      </c>
      <c r="C428" s="59" t="s">
        <v>792</v>
      </c>
      <c r="D428" s="59" t="s">
        <v>907</v>
      </c>
      <c r="E428" s="59" t="s">
        <v>775</v>
      </c>
      <c r="F428" s="60">
        <v>27630</v>
      </c>
      <c r="G428" s="59" t="s">
        <v>4557</v>
      </c>
      <c r="H428" s="59" t="s">
        <v>4558</v>
      </c>
      <c r="I428" s="60">
        <v>40079</v>
      </c>
      <c r="J428" s="61">
        <f t="shared" ca="1" si="24"/>
        <v>16</v>
      </c>
      <c r="K428" s="62">
        <f t="shared" si="25"/>
        <v>49545</v>
      </c>
      <c r="L428" s="59" t="s">
        <v>735</v>
      </c>
      <c r="M428" s="59" t="s">
        <v>841</v>
      </c>
      <c r="N428" s="59" t="s">
        <v>737</v>
      </c>
      <c r="O428" s="63">
        <v>12</v>
      </c>
      <c r="P428" s="61">
        <f>IFERROR(SUMPRODUCT((LK_GradeDerivation!$A$4:$A$135=N428)*(IF(O428="",0,O428)&gt;=LK_GradeDerivation!$B$4:$B$135)*(IF(O428="",0,O428)&lt;=LK_GradeDerivation!$C$4:$C$135)*LK_GradeDerivation!$D$4:$D$135),1)</f>
        <v>4</v>
      </c>
      <c r="Q428" s="61">
        <f>IFERROR(SUMPRODUCT((LK_GradeDerivation!$A$4:$A$135=N428)*(IF(O428="",0,O428)&gt;=LK_GradeDerivation!$B$4:$B$135)*(IF(O428="",0,O428)&lt;=LK_GradeDerivation!$C$4:$C$135)*LK_GradeDerivation!$E$4:$E$135),1)</f>
        <v>7</v>
      </c>
      <c r="R428" s="59" t="s">
        <v>4559</v>
      </c>
      <c r="S428" s="59" t="s">
        <v>4560</v>
      </c>
      <c r="T428" s="59" t="s">
        <v>979</v>
      </c>
      <c r="U428" s="59" t="s">
        <v>1475</v>
      </c>
      <c r="V428" s="59" t="s">
        <v>763</v>
      </c>
      <c r="W428" s="59" t="s">
        <v>285</v>
      </c>
      <c r="X428" s="59" t="s">
        <v>312</v>
      </c>
      <c r="Y428" s="59" t="s">
        <v>327</v>
      </c>
      <c r="Z428" s="64" t="str">
        <f>IFERROR(VLOOKUP(T428,LK_OrgMaster!$B$4:$H$89,5,FALSE()),"Administration")</f>
        <v>Administration</v>
      </c>
      <c r="AA428" s="65" t="str">
        <f>IFERROR(VLOOKUP(X428,LK_LocationMaster!$D$4:$G$157,4,FALSE()),"No")</f>
        <v>Yes</v>
      </c>
      <c r="AB428" s="65" t="str">
        <f t="shared" si="26"/>
        <v>No</v>
      </c>
      <c r="AC428" s="65" t="str">
        <f>IFERROR(VLOOKUP(X428,LK_LocationMaster!$D$4:$H$157,5,FALSE()),"No")</f>
        <v>No</v>
      </c>
      <c r="AD428" s="59" t="s">
        <v>4561</v>
      </c>
      <c r="AE428" s="59" t="s">
        <v>886</v>
      </c>
      <c r="AF428" s="59" t="s">
        <v>786</v>
      </c>
      <c r="AG428" s="59" t="s">
        <v>391</v>
      </c>
      <c r="AH428" s="59" t="s">
        <v>4562</v>
      </c>
      <c r="AI428" s="59" t="s">
        <v>285</v>
      </c>
      <c r="AJ428" s="59" t="s">
        <v>818</v>
      </c>
      <c r="AK428" s="59" t="s">
        <v>819</v>
      </c>
      <c r="AL428" s="64" t="str">
        <f>IFERROR(INDEX(LK_BankMaster!$D$4:$D$23,MATCH(AJ428&amp;"|"&amp;AK428,LK_BankMaster!$H$4:$H$23,0)),"")</f>
        <v/>
      </c>
      <c r="AM428" s="59" t="s">
        <v>4563</v>
      </c>
      <c r="AN428" s="64" t="str">
        <f>IFERROR(VLOOKUP(AJ428,LK_BankMaster!$A$4:$E$23,5,FALSE()),"")</f>
        <v/>
      </c>
      <c r="AO428" s="59" t="s">
        <v>314</v>
      </c>
      <c r="AP428" s="66">
        <v>0</v>
      </c>
      <c r="AQ428" s="64" t="str">
        <f t="shared" si="27"/>
        <v>Position Allowance - Director</v>
      </c>
      <c r="AR428" s="65" t="str">
        <f>IFERROR(VLOOKUP(T428,LK_OrgMaster!$B$4:$G$89,6,FALSE()),"No")</f>
        <v>No</v>
      </c>
      <c r="AS428" s="64" t="str">
        <f>IFERROR(VLOOKUP(T428,LK_OrgMaster!$B$4:$H$89,7,FALSE()),"None")</f>
        <v>None</v>
      </c>
      <c r="AT428" s="67">
        <v>40079</v>
      </c>
      <c r="AU428" s="67"/>
      <c r="AV428" s="67">
        <v>40079</v>
      </c>
      <c r="AW428" s="67">
        <v>46023</v>
      </c>
      <c r="AX428" s="68" t="s">
        <v>750</v>
      </c>
      <c r="AY428" s="69" t="s">
        <v>6260</v>
      </c>
    </row>
    <row r="429" spans="1:51" ht="15" customHeight="1" x14ac:dyDescent="0.3">
      <c r="A429" s="59" t="s">
        <v>4564</v>
      </c>
      <c r="B429" s="59" t="s">
        <v>729</v>
      </c>
      <c r="C429" s="59" t="s">
        <v>1417</v>
      </c>
      <c r="D429" s="59" t="s">
        <v>2444</v>
      </c>
      <c r="E429" s="59" t="s">
        <v>732</v>
      </c>
      <c r="F429" s="60">
        <v>36386</v>
      </c>
      <c r="G429" s="59" t="s">
        <v>4565</v>
      </c>
      <c r="H429" s="59" t="s">
        <v>4566</v>
      </c>
      <c r="I429" s="60">
        <v>44542</v>
      </c>
      <c r="J429" s="61">
        <f t="shared" ca="1" si="24"/>
        <v>4</v>
      </c>
      <c r="K429" s="62">
        <f t="shared" si="25"/>
        <v>58301</v>
      </c>
      <c r="L429" s="59" t="s">
        <v>735</v>
      </c>
      <c r="M429" s="59" t="s">
        <v>1163</v>
      </c>
      <c r="N429" s="59" t="s">
        <v>737</v>
      </c>
      <c r="O429" s="63">
        <v>0</v>
      </c>
      <c r="P429" s="61">
        <f>IFERROR(SUMPRODUCT((LK_GradeDerivation!$A$4:$A$135=N429)*(IF(O429="",0,O429)&gt;=LK_GradeDerivation!$B$4:$B$135)*(IF(O429="",0,O429)&lt;=LK_GradeDerivation!$C$4:$C$135)*LK_GradeDerivation!$D$4:$D$135),1)</f>
        <v>4</v>
      </c>
      <c r="Q429" s="61">
        <f>IFERROR(SUMPRODUCT((LK_GradeDerivation!$A$4:$A$135=N429)*(IF(O429="",0,O429)&gt;=LK_GradeDerivation!$B$4:$B$135)*(IF(O429="",0,O429)&lt;=LK_GradeDerivation!$C$4:$C$135)*LK_GradeDerivation!$E$4:$E$135),1)</f>
        <v>1</v>
      </c>
      <c r="R429" s="59" t="s">
        <v>4567</v>
      </c>
      <c r="S429" s="59" t="s">
        <v>4568</v>
      </c>
      <c r="T429" s="59" t="s">
        <v>740</v>
      </c>
      <c r="U429" s="59" t="s">
        <v>1166</v>
      </c>
      <c r="V429" s="59" t="s">
        <v>1970</v>
      </c>
      <c r="W429" s="59" t="s">
        <v>285</v>
      </c>
      <c r="X429" s="59" t="s">
        <v>527</v>
      </c>
      <c r="Y429" s="59" t="s">
        <v>536</v>
      </c>
      <c r="Z429" s="64" t="str">
        <f>IFERROR(VLOOKUP(T429,LK_OrgMaster!$B$4:$H$89,5,FALSE()),"Administration")</f>
        <v>Teacher</v>
      </c>
      <c r="AA429" s="65" t="str">
        <f>IFERROR(VLOOKUP(X429,LK_LocationMaster!$D$4:$G$157,4,FALSE()),"No")</f>
        <v>No</v>
      </c>
      <c r="AB429" s="65" t="str">
        <f t="shared" si="26"/>
        <v>No</v>
      </c>
      <c r="AC429" s="65" t="str">
        <f>IFERROR(VLOOKUP(X429,LK_LocationMaster!$D$4:$H$157,5,FALSE()),"No")</f>
        <v>No</v>
      </c>
      <c r="AD429" s="59" t="s">
        <v>2914</v>
      </c>
      <c r="AE429" s="59" t="s">
        <v>3299</v>
      </c>
      <c r="AF429" s="59" t="s">
        <v>969</v>
      </c>
      <c r="AG429" s="59" t="s">
        <v>329</v>
      </c>
      <c r="AH429" s="59" t="s">
        <v>4569</v>
      </c>
      <c r="AI429" s="59" t="s">
        <v>285</v>
      </c>
      <c r="AJ429" s="59" t="s">
        <v>818</v>
      </c>
      <c r="AK429" s="59" t="s">
        <v>819</v>
      </c>
      <c r="AL429" s="64" t="str">
        <f>IFERROR(INDEX(LK_BankMaster!$D$4:$D$23,MATCH(AJ429&amp;"|"&amp;AK429,LK_BankMaster!$H$4:$H$23,0)),"")</f>
        <v/>
      </c>
      <c r="AM429" s="59" t="s">
        <v>4570</v>
      </c>
      <c r="AN429" s="64" t="str">
        <f>IFERROR(VLOOKUP(AJ429,LK_BankMaster!$A$4:$E$23,5,FALSE()),"")</f>
        <v/>
      </c>
      <c r="AO429" s="59" t="s">
        <v>314</v>
      </c>
      <c r="AP429" s="66">
        <v>3</v>
      </c>
      <c r="AQ429" s="64" t="str">
        <f t="shared" si="27"/>
        <v>Position Allowance - General Staff</v>
      </c>
      <c r="AR429" s="65" t="str">
        <f>IFERROR(VLOOKUP(T429,LK_OrgMaster!$B$4:$G$89,6,FALSE()),"No")</f>
        <v>No</v>
      </c>
      <c r="AS429" s="64" t="str">
        <f>IFERROR(VLOOKUP(T429,LK_OrgMaster!$B$4:$H$89,7,FALSE()),"None")</f>
        <v>Teaching</v>
      </c>
      <c r="AT429" s="70">
        <v>44542</v>
      </c>
      <c r="AU429" s="70"/>
      <c r="AV429" s="70">
        <v>44542</v>
      </c>
      <c r="AW429" s="70">
        <v>46023</v>
      </c>
      <c r="AX429" s="71" t="s">
        <v>750</v>
      </c>
      <c r="AY429" s="72" t="s">
        <v>6260</v>
      </c>
    </row>
    <row r="430" spans="1:51" ht="15" customHeight="1" x14ac:dyDescent="0.3">
      <c r="A430" s="59" t="s">
        <v>4571</v>
      </c>
      <c r="B430" s="59" t="s">
        <v>772</v>
      </c>
      <c r="C430" s="59" t="s">
        <v>1553</v>
      </c>
      <c r="D430" s="59" t="s">
        <v>947</v>
      </c>
      <c r="E430" s="59" t="s">
        <v>732</v>
      </c>
      <c r="F430" s="60">
        <v>34852</v>
      </c>
      <c r="G430" s="59" t="s">
        <v>4572</v>
      </c>
      <c r="H430" s="59" t="s">
        <v>4573</v>
      </c>
      <c r="I430" s="60">
        <v>40679</v>
      </c>
      <c r="J430" s="61">
        <f t="shared" ca="1" si="24"/>
        <v>14</v>
      </c>
      <c r="K430" s="62">
        <f t="shared" si="25"/>
        <v>56767</v>
      </c>
      <c r="L430" s="59" t="s">
        <v>735</v>
      </c>
      <c r="M430" s="59" t="s">
        <v>1020</v>
      </c>
      <c r="N430" s="59" t="s">
        <v>758</v>
      </c>
      <c r="O430" s="63">
        <v>0</v>
      </c>
      <c r="P430" s="61">
        <f>IFERROR(SUMPRODUCT((LK_GradeDerivation!$A$4:$A$135=N430)*(IF(O430="",0,O430)&gt;=LK_GradeDerivation!$B$4:$B$135)*(IF(O430="",0,O430)&lt;=LK_GradeDerivation!$C$4:$C$135)*LK_GradeDerivation!$D$4:$D$135),1)</f>
        <v>5</v>
      </c>
      <c r="Q430" s="61">
        <f>IFERROR(SUMPRODUCT((LK_GradeDerivation!$A$4:$A$135=N430)*(IF(O430="",0,O430)&gt;=LK_GradeDerivation!$B$4:$B$135)*(IF(O430="",0,O430)&lt;=LK_GradeDerivation!$C$4:$C$135)*LK_GradeDerivation!$E$4:$E$135),1)</f>
        <v>1</v>
      </c>
      <c r="R430" s="59" t="s">
        <v>4574</v>
      </c>
      <c r="S430" s="59" t="s">
        <v>4575</v>
      </c>
      <c r="T430" s="59" t="s">
        <v>1058</v>
      </c>
      <c r="U430" s="59" t="s">
        <v>1410</v>
      </c>
      <c r="V430" s="59" t="s">
        <v>763</v>
      </c>
      <c r="W430" s="59" t="s">
        <v>285</v>
      </c>
      <c r="X430" s="59" t="s">
        <v>575</v>
      </c>
      <c r="Y430" s="59" t="s">
        <v>585</v>
      </c>
      <c r="Z430" s="64" t="str">
        <f>IFERROR(VLOOKUP(T430,LK_OrgMaster!$B$4:$H$89,5,FALSE()),"Administration")</f>
        <v>Technical</v>
      </c>
      <c r="AA430" s="65" t="str">
        <f>IFERROR(VLOOKUP(X430,LK_LocationMaster!$D$4:$G$157,4,FALSE()),"No")</f>
        <v>Yes</v>
      </c>
      <c r="AB430" s="65" t="str">
        <f t="shared" si="26"/>
        <v>No</v>
      </c>
      <c r="AC430" s="65" t="str">
        <f>IFERROR(VLOOKUP(X430,LK_LocationMaster!$D$4:$H$157,5,FALSE()),"No")</f>
        <v>Yes</v>
      </c>
      <c r="AD430" s="59" t="s">
        <v>982</v>
      </c>
      <c r="AE430" s="59" t="s">
        <v>765</v>
      </c>
      <c r="AF430" s="59" t="s">
        <v>816</v>
      </c>
      <c r="AG430" s="59" t="s">
        <v>288</v>
      </c>
      <c r="AH430" s="59" t="s">
        <v>4576</v>
      </c>
      <c r="AI430" s="59" t="s">
        <v>285</v>
      </c>
      <c r="AJ430" s="59" t="s">
        <v>747</v>
      </c>
      <c r="AK430" s="59" t="s">
        <v>748</v>
      </c>
      <c r="AL430" s="64" t="str">
        <f>IFERROR(INDEX(LK_BankMaster!$D$4:$D$23,MATCH(AJ430&amp;"|"&amp;AK430,LK_BankMaster!$H$4:$H$23,0)),"")</f>
        <v/>
      </c>
      <c r="AM430" s="59" t="s">
        <v>4577</v>
      </c>
      <c r="AN430" s="64" t="str">
        <f>IFERROR(VLOOKUP(AJ430,LK_BankMaster!$A$4:$E$23,5,FALSE()),"")</f>
        <v/>
      </c>
      <c r="AO430" s="59" t="s">
        <v>314</v>
      </c>
      <c r="AP430" s="66">
        <v>2</v>
      </c>
      <c r="AQ430" s="64" t="str">
        <f t="shared" si="27"/>
        <v>Position Allowance - Section Chief</v>
      </c>
      <c r="AR430" s="65" t="str">
        <f>IFERROR(VLOOKUP(T430,LK_OrgMaster!$B$4:$G$89,6,FALSE()),"No")</f>
        <v>No</v>
      </c>
      <c r="AS430" s="64" t="str">
        <f>IFERROR(VLOOKUP(T430,LK_OrgMaster!$B$4:$H$89,7,FALSE()),"None")</f>
        <v>None</v>
      </c>
      <c r="AT430" s="67">
        <v>40679</v>
      </c>
      <c r="AU430" s="67"/>
      <c r="AV430" s="67">
        <v>40679</v>
      </c>
      <c r="AW430" s="67">
        <v>46023</v>
      </c>
      <c r="AX430" s="68" t="s">
        <v>750</v>
      </c>
      <c r="AY430" s="69" t="s">
        <v>6260</v>
      </c>
    </row>
    <row r="431" spans="1:51" ht="15" customHeight="1" x14ac:dyDescent="0.3">
      <c r="A431" s="59" t="s">
        <v>4578</v>
      </c>
      <c r="B431" s="59" t="s">
        <v>851</v>
      </c>
      <c r="C431" s="59" t="s">
        <v>1673</v>
      </c>
      <c r="D431" s="59" t="s">
        <v>2794</v>
      </c>
      <c r="E431" s="59" t="s">
        <v>775</v>
      </c>
      <c r="F431" s="60">
        <v>30751</v>
      </c>
      <c r="G431" s="59" t="s">
        <v>4579</v>
      </c>
      <c r="H431" s="59" t="s">
        <v>4580</v>
      </c>
      <c r="I431" s="60">
        <v>34554</v>
      </c>
      <c r="J431" s="61">
        <f t="shared" ca="1" si="24"/>
        <v>31</v>
      </c>
      <c r="K431" s="62">
        <f t="shared" si="25"/>
        <v>52666</v>
      </c>
      <c r="L431" s="59" t="s">
        <v>735</v>
      </c>
      <c r="M431" s="59" t="s">
        <v>1045</v>
      </c>
      <c r="N431" s="59" t="s">
        <v>758</v>
      </c>
      <c r="O431" s="63">
        <v>0</v>
      </c>
      <c r="P431" s="61">
        <f>IFERROR(SUMPRODUCT((LK_GradeDerivation!$A$4:$A$135=N431)*(IF(O431="",0,O431)&gt;=LK_GradeDerivation!$B$4:$B$135)*(IF(O431="",0,O431)&lt;=LK_GradeDerivation!$C$4:$C$135)*LK_GradeDerivation!$D$4:$D$135),1)</f>
        <v>5</v>
      </c>
      <c r="Q431" s="61">
        <f>IFERROR(SUMPRODUCT((LK_GradeDerivation!$A$4:$A$135=N431)*(IF(O431="",0,O431)&gt;=LK_GradeDerivation!$B$4:$B$135)*(IF(O431="",0,O431)&lt;=LK_GradeDerivation!$C$4:$C$135)*LK_GradeDerivation!$E$4:$E$135),1)</f>
        <v>1</v>
      </c>
      <c r="R431" s="59" t="s">
        <v>4581</v>
      </c>
      <c r="S431" s="59" t="s">
        <v>4582</v>
      </c>
      <c r="T431" s="59" t="s">
        <v>1305</v>
      </c>
      <c r="U431" s="59" t="s">
        <v>1486</v>
      </c>
      <c r="V431" s="59" t="s">
        <v>1487</v>
      </c>
      <c r="W431" s="59" t="s">
        <v>285</v>
      </c>
      <c r="X431" s="59" t="s">
        <v>429</v>
      </c>
      <c r="Y431" s="59" t="s">
        <v>439</v>
      </c>
      <c r="Z431" s="64" t="str">
        <f>IFERROR(VLOOKUP(T431,LK_OrgMaster!$B$4:$H$89,5,FALSE()),"Administration")</f>
        <v>Administration</v>
      </c>
      <c r="AA431" s="65" t="str">
        <f>IFERROR(VLOOKUP(X431,LK_LocationMaster!$D$4:$G$157,4,FALSE()),"No")</f>
        <v>Yes</v>
      </c>
      <c r="AB431" s="65" t="str">
        <f t="shared" si="26"/>
        <v>No</v>
      </c>
      <c r="AC431" s="65" t="str">
        <f>IFERROR(VLOOKUP(X431,LK_LocationMaster!$D$4:$H$157,5,FALSE()),"No")</f>
        <v>Yes</v>
      </c>
      <c r="AD431" s="59" t="s">
        <v>4210</v>
      </c>
      <c r="AE431" s="59" t="s">
        <v>930</v>
      </c>
      <c r="AF431" s="59" t="s">
        <v>766</v>
      </c>
      <c r="AG431" s="59" t="s">
        <v>329</v>
      </c>
      <c r="AH431" s="59" t="s">
        <v>4583</v>
      </c>
      <c r="AI431" s="59" t="s">
        <v>285</v>
      </c>
      <c r="AJ431" s="59" t="s">
        <v>788</v>
      </c>
      <c r="AK431" s="59" t="s">
        <v>999</v>
      </c>
      <c r="AL431" s="64" t="str">
        <f>IFERROR(INDEX(LK_BankMaster!$D$4:$D$23,MATCH(AJ431&amp;"|"&amp;AK431,LK_BankMaster!$H$4:$H$23,0)),"")</f>
        <v/>
      </c>
      <c r="AM431" s="59" t="s">
        <v>4584</v>
      </c>
      <c r="AN431" s="64" t="str">
        <f>IFERROR(VLOOKUP(AJ431,LK_BankMaster!$A$4:$E$23,5,FALSE()),"")</f>
        <v/>
      </c>
      <c r="AO431" s="59" t="s">
        <v>314</v>
      </c>
      <c r="AP431" s="66">
        <v>0</v>
      </c>
      <c r="AQ431" s="64" t="str">
        <f t="shared" si="27"/>
        <v>Position Allowance - General Staff</v>
      </c>
      <c r="AR431" s="65" t="str">
        <f>IFERROR(VLOOKUP(T431,LK_OrgMaster!$B$4:$G$89,6,FALSE()),"No")</f>
        <v>No</v>
      </c>
      <c r="AS431" s="64" t="str">
        <f>IFERROR(VLOOKUP(T431,LK_OrgMaster!$B$4:$H$89,7,FALSE()),"None")</f>
        <v>None</v>
      </c>
      <c r="AT431" s="70">
        <v>34554</v>
      </c>
      <c r="AU431" s="70"/>
      <c r="AV431" s="70">
        <v>34554</v>
      </c>
      <c r="AW431" s="70">
        <v>46023</v>
      </c>
      <c r="AX431" s="71" t="s">
        <v>750</v>
      </c>
      <c r="AY431" s="72" t="s">
        <v>6260</v>
      </c>
    </row>
    <row r="432" spans="1:51" ht="15" customHeight="1" x14ac:dyDescent="0.3">
      <c r="A432" s="59" t="s">
        <v>4585</v>
      </c>
      <c r="B432" s="59" t="s">
        <v>752</v>
      </c>
      <c r="C432" s="59" t="s">
        <v>1624</v>
      </c>
      <c r="D432" s="59" t="s">
        <v>1522</v>
      </c>
      <c r="E432" s="59" t="s">
        <v>732</v>
      </c>
      <c r="F432" s="60">
        <v>26886</v>
      </c>
      <c r="G432" s="59" t="s">
        <v>4586</v>
      </c>
      <c r="H432" s="59" t="s">
        <v>4587</v>
      </c>
      <c r="I432" s="60">
        <v>33690</v>
      </c>
      <c r="J432" s="61">
        <f t="shared" ca="1" si="24"/>
        <v>33</v>
      </c>
      <c r="K432" s="62">
        <f t="shared" si="25"/>
        <v>48801</v>
      </c>
      <c r="L432" s="59" t="s">
        <v>735</v>
      </c>
      <c r="M432" s="59" t="s">
        <v>910</v>
      </c>
      <c r="N432" s="59" t="s">
        <v>758</v>
      </c>
      <c r="O432" s="63">
        <v>0</v>
      </c>
      <c r="P432" s="61">
        <f>IFERROR(SUMPRODUCT((LK_GradeDerivation!$A$4:$A$135=N432)*(IF(O432="",0,O432)&gt;=LK_GradeDerivation!$B$4:$B$135)*(IF(O432="",0,O432)&lt;=LK_GradeDerivation!$C$4:$C$135)*LK_GradeDerivation!$D$4:$D$135),1)</f>
        <v>5</v>
      </c>
      <c r="Q432" s="61">
        <f>IFERROR(SUMPRODUCT((LK_GradeDerivation!$A$4:$A$135=N432)*(IF(O432="",0,O432)&gt;=LK_GradeDerivation!$B$4:$B$135)*(IF(O432="",0,O432)&lt;=LK_GradeDerivation!$C$4:$C$135)*LK_GradeDerivation!$E$4:$E$135),1)</f>
        <v>1</v>
      </c>
      <c r="R432" s="59" t="s">
        <v>4588</v>
      </c>
      <c r="S432" s="59" t="s">
        <v>4589</v>
      </c>
      <c r="T432" s="59" t="s">
        <v>844</v>
      </c>
      <c r="U432" s="59" t="s">
        <v>1961</v>
      </c>
      <c r="V432" s="59" t="s">
        <v>4590</v>
      </c>
      <c r="W432" s="59" t="s">
        <v>285</v>
      </c>
      <c r="X432" s="59" t="s">
        <v>340</v>
      </c>
      <c r="Y432" s="59" t="s">
        <v>348</v>
      </c>
      <c r="Z432" s="64" t="str">
        <f>IFERROR(VLOOKUP(T432,LK_OrgMaster!$B$4:$H$89,5,FALSE()),"Administration")</f>
        <v>Administration</v>
      </c>
      <c r="AA432" s="65" t="str">
        <f>IFERROR(VLOOKUP(X432,LK_LocationMaster!$D$4:$G$157,4,FALSE()),"No")</f>
        <v>No</v>
      </c>
      <c r="AB432" s="65" t="str">
        <f t="shared" si="26"/>
        <v>No</v>
      </c>
      <c r="AC432" s="65" t="str">
        <f>IFERROR(VLOOKUP(X432,LK_LocationMaster!$D$4:$H$157,5,FALSE()),"No")</f>
        <v>No</v>
      </c>
      <c r="AD432" s="59" t="s">
        <v>4591</v>
      </c>
      <c r="AE432" s="59" t="s">
        <v>930</v>
      </c>
      <c r="AF432" s="59" t="s">
        <v>915</v>
      </c>
      <c r="AG432" s="59" t="s">
        <v>312</v>
      </c>
      <c r="AH432" s="59" t="s">
        <v>4592</v>
      </c>
      <c r="AI432" s="59" t="s">
        <v>285</v>
      </c>
      <c r="AJ432" s="59" t="s">
        <v>818</v>
      </c>
      <c r="AK432" s="59" t="s">
        <v>944</v>
      </c>
      <c r="AL432" s="64" t="str">
        <f>IFERROR(INDEX(LK_BankMaster!$D$4:$D$23,MATCH(AJ432&amp;"|"&amp;AK432,LK_BankMaster!$H$4:$H$23,0)),"")</f>
        <v/>
      </c>
      <c r="AM432" s="59" t="s">
        <v>4593</v>
      </c>
      <c r="AN432" s="64" t="str">
        <f>IFERROR(VLOOKUP(AJ432,LK_BankMaster!$A$4:$E$23,5,FALSE()),"")</f>
        <v/>
      </c>
      <c r="AO432" s="59" t="s">
        <v>314</v>
      </c>
      <c r="AP432" s="66">
        <v>1</v>
      </c>
      <c r="AQ432" s="64" t="str">
        <f t="shared" si="27"/>
        <v>Position Allowance - Division Chief</v>
      </c>
      <c r="AR432" s="65" t="str">
        <f>IFERROR(VLOOKUP(T432,LK_OrgMaster!$B$4:$G$89,6,FALSE()),"No")</f>
        <v>No</v>
      </c>
      <c r="AS432" s="64" t="str">
        <f>IFERROR(VLOOKUP(T432,LK_OrgMaster!$B$4:$H$89,7,FALSE()),"None")</f>
        <v>None</v>
      </c>
      <c r="AT432" s="67">
        <v>33690</v>
      </c>
      <c r="AU432" s="67"/>
      <c r="AV432" s="67">
        <v>33690</v>
      </c>
      <c r="AW432" s="67">
        <v>46023</v>
      </c>
      <c r="AX432" s="68" t="s">
        <v>750</v>
      </c>
      <c r="AY432" s="69" t="s">
        <v>6260</v>
      </c>
    </row>
    <row r="433" spans="1:51" ht="15" customHeight="1" x14ac:dyDescent="0.3">
      <c r="A433" s="59" t="s">
        <v>4594</v>
      </c>
      <c r="B433" s="59" t="s">
        <v>772</v>
      </c>
      <c r="C433" s="59" t="s">
        <v>2500</v>
      </c>
      <c r="D433" s="59" t="s">
        <v>907</v>
      </c>
      <c r="E433" s="59" t="s">
        <v>732</v>
      </c>
      <c r="F433" s="60">
        <v>35484</v>
      </c>
      <c r="G433" s="59" t="s">
        <v>4595</v>
      </c>
      <c r="H433" s="59" t="s">
        <v>4596</v>
      </c>
      <c r="I433" s="60">
        <v>38366</v>
      </c>
      <c r="J433" s="61">
        <f t="shared" ca="1" si="24"/>
        <v>21</v>
      </c>
      <c r="K433" s="62">
        <f t="shared" si="25"/>
        <v>57399</v>
      </c>
      <c r="L433" s="59" t="s">
        <v>735</v>
      </c>
      <c r="M433" s="59" t="s">
        <v>1483</v>
      </c>
      <c r="N433" s="59" t="s">
        <v>737</v>
      </c>
      <c r="O433" s="63">
        <v>0</v>
      </c>
      <c r="P433" s="61">
        <f>IFERROR(SUMPRODUCT((LK_GradeDerivation!$A$4:$A$135=N433)*(IF(O433="",0,O433)&gt;=LK_GradeDerivation!$B$4:$B$135)*(IF(O433="",0,O433)&lt;=LK_GradeDerivation!$C$4:$C$135)*LK_GradeDerivation!$D$4:$D$135),1)</f>
        <v>4</v>
      </c>
      <c r="Q433" s="61">
        <f>IFERROR(SUMPRODUCT((LK_GradeDerivation!$A$4:$A$135=N433)*(IF(O433="",0,O433)&gt;=LK_GradeDerivation!$B$4:$B$135)*(IF(O433="",0,O433)&lt;=LK_GradeDerivation!$C$4:$C$135)*LK_GradeDerivation!$E$4:$E$135),1)</f>
        <v>1</v>
      </c>
      <c r="R433" s="59" t="s">
        <v>4597</v>
      </c>
      <c r="S433" s="59" t="s">
        <v>4598</v>
      </c>
      <c r="T433" s="59" t="s">
        <v>844</v>
      </c>
      <c r="U433" s="59" t="s">
        <v>1345</v>
      </c>
      <c r="V433" s="59" t="s">
        <v>4123</v>
      </c>
      <c r="W433" s="59" t="s">
        <v>285</v>
      </c>
      <c r="X433" s="59" t="s">
        <v>463</v>
      </c>
      <c r="Y433" s="59" t="s">
        <v>467</v>
      </c>
      <c r="Z433" s="64" t="str">
        <f>IFERROR(VLOOKUP(T433,LK_OrgMaster!$B$4:$H$89,5,FALSE()),"Administration")</f>
        <v>Administration</v>
      </c>
      <c r="AA433" s="65" t="str">
        <f>IFERROR(VLOOKUP(X433,LK_LocationMaster!$D$4:$G$157,4,FALSE()),"No")</f>
        <v>No</v>
      </c>
      <c r="AB433" s="65" t="str">
        <f t="shared" si="26"/>
        <v>No</v>
      </c>
      <c r="AC433" s="65" t="str">
        <f>IFERROR(VLOOKUP(X433,LK_LocationMaster!$D$4:$H$157,5,FALSE()),"No")</f>
        <v>No</v>
      </c>
      <c r="AD433" s="59" t="s">
        <v>1468</v>
      </c>
      <c r="AE433" s="59" t="s">
        <v>765</v>
      </c>
      <c r="AF433" s="59" t="s">
        <v>745</v>
      </c>
      <c r="AG433" s="59" t="s">
        <v>391</v>
      </c>
      <c r="AH433" s="59" t="s">
        <v>4599</v>
      </c>
      <c r="AI433" s="59" t="s">
        <v>285</v>
      </c>
      <c r="AJ433" s="59" t="s">
        <v>747</v>
      </c>
      <c r="AK433" s="59" t="s">
        <v>748</v>
      </c>
      <c r="AL433" s="64" t="str">
        <f>IFERROR(INDEX(LK_BankMaster!$D$4:$D$23,MATCH(AJ433&amp;"|"&amp;AK433,LK_BankMaster!$H$4:$H$23,0)),"")</f>
        <v/>
      </c>
      <c r="AM433" s="59" t="s">
        <v>4600</v>
      </c>
      <c r="AN433" s="64" t="str">
        <f>IFERROR(VLOOKUP(AJ433,LK_BankMaster!$A$4:$E$23,5,FALSE()),"")</f>
        <v/>
      </c>
      <c r="AO433" s="59" t="s">
        <v>291</v>
      </c>
      <c r="AP433" s="66">
        <v>0</v>
      </c>
      <c r="AQ433" s="64" t="str">
        <f t="shared" si="27"/>
        <v>Position Allowance - General Staff</v>
      </c>
      <c r="AR433" s="65" t="str">
        <f>IFERROR(VLOOKUP(T433,LK_OrgMaster!$B$4:$G$89,6,FALSE()),"No")</f>
        <v>No</v>
      </c>
      <c r="AS433" s="64" t="str">
        <f>IFERROR(VLOOKUP(T433,LK_OrgMaster!$B$4:$H$89,7,FALSE()),"None")</f>
        <v>None</v>
      </c>
      <c r="AT433" s="70">
        <v>38366</v>
      </c>
      <c r="AU433" s="70"/>
      <c r="AV433" s="70">
        <v>38366</v>
      </c>
      <c r="AW433" s="70">
        <v>46023</v>
      </c>
      <c r="AX433" s="71" t="s">
        <v>750</v>
      </c>
      <c r="AY433" s="72" t="s">
        <v>6260</v>
      </c>
    </row>
    <row r="434" spans="1:51" ht="15" customHeight="1" x14ac:dyDescent="0.3">
      <c r="A434" s="59" t="s">
        <v>4601</v>
      </c>
      <c r="B434" s="59" t="s">
        <v>772</v>
      </c>
      <c r="C434" s="59" t="s">
        <v>1136</v>
      </c>
      <c r="D434" s="59" t="s">
        <v>1704</v>
      </c>
      <c r="E434" s="59" t="s">
        <v>775</v>
      </c>
      <c r="F434" s="60">
        <v>35156</v>
      </c>
      <c r="G434" s="59" t="s">
        <v>2828</v>
      </c>
      <c r="H434" s="59" t="s">
        <v>4602</v>
      </c>
      <c r="I434" s="60">
        <v>33962</v>
      </c>
      <c r="J434" s="61">
        <f t="shared" ca="1" si="24"/>
        <v>33</v>
      </c>
      <c r="K434" s="62">
        <f t="shared" si="25"/>
        <v>57071</v>
      </c>
      <c r="L434" s="59" t="s">
        <v>735</v>
      </c>
      <c r="M434" s="59" t="s">
        <v>841</v>
      </c>
      <c r="N434" s="59" t="s">
        <v>737</v>
      </c>
      <c r="O434" s="63">
        <v>0</v>
      </c>
      <c r="P434" s="61">
        <f>IFERROR(SUMPRODUCT((LK_GradeDerivation!$A$4:$A$135=N434)*(IF(O434="",0,O434)&gt;=LK_GradeDerivation!$B$4:$B$135)*(IF(O434="",0,O434)&lt;=LK_GradeDerivation!$C$4:$C$135)*LK_GradeDerivation!$D$4:$D$135),1)</f>
        <v>4</v>
      </c>
      <c r="Q434" s="61">
        <f>IFERROR(SUMPRODUCT((LK_GradeDerivation!$A$4:$A$135=N434)*(IF(O434="",0,O434)&gt;=LK_GradeDerivation!$B$4:$B$135)*(IF(O434="",0,O434)&lt;=LK_GradeDerivation!$C$4:$C$135)*LK_GradeDerivation!$E$4:$E$135),1)</f>
        <v>1</v>
      </c>
      <c r="R434" s="59" t="s">
        <v>4603</v>
      </c>
      <c r="S434" s="59" t="s">
        <v>4604</v>
      </c>
      <c r="T434" s="59" t="s">
        <v>1035</v>
      </c>
      <c r="U434" s="59" t="s">
        <v>1229</v>
      </c>
      <c r="V434" s="59" t="s">
        <v>763</v>
      </c>
      <c r="W434" s="59" t="s">
        <v>285</v>
      </c>
      <c r="X434" s="59" t="s">
        <v>554</v>
      </c>
      <c r="Y434" s="59" t="s">
        <v>571</v>
      </c>
      <c r="Z434" s="64" t="str">
        <f>IFERROR(VLOOKUP(T434,LK_OrgMaster!$B$4:$H$89,5,FALSE()),"Administration")</f>
        <v>Administration</v>
      </c>
      <c r="AA434" s="65" t="str">
        <f>IFERROR(VLOOKUP(X434,LK_LocationMaster!$D$4:$G$157,4,FALSE()),"No")</f>
        <v>No</v>
      </c>
      <c r="AB434" s="65" t="str">
        <f t="shared" si="26"/>
        <v>No</v>
      </c>
      <c r="AC434" s="65" t="str">
        <f>IFERROR(VLOOKUP(X434,LK_LocationMaster!$D$4:$H$157,5,FALSE()),"No")</f>
        <v>No</v>
      </c>
      <c r="AD434" s="59" t="s">
        <v>4605</v>
      </c>
      <c r="AE434" s="59" t="s">
        <v>765</v>
      </c>
      <c r="AF434" s="59" t="s">
        <v>901</v>
      </c>
      <c r="AG434" s="59" t="s">
        <v>391</v>
      </c>
      <c r="AH434" s="59" t="s">
        <v>4606</v>
      </c>
      <c r="AI434" s="59" t="s">
        <v>285</v>
      </c>
      <c r="AJ434" s="59" t="s">
        <v>747</v>
      </c>
      <c r="AK434" s="59" t="s">
        <v>748</v>
      </c>
      <c r="AL434" s="64" t="str">
        <f>IFERROR(INDEX(LK_BankMaster!$D$4:$D$23,MATCH(AJ434&amp;"|"&amp;AK434,LK_BankMaster!$H$4:$H$23,0)),"")</f>
        <v/>
      </c>
      <c r="AM434" s="59" t="s">
        <v>4607</v>
      </c>
      <c r="AN434" s="64" t="str">
        <f>IFERROR(VLOOKUP(AJ434,LK_BankMaster!$A$4:$E$23,5,FALSE()),"")</f>
        <v/>
      </c>
      <c r="AO434" s="59" t="s">
        <v>314</v>
      </c>
      <c r="AP434" s="66">
        <v>3</v>
      </c>
      <c r="AQ434" s="64" t="str">
        <f t="shared" si="27"/>
        <v>Position Allowance - Director</v>
      </c>
      <c r="AR434" s="65" t="str">
        <f>IFERROR(VLOOKUP(T434,LK_OrgMaster!$B$4:$G$89,6,FALSE()),"No")</f>
        <v>No</v>
      </c>
      <c r="AS434" s="64" t="str">
        <f>IFERROR(VLOOKUP(T434,LK_OrgMaster!$B$4:$H$89,7,FALSE()),"None")</f>
        <v>None</v>
      </c>
      <c r="AT434" s="67">
        <v>33962</v>
      </c>
      <c r="AU434" s="67"/>
      <c r="AV434" s="67">
        <v>33962</v>
      </c>
      <c r="AW434" s="67">
        <v>46023</v>
      </c>
      <c r="AX434" s="68" t="s">
        <v>750</v>
      </c>
      <c r="AY434" s="69" t="s">
        <v>6260</v>
      </c>
    </row>
    <row r="435" spans="1:51" ht="15" customHeight="1" x14ac:dyDescent="0.3">
      <c r="A435" s="59" t="s">
        <v>4608</v>
      </c>
      <c r="B435" s="59" t="s">
        <v>772</v>
      </c>
      <c r="C435" s="59" t="s">
        <v>1278</v>
      </c>
      <c r="D435" s="59" t="s">
        <v>2794</v>
      </c>
      <c r="E435" s="59" t="s">
        <v>732</v>
      </c>
      <c r="F435" s="60">
        <v>27884</v>
      </c>
      <c r="G435" s="59" t="s">
        <v>4010</v>
      </c>
      <c r="H435" s="59" t="s">
        <v>4609</v>
      </c>
      <c r="I435" s="60">
        <v>37880</v>
      </c>
      <c r="J435" s="61">
        <f t="shared" ca="1" si="24"/>
        <v>22</v>
      </c>
      <c r="K435" s="62">
        <f t="shared" si="25"/>
        <v>49799</v>
      </c>
      <c r="L435" s="59" t="s">
        <v>735</v>
      </c>
      <c r="M435" s="59" t="s">
        <v>1334</v>
      </c>
      <c r="N435" s="59" t="s">
        <v>1081</v>
      </c>
      <c r="O435" s="63">
        <v>7</v>
      </c>
      <c r="P435" s="61">
        <f>IFERROR(SUMPRODUCT((LK_GradeDerivation!$A$4:$A$135=N435)*(IF(O435="",0,O435)&gt;=LK_GradeDerivation!$B$4:$B$135)*(IF(O435="",0,O435)&lt;=LK_GradeDerivation!$C$4:$C$135)*LK_GradeDerivation!$D$4:$D$135),1)</f>
        <v>3</v>
      </c>
      <c r="Q435" s="61">
        <f>IFERROR(SUMPRODUCT((LK_GradeDerivation!$A$4:$A$135=N435)*(IF(O435="",0,O435)&gt;=LK_GradeDerivation!$B$4:$B$135)*(IF(O435="",0,O435)&lt;=LK_GradeDerivation!$C$4:$C$135)*LK_GradeDerivation!$E$4:$E$135),1)</f>
        <v>4</v>
      </c>
      <c r="R435" s="59" t="s">
        <v>4610</v>
      </c>
      <c r="S435" s="59" t="s">
        <v>4611</v>
      </c>
      <c r="T435" s="59" t="s">
        <v>740</v>
      </c>
      <c r="U435" s="59" t="s">
        <v>1154</v>
      </c>
      <c r="V435" s="59" t="s">
        <v>4612</v>
      </c>
      <c r="W435" s="59" t="s">
        <v>285</v>
      </c>
      <c r="X435" s="59" t="s">
        <v>443</v>
      </c>
      <c r="Y435" s="59" t="s">
        <v>457</v>
      </c>
      <c r="Z435" s="64" t="str">
        <f>IFERROR(VLOOKUP(T435,LK_OrgMaster!$B$4:$H$89,5,FALSE()),"Administration")</f>
        <v>Teacher</v>
      </c>
      <c r="AA435" s="65" t="str">
        <f>IFERROR(VLOOKUP(X435,LK_LocationMaster!$D$4:$G$157,4,FALSE()),"No")</f>
        <v>No</v>
      </c>
      <c r="AB435" s="65" t="str">
        <f t="shared" si="26"/>
        <v>No</v>
      </c>
      <c r="AC435" s="65" t="str">
        <f>IFERROR(VLOOKUP(X435,LK_LocationMaster!$D$4:$H$157,5,FALSE()),"No")</f>
        <v>No</v>
      </c>
      <c r="AD435" s="59" t="s">
        <v>4613</v>
      </c>
      <c r="AE435" s="59" t="s">
        <v>930</v>
      </c>
      <c r="AF435" s="59" t="s">
        <v>901</v>
      </c>
      <c r="AG435" s="59" t="s">
        <v>408</v>
      </c>
      <c r="AH435" s="59" t="s">
        <v>4614</v>
      </c>
      <c r="AI435" s="59" t="s">
        <v>285</v>
      </c>
      <c r="AJ435" s="59" t="s">
        <v>818</v>
      </c>
      <c r="AK435" s="59" t="s">
        <v>944</v>
      </c>
      <c r="AL435" s="64" t="str">
        <f>IFERROR(INDEX(LK_BankMaster!$D$4:$D$23,MATCH(AJ435&amp;"|"&amp;AK435,LK_BankMaster!$H$4:$H$23,0)),"")</f>
        <v/>
      </c>
      <c r="AM435" s="59" t="s">
        <v>4615</v>
      </c>
      <c r="AN435" s="64" t="str">
        <f>IFERROR(VLOOKUP(AJ435,LK_BankMaster!$A$4:$E$23,5,FALSE()),"")</f>
        <v/>
      </c>
      <c r="AO435" s="59" t="s">
        <v>291</v>
      </c>
      <c r="AP435" s="66">
        <v>0</v>
      </c>
      <c r="AQ435" s="64" t="str">
        <f t="shared" si="27"/>
        <v>Position Allowance - General Staff</v>
      </c>
      <c r="AR435" s="65" t="str">
        <f>IFERROR(VLOOKUP(T435,LK_OrgMaster!$B$4:$G$89,6,FALSE()),"No")</f>
        <v>No</v>
      </c>
      <c r="AS435" s="64" t="str">
        <f>IFERROR(VLOOKUP(T435,LK_OrgMaster!$B$4:$H$89,7,FALSE()),"None")</f>
        <v>Teaching</v>
      </c>
      <c r="AT435" s="70">
        <v>37880</v>
      </c>
      <c r="AU435" s="70"/>
      <c r="AV435" s="70">
        <v>37880</v>
      </c>
      <c r="AW435" s="70">
        <v>46023</v>
      </c>
      <c r="AX435" s="71" t="s">
        <v>750</v>
      </c>
      <c r="AY435" s="72" t="s">
        <v>6260</v>
      </c>
    </row>
    <row r="436" spans="1:51" ht="15" customHeight="1" x14ac:dyDescent="0.3">
      <c r="A436" s="59" t="s">
        <v>4616</v>
      </c>
      <c r="B436" s="59" t="s">
        <v>772</v>
      </c>
      <c r="C436" s="59" t="s">
        <v>1740</v>
      </c>
      <c r="D436" s="59" t="s">
        <v>2482</v>
      </c>
      <c r="E436" s="59" t="s">
        <v>732</v>
      </c>
      <c r="F436" s="60">
        <v>30499</v>
      </c>
      <c r="G436" s="59" t="s">
        <v>4617</v>
      </c>
      <c r="H436" s="59" t="s">
        <v>4618</v>
      </c>
      <c r="I436" s="60">
        <v>39698</v>
      </c>
      <c r="J436" s="61">
        <f t="shared" ca="1" si="24"/>
        <v>17</v>
      </c>
      <c r="K436" s="62">
        <f t="shared" si="25"/>
        <v>52414</v>
      </c>
      <c r="L436" s="59" t="s">
        <v>735</v>
      </c>
      <c r="M436" s="59" t="s">
        <v>1574</v>
      </c>
      <c r="N436" s="59" t="s">
        <v>737</v>
      </c>
      <c r="O436" s="63">
        <v>3</v>
      </c>
      <c r="P436" s="61">
        <f>IFERROR(SUMPRODUCT((LK_GradeDerivation!$A$4:$A$135=N436)*(IF(O436="",0,O436)&gt;=LK_GradeDerivation!$B$4:$B$135)*(IF(O436="",0,O436)&lt;=LK_GradeDerivation!$C$4:$C$135)*LK_GradeDerivation!$D$4:$D$135),1)</f>
        <v>4</v>
      </c>
      <c r="Q436" s="61">
        <f>IFERROR(SUMPRODUCT((LK_GradeDerivation!$A$4:$A$135=N436)*(IF(O436="",0,O436)&gt;=LK_GradeDerivation!$B$4:$B$135)*(IF(O436="",0,O436)&lt;=LK_GradeDerivation!$C$4:$C$135)*LK_GradeDerivation!$E$4:$E$135),1)</f>
        <v>2</v>
      </c>
      <c r="R436" s="59" t="s">
        <v>4619</v>
      </c>
      <c r="S436" s="59" t="s">
        <v>4620</v>
      </c>
      <c r="T436" s="59" t="s">
        <v>1204</v>
      </c>
      <c r="U436" s="59" t="s">
        <v>3659</v>
      </c>
      <c r="V436" s="59" t="s">
        <v>763</v>
      </c>
      <c r="W436" s="59" t="s">
        <v>285</v>
      </c>
      <c r="X436" s="59" t="s">
        <v>463</v>
      </c>
      <c r="Y436" s="59" t="s">
        <v>469</v>
      </c>
      <c r="Z436" s="64" t="str">
        <f>IFERROR(VLOOKUP(T436,LK_OrgMaster!$B$4:$H$89,5,FALSE()),"Administration")</f>
        <v>Administration</v>
      </c>
      <c r="AA436" s="65" t="str">
        <f>IFERROR(VLOOKUP(X436,LK_LocationMaster!$D$4:$G$157,4,FALSE()),"No")</f>
        <v>No</v>
      </c>
      <c r="AB436" s="65" t="str">
        <f t="shared" si="26"/>
        <v>No</v>
      </c>
      <c r="AC436" s="65" t="str">
        <f>IFERROR(VLOOKUP(X436,LK_LocationMaster!$D$4:$H$157,5,FALSE()),"No")</f>
        <v>No</v>
      </c>
      <c r="AD436" s="59" t="s">
        <v>4621</v>
      </c>
      <c r="AE436" s="59" t="s">
        <v>886</v>
      </c>
      <c r="AF436" s="59" t="s">
        <v>801</v>
      </c>
      <c r="AG436" s="59" t="s">
        <v>356</v>
      </c>
      <c r="AH436" s="59" t="s">
        <v>4622</v>
      </c>
      <c r="AI436" s="59" t="s">
        <v>285</v>
      </c>
      <c r="AJ436" s="59" t="s">
        <v>768</v>
      </c>
      <c r="AK436" s="59" t="s">
        <v>803</v>
      </c>
      <c r="AL436" s="64" t="str">
        <f>IFERROR(INDEX(LK_BankMaster!$D$4:$D$23,MATCH(AJ436&amp;"|"&amp;AK436,LK_BankMaster!$H$4:$H$23,0)),"")</f>
        <v/>
      </c>
      <c r="AM436" s="59" t="s">
        <v>4623</v>
      </c>
      <c r="AN436" s="64" t="str">
        <f>IFERROR(VLOOKUP(AJ436,LK_BankMaster!$A$4:$E$23,5,FALSE()),"")</f>
        <v/>
      </c>
      <c r="AO436" s="59" t="s">
        <v>291</v>
      </c>
      <c r="AP436" s="66">
        <v>0</v>
      </c>
      <c r="AQ436" s="64" t="str">
        <f t="shared" si="27"/>
        <v>Position Allowance - Deputy Director</v>
      </c>
      <c r="AR436" s="65" t="str">
        <f>IFERROR(VLOOKUP(T436,LK_OrgMaster!$B$4:$G$89,6,FALSE()),"No")</f>
        <v>No</v>
      </c>
      <c r="AS436" s="64" t="str">
        <f>IFERROR(VLOOKUP(T436,LK_OrgMaster!$B$4:$H$89,7,FALSE()),"None")</f>
        <v>None</v>
      </c>
      <c r="AT436" s="67">
        <v>39698</v>
      </c>
      <c r="AU436" s="67"/>
      <c r="AV436" s="67">
        <v>39698</v>
      </c>
      <c r="AW436" s="67">
        <v>46023</v>
      </c>
      <c r="AX436" s="68" t="s">
        <v>750</v>
      </c>
      <c r="AY436" s="69" t="s">
        <v>6260</v>
      </c>
    </row>
    <row r="437" spans="1:51" ht="15" customHeight="1" x14ac:dyDescent="0.3">
      <c r="A437" s="59" t="s">
        <v>4624</v>
      </c>
      <c r="B437" s="59" t="s">
        <v>752</v>
      </c>
      <c r="C437" s="59" t="s">
        <v>1553</v>
      </c>
      <c r="D437" s="59" t="s">
        <v>2482</v>
      </c>
      <c r="E437" s="59" t="s">
        <v>732</v>
      </c>
      <c r="F437" s="60">
        <v>24765</v>
      </c>
      <c r="G437" s="59" t="s">
        <v>4625</v>
      </c>
      <c r="H437" s="59" t="s">
        <v>4626</v>
      </c>
      <c r="I437" s="60">
        <v>41217</v>
      </c>
      <c r="J437" s="61">
        <f t="shared" ca="1" si="24"/>
        <v>13</v>
      </c>
      <c r="K437" s="62">
        <f t="shared" si="25"/>
        <v>46680</v>
      </c>
      <c r="L437" s="59" t="s">
        <v>735</v>
      </c>
      <c r="M437" s="59" t="s">
        <v>1237</v>
      </c>
      <c r="N437" s="59" t="s">
        <v>779</v>
      </c>
      <c r="O437" s="63">
        <v>25</v>
      </c>
      <c r="P437" s="61">
        <f>IFERROR(SUMPRODUCT((LK_GradeDerivation!$A$4:$A$135=N437)*(IF(O437="",0,O437)&gt;=LK_GradeDerivation!$B$4:$B$135)*(IF(O437="",0,O437)&lt;=LK_GradeDerivation!$C$4:$C$135)*LK_GradeDerivation!$D$4:$D$135),1)</f>
        <v>2</v>
      </c>
      <c r="Q437" s="61">
        <f>IFERROR(SUMPRODUCT((LK_GradeDerivation!$A$4:$A$135=N437)*(IF(O437="",0,O437)&gt;=LK_GradeDerivation!$B$4:$B$135)*(IF(O437="",0,O437)&lt;=LK_GradeDerivation!$C$4:$C$135)*LK_GradeDerivation!$E$4:$E$135),1)</f>
        <v>13</v>
      </c>
      <c r="R437" s="59" t="s">
        <v>4627</v>
      </c>
      <c r="S437" s="59" t="s">
        <v>4628</v>
      </c>
      <c r="T437" s="59" t="s">
        <v>782</v>
      </c>
      <c r="U437" s="59" t="s">
        <v>1191</v>
      </c>
      <c r="V437" s="59" t="s">
        <v>3473</v>
      </c>
      <c r="W437" s="59" t="s">
        <v>285</v>
      </c>
      <c r="X437" s="59" t="s">
        <v>587</v>
      </c>
      <c r="Y437" s="59" t="s">
        <v>589</v>
      </c>
      <c r="Z437" s="64" t="str">
        <f>IFERROR(VLOOKUP(T437,LK_OrgMaster!$B$4:$H$89,5,FALSE()),"Administration")</f>
        <v>Medical</v>
      </c>
      <c r="AA437" s="65" t="str">
        <f>IFERROR(VLOOKUP(X437,LK_LocationMaster!$D$4:$G$157,4,FALSE()),"No")</f>
        <v>Yes</v>
      </c>
      <c r="AB437" s="65" t="str">
        <f t="shared" si="26"/>
        <v>No</v>
      </c>
      <c r="AC437" s="65" t="str">
        <f>IFERROR(VLOOKUP(X437,LK_LocationMaster!$D$4:$H$157,5,FALSE()),"No")</f>
        <v>Yes</v>
      </c>
      <c r="AD437" s="59" t="s">
        <v>4629</v>
      </c>
      <c r="AE437" s="59" t="s">
        <v>3974</v>
      </c>
      <c r="AF437" s="59" t="s">
        <v>915</v>
      </c>
      <c r="AG437" s="59" t="s">
        <v>312</v>
      </c>
      <c r="AH437" s="59" t="s">
        <v>4630</v>
      </c>
      <c r="AI437" s="59" t="s">
        <v>285</v>
      </c>
      <c r="AJ437" s="59" t="s">
        <v>788</v>
      </c>
      <c r="AK437" s="59" t="s">
        <v>1221</v>
      </c>
      <c r="AL437" s="64" t="str">
        <f>IFERROR(INDEX(LK_BankMaster!$D$4:$D$23,MATCH(AJ437&amp;"|"&amp;AK437,LK_BankMaster!$H$4:$H$23,0)),"")</f>
        <v/>
      </c>
      <c r="AM437" s="59" t="s">
        <v>4631</v>
      </c>
      <c r="AN437" s="64" t="str">
        <f>IFERROR(VLOOKUP(AJ437,LK_BankMaster!$A$4:$E$23,5,FALSE()),"")</f>
        <v/>
      </c>
      <c r="AO437" s="59" t="s">
        <v>291</v>
      </c>
      <c r="AP437" s="66">
        <v>0</v>
      </c>
      <c r="AQ437" s="64" t="str">
        <f t="shared" si="27"/>
        <v>Position Allowance - General Staff</v>
      </c>
      <c r="AR437" s="65" t="str">
        <f>IFERROR(VLOOKUP(T437,LK_OrgMaster!$B$4:$G$89,6,FALSE()),"No")</f>
        <v>No</v>
      </c>
      <c r="AS437" s="64" t="str">
        <f>IFERROR(VLOOKUP(T437,LK_OrgMaster!$B$4:$H$89,7,FALSE()),"None")</f>
        <v>Medical</v>
      </c>
      <c r="AT437" s="70">
        <v>41217</v>
      </c>
      <c r="AU437" s="70"/>
      <c r="AV437" s="70">
        <v>41217</v>
      </c>
      <c r="AW437" s="70">
        <v>46023</v>
      </c>
      <c r="AX437" s="71" t="s">
        <v>750</v>
      </c>
      <c r="AY437" s="72" t="s">
        <v>6260</v>
      </c>
    </row>
    <row r="438" spans="1:51" ht="15" customHeight="1" x14ac:dyDescent="0.3">
      <c r="A438" s="59" t="s">
        <v>4632</v>
      </c>
      <c r="B438" s="59" t="s">
        <v>851</v>
      </c>
      <c r="C438" s="59" t="s">
        <v>3729</v>
      </c>
      <c r="D438" s="59" t="s">
        <v>1331</v>
      </c>
      <c r="E438" s="59" t="s">
        <v>775</v>
      </c>
      <c r="F438" s="60">
        <v>28757</v>
      </c>
      <c r="G438" s="59" t="s">
        <v>4633</v>
      </c>
      <c r="H438" s="59" t="s">
        <v>4634</v>
      </c>
      <c r="I438" s="60">
        <v>38175</v>
      </c>
      <c r="J438" s="61">
        <f t="shared" ca="1" si="24"/>
        <v>21</v>
      </c>
      <c r="K438" s="62">
        <f t="shared" si="25"/>
        <v>50672</v>
      </c>
      <c r="L438" s="59" t="s">
        <v>735</v>
      </c>
      <c r="M438" s="59" t="s">
        <v>910</v>
      </c>
      <c r="N438" s="59" t="s">
        <v>737</v>
      </c>
      <c r="O438" s="63">
        <v>3</v>
      </c>
      <c r="P438" s="61">
        <f>IFERROR(SUMPRODUCT((LK_GradeDerivation!$A$4:$A$135=N438)*(IF(O438="",0,O438)&gt;=LK_GradeDerivation!$B$4:$B$135)*(IF(O438="",0,O438)&lt;=LK_GradeDerivation!$C$4:$C$135)*LK_GradeDerivation!$D$4:$D$135),1)</f>
        <v>4</v>
      </c>
      <c r="Q438" s="61">
        <f>IFERROR(SUMPRODUCT((LK_GradeDerivation!$A$4:$A$135=N438)*(IF(O438="",0,O438)&gt;=LK_GradeDerivation!$B$4:$B$135)*(IF(O438="",0,O438)&lt;=LK_GradeDerivation!$C$4:$C$135)*LK_GradeDerivation!$E$4:$E$135),1)</f>
        <v>2</v>
      </c>
      <c r="R438" s="59" t="s">
        <v>4635</v>
      </c>
      <c r="S438" s="59" t="s">
        <v>4636</v>
      </c>
      <c r="T438" s="59" t="s">
        <v>1305</v>
      </c>
      <c r="U438" s="59" t="s">
        <v>2268</v>
      </c>
      <c r="V438" s="59" t="s">
        <v>2269</v>
      </c>
      <c r="W438" s="59" t="s">
        <v>285</v>
      </c>
      <c r="X438" s="59" t="s">
        <v>288</v>
      </c>
      <c r="Y438" s="59" t="s">
        <v>290</v>
      </c>
      <c r="Z438" s="64" t="str">
        <f>IFERROR(VLOOKUP(T438,LK_OrgMaster!$B$4:$H$89,5,FALSE()),"Administration")</f>
        <v>Administration</v>
      </c>
      <c r="AA438" s="65" t="str">
        <f>IFERROR(VLOOKUP(X438,LK_LocationMaster!$D$4:$G$157,4,FALSE()),"No")</f>
        <v>No</v>
      </c>
      <c r="AB438" s="65" t="str">
        <f t="shared" si="26"/>
        <v>No</v>
      </c>
      <c r="AC438" s="65" t="str">
        <f>IFERROR(VLOOKUP(X438,LK_LocationMaster!$D$4:$H$157,5,FALSE()),"No")</f>
        <v>No</v>
      </c>
      <c r="AD438" s="59" t="s">
        <v>4637</v>
      </c>
      <c r="AE438" s="59" t="s">
        <v>765</v>
      </c>
      <c r="AF438" s="59" t="s">
        <v>915</v>
      </c>
      <c r="AG438" s="59" t="s">
        <v>356</v>
      </c>
      <c r="AH438" s="59" t="s">
        <v>4638</v>
      </c>
      <c r="AI438" s="59" t="s">
        <v>285</v>
      </c>
      <c r="AJ438" s="59" t="s">
        <v>788</v>
      </c>
      <c r="AK438" s="59" t="s">
        <v>1146</v>
      </c>
      <c r="AL438" s="64" t="str">
        <f>IFERROR(INDEX(LK_BankMaster!$D$4:$D$23,MATCH(AJ438&amp;"|"&amp;AK438,LK_BankMaster!$H$4:$H$23,0)),"")</f>
        <v/>
      </c>
      <c r="AM438" s="59" t="s">
        <v>4639</v>
      </c>
      <c r="AN438" s="64" t="str">
        <f>IFERROR(VLOOKUP(AJ438,LK_BankMaster!$A$4:$E$23,5,FALSE()),"")</f>
        <v/>
      </c>
      <c r="AO438" s="59" t="s">
        <v>314</v>
      </c>
      <c r="AP438" s="66">
        <v>3</v>
      </c>
      <c r="AQ438" s="64" t="str">
        <f t="shared" si="27"/>
        <v>Position Allowance - Division Chief</v>
      </c>
      <c r="AR438" s="65" t="str">
        <f>IFERROR(VLOOKUP(T438,LK_OrgMaster!$B$4:$G$89,6,FALSE()),"No")</f>
        <v>No</v>
      </c>
      <c r="AS438" s="64" t="str">
        <f>IFERROR(VLOOKUP(T438,LK_OrgMaster!$B$4:$H$89,7,FALSE()),"None")</f>
        <v>None</v>
      </c>
      <c r="AT438" s="67">
        <v>38175</v>
      </c>
      <c r="AU438" s="67"/>
      <c r="AV438" s="67">
        <v>38175</v>
      </c>
      <c r="AW438" s="67">
        <v>46023</v>
      </c>
      <c r="AX438" s="68" t="s">
        <v>750</v>
      </c>
      <c r="AY438" s="69" t="s">
        <v>6260</v>
      </c>
    </row>
    <row r="439" spans="1:51" ht="15" customHeight="1" x14ac:dyDescent="0.3">
      <c r="A439" s="59" t="s">
        <v>4640</v>
      </c>
      <c r="B439" s="59" t="s">
        <v>752</v>
      </c>
      <c r="C439" s="59" t="s">
        <v>1521</v>
      </c>
      <c r="D439" s="59" t="s">
        <v>1331</v>
      </c>
      <c r="E439" s="59" t="s">
        <v>732</v>
      </c>
      <c r="F439" s="60">
        <v>35422</v>
      </c>
      <c r="G439" s="59" t="s">
        <v>4641</v>
      </c>
      <c r="H439" s="59" t="s">
        <v>4642</v>
      </c>
      <c r="I439" s="60">
        <v>44244</v>
      </c>
      <c r="J439" s="61">
        <f t="shared" ca="1" si="24"/>
        <v>5</v>
      </c>
      <c r="K439" s="62">
        <f t="shared" si="25"/>
        <v>57337</v>
      </c>
      <c r="L439" s="59" t="s">
        <v>735</v>
      </c>
      <c r="M439" s="59" t="s">
        <v>1912</v>
      </c>
      <c r="N439" s="59" t="s">
        <v>1081</v>
      </c>
      <c r="O439" s="63">
        <v>4</v>
      </c>
      <c r="P439" s="61">
        <f>IFERROR(SUMPRODUCT((LK_GradeDerivation!$A$4:$A$135=N439)*(IF(O439="",0,O439)&gt;=LK_GradeDerivation!$B$4:$B$135)*(IF(O439="",0,O439)&lt;=LK_GradeDerivation!$C$4:$C$135)*LK_GradeDerivation!$D$4:$D$135),1)</f>
        <v>3</v>
      </c>
      <c r="Q439" s="61">
        <f>IFERROR(SUMPRODUCT((LK_GradeDerivation!$A$4:$A$135=N439)*(IF(O439="",0,O439)&gt;=LK_GradeDerivation!$B$4:$B$135)*(IF(O439="",0,O439)&lt;=LK_GradeDerivation!$C$4:$C$135)*LK_GradeDerivation!$E$4:$E$135),1)</f>
        <v>3</v>
      </c>
      <c r="R439" s="59" t="s">
        <v>4643</v>
      </c>
      <c r="S439" s="59" t="s">
        <v>4644</v>
      </c>
      <c r="T439" s="59" t="s">
        <v>782</v>
      </c>
      <c r="U439" s="59" t="s">
        <v>1191</v>
      </c>
      <c r="V439" s="59" t="s">
        <v>3473</v>
      </c>
      <c r="W439" s="59" t="s">
        <v>285</v>
      </c>
      <c r="X439" s="59" t="s">
        <v>527</v>
      </c>
      <c r="Y439" s="59" t="s">
        <v>527</v>
      </c>
      <c r="Z439" s="64" t="str">
        <f>IFERROR(VLOOKUP(T439,LK_OrgMaster!$B$4:$H$89,5,FALSE()),"Administration")</f>
        <v>Medical</v>
      </c>
      <c r="AA439" s="65" t="str">
        <f>IFERROR(VLOOKUP(X439,LK_LocationMaster!$D$4:$G$157,4,FALSE()),"No")</f>
        <v>No</v>
      </c>
      <c r="AB439" s="65" t="str">
        <f t="shared" si="26"/>
        <v>No</v>
      </c>
      <c r="AC439" s="65" t="str">
        <f>IFERROR(VLOOKUP(X439,LK_LocationMaster!$D$4:$H$157,5,FALSE()),"No")</f>
        <v>No</v>
      </c>
      <c r="AD439" s="59" t="s">
        <v>4645</v>
      </c>
      <c r="AE439" s="59" t="s">
        <v>800</v>
      </c>
      <c r="AF439" s="59" t="s">
        <v>766</v>
      </c>
      <c r="AG439" s="59" t="s">
        <v>356</v>
      </c>
      <c r="AH439" s="59" t="s">
        <v>4646</v>
      </c>
      <c r="AI439" s="59" t="s">
        <v>285</v>
      </c>
      <c r="AJ439" s="59" t="s">
        <v>788</v>
      </c>
      <c r="AK439" s="59" t="s">
        <v>1370</v>
      </c>
      <c r="AL439" s="64" t="str">
        <f>IFERROR(INDEX(LK_BankMaster!$D$4:$D$23,MATCH(AJ439&amp;"|"&amp;AK439,LK_BankMaster!$H$4:$H$23,0)),"")</f>
        <v/>
      </c>
      <c r="AM439" s="59" t="s">
        <v>4647</v>
      </c>
      <c r="AN439" s="64" t="str">
        <f>IFERROR(VLOOKUP(AJ439,LK_BankMaster!$A$4:$E$23,5,FALSE()),"")</f>
        <v/>
      </c>
      <c r="AO439" s="59" t="s">
        <v>291</v>
      </c>
      <c r="AP439" s="66">
        <v>0</v>
      </c>
      <c r="AQ439" s="64" t="str">
        <f t="shared" si="27"/>
        <v>Position Allowance - General Staff</v>
      </c>
      <c r="AR439" s="65" t="str">
        <f>IFERROR(VLOOKUP(T439,LK_OrgMaster!$B$4:$G$89,6,FALSE()),"No")</f>
        <v>No</v>
      </c>
      <c r="AS439" s="64" t="str">
        <f>IFERROR(VLOOKUP(T439,LK_OrgMaster!$B$4:$H$89,7,FALSE()),"None")</f>
        <v>Medical</v>
      </c>
      <c r="AT439" s="70">
        <v>44244</v>
      </c>
      <c r="AU439" s="70"/>
      <c r="AV439" s="70">
        <v>44244</v>
      </c>
      <c r="AW439" s="70">
        <v>46023</v>
      </c>
      <c r="AX439" s="71" t="s">
        <v>750</v>
      </c>
      <c r="AY439" s="72" t="s">
        <v>6260</v>
      </c>
    </row>
    <row r="440" spans="1:51" ht="15" customHeight="1" x14ac:dyDescent="0.3">
      <c r="A440" s="59" t="s">
        <v>4648</v>
      </c>
      <c r="B440" s="59" t="s">
        <v>729</v>
      </c>
      <c r="C440" s="59" t="s">
        <v>1394</v>
      </c>
      <c r="D440" s="59" t="s">
        <v>1112</v>
      </c>
      <c r="E440" s="59" t="s">
        <v>732</v>
      </c>
      <c r="F440" s="60">
        <v>28229</v>
      </c>
      <c r="G440" s="59" t="s">
        <v>4649</v>
      </c>
      <c r="H440" s="59" t="s">
        <v>4650</v>
      </c>
      <c r="I440" s="60">
        <v>39266</v>
      </c>
      <c r="J440" s="61">
        <f t="shared" ca="1" si="24"/>
        <v>18</v>
      </c>
      <c r="K440" s="62">
        <f t="shared" si="25"/>
        <v>50144</v>
      </c>
      <c r="L440" s="59" t="s">
        <v>735</v>
      </c>
      <c r="M440" s="59" t="s">
        <v>1069</v>
      </c>
      <c r="N440" s="59" t="s">
        <v>758</v>
      </c>
      <c r="O440" s="63">
        <v>5</v>
      </c>
      <c r="P440" s="61">
        <f>IFERROR(SUMPRODUCT((LK_GradeDerivation!$A$4:$A$135=N440)*(IF(O440="",0,O440)&gt;=LK_GradeDerivation!$B$4:$B$135)*(IF(O440="",0,O440)&lt;=LK_GradeDerivation!$C$4:$C$135)*LK_GradeDerivation!$D$4:$D$135),1)</f>
        <v>5</v>
      </c>
      <c r="Q440" s="61">
        <f>IFERROR(SUMPRODUCT((LK_GradeDerivation!$A$4:$A$135=N440)*(IF(O440="",0,O440)&gt;=LK_GradeDerivation!$B$4:$B$135)*(IF(O440="",0,O440)&lt;=LK_GradeDerivation!$C$4:$C$135)*LK_GradeDerivation!$E$4:$E$135),1)</f>
        <v>3</v>
      </c>
      <c r="R440" s="59" t="s">
        <v>4651</v>
      </c>
      <c r="S440" s="59" t="s">
        <v>4652</v>
      </c>
      <c r="T440" s="59" t="s">
        <v>1204</v>
      </c>
      <c r="U440" s="59" t="s">
        <v>1205</v>
      </c>
      <c r="V440" s="59" t="s">
        <v>4342</v>
      </c>
      <c r="W440" s="59" t="s">
        <v>285</v>
      </c>
      <c r="X440" s="59" t="s">
        <v>554</v>
      </c>
      <c r="Y440" s="59" t="s">
        <v>564</v>
      </c>
      <c r="Z440" s="64" t="str">
        <f>IFERROR(VLOOKUP(T440,LK_OrgMaster!$B$4:$H$89,5,FALSE()),"Administration")</f>
        <v>Administration</v>
      </c>
      <c r="AA440" s="65" t="str">
        <f>IFERROR(VLOOKUP(X440,LK_LocationMaster!$D$4:$G$157,4,FALSE()),"No")</f>
        <v>No</v>
      </c>
      <c r="AB440" s="65" t="str">
        <f t="shared" si="26"/>
        <v>No</v>
      </c>
      <c r="AC440" s="65" t="str">
        <f>IFERROR(VLOOKUP(X440,LK_LocationMaster!$D$4:$H$157,5,FALSE()),"No")</f>
        <v>No</v>
      </c>
      <c r="AD440" s="59" t="s">
        <v>4653</v>
      </c>
      <c r="AE440" s="59" t="s">
        <v>4654</v>
      </c>
      <c r="AF440" s="59" t="s">
        <v>984</v>
      </c>
      <c r="AG440" s="59" t="s">
        <v>312</v>
      </c>
      <c r="AH440" s="59" t="s">
        <v>4655</v>
      </c>
      <c r="AI440" s="59" t="s">
        <v>285</v>
      </c>
      <c r="AJ440" s="59" t="s">
        <v>747</v>
      </c>
      <c r="AK440" s="59" t="s">
        <v>748</v>
      </c>
      <c r="AL440" s="64" t="str">
        <f>IFERROR(INDEX(LK_BankMaster!$D$4:$D$23,MATCH(AJ440&amp;"|"&amp;AK440,LK_BankMaster!$H$4:$H$23,0)),"")</f>
        <v/>
      </c>
      <c r="AM440" s="59" t="s">
        <v>4656</v>
      </c>
      <c r="AN440" s="64" t="str">
        <f>IFERROR(VLOOKUP(AJ440,LK_BankMaster!$A$4:$E$23,5,FALSE()),"")</f>
        <v/>
      </c>
      <c r="AO440" s="59" t="s">
        <v>314</v>
      </c>
      <c r="AP440" s="66">
        <v>3</v>
      </c>
      <c r="AQ440" s="64" t="str">
        <f t="shared" si="27"/>
        <v>Position Allowance - General Staff</v>
      </c>
      <c r="AR440" s="65" t="str">
        <f>IFERROR(VLOOKUP(T440,LK_OrgMaster!$B$4:$G$89,6,FALSE()),"No")</f>
        <v>No</v>
      </c>
      <c r="AS440" s="64" t="str">
        <f>IFERROR(VLOOKUP(T440,LK_OrgMaster!$B$4:$H$89,7,FALSE()),"None")</f>
        <v>None</v>
      </c>
      <c r="AT440" s="67">
        <v>39266</v>
      </c>
      <c r="AU440" s="67"/>
      <c r="AV440" s="67">
        <v>39266</v>
      </c>
      <c r="AW440" s="67">
        <v>46023</v>
      </c>
      <c r="AX440" s="68" t="s">
        <v>750</v>
      </c>
      <c r="AY440" s="69" t="s">
        <v>6260</v>
      </c>
    </row>
    <row r="441" spans="1:51" ht="15" customHeight="1" x14ac:dyDescent="0.3">
      <c r="A441" s="59" t="s">
        <v>4657</v>
      </c>
      <c r="B441" s="59" t="s">
        <v>752</v>
      </c>
      <c r="C441" s="59" t="s">
        <v>822</v>
      </c>
      <c r="D441" s="59" t="s">
        <v>1186</v>
      </c>
      <c r="E441" s="59" t="s">
        <v>732</v>
      </c>
      <c r="F441" s="60">
        <v>33670</v>
      </c>
      <c r="G441" s="59" t="s">
        <v>4658</v>
      </c>
      <c r="H441" s="59" t="s">
        <v>4659</v>
      </c>
      <c r="I441" s="60">
        <v>43879</v>
      </c>
      <c r="J441" s="61">
        <f t="shared" ca="1" si="24"/>
        <v>6</v>
      </c>
      <c r="K441" s="62">
        <f t="shared" si="25"/>
        <v>55585</v>
      </c>
      <c r="L441" s="59" t="s">
        <v>735</v>
      </c>
      <c r="M441" s="59" t="s">
        <v>1281</v>
      </c>
      <c r="N441" s="59" t="s">
        <v>758</v>
      </c>
      <c r="O441" s="63">
        <v>2</v>
      </c>
      <c r="P441" s="61">
        <f>IFERROR(SUMPRODUCT((LK_GradeDerivation!$A$4:$A$135=N441)*(IF(O441="",0,O441)&gt;=LK_GradeDerivation!$B$4:$B$135)*(IF(O441="",0,O441)&lt;=LK_GradeDerivation!$C$4:$C$135)*LK_GradeDerivation!$D$4:$D$135),1)</f>
        <v>5</v>
      </c>
      <c r="Q441" s="61">
        <f>IFERROR(SUMPRODUCT((LK_GradeDerivation!$A$4:$A$135=N441)*(IF(O441="",0,O441)&gt;=LK_GradeDerivation!$B$4:$B$135)*(IF(O441="",0,O441)&lt;=LK_GradeDerivation!$C$4:$C$135)*LK_GradeDerivation!$E$4:$E$135),1)</f>
        <v>2</v>
      </c>
      <c r="R441" s="59" t="s">
        <v>4660</v>
      </c>
      <c r="S441" s="59" t="s">
        <v>4661</v>
      </c>
      <c r="T441" s="59" t="s">
        <v>1118</v>
      </c>
      <c r="U441" s="59" t="s">
        <v>2930</v>
      </c>
      <c r="V441" s="59" t="s">
        <v>763</v>
      </c>
      <c r="W441" s="59" t="s">
        <v>285</v>
      </c>
      <c r="X441" s="59" t="s">
        <v>408</v>
      </c>
      <c r="Y441" s="59" t="s">
        <v>411</v>
      </c>
      <c r="Z441" s="64" t="str">
        <f>IFERROR(VLOOKUP(T441,LK_OrgMaster!$B$4:$H$89,5,FALSE()),"Administration")</f>
        <v>Diplomatic</v>
      </c>
      <c r="AA441" s="65" t="str">
        <f>IFERROR(VLOOKUP(X441,LK_LocationMaster!$D$4:$G$157,4,FALSE()),"No")</f>
        <v>Yes</v>
      </c>
      <c r="AB441" s="65" t="str">
        <f t="shared" si="26"/>
        <v>No</v>
      </c>
      <c r="AC441" s="65" t="str">
        <f>IFERROR(VLOOKUP(X441,LK_LocationMaster!$D$4:$H$157,5,FALSE()),"No")</f>
        <v>No</v>
      </c>
      <c r="AD441" s="59" t="s">
        <v>4662</v>
      </c>
      <c r="AE441" s="59" t="s">
        <v>800</v>
      </c>
      <c r="AF441" s="59" t="s">
        <v>745</v>
      </c>
      <c r="AG441" s="59" t="s">
        <v>340</v>
      </c>
      <c r="AH441" s="59" t="s">
        <v>4663</v>
      </c>
      <c r="AI441" s="59" t="s">
        <v>285</v>
      </c>
      <c r="AJ441" s="59" t="s">
        <v>833</v>
      </c>
      <c r="AK441" s="59" t="s">
        <v>1013</v>
      </c>
      <c r="AL441" s="64" t="str">
        <f>IFERROR(INDEX(LK_BankMaster!$D$4:$D$23,MATCH(AJ441&amp;"|"&amp;AK441,LK_BankMaster!$H$4:$H$23,0)),"")</f>
        <v/>
      </c>
      <c r="AM441" s="59" t="s">
        <v>4664</v>
      </c>
      <c r="AN441" s="64" t="str">
        <f>IFERROR(VLOOKUP(AJ441,LK_BankMaster!$A$4:$E$23,5,FALSE()),"")</f>
        <v/>
      </c>
      <c r="AO441" s="59" t="s">
        <v>291</v>
      </c>
      <c r="AP441" s="66">
        <v>0</v>
      </c>
      <c r="AQ441" s="64" t="str">
        <f t="shared" si="27"/>
        <v>Position Allowance - General Staff</v>
      </c>
      <c r="AR441" s="65" t="str">
        <f>IFERROR(VLOOKUP(T441,LK_OrgMaster!$B$4:$G$89,6,FALSE()),"No")</f>
        <v>No</v>
      </c>
      <c r="AS441" s="64" t="str">
        <f>IFERROR(VLOOKUP(T441,LK_OrgMaster!$B$4:$H$89,7,FALSE()),"None")</f>
        <v>None</v>
      </c>
      <c r="AT441" s="70">
        <v>43879</v>
      </c>
      <c r="AU441" s="70"/>
      <c r="AV441" s="70">
        <v>43879</v>
      </c>
      <c r="AW441" s="70">
        <v>46023</v>
      </c>
      <c r="AX441" s="71" t="s">
        <v>750</v>
      </c>
      <c r="AY441" s="72" t="s">
        <v>6260</v>
      </c>
    </row>
    <row r="442" spans="1:51" ht="15" customHeight="1" x14ac:dyDescent="0.3">
      <c r="A442" s="59" t="s">
        <v>4665</v>
      </c>
      <c r="B442" s="59" t="s">
        <v>772</v>
      </c>
      <c r="C442" s="59" t="s">
        <v>2024</v>
      </c>
      <c r="D442" s="59" t="s">
        <v>1604</v>
      </c>
      <c r="E442" s="59" t="s">
        <v>775</v>
      </c>
      <c r="F442" s="60">
        <v>32366</v>
      </c>
      <c r="G442" s="59" t="s">
        <v>4666</v>
      </c>
      <c r="H442" s="59" t="s">
        <v>4667</v>
      </c>
      <c r="I442" s="60">
        <v>33103</v>
      </c>
      <c r="J442" s="61">
        <f t="shared" ca="1" si="24"/>
        <v>35</v>
      </c>
      <c r="K442" s="62">
        <f t="shared" si="25"/>
        <v>54281</v>
      </c>
      <c r="L442" s="59" t="s">
        <v>735</v>
      </c>
      <c r="M442" s="59" t="s">
        <v>1201</v>
      </c>
      <c r="N442" s="59" t="s">
        <v>1081</v>
      </c>
      <c r="O442" s="63">
        <v>0</v>
      </c>
      <c r="P442" s="61">
        <f>IFERROR(SUMPRODUCT((LK_GradeDerivation!$A$4:$A$135=N442)*(IF(O442="",0,O442)&gt;=LK_GradeDerivation!$B$4:$B$135)*(IF(O442="",0,O442)&lt;=LK_GradeDerivation!$C$4:$C$135)*LK_GradeDerivation!$D$4:$D$135),1)</f>
        <v>3</v>
      </c>
      <c r="Q442" s="61">
        <f>IFERROR(SUMPRODUCT((LK_GradeDerivation!$A$4:$A$135=N442)*(IF(O442="",0,O442)&gt;=LK_GradeDerivation!$B$4:$B$135)*(IF(O442="",0,O442)&lt;=LK_GradeDerivation!$C$4:$C$135)*LK_GradeDerivation!$E$4:$E$135),1)</f>
        <v>1</v>
      </c>
      <c r="R442" s="59" t="s">
        <v>4668</v>
      </c>
      <c r="S442" s="59" t="s">
        <v>4669</v>
      </c>
      <c r="T442" s="59" t="s">
        <v>979</v>
      </c>
      <c r="U442" s="59" t="s">
        <v>980</v>
      </c>
      <c r="V442" s="59" t="s">
        <v>1904</v>
      </c>
      <c r="W442" s="59" t="s">
        <v>285</v>
      </c>
      <c r="X442" s="59" t="s">
        <v>408</v>
      </c>
      <c r="Y442" s="59" t="s">
        <v>419</v>
      </c>
      <c r="Z442" s="64" t="str">
        <f>IFERROR(VLOOKUP(T442,LK_OrgMaster!$B$4:$H$89,5,FALSE()),"Administration")</f>
        <v>Administration</v>
      </c>
      <c r="AA442" s="65" t="str">
        <f>IFERROR(VLOOKUP(X442,LK_LocationMaster!$D$4:$G$157,4,FALSE()),"No")</f>
        <v>Yes</v>
      </c>
      <c r="AB442" s="65" t="str">
        <f t="shared" si="26"/>
        <v>No</v>
      </c>
      <c r="AC442" s="65" t="str">
        <f>IFERROR(VLOOKUP(X442,LK_LocationMaster!$D$4:$H$157,5,FALSE()),"No")</f>
        <v>No</v>
      </c>
      <c r="AD442" s="59" t="s">
        <v>4670</v>
      </c>
      <c r="AE442" s="59" t="s">
        <v>930</v>
      </c>
      <c r="AF442" s="59" t="s">
        <v>786</v>
      </c>
      <c r="AG442" s="59" t="s">
        <v>312</v>
      </c>
      <c r="AH442" s="59" t="s">
        <v>2875</v>
      </c>
      <c r="AI442" s="59" t="s">
        <v>285</v>
      </c>
      <c r="AJ442" s="59" t="s">
        <v>818</v>
      </c>
      <c r="AK442" s="59" t="s">
        <v>944</v>
      </c>
      <c r="AL442" s="64" t="str">
        <f>IFERROR(INDEX(LK_BankMaster!$D$4:$D$23,MATCH(AJ442&amp;"|"&amp;AK442,LK_BankMaster!$H$4:$H$23,0)),"")</f>
        <v/>
      </c>
      <c r="AM442" s="59" t="s">
        <v>4671</v>
      </c>
      <c r="AN442" s="64" t="str">
        <f>IFERROR(VLOOKUP(AJ442,LK_BankMaster!$A$4:$E$23,5,FALSE()),"")</f>
        <v/>
      </c>
      <c r="AO442" s="59" t="s">
        <v>314</v>
      </c>
      <c r="AP442" s="66">
        <v>0</v>
      </c>
      <c r="AQ442" s="64" t="str">
        <f t="shared" si="27"/>
        <v>Position Allowance - General Staff</v>
      </c>
      <c r="AR442" s="65" t="str">
        <f>IFERROR(VLOOKUP(T442,LK_OrgMaster!$B$4:$G$89,6,FALSE()),"No")</f>
        <v>No</v>
      </c>
      <c r="AS442" s="64" t="str">
        <f>IFERROR(VLOOKUP(T442,LK_OrgMaster!$B$4:$H$89,7,FALSE()),"None")</f>
        <v>None</v>
      </c>
      <c r="AT442" s="67">
        <v>33103</v>
      </c>
      <c r="AU442" s="67"/>
      <c r="AV442" s="67">
        <v>33103</v>
      </c>
      <c r="AW442" s="67">
        <v>46023</v>
      </c>
      <c r="AX442" s="68" t="s">
        <v>750</v>
      </c>
      <c r="AY442" s="69" t="s">
        <v>6260</v>
      </c>
    </row>
    <row r="443" spans="1:51" ht="15" customHeight="1" x14ac:dyDescent="0.3">
      <c r="A443" s="59" t="s">
        <v>4672</v>
      </c>
      <c r="B443" s="59" t="s">
        <v>851</v>
      </c>
      <c r="C443" s="59" t="s">
        <v>3478</v>
      </c>
      <c r="D443" s="59" t="s">
        <v>2194</v>
      </c>
      <c r="E443" s="59" t="s">
        <v>775</v>
      </c>
      <c r="F443" s="60">
        <v>25827</v>
      </c>
      <c r="G443" s="59" t="s">
        <v>4673</v>
      </c>
      <c r="H443" s="59" t="s">
        <v>4674</v>
      </c>
      <c r="I443" s="60">
        <v>42334</v>
      </c>
      <c r="J443" s="61">
        <f t="shared" ca="1" si="24"/>
        <v>10</v>
      </c>
      <c r="K443" s="62">
        <f t="shared" si="25"/>
        <v>47742</v>
      </c>
      <c r="L443" s="59" t="s">
        <v>735</v>
      </c>
      <c r="M443" s="59" t="s">
        <v>2172</v>
      </c>
      <c r="N443" s="59" t="s">
        <v>1081</v>
      </c>
      <c r="O443" s="63">
        <v>25</v>
      </c>
      <c r="P443" s="61">
        <f>IFERROR(SUMPRODUCT((LK_GradeDerivation!$A$4:$A$135=N443)*(IF(O443="",0,O443)&gt;=LK_GradeDerivation!$B$4:$B$135)*(IF(O443="",0,O443)&lt;=LK_GradeDerivation!$C$4:$C$135)*LK_GradeDerivation!$D$4:$D$135),1)</f>
        <v>3</v>
      </c>
      <c r="Q443" s="61">
        <f>IFERROR(SUMPRODUCT((LK_GradeDerivation!$A$4:$A$135=N443)*(IF(O443="",0,O443)&gt;=LK_GradeDerivation!$B$4:$B$135)*(IF(O443="",0,O443)&lt;=LK_GradeDerivation!$C$4:$C$135)*LK_GradeDerivation!$E$4:$E$135),1)</f>
        <v>13</v>
      </c>
      <c r="R443" s="59" t="s">
        <v>4675</v>
      </c>
      <c r="S443" s="59" t="s">
        <v>4676</v>
      </c>
      <c r="T443" s="59" t="s">
        <v>1084</v>
      </c>
      <c r="U443" s="59" t="s">
        <v>1085</v>
      </c>
      <c r="V443" s="59" t="s">
        <v>4677</v>
      </c>
      <c r="W443" s="59" t="s">
        <v>285</v>
      </c>
      <c r="X443" s="59" t="s">
        <v>587</v>
      </c>
      <c r="Y443" s="59" t="s">
        <v>595</v>
      </c>
      <c r="Z443" s="64" t="str">
        <f>IFERROR(VLOOKUP(T443,LK_OrgMaster!$B$4:$H$89,5,FALSE()),"Administration")</f>
        <v>Finance</v>
      </c>
      <c r="AA443" s="65" t="str">
        <f>IFERROR(VLOOKUP(X443,LK_LocationMaster!$D$4:$G$157,4,FALSE()),"No")</f>
        <v>Yes</v>
      </c>
      <c r="AB443" s="65" t="str">
        <f t="shared" si="26"/>
        <v>No</v>
      </c>
      <c r="AC443" s="65" t="str">
        <f>IFERROR(VLOOKUP(X443,LK_LocationMaster!$D$4:$H$157,5,FALSE()),"No")</f>
        <v>Yes</v>
      </c>
      <c r="AD443" s="59" t="s">
        <v>4678</v>
      </c>
      <c r="AE443" s="59" t="s">
        <v>1413</v>
      </c>
      <c r="AF443" s="59" t="s">
        <v>786</v>
      </c>
      <c r="AG443" s="59" t="s">
        <v>368</v>
      </c>
      <c r="AH443" s="59" t="s">
        <v>4679</v>
      </c>
      <c r="AI443" s="59" t="s">
        <v>285</v>
      </c>
      <c r="AJ443" s="59" t="s">
        <v>818</v>
      </c>
      <c r="AK443" s="59" t="s">
        <v>819</v>
      </c>
      <c r="AL443" s="64" t="str">
        <f>IFERROR(INDEX(LK_BankMaster!$D$4:$D$23,MATCH(AJ443&amp;"|"&amp;AK443,LK_BankMaster!$H$4:$H$23,0)),"")</f>
        <v/>
      </c>
      <c r="AM443" s="59" t="s">
        <v>4680</v>
      </c>
      <c r="AN443" s="64" t="str">
        <f>IFERROR(VLOOKUP(AJ443,LK_BankMaster!$A$4:$E$23,5,FALSE()),"")</f>
        <v/>
      </c>
      <c r="AO443" s="59" t="s">
        <v>314</v>
      </c>
      <c r="AP443" s="66">
        <v>2</v>
      </c>
      <c r="AQ443" s="64" t="str">
        <f t="shared" si="27"/>
        <v>Position Allowance - General Staff</v>
      </c>
      <c r="AR443" s="65" t="str">
        <f>IFERROR(VLOOKUP(T443,LK_OrgMaster!$B$4:$G$89,6,FALSE()),"No")</f>
        <v>No</v>
      </c>
      <c r="AS443" s="64" t="str">
        <f>IFERROR(VLOOKUP(T443,LK_OrgMaster!$B$4:$H$89,7,FALSE()),"None")</f>
        <v>None</v>
      </c>
      <c r="AT443" s="70">
        <v>42334</v>
      </c>
      <c r="AU443" s="70"/>
      <c r="AV443" s="70">
        <v>42334</v>
      </c>
      <c r="AW443" s="70">
        <v>46023</v>
      </c>
      <c r="AX443" s="71" t="s">
        <v>750</v>
      </c>
      <c r="AY443" s="72" t="s">
        <v>6260</v>
      </c>
    </row>
    <row r="444" spans="1:51" ht="15" customHeight="1" x14ac:dyDescent="0.3">
      <c r="A444" s="59" t="s">
        <v>4681</v>
      </c>
      <c r="B444" s="59" t="s">
        <v>729</v>
      </c>
      <c r="C444" s="59" t="s">
        <v>1362</v>
      </c>
      <c r="D444" s="59" t="s">
        <v>960</v>
      </c>
      <c r="E444" s="59" t="s">
        <v>732</v>
      </c>
      <c r="F444" s="60">
        <v>32208</v>
      </c>
      <c r="G444" s="59" t="s">
        <v>4682</v>
      </c>
      <c r="H444" s="59" t="s">
        <v>4683</v>
      </c>
      <c r="I444" s="60">
        <v>38345</v>
      </c>
      <c r="J444" s="61">
        <f t="shared" ca="1" si="24"/>
        <v>21</v>
      </c>
      <c r="K444" s="62">
        <f t="shared" si="25"/>
        <v>54123</v>
      </c>
      <c r="L444" s="59" t="s">
        <v>735</v>
      </c>
      <c r="M444" s="59" t="s">
        <v>893</v>
      </c>
      <c r="N444" s="59" t="s">
        <v>1081</v>
      </c>
      <c r="O444" s="63">
        <v>0</v>
      </c>
      <c r="P444" s="61">
        <f>IFERROR(SUMPRODUCT((LK_GradeDerivation!$A$4:$A$135=N444)*(IF(O444="",0,O444)&gt;=LK_GradeDerivation!$B$4:$B$135)*(IF(O444="",0,O444)&lt;=LK_GradeDerivation!$C$4:$C$135)*LK_GradeDerivation!$D$4:$D$135),1)</f>
        <v>3</v>
      </c>
      <c r="Q444" s="61">
        <f>IFERROR(SUMPRODUCT((LK_GradeDerivation!$A$4:$A$135=N444)*(IF(O444="",0,O444)&gt;=LK_GradeDerivation!$B$4:$B$135)*(IF(O444="",0,O444)&lt;=LK_GradeDerivation!$C$4:$C$135)*LK_GradeDerivation!$E$4:$E$135),1)</f>
        <v>1</v>
      </c>
      <c r="R444" s="59" t="s">
        <v>4684</v>
      </c>
      <c r="S444" s="59" t="s">
        <v>4685</v>
      </c>
      <c r="T444" s="59" t="s">
        <v>896</v>
      </c>
      <c r="U444" s="59" t="s">
        <v>1639</v>
      </c>
      <c r="V444" s="59" t="s">
        <v>1577</v>
      </c>
      <c r="W444" s="59" t="s">
        <v>285</v>
      </c>
      <c r="X444" s="59" t="s">
        <v>288</v>
      </c>
      <c r="Y444" s="59" t="s">
        <v>310</v>
      </c>
      <c r="Z444" s="64" t="str">
        <f>IFERROR(VLOOKUP(T444,LK_OrgMaster!$B$4:$H$89,5,FALSE()),"Administration")</f>
        <v>Administration</v>
      </c>
      <c r="AA444" s="65" t="str">
        <f>IFERROR(VLOOKUP(X444,LK_LocationMaster!$D$4:$G$157,4,FALSE()),"No")</f>
        <v>No</v>
      </c>
      <c r="AB444" s="65" t="str">
        <f t="shared" si="26"/>
        <v>No</v>
      </c>
      <c r="AC444" s="65" t="str">
        <f>IFERROR(VLOOKUP(X444,LK_LocationMaster!$D$4:$H$157,5,FALSE()),"No")</f>
        <v>No</v>
      </c>
      <c r="AD444" s="59" t="s">
        <v>2782</v>
      </c>
      <c r="AE444" s="59" t="s">
        <v>765</v>
      </c>
      <c r="AF444" s="59" t="s">
        <v>915</v>
      </c>
      <c r="AG444" s="59" t="s">
        <v>288</v>
      </c>
      <c r="AH444" s="59" t="s">
        <v>4686</v>
      </c>
      <c r="AI444" s="59" t="s">
        <v>285</v>
      </c>
      <c r="AJ444" s="59" t="s">
        <v>818</v>
      </c>
      <c r="AK444" s="59" t="s">
        <v>819</v>
      </c>
      <c r="AL444" s="64" t="str">
        <f>IFERROR(INDEX(LK_BankMaster!$D$4:$D$23,MATCH(AJ444&amp;"|"&amp;AK444,LK_BankMaster!$H$4:$H$23,0)),"")</f>
        <v/>
      </c>
      <c r="AM444" s="59" t="s">
        <v>4687</v>
      </c>
      <c r="AN444" s="64" t="str">
        <f>IFERROR(VLOOKUP(AJ444,LK_BankMaster!$A$4:$E$23,5,FALSE()),"")</f>
        <v/>
      </c>
      <c r="AO444" s="59" t="s">
        <v>314</v>
      </c>
      <c r="AP444" s="66">
        <v>1</v>
      </c>
      <c r="AQ444" s="64" t="str">
        <f t="shared" si="27"/>
        <v>Position Allowance - General Staff</v>
      </c>
      <c r="AR444" s="65" t="str">
        <f>IFERROR(VLOOKUP(T444,LK_OrgMaster!$B$4:$G$89,6,FALSE()),"No")</f>
        <v>No</v>
      </c>
      <c r="AS444" s="64" t="str">
        <f>IFERROR(VLOOKUP(T444,LK_OrgMaster!$B$4:$H$89,7,FALSE()),"None")</f>
        <v>None</v>
      </c>
      <c r="AT444" s="67">
        <v>38345</v>
      </c>
      <c r="AU444" s="67"/>
      <c r="AV444" s="67">
        <v>38345</v>
      </c>
      <c r="AW444" s="67">
        <v>46023</v>
      </c>
      <c r="AX444" s="68" t="s">
        <v>750</v>
      </c>
      <c r="AY444" s="69" t="s">
        <v>6260</v>
      </c>
    </row>
    <row r="445" spans="1:51" ht="15" customHeight="1" x14ac:dyDescent="0.3">
      <c r="A445" s="59" t="s">
        <v>4688</v>
      </c>
      <c r="B445" s="59" t="s">
        <v>772</v>
      </c>
      <c r="C445" s="59" t="s">
        <v>2220</v>
      </c>
      <c r="D445" s="59" t="s">
        <v>1160</v>
      </c>
      <c r="E445" s="59" t="s">
        <v>732</v>
      </c>
      <c r="F445" s="60">
        <v>33489</v>
      </c>
      <c r="G445" s="59" t="s">
        <v>4689</v>
      </c>
      <c r="H445" s="59" t="s">
        <v>4690</v>
      </c>
      <c r="I445" s="60">
        <v>44368</v>
      </c>
      <c r="J445" s="61">
        <f t="shared" ca="1" si="24"/>
        <v>4</v>
      </c>
      <c r="K445" s="62">
        <f t="shared" si="25"/>
        <v>55404</v>
      </c>
      <c r="L445" s="59" t="s">
        <v>735</v>
      </c>
      <c r="M445" s="59" t="s">
        <v>1334</v>
      </c>
      <c r="N445" s="59" t="s">
        <v>737</v>
      </c>
      <c r="O445" s="63">
        <v>7</v>
      </c>
      <c r="P445" s="61">
        <f>IFERROR(SUMPRODUCT((LK_GradeDerivation!$A$4:$A$135=N445)*(IF(O445="",0,O445)&gt;=LK_GradeDerivation!$B$4:$B$135)*(IF(O445="",0,O445)&lt;=LK_GradeDerivation!$C$4:$C$135)*LK_GradeDerivation!$D$4:$D$135),1)</f>
        <v>4</v>
      </c>
      <c r="Q445" s="61">
        <f>IFERROR(SUMPRODUCT((LK_GradeDerivation!$A$4:$A$135=N445)*(IF(O445="",0,O445)&gt;=LK_GradeDerivation!$B$4:$B$135)*(IF(O445="",0,O445)&lt;=LK_GradeDerivation!$C$4:$C$135)*LK_GradeDerivation!$E$4:$E$135),1)</f>
        <v>4</v>
      </c>
      <c r="R445" s="59" t="s">
        <v>4691</v>
      </c>
      <c r="S445" s="59" t="s">
        <v>4692</v>
      </c>
      <c r="T445" s="59" t="s">
        <v>740</v>
      </c>
      <c r="U445" s="59" t="s">
        <v>1154</v>
      </c>
      <c r="V445" s="59" t="s">
        <v>763</v>
      </c>
      <c r="W445" s="59" t="s">
        <v>285</v>
      </c>
      <c r="X445" s="59" t="s">
        <v>288</v>
      </c>
      <c r="Y445" s="59" t="s">
        <v>300</v>
      </c>
      <c r="Z445" s="64" t="str">
        <f>IFERROR(VLOOKUP(T445,LK_OrgMaster!$B$4:$H$89,5,FALSE()),"Administration")</f>
        <v>Teacher</v>
      </c>
      <c r="AA445" s="65" t="str">
        <f>IFERROR(VLOOKUP(X445,LK_LocationMaster!$D$4:$G$157,4,FALSE()),"No")</f>
        <v>No</v>
      </c>
      <c r="AB445" s="65" t="str">
        <f t="shared" si="26"/>
        <v>No</v>
      </c>
      <c r="AC445" s="65" t="str">
        <f>IFERROR(VLOOKUP(X445,LK_LocationMaster!$D$4:$H$157,5,FALSE()),"No")</f>
        <v>No</v>
      </c>
      <c r="AD445" s="59" t="s">
        <v>3862</v>
      </c>
      <c r="AE445" s="59" t="s">
        <v>800</v>
      </c>
      <c r="AF445" s="59" t="s">
        <v>745</v>
      </c>
      <c r="AG445" s="59" t="s">
        <v>356</v>
      </c>
      <c r="AH445" s="59" t="s">
        <v>4693</v>
      </c>
      <c r="AI445" s="59" t="s">
        <v>285</v>
      </c>
      <c r="AJ445" s="59" t="s">
        <v>768</v>
      </c>
      <c r="AK445" s="59" t="s">
        <v>769</v>
      </c>
      <c r="AL445" s="64" t="str">
        <f>IFERROR(INDEX(LK_BankMaster!$D$4:$D$23,MATCH(AJ445&amp;"|"&amp;AK445,LK_BankMaster!$H$4:$H$23,0)),"")</f>
        <v/>
      </c>
      <c r="AM445" s="59" t="s">
        <v>4694</v>
      </c>
      <c r="AN445" s="64" t="str">
        <f>IFERROR(VLOOKUP(AJ445,LK_BankMaster!$A$4:$E$23,5,FALSE()),"")</f>
        <v/>
      </c>
      <c r="AO445" s="59" t="s">
        <v>291</v>
      </c>
      <c r="AP445" s="66">
        <v>0</v>
      </c>
      <c r="AQ445" s="64" t="str">
        <f t="shared" si="27"/>
        <v>Position Allowance - General Staff</v>
      </c>
      <c r="AR445" s="65" t="str">
        <f>IFERROR(VLOOKUP(T445,LK_OrgMaster!$B$4:$G$89,6,FALSE()),"No")</f>
        <v>No</v>
      </c>
      <c r="AS445" s="64" t="str">
        <f>IFERROR(VLOOKUP(T445,LK_OrgMaster!$B$4:$H$89,7,FALSE()),"None")</f>
        <v>Teaching</v>
      </c>
      <c r="AT445" s="70">
        <v>44368</v>
      </c>
      <c r="AU445" s="70"/>
      <c r="AV445" s="70">
        <v>44368</v>
      </c>
      <c r="AW445" s="70">
        <v>46023</v>
      </c>
      <c r="AX445" s="71" t="s">
        <v>750</v>
      </c>
      <c r="AY445" s="72" t="s">
        <v>6260</v>
      </c>
    </row>
    <row r="446" spans="1:51" ht="15" customHeight="1" x14ac:dyDescent="0.3">
      <c r="A446" s="59" t="s">
        <v>4695</v>
      </c>
      <c r="B446" s="59" t="s">
        <v>851</v>
      </c>
      <c r="C446" s="59" t="s">
        <v>2114</v>
      </c>
      <c r="D446" s="59" t="s">
        <v>731</v>
      </c>
      <c r="E446" s="59" t="s">
        <v>775</v>
      </c>
      <c r="F446" s="60">
        <v>31309</v>
      </c>
      <c r="G446" s="59" t="s">
        <v>4696</v>
      </c>
      <c r="H446" s="59" t="s">
        <v>4697</v>
      </c>
      <c r="I446" s="60">
        <v>32544</v>
      </c>
      <c r="J446" s="61">
        <f t="shared" ca="1" si="24"/>
        <v>37</v>
      </c>
      <c r="K446" s="62">
        <f t="shared" si="25"/>
        <v>53224</v>
      </c>
      <c r="L446" s="59" t="s">
        <v>735</v>
      </c>
      <c r="M446" s="59" t="s">
        <v>910</v>
      </c>
      <c r="N446" s="59" t="s">
        <v>737</v>
      </c>
      <c r="O446" s="63">
        <v>0</v>
      </c>
      <c r="P446" s="61">
        <f>IFERROR(SUMPRODUCT((LK_GradeDerivation!$A$4:$A$135=N446)*(IF(O446="",0,O446)&gt;=LK_GradeDerivation!$B$4:$B$135)*(IF(O446="",0,O446)&lt;=LK_GradeDerivation!$C$4:$C$135)*LK_GradeDerivation!$D$4:$D$135),1)</f>
        <v>4</v>
      </c>
      <c r="Q446" s="61">
        <f>IFERROR(SUMPRODUCT((LK_GradeDerivation!$A$4:$A$135=N446)*(IF(O446="",0,O446)&gt;=LK_GradeDerivation!$B$4:$B$135)*(IF(O446="",0,O446)&lt;=LK_GradeDerivation!$C$4:$C$135)*LK_GradeDerivation!$E$4:$E$135),1)</f>
        <v>1</v>
      </c>
      <c r="R446" s="59" t="s">
        <v>4698</v>
      </c>
      <c r="S446" s="59" t="s">
        <v>4699</v>
      </c>
      <c r="T446" s="59" t="s">
        <v>844</v>
      </c>
      <c r="U446" s="59" t="s">
        <v>1961</v>
      </c>
      <c r="V446" s="59" t="s">
        <v>4590</v>
      </c>
      <c r="W446" s="59" t="s">
        <v>285</v>
      </c>
      <c r="X446" s="59" t="s">
        <v>500</v>
      </c>
      <c r="Y446" s="59" t="s">
        <v>511</v>
      </c>
      <c r="Z446" s="64" t="str">
        <f>IFERROR(VLOOKUP(T446,LK_OrgMaster!$B$4:$H$89,5,FALSE()),"Administration")</f>
        <v>Administration</v>
      </c>
      <c r="AA446" s="65" t="str">
        <f>IFERROR(VLOOKUP(X446,LK_LocationMaster!$D$4:$G$157,4,FALSE()),"No")</f>
        <v>No</v>
      </c>
      <c r="AB446" s="65" t="str">
        <f t="shared" si="26"/>
        <v>No</v>
      </c>
      <c r="AC446" s="65" t="str">
        <f>IFERROR(VLOOKUP(X446,LK_LocationMaster!$D$4:$H$157,5,FALSE()),"No")</f>
        <v>Yes</v>
      </c>
      <c r="AD446" s="59" t="s">
        <v>4700</v>
      </c>
      <c r="AE446" s="59" t="s">
        <v>765</v>
      </c>
      <c r="AF446" s="59" t="s">
        <v>847</v>
      </c>
      <c r="AG446" s="59" t="s">
        <v>329</v>
      </c>
      <c r="AH446" s="59" t="s">
        <v>4701</v>
      </c>
      <c r="AI446" s="59" t="s">
        <v>285</v>
      </c>
      <c r="AJ446" s="59" t="s">
        <v>747</v>
      </c>
      <c r="AK446" s="59" t="s">
        <v>748</v>
      </c>
      <c r="AL446" s="64" t="str">
        <f>IFERROR(INDEX(LK_BankMaster!$D$4:$D$23,MATCH(AJ446&amp;"|"&amp;AK446,LK_BankMaster!$H$4:$H$23,0)),"")</f>
        <v/>
      </c>
      <c r="AM446" s="59" t="s">
        <v>4702</v>
      </c>
      <c r="AN446" s="64" t="str">
        <f>IFERROR(VLOOKUP(AJ446,LK_BankMaster!$A$4:$E$23,5,FALSE()),"")</f>
        <v/>
      </c>
      <c r="AO446" s="59" t="s">
        <v>291</v>
      </c>
      <c r="AP446" s="66">
        <v>0</v>
      </c>
      <c r="AQ446" s="64" t="str">
        <f t="shared" si="27"/>
        <v>Position Allowance - Division Chief</v>
      </c>
      <c r="AR446" s="65" t="str">
        <f>IFERROR(VLOOKUP(T446,LK_OrgMaster!$B$4:$G$89,6,FALSE()),"No")</f>
        <v>No</v>
      </c>
      <c r="AS446" s="64" t="str">
        <f>IFERROR(VLOOKUP(T446,LK_OrgMaster!$B$4:$H$89,7,FALSE()),"None")</f>
        <v>None</v>
      </c>
      <c r="AT446" s="67">
        <v>32544</v>
      </c>
      <c r="AU446" s="67"/>
      <c r="AV446" s="67">
        <v>32544</v>
      </c>
      <c r="AW446" s="67">
        <v>46023</v>
      </c>
      <c r="AX446" s="68" t="s">
        <v>750</v>
      </c>
      <c r="AY446" s="69" t="s">
        <v>6260</v>
      </c>
    </row>
    <row r="447" spans="1:51" ht="15" customHeight="1" x14ac:dyDescent="0.3">
      <c r="A447" s="59" t="s">
        <v>4703</v>
      </c>
      <c r="B447" s="59" t="s">
        <v>752</v>
      </c>
      <c r="C447" s="59" t="s">
        <v>2542</v>
      </c>
      <c r="D447" s="59" t="s">
        <v>1604</v>
      </c>
      <c r="E447" s="59" t="s">
        <v>732</v>
      </c>
      <c r="F447" s="60">
        <v>25426</v>
      </c>
      <c r="G447" s="59" t="s">
        <v>4704</v>
      </c>
      <c r="H447" s="59" t="s">
        <v>4705</v>
      </c>
      <c r="I447" s="60">
        <v>35633</v>
      </c>
      <c r="J447" s="61">
        <f t="shared" ca="1" si="24"/>
        <v>28</v>
      </c>
      <c r="K447" s="62">
        <f t="shared" si="25"/>
        <v>47341</v>
      </c>
      <c r="L447" s="59" t="s">
        <v>735</v>
      </c>
      <c r="M447" s="59" t="s">
        <v>1201</v>
      </c>
      <c r="N447" s="59" t="s">
        <v>779</v>
      </c>
      <c r="O447" s="63">
        <v>9</v>
      </c>
      <c r="P447" s="61">
        <f>IFERROR(SUMPRODUCT((LK_GradeDerivation!$A$4:$A$135=N447)*(IF(O447="",0,O447)&gt;=LK_GradeDerivation!$B$4:$B$135)*(IF(O447="",0,O447)&lt;=LK_GradeDerivation!$C$4:$C$135)*LK_GradeDerivation!$D$4:$D$135),1)</f>
        <v>2</v>
      </c>
      <c r="Q447" s="61">
        <f>IFERROR(SUMPRODUCT((LK_GradeDerivation!$A$4:$A$135=N447)*(IF(O447="",0,O447)&gt;=LK_GradeDerivation!$B$4:$B$135)*(IF(O447="",0,O447)&lt;=LK_GradeDerivation!$C$4:$C$135)*LK_GradeDerivation!$E$4:$E$135),1)</f>
        <v>5</v>
      </c>
      <c r="R447" s="59" t="s">
        <v>4706</v>
      </c>
      <c r="S447" s="59" t="s">
        <v>4707</v>
      </c>
      <c r="T447" s="59" t="s">
        <v>1305</v>
      </c>
      <c r="U447" s="59" t="s">
        <v>897</v>
      </c>
      <c r="V447" s="59" t="s">
        <v>898</v>
      </c>
      <c r="W447" s="59" t="s">
        <v>285</v>
      </c>
      <c r="X447" s="59" t="s">
        <v>340</v>
      </c>
      <c r="Y447" s="59" t="s">
        <v>344</v>
      </c>
      <c r="Z447" s="64" t="str">
        <f>IFERROR(VLOOKUP(T447,LK_OrgMaster!$B$4:$H$89,5,FALSE()),"Administration")</f>
        <v>Administration</v>
      </c>
      <c r="AA447" s="65" t="str">
        <f>IFERROR(VLOOKUP(X447,LK_LocationMaster!$D$4:$G$157,4,FALSE()),"No")</f>
        <v>No</v>
      </c>
      <c r="AB447" s="65" t="str">
        <f t="shared" si="26"/>
        <v>No</v>
      </c>
      <c r="AC447" s="65" t="str">
        <f>IFERROR(VLOOKUP(X447,LK_LocationMaster!$D$4:$H$157,5,FALSE()),"No")</f>
        <v>No</v>
      </c>
      <c r="AD447" s="59" t="s">
        <v>4708</v>
      </c>
      <c r="AE447" s="59" t="s">
        <v>886</v>
      </c>
      <c r="AF447" s="59" t="s">
        <v>766</v>
      </c>
      <c r="AG447" s="59" t="s">
        <v>356</v>
      </c>
      <c r="AH447" s="59" t="s">
        <v>3342</v>
      </c>
      <c r="AI447" s="59" t="s">
        <v>285</v>
      </c>
      <c r="AJ447" s="59" t="s">
        <v>747</v>
      </c>
      <c r="AK447" s="59" t="s">
        <v>748</v>
      </c>
      <c r="AL447" s="64" t="str">
        <f>IFERROR(INDEX(LK_BankMaster!$D$4:$D$23,MATCH(AJ447&amp;"|"&amp;AK447,LK_BankMaster!$H$4:$H$23,0)),"")</f>
        <v/>
      </c>
      <c r="AM447" s="59" t="s">
        <v>4709</v>
      </c>
      <c r="AN447" s="64" t="str">
        <f>IFERROR(VLOOKUP(AJ447,LK_BankMaster!$A$4:$E$23,5,FALSE()),"")</f>
        <v/>
      </c>
      <c r="AO447" s="59" t="s">
        <v>291</v>
      </c>
      <c r="AP447" s="66">
        <v>0</v>
      </c>
      <c r="AQ447" s="64" t="str">
        <f t="shared" si="27"/>
        <v>Position Allowance - General Staff</v>
      </c>
      <c r="AR447" s="65" t="str">
        <f>IFERROR(VLOOKUP(T447,LK_OrgMaster!$B$4:$G$89,6,FALSE()),"No")</f>
        <v>No</v>
      </c>
      <c r="AS447" s="64" t="str">
        <f>IFERROR(VLOOKUP(T447,LK_OrgMaster!$B$4:$H$89,7,FALSE()),"None")</f>
        <v>None</v>
      </c>
      <c r="AT447" s="70">
        <v>35633</v>
      </c>
      <c r="AU447" s="70"/>
      <c r="AV447" s="70">
        <v>35633</v>
      </c>
      <c r="AW447" s="70">
        <v>46023</v>
      </c>
      <c r="AX447" s="71" t="s">
        <v>750</v>
      </c>
      <c r="AY447" s="72" t="s">
        <v>6260</v>
      </c>
    </row>
    <row r="448" spans="1:51" ht="15" customHeight="1" x14ac:dyDescent="0.3">
      <c r="A448" s="59" t="s">
        <v>4710</v>
      </c>
      <c r="B448" s="59" t="s">
        <v>729</v>
      </c>
      <c r="C448" s="59" t="s">
        <v>1859</v>
      </c>
      <c r="D448" s="59" t="s">
        <v>587</v>
      </c>
      <c r="E448" s="59" t="s">
        <v>732</v>
      </c>
      <c r="F448" s="60">
        <v>25825</v>
      </c>
      <c r="G448" s="59" t="s">
        <v>4711</v>
      </c>
      <c r="H448" s="59" t="s">
        <v>4712</v>
      </c>
      <c r="I448" s="60">
        <v>40121</v>
      </c>
      <c r="J448" s="61">
        <f t="shared" ca="1" si="24"/>
        <v>16</v>
      </c>
      <c r="K448" s="62">
        <f t="shared" si="25"/>
        <v>47740</v>
      </c>
      <c r="L448" s="59" t="s">
        <v>735</v>
      </c>
      <c r="M448" s="59" t="s">
        <v>1483</v>
      </c>
      <c r="N448" s="59" t="s">
        <v>1081</v>
      </c>
      <c r="O448" s="63">
        <v>19</v>
      </c>
      <c r="P448" s="61">
        <f>IFERROR(SUMPRODUCT((LK_GradeDerivation!$A$4:$A$135=N448)*(IF(O448="",0,O448)&gt;=LK_GradeDerivation!$B$4:$B$135)*(IF(O448="",0,O448)&lt;=LK_GradeDerivation!$C$4:$C$135)*LK_GradeDerivation!$D$4:$D$135),1)</f>
        <v>3</v>
      </c>
      <c r="Q448" s="61">
        <f>IFERROR(SUMPRODUCT((LK_GradeDerivation!$A$4:$A$135=N448)*(IF(O448="",0,O448)&gt;=LK_GradeDerivation!$B$4:$B$135)*(IF(O448="",0,O448)&lt;=LK_GradeDerivation!$C$4:$C$135)*LK_GradeDerivation!$E$4:$E$135),1)</f>
        <v>10</v>
      </c>
      <c r="R448" s="59" t="s">
        <v>4713</v>
      </c>
      <c r="S448" s="59" t="s">
        <v>4714</v>
      </c>
      <c r="T448" s="59" t="s">
        <v>1035</v>
      </c>
      <c r="U448" s="59" t="s">
        <v>1229</v>
      </c>
      <c r="V448" s="59" t="s">
        <v>2029</v>
      </c>
      <c r="W448" s="59" t="s">
        <v>285</v>
      </c>
      <c r="X448" s="59" t="s">
        <v>368</v>
      </c>
      <c r="Y448" s="59" t="s">
        <v>368</v>
      </c>
      <c r="Z448" s="64" t="str">
        <f>IFERROR(VLOOKUP(T448,LK_OrgMaster!$B$4:$H$89,5,FALSE()),"Administration")</f>
        <v>Administration</v>
      </c>
      <c r="AA448" s="65" t="str">
        <f>IFERROR(VLOOKUP(X448,LK_LocationMaster!$D$4:$G$157,4,FALSE()),"No")</f>
        <v>No</v>
      </c>
      <c r="AB448" s="65" t="str">
        <f t="shared" si="26"/>
        <v>No</v>
      </c>
      <c r="AC448" s="65" t="str">
        <f>IFERROR(VLOOKUP(X448,LK_LocationMaster!$D$4:$H$157,5,FALSE()),"No")</f>
        <v>No</v>
      </c>
      <c r="AD448" s="59" t="s">
        <v>4715</v>
      </c>
      <c r="AE448" s="59" t="s">
        <v>765</v>
      </c>
      <c r="AF448" s="59" t="s">
        <v>984</v>
      </c>
      <c r="AG448" s="59" t="s">
        <v>340</v>
      </c>
      <c r="AH448" s="59" t="s">
        <v>4716</v>
      </c>
      <c r="AI448" s="59" t="s">
        <v>285</v>
      </c>
      <c r="AJ448" s="59" t="s">
        <v>768</v>
      </c>
      <c r="AK448" s="59" t="s">
        <v>803</v>
      </c>
      <c r="AL448" s="64" t="str">
        <f>IFERROR(INDEX(LK_BankMaster!$D$4:$D$23,MATCH(AJ448&amp;"|"&amp;AK448,LK_BankMaster!$H$4:$H$23,0)),"")</f>
        <v/>
      </c>
      <c r="AM448" s="59" t="s">
        <v>4717</v>
      </c>
      <c r="AN448" s="64" t="str">
        <f>IFERROR(VLOOKUP(AJ448,LK_BankMaster!$A$4:$E$23,5,FALSE()),"")</f>
        <v/>
      </c>
      <c r="AO448" s="59" t="s">
        <v>291</v>
      </c>
      <c r="AP448" s="66">
        <v>0</v>
      </c>
      <c r="AQ448" s="64" t="str">
        <f t="shared" si="27"/>
        <v>Position Allowance - General Staff</v>
      </c>
      <c r="AR448" s="65" t="str">
        <f>IFERROR(VLOOKUP(T448,LK_OrgMaster!$B$4:$G$89,6,FALSE()),"No")</f>
        <v>No</v>
      </c>
      <c r="AS448" s="64" t="str">
        <f>IFERROR(VLOOKUP(T448,LK_OrgMaster!$B$4:$H$89,7,FALSE()),"None")</f>
        <v>None</v>
      </c>
      <c r="AT448" s="67">
        <v>40121</v>
      </c>
      <c r="AU448" s="67"/>
      <c r="AV448" s="67">
        <v>40121</v>
      </c>
      <c r="AW448" s="67">
        <v>46023</v>
      </c>
      <c r="AX448" s="68" t="s">
        <v>750</v>
      </c>
      <c r="AY448" s="69" t="s">
        <v>6260</v>
      </c>
    </row>
    <row r="449" spans="1:51" ht="15" customHeight="1" x14ac:dyDescent="0.3">
      <c r="A449" s="59" t="s">
        <v>4718</v>
      </c>
      <c r="B449" s="59" t="s">
        <v>772</v>
      </c>
      <c r="C449" s="59" t="s">
        <v>1511</v>
      </c>
      <c r="D449" s="59" t="s">
        <v>1430</v>
      </c>
      <c r="E449" s="59" t="s">
        <v>775</v>
      </c>
      <c r="F449" s="60">
        <v>28772</v>
      </c>
      <c r="G449" s="59" t="s">
        <v>4719</v>
      </c>
      <c r="H449" s="59" t="s">
        <v>4720</v>
      </c>
      <c r="I449" s="60">
        <v>40057</v>
      </c>
      <c r="J449" s="61">
        <f t="shared" ca="1" si="24"/>
        <v>16</v>
      </c>
      <c r="K449" s="62">
        <f t="shared" si="25"/>
        <v>50687</v>
      </c>
      <c r="L449" s="59" t="s">
        <v>735</v>
      </c>
      <c r="M449" s="59" t="s">
        <v>1020</v>
      </c>
      <c r="N449" s="59" t="s">
        <v>737</v>
      </c>
      <c r="O449" s="63">
        <v>8</v>
      </c>
      <c r="P449" s="61">
        <f>IFERROR(SUMPRODUCT((LK_GradeDerivation!$A$4:$A$135=N449)*(IF(O449="",0,O449)&gt;=LK_GradeDerivation!$B$4:$B$135)*(IF(O449="",0,O449)&lt;=LK_GradeDerivation!$C$4:$C$135)*LK_GradeDerivation!$D$4:$D$135),1)</f>
        <v>4</v>
      </c>
      <c r="Q449" s="61">
        <f>IFERROR(SUMPRODUCT((LK_GradeDerivation!$A$4:$A$135=N449)*(IF(O449="",0,O449)&gt;=LK_GradeDerivation!$B$4:$B$135)*(IF(O449="",0,O449)&lt;=LK_GradeDerivation!$C$4:$C$135)*LK_GradeDerivation!$E$4:$E$135),1)</f>
        <v>5</v>
      </c>
      <c r="R449" s="59" t="s">
        <v>4721</v>
      </c>
      <c r="S449" s="59" t="s">
        <v>4722</v>
      </c>
      <c r="T449" s="59" t="s">
        <v>1305</v>
      </c>
      <c r="U449" s="59" t="s">
        <v>1558</v>
      </c>
      <c r="V449" s="59" t="s">
        <v>1559</v>
      </c>
      <c r="W449" s="59" t="s">
        <v>285</v>
      </c>
      <c r="X449" s="59" t="s">
        <v>408</v>
      </c>
      <c r="Y449" s="59" t="s">
        <v>423</v>
      </c>
      <c r="Z449" s="64" t="str">
        <f>IFERROR(VLOOKUP(T449,LK_OrgMaster!$B$4:$H$89,5,FALSE()),"Administration")</f>
        <v>Administration</v>
      </c>
      <c r="AA449" s="65" t="str">
        <f>IFERROR(VLOOKUP(X449,LK_LocationMaster!$D$4:$G$157,4,FALSE()),"No")</f>
        <v>Yes</v>
      </c>
      <c r="AB449" s="65" t="str">
        <f t="shared" si="26"/>
        <v>No</v>
      </c>
      <c r="AC449" s="65" t="str">
        <f>IFERROR(VLOOKUP(X449,LK_LocationMaster!$D$4:$H$157,5,FALSE()),"No")</f>
        <v>No</v>
      </c>
      <c r="AD449" s="59" t="s">
        <v>4723</v>
      </c>
      <c r="AE449" s="59" t="s">
        <v>930</v>
      </c>
      <c r="AF449" s="59" t="s">
        <v>801</v>
      </c>
      <c r="AG449" s="59" t="s">
        <v>288</v>
      </c>
      <c r="AH449" s="59" t="s">
        <v>4724</v>
      </c>
      <c r="AI449" s="59" t="s">
        <v>285</v>
      </c>
      <c r="AJ449" s="59" t="s">
        <v>818</v>
      </c>
      <c r="AK449" s="59" t="s">
        <v>819</v>
      </c>
      <c r="AL449" s="64" t="str">
        <f>IFERROR(INDEX(LK_BankMaster!$D$4:$D$23,MATCH(AJ449&amp;"|"&amp;AK449,LK_BankMaster!$H$4:$H$23,0)),"")</f>
        <v/>
      </c>
      <c r="AM449" s="59" t="s">
        <v>4725</v>
      </c>
      <c r="AN449" s="64" t="str">
        <f>IFERROR(VLOOKUP(AJ449,LK_BankMaster!$A$4:$E$23,5,FALSE()),"")</f>
        <v/>
      </c>
      <c r="AO449" s="59" t="s">
        <v>291</v>
      </c>
      <c r="AP449" s="66">
        <v>0</v>
      </c>
      <c r="AQ449" s="64" t="str">
        <f t="shared" si="27"/>
        <v>Position Allowance - Section Chief</v>
      </c>
      <c r="AR449" s="65" t="str">
        <f>IFERROR(VLOOKUP(T449,LK_OrgMaster!$B$4:$G$89,6,FALSE()),"No")</f>
        <v>No</v>
      </c>
      <c r="AS449" s="64" t="str">
        <f>IFERROR(VLOOKUP(T449,LK_OrgMaster!$B$4:$H$89,7,FALSE()),"None")</f>
        <v>None</v>
      </c>
      <c r="AT449" s="70">
        <v>40057</v>
      </c>
      <c r="AU449" s="70"/>
      <c r="AV449" s="70">
        <v>40057</v>
      </c>
      <c r="AW449" s="70">
        <v>46023</v>
      </c>
      <c r="AX449" s="71" t="s">
        <v>750</v>
      </c>
      <c r="AY449" s="72" t="s">
        <v>6260</v>
      </c>
    </row>
    <row r="450" spans="1:51" ht="15" customHeight="1" x14ac:dyDescent="0.3">
      <c r="A450" s="59" t="s">
        <v>4726</v>
      </c>
      <c r="B450" s="59" t="s">
        <v>772</v>
      </c>
      <c r="C450" s="59" t="s">
        <v>2408</v>
      </c>
      <c r="D450" s="59" t="s">
        <v>838</v>
      </c>
      <c r="E450" s="59" t="s">
        <v>732</v>
      </c>
      <c r="F450" s="60">
        <v>28572</v>
      </c>
      <c r="G450" s="59" t="s">
        <v>4727</v>
      </c>
      <c r="H450" s="59" t="s">
        <v>4728</v>
      </c>
      <c r="I450" s="60">
        <v>45588</v>
      </c>
      <c r="J450" s="61">
        <f t="shared" ca="1" si="24"/>
        <v>1</v>
      </c>
      <c r="K450" s="62">
        <f t="shared" si="25"/>
        <v>50487</v>
      </c>
      <c r="L450" s="59" t="s">
        <v>735</v>
      </c>
      <c r="M450" s="59" t="s">
        <v>778</v>
      </c>
      <c r="N450" s="59" t="s">
        <v>779</v>
      </c>
      <c r="O450" s="63">
        <v>25</v>
      </c>
      <c r="P450" s="61">
        <f>IFERROR(SUMPRODUCT((LK_GradeDerivation!$A$4:$A$135=N450)*(IF(O450="",0,O450)&gt;=LK_GradeDerivation!$B$4:$B$135)*(IF(O450="",0,O450)&lt;=LK_GradeDerivation!$C$4:$C$135)*LK_GradeDerivation!$D$4:$D$135),1)</f>
        <v>2</v>
      </c>
      <c r="Q450" s="61">
        <f>IFERROR(SUMPRODUCT((LK_GradeDerivation!$A$4:$A$135=N450)*(IF(O450="",0,O450)&gt;=LK_GradeDerivation!$B$4:$B$135)*(IF(O450="",0,O450)&lt;=LK_GradeDerivation!$C$4:$C$135)*LK_GradeDerivation!$E$4:$E$135),1)</f>
        <v>13</v>
      </c>
      <c r="R450" s="59" t="s">
        <v>4729</v>
      </c>
      <c r="S450" s="59" t="s">
        <v>4730</v>
      </c>
      <c r="T450" s="59" t="s">
        <v>782</v>
      </c>
      <c r="U450" s="59" t="s">
        <v>1772</v>
      </c>
      <c r="V450" s="59" t="s">
        <v>2537</v>
      </c>
      <c r="W450" s="59" t="s">
        <v>285</v>
      </c>
      <c r="X450" s="59" t="s">
        <v>356</v>
      </c>
      <c r="Y450" s="59" t="s">
        <v>358</v>
      </c>
      <c r="Z450" s="64" t="str">
        <f>IFERROR(VLOOKUP(T450,LK_OrgMaster!$B$4:$H$89,5,FALSE()),"Administration")</f>
        <v>Medical</v>
      </c>
      <c r="AA450" s="65" t="str">
        <f>IFERROR(VLOOKUP(X450,LK_LocationMaster!$D$4:$G$157,4,FALSE()),"No")</f>
        <v>Yes</v>
      </c>
      <c r="AB450" s="65" t="str">
        <f t="shared" si="26"/>
        <v>No</v>
      </c>
      <c r="AC450" s="65" t="str">
        <f>IFERROR(VLOOKUP(X450,LK_LocationMaster!$D$4:$H$157,5,FALSE()),"No")</f>
        <v>No</v>
      </c>
      <c r="AD450" s="59" t="s">
        <v>4731</v>
      </c>
      <c r="AE450" s="59" t="s">
        <v>3554</v>
      </c>
      <c r="AF450" s="59" t="s">
        <v>984</v>
      </c>
      <c r="AG450" s="59" t="s">
        <v>356</v>
      </c>
      <c r="AH450" s="59" t="s">
        <v>4732</v>
      </c>
      <c r="AI450" s="59" t="s">
        <v>285</v>
      </c>
      <c r="AJ450" s="59" t="s">
        <v>818</v>
      </c>
      <c r="AK450" s="59" t="s">
        <v>819</v>
      </c>
      <c r="AL450" s="64" t="str">
        <f>IFERROR(INDEX(LK_BankMaster!$D$4:$D$23,MATCH(AJ450&amp;"|"&amp;AK450,LK_BankMaster!$H$4:$H$23,0)),"")</f>
        <v/>
      </c>
      <c r="AM450" s="59" t="s">
        <v>4733</v>
      </c>
      <c r="AN450" s="64" t="str">
        <f>IFERROR(VLOOKUP(AJ450,LK_BankMaster!$A$4:$E$23,5,FALSE()),"")</f>
        <v/>
      </c>
      <c r="AO450" s="59" t="s">
        <v>314</v>
      </c>
      <c r="AP450" s="66">
        <v>0</v>
      </c>
      <c r="AQ450" s="64" t="str">
        <f t="shared" si="27"/>
        <v>Position Allowance - General Staff</v>
      </c>
      <c r="AR450" s="65" t="str">
        <f>IFERROR(VLOOKUP(T450,LK_OrgMaster!$B$4:$G$89,6,FALSE()),"No")</f>
        <v>No</v>
      </c>
      <c r="AS450" s="64" t="str">
        <f>IFERROR(VLOOKUP(T450,LK_OrgMaster!$B$4:$H$89,7,FALSE()),"None")</f>
        <v>Medical</v>
      </c>
      <c r="AT450" s="67">
        <v>45588</v>
      </c>
      <c r="AU450" s="67"/>
      <c r="AV450" s="67">
        <v>45588</v>
      </c>
      <c r="AW450" s="67">
        <v>46023</v>
      </c>
      <c r="AX450" s="68" t="s">
        <v>750</v>
      </c>
      <c r="AY450" s="69" t="s">
        <v>6260</v>
      </c>
    </row>
    <row r="451" spans="1:51" ht="15" customHeight="1" x14ac:dyDescent="0.3">
      <c r="A451" s="59" t="s">
        <v>4734</v>
      </c>
      <c r="B451" s="59" t="s">
        <v>772</v>
      </c>
      <c r="C451" s="59" t="s">
        <v>1362</v>
      </c>
      <c r="D451" s="59" t="s">
        <v>823</v>
      </c>
      <c r="E451" s="59" t="s">
        <v>732</v>
      </c>
      <c r="F451" s="60">
        <v>36043</v>
      </c>
      <c r="G451" s="59" t="s">
        <v>4735</v>
      </c>
      <c r="H451" s="59" t="s">
        <v>4736</v>
      </c>
      <c r="I451" s="60">
        <v>44313</v>
      </c>
      <c r="J451" s="61">
        <f t="shared" ca="1" si="24"/>
        <v>4</v>
      </c>
      <c r="K451" s="62">
        <f t="shared" si="25"/>
        <v>57958</v>
      </c>
      <c r="L451" s="59" t="s">
        <v>735</v>
      </c>
      <c r="M451" s="59" t="s">
        <v>1407</v>
      </c>
      <c r="N451" s="59" t="s">
        <v>1081</v>
      </c>
      <c r="O451" s="63">
        <v>2</v>
      </c>
      <c r="P451" s="61">
        <f>IFERROR(SUMPRODUCT((LK_GradeDerivation!$A$4:$A$135=N451)*(IF(O451="",0,O451)&gt;=LK_GradeDerivation!$B$4:$B$135)*(IF(O451="",0,O451)&lt;=LK_GradeDerivation!$C$4:$C$135)*LK_GradeDerivation!$D$4:$D$135),1)</f>
        <v>3</v>
      </c>
      <c r="Q451" s="61">
        <f>IFERROR(SUMPRODUCT((LK_GradeDerivation!$A$4:$A$135=N451)*(IF(O451="",0,O451)&gt;=LK_GradeDerivation!$B$4:$B$135)*(IF(O451="",0,O451)&lt;=LK_GradeDerivation!$C$4:$C$135)*LK_GradeDerivation!$E$4:$E$135),1)</f>
        <v>2</v>
      </c>
      <c r="R451" s="59" t="s">
        <v>4737</v>
      </c>
      <c r="S451" s="59" t="s">
        <v>4738</v>
      </c>
      <c r="T451" s="59" t="s">
        <v>859</v>
      </c>
      <c r="U451" s="59" t="s">
        <v>1009</v>
      </c>
      <c r="V451" s="59" t="s">
        <v>4739</v>
      </c>
      <c r="W451" s="59" t="s">
        <v>285</v>
      </c>
      <c r="X451" s="59" t="s">
        <v>329</v>
      </c>
      <c r="Y451" s="59" t="s">
        <v>332</v>
      </c>
      <c r="Z451" s="64" t="str">
        <f>IFERROR(VLOOKUP(T451,LK_OrgMaster!$B$4:$H$89,5,FALSE()),"Administration")</f>
        <v>Technical</v>
      </c>
      <c r="AA451" s="65" t="str">
        <f>IFERROR(VLOOKUP(X451,LK_LocationMaster!$D$4:$G$157,4,FALSE()),"No")</f>
        <v>Yes</v>
      </c>
      <c r="AB451" s="65" t="str">
        <f t="shared" si="26"/>
        <v>No</v>
      </c>
      <c r="AC451" s="65" t="str">
        <f>IFERROR(VLOOKUP(X451,LK_LocationMaster!$D$4:$H$157,5,FALSE()),"No")</f>
        <v>No</v>
      </c>
      <c r="AD451" s="59" t="s">
        <v>4740</v>
      </c>
      <c r="AE451" s="59" t="s">
        <v>1775</v>
      </c>
      <c r="AF451" s="59" t="s">
        <v>901</v>
      </c>
      <c r="AG451" s="59" t="s">
        <v>288</v>
      </c>
      <c r="AH451" s="59" t="s">
        <v>4741</v>
      </c>
      <c r="AI451" s="59" t="s">
        <v>285</v>
      </c>
      <c r="AJ451" s="59" t="s">
        <v>818</v>
      </c>
      <c r="AK451" s="59" t="s">
        <v>819</v>
      </c>
      <c r="AL451" s="64" t="str">
        <f>IFERROR(INDEX(LK_BankMaster!$D$4:$D$23,MATCH(AJ451&amp;"|"&amp;AK451,LK_BankMaster!$H$4:$H$23,0)),"")</f>
        <v/>
      </c>
      <c r="AM451" s="59" t="s">
        <v>4742</v>
      </c>
      <c r="AN451" s="64" t="str">
        <f>IFERROR(VLOOKUP(AJ451,LK_BankMaster!$A$4:$E$23,5,FALSE()),"")</f>
        <v/>
      </c>
      <c r="AO451" s="59" t="s">
        <v>314</v>
      </c>
      <c r="AP451" s="66">
        <v>3</v>
      </c>
      <c r="AQ451" s="64" t="str">
        <f t="shared" si="27"/>
        <v>Position Allowance - General Staff</v>
      </c>
      <c r="AR451" s="65" t="str">
        <f>IFERROR(VLOOKUP(T451,LK_OrgMaster!$B$4:$G$89,6,FALSE()),"No")</f>
        <v>No</v>
      </c>
      <c r="AS451" s="64" t="str">
        <f>IFERROR(VLOOKUP(T451,LK_OrgMaster!$B$4:$H$89,7,FALSE()),"None")</f>
        <v>None</v>
      </c>
      <c r="AT451" s="70">
        <v>44313</v>
      </c>
      <c r="AU451" s="70"/>
      <c r="AV451" s="70">
        <v>44313</v>
      </c>
      <c r="AW451" s="70">
        <v>46023</v>
      </c>
      <c r="AX451" s="71" t="s">
        <v>750</v>
      </c>
      <c r="AY451" s="72" t="s">
        <v>6260</v>
      </c>
    </row>
    <row r="452" spans="1:51" ht="15" customHeight="1" x14ac:dyDescent="0.3">
      <c r="A452" s="59" t="s">
        <v>4743</v>
      </c>
      <c r="B452" s="59" t="s">
        <v>851</v>
      </c>
      <c r="C452" s="59" t="s">
        <v>1758</v>
      </c>
      <c r="D452" s="59" t="s">
        <v>907</v>
      </c>
      <c r="E452" s="59" t="s">
        <v>775</v>
      </c>
      <c r="F452" s="60">
        <v>33167</v>
      </c>
      <c r="G452" s="59" t="s">
        <v>4744</v>
      </c>
      <c r="H452" s="59" t="s">
        <v>4745</v>
      </c>
      <c r="I452" s="60">
        <v>43901</v>
      </c>
      <c r="J452" s="61">
        <f t="shared" ref="J452:J515" ca="1" si="28">IFERROR(DATEDIF(I452,TODAY(),"Y"),0)</f>
        <v>6</v>
      </c>
      <c r="K452" s="62">
        <f t="shared" ref="K452:K503" si="29">IFERROR(DATE(YEAR(F452)+60,MONTH(F452),DAY(F452)),"")</f>
        <v>55082</v>
      </c>
      <c r="L452" s="59" t="s">
        <v>735</v>
      </c>
      <c r="M452" s="59" t="s">
        <v>1045</v>
      </c>
      <c r="N452" s="59" t="s">
        <v>737</v>
      </c>
      <c r="O452" s="63">
        <v>7</v>
      </c>
      <c r="P452" s="61">
        <f>IFERROR(SUMPRODUCT((LK_GradeDerivation!$A$4:$A$135=N452)*(IF(O452="",0,O452)&gt;=LK_GradeDerivation!$B$4:$B$135)*(IF(O452="",0,O452)&lt;=LK_GradeDerivation!$C$4:$C$135)*LK_GradeDerivation!$D$4:$D$135),1)</f>
        <v>4</v>
      </c>
      <c r="Q452" s="61">
        <f>IFERROR(SUMPRODUCT((LK_GradeDerivation!$A$4:$A$135=N452)*(IF(O452="",0,O452)&gt;=LK_GradeDerivation!$B$4:$B$135)*(IF(O452="",0,O452)&lt;=LK_GradeDerivation!$C$4:$C$135)*LK_GradeDerivation!$E$4:$E$135),1)</f>
        <v>4</v>
      </c>
      <c r="R452" s="59" t="s">
        <v>4746</v>
      </c>
      <c r="S452" s="59" t="s">
        <v>4747</v>
      </c>
      <c r="T452" s="59" t="s">
        <v>952</v>
      </c>
      <c r="U452" s="59" t="s">
        <v>953</v>
      </c>
      <c r="V452" s="59" t="s">
        <v>763</v>
      </c>
      <c r="W452" s="59" t="s">
        <v>285</v>
      </c>
      <c r="X452" s="59" t="s">
        <v>368</v>
      </c>
      <c r="Y452" s="59" t="s">
        <v>368</v>
      </c>
      <c r="Z452" s="64" t="str">
        <f>IFERROR(VLOOKUP(T452,LK_OrgMaster!$B$4:$H$89,5,FALSE()),"Administration")</f>
        <v>Administration</v>
      </c>
      <c r="AA452" s="65" t="str">
        <f>IFERROR(VLOOKUP(X452,LK_LocationMaster!$D$4:$G$157,4,FALSE()),"No")</f>
        <v>No</v>
      </c>
      <c r="AB452" s="65" t="str">
        <f t="shared" ref="AB452:AB503" si="30">IF(W452="Foreign / International","Yes","No")</f>
        <v>No</v>
      </c>
      <c r="AC452" s="65" t="str">
        <f>IFERROR(VLOOKUP(X452,LK_LocationMaster!$D$4:$H$157,5,FALSE()),"No")</f>
        <v>No</v>
      </c>
      <c r="AD452" s="59" t="s">
        <v>1530</v>
      </c>
      <c r="AE452" s="59" t="s">
        <v>765</v>
      </c>
      <c r="AF452" s="59" t="s">
        <v>745</v>
      </c>
      <c r="AG452" s="59" t="s">
        <v>340</v>
      </c>
      <c r="AH452" s="59" t="s">
        <v>4748</v>
      </c>
      <c r="AI452" s="59" t="s">
        <v>285</v>
      </c>
      <c r="AJ452" s="59" t="s">
        <v>833</v>
      </c>
      <c r="AK452" s="59" t="s">
        <v>834</v>
      </c>
      <c r="AL452" s="64" t="str">
        <f>IFERROR(INDEX(LK_BankMaster!$D$4:$D$23,MATCH(AJ452&amp;"|"&amp;AK452,LK_BankMaster!$H$4:$H$23,0)),"")</f>
        <v/>
      </c>
      <c r="AM452" s="59" t="s">
        <v>4749</v>
      </c>
      <c r="AN452" s="64" t="str">
        <f>IFERROR(VLOOKUP(AJ452,LK_BankMaster!$A$4:$E$23,5,FALSE()),"")</f>
        <v/>
      </c>
      <c r="AO452" s="59" t="s">
        <v>314</v>
      </c>
      <c r="AP452" s="66">
        <v>1</v>
      </c>
      <c r="AQ452" s="64" t="str">
        <f t="shared" ref="AQ452:AQ503" si="31">IF(ISNUMBER(SEARCH("Deputy Minister",M452)),"Position Allowance - Deputy Minister",IF(AND(ISNUMBER(SEARCH("Minister",M452)),NOT(ISNUMBER(SEARCH("Deputy",M452)))),"Position Allowance - Minister",IF(ISNUMBER(SEARCH("Deputy Director",M452)),"Position Allowance - Deputy Director",IF(AND(ISNUMBER(SEARCH("Director",M452)),NOT(ISNUMBER(SEARCH("Deputy",M452)))),"Position Allowance - Director",IF(ISNUMBER(SEARCH("Division Chief",M452)),"Position Allowance - Division Chief",IF(ISNUMBER(SEARCH("Section Chief",M452)),"Position Allowance - Section Chief","Position Allowance - General Staff"))))))</f>
        <v>Position Allowance - General Staff</v>
      </c>
      <c r="AR452" s="65" t="str">
        <f>IFERROR(VLOOKUP(T452,LK_OrgMaster!$B$4:$G$89,6,FALSE()),"No")</f>
        <v>No</v>
      </c>
      <c r="AS452" s="64" t="str">
        <f>IFERROR(VLOOKUP(T452,LK_OrgMaster!$B$4:$H$89,7,FALSE()),"None")</f>
        <v>None</v>
      </c>
      <c r="AT452" s="67">
        <v>43901</v>
      </c>
      <c r="AU452" s="67"/>
      <c r="AV452" s="67">
        <v>43901</v>
      </c>
      <c r="AW452" s="67">
        <v>46023</v>
      </c>
      <c r="AX452" s="68" t="s">
        <v>750</v>
      </c>
      <c r="AY452" s="69" t="s">
        <v>6260</v>
      </c>
    </row>
    <row r="453" spans="1:51" ht="15" customHeight="1" x14ac:dyDescent="0.3">
      <c r="A453" s="59" t="s">
        <v>4750</v>
      </c>
      <c r="B453" s="59" t="s">
        <v>772</v>
      </c>
      <c r="C453" s="59" t="s">
        <v>1840</v>
      </c>
      <c r="D453" s="59" t="s">
        <v>754</v>
      </c>
      <c r="E453" s="59" t="s">
        <v>775</v>
      </c>
      <c r="F453" s="60">
        <v>32637</v>
      </c>
      <c r="G453" s="59" t="s">
        <v>4751</v>
      </c>
      <c r="H453" s="59" t="s">
        <v>4752</v>
      </c>
      <c r="I453" s="60">
        <v>39544</v>
      </c>
      <c r="J453" s="61">
        <f t="shared" ca="1" si="28"/>
        <v>17</v>
      </c>
      <c r="K453" s="62">
        <f t="shared" si="29"/>
        <v>54552</v>
      </c>
      <c r="L453" s="59" t="s">
        <v>735</v>
      </c>
      <c r="M453" s="59" t="s">
        <v>757</v>
      </c>
      <c r="N453" s="59" t="s">
        <v>737</v>
      </c>
      <c r="O453" s="63">
        <v>0</v>
      </c>
      <c r="P453" s="61">
        <f>IFERROR(SUMPRODUCT((LK_GradeDerivation!$A$4:$A$135=N453)*(IF(O453="",0,O453)&gt;=LK_GradeDerivation!$B$4:$B$135)*(IF(O453="",0,O453)&lt;=LK_GradeDerivation!$C$4:$C$135)*LK_GradeDerivation!$D$4:$D$135),1)</f>
        <v>4</v>
      </c>
      <c r="Q453" s="61">
        <f>IFERROR(SUMPRODUCT((LK_GradeDerivation!$A$4:$A$135=N453)*(IF(O453="",0,O453)&gt;=LK_GradeDerivation!$B$4:$B$135)*(IF(O453="",0,O453)&lt;=LK_GradeDerivation!$C$4:$C$135)*LK_GradeDerivation!$E$4:$E$135),1)</f>
        <v>1</v>
      </c>
      <c r="R453" s="59" t="s">
        <v>4753</v>
      </c>
      <c r="S453" s="59" t="s">
        <v>4754</v>
      </c>
      <c r="T453" s="59" t="s">
        <v>952</v>
      </c>
      <c r="U453" s="59" t="s">
        <v>2972</v>
      </c>
      <c r="V453" s="59" t="s">
        <v>4755</v>
      </c>
      <c r="W453" s="59" t="s">
        <v>285</v>
      </c>
      <c r="X453" s="59" t="s">
        <v>429</v>
      </c>
      <c r="Y453" s="59" t="s">
        <v>431</v>
      </c>
      <c r="Z453" s="64" t="str">
        <f>IFERROR(VLOOKUP(T453,LK_OrgMaster!$B$4:$H$89,5,FALSE()),"Administration")</f>
        <v>Administration</v>
      </c>
      <c r="AA453" s="65" t="str">
        <f>IFERROR(VLOOKUP(X453,LK_LocationMaster!$D$4:$G$157,4,FALSE()),"No")</f>
        <v>Yes</v>
      </c>
      <c r="AB453" s="65" t="str">
        <f t="shared" si="30"/>
        <v>No</v>
      </c>
      <c r="AC453" s="65" t="str">
        <f>IFERROR(VLOOKUP(X453,LK_LocationMaster!$D$4:$H$157,5,FALSE()),"No")</f>
        <v>Yes</v>
      </c>
      <c r="AD453" s="59" t="s">
        <v>1326</v>
      </c>
      <c r="AE453" s="59" t="s">
        <v>800</v>
      </c>
      <c r="AF453" s="59" t="s">
        <v>786</v>
      </c>
      <c r="AG453" s="59" t="s">
        <v>329</v>
      </c>
      <c r="AH453" s="59" t="s">
        <v>4583</v>
      </c>
      <c r="AI453" s="59" t="s">
        <v>285</v>
      </c>
      <c r="AJ453" s="59" t="s">
        <v>818</v>
      </c>
      <c r="AK453" s="59" t="s">
        <v>944</v>
      </c>
      <c r="AL453" s="64" t="str">
        <f>IFERROR(INDEX(LK_BankMaster!$D$4:$D$23,MATCH(AJ453&amp;"|"&amp;AK453,LK_BankMaster!$H$4:$H$23,0)),"")</f>
        <v/>
      </c>
      <c r="AM453" s="59" t="s">
        <v>4756</v>
      </c>
      <c r="AN453" s="64" t="str">
        <f>IFERROR(VLOOKUP(AJ453,LK_BankMaster!$A$4:$E$23,5,FALSE()),"")</f>
        <v/>
      </c>
      <c r="AO453" s="59" t="s">
        <v>314</v>
      </c>
      <c r="AP453" s="66">
        <v>3</v>
      </c>
      <c r="AQ453" s="64" t="str">
        <f t="shared" si="31"/>
        <v>Position Allowance - General Staff</v>
      </c>
      <c r="AR453" s="65" t="str">
        <f>IFERROR(VLOOKUP(T453,LK_OrgMaster!$B$4:$G$89,6,FALSE()),"No")</f>
        <v>No</v>
      </c>
      <c r="AS453" s="64" t="str">
        <f>IFERROR(VLOOKUP(T453,LK_OrgMaster!$B$4:$H$89,7,FALSE()),"None")</f>
        <v>None</v>
      </c>
      <c r="AT453" s="70">
        <v>39544</v>
      </c>
      <c r="AU453" s="70"/>
      <c r="AV453" s="70">
        <v>39544</v>
      </c>
      <c r="AW453" s="70">
        <v>46023</v>
      </c>
      <c r="AX453" s="71" t="s">
        <v>750</v>
      </c>
      <c r="AY453" s="72" t="s">
        <v>6260</v>
      </c>
    </row>
    <row r="454" spans="1:51" ht="15" customHeight="1" x14ac:dyDescent="0.3">
      <c r="A454" s="59" t="s">
        <v>4757</v>
      </c>
      <c r="B454" s="59" t="s">
        <v>772</v>
      </c>
      <c r="C454" s="59" t="s">
        <v>730</v>
      </c>
      <c r="D454" s="59" t="s">
        <v>838</v>
      </c>
      <c r="E454" s="59" t="s">
        <v>732</v>
      </c>
      <c r="F454" s="60">
        <v>29581</v>
      </c>
      <c r="G454" s="59" t="s">
        <v>4758</v>
      </c>
      <c r="H454" s="59" t="s">
        <v>4759</v>
      </c>
      <c r="I454" s="60">
        <v>34239</v>
      </c>
      <c r="J454" s="61">
        <f t="shared" ca="1" si="28"/>
        <v>32</v>
      </c>
      <c r="K454" s="62">
        <f t="shared" si="29"/>
        <v>51496</v>
      </c>
      <c r="L454" s="59" t="s">
        <v>735</v>
      </c>
      <c r="M454" s="59" t="s">
        <v>910</v>
      </c>
      <c r="N454" s="59" t="s">
        <v>737</v>
      </c>
      <c r="O454" s="63">
        <v>0</v>
      </c>
      <c r="P454" s="61">
        <f>IFERROR(SUMPRODUCT((LK_GradeDerivation!$A$4:$A$135=N454)*(IF(O454="",0,O454)&gt;=LK_GradeDerivation!$B$4:$B$135)*(IF(O454="",0,O454)&lt;=LK_GradeDerivation!$C$4:$C$135)*LK_GradeDerivation!$D$4:$D$135),1)</f>
        <v>4</v>
      </c>
      <c r="Q454" s="61">
        <f>IFERROR(SUMPRODUCT((LK_GradeDerivation!$A$4:$A$135=N454)*(IF(O454="",0,O454)&gt;=LK_GradeDerivation!$B$4:$B$135)*(IF(O454="",0,O454)&lt;=LK_GradeDerivation!$C$4:$C$135)*LK_GradeDerivation!$E$4:$E$135),1)</f>
        <v>1</v>
      </c>
      <c r="R454" s="59" t="s">
        <v>4760</v>
      </c>
      <c r="S454" s="59" t="s">
        <v>4761</v>
      </c>
      <c r="T454" s="59" t="s">
        <v>1305</v>
      </c>
      <c r="U454" s="59" t="s">
        <v>2268</v>
      </c>
      <c r="V454" s="59" t="s">
        <v>2269</v>
      </c>
      <c r="W454" s="59" t="s">
        <v>285</v>
      </c>
      <c r="X454" s="59" t="s">
        <v>575</v>
      </c>
      <c r="Y454" s="59" t="s">
        <v>579</v>
      </c>
      <c r="Z454" s="64" t="str">
        <f>IFERROR(VLOOKUP(T454,LK_OrgMaster!$B$4:$H$89,5,FALSE()),"Administration")</f>
        <v>Administration</v>
      </c>
      <c r="AA454" s="65" t="str">
        <f>IFERROR(VLOOKUP(X454,LK_LocationMaster!$D$4:$G$157,4,FALSE()),"No")</f>
        <v>Yes</v>
      </c>
      <c r="AB454" s="65" t="str">
        <f t="shared" si="30"/>
        <v>No</v>
      </c>
      <c r="AC454" s="65" t="str">
        <f>IFERROR(VLOOKUP(X454,LK_LocationMaster!$D$4:$H$157,5,FALSE()),"No")</f>
        <v>Yes</v>
      </c>
      <c r="AD454" s="59" t="s">
        <v>3449</v>
      </c>
      <c r="AE454" s="59" t="s">
        <v>800</v>
      </c>
      <c r="AF454" s="59" t="s">
        <v>969</v>
      </c>
      <c r="AG454" s="59" t="s">
        <v>329</v>
      </c>
      <c r="AH454" s="59" t="s">
        <v>4762</v>
      </c>
      <c r="AI454" s="59" t="s">
        <v>285</v>
      </c>
      <c r="AJ454" s="59" t="s">
        <v>768</v>
      </c>
      <c r="AK454" s="59" t="s">
        <v>1122</v>
      </c>
      <c r="AL454" s="64" t="str">
        <f>IFERROR(INDEX(LK_BankMaster!$D$4:$D$23,MATCH(AJ454&amp;"|"&amp;AK454,LK_BankMaster!$H$4:$H$23,0)),"")</f>
        <v/>
      </c>
      <c r="AM454" s="59" t="s">
        <v>4763</v>
      </c>
      <c r="AN454" s="64" t="str">
        <f>IFERROR(VLOOKUP(AJ454,LK_BankMaster!$A$4:$E$23,5,FALSE()),"")</f>
        <v/>
      </c>
      <c r="AO454" s="59" t="s">
        <v>314</v>
      </c>
      <c r="AP454" s="66">
        <v>0</v>
      </c>
      <c r="AQ454" s="64" t="str">
        <f t="shared" si="31"/>
        <v>Position Allowance - Division Chief</v>
      </c>
      <c r="AR454" s="65" t="str">
        <f>IFERROR(VLOOKUP(T454,LK_OrgMaster!$B$4:$G$89,6,FALSE()),"No")</f>
        <v>No</v>
      </c>
      <c r="AS454" s="64" t="str">
        <f>IFERROR(VLOOKUP(T454,LK_OrgMaster!$B$4:$H$89,7,FALSE()),"None")</f>
        <v>None</v>
      </c>
      <c r="AT454" s="67">
        <v>34239</v>
      </c>
      <c r="AU454" s="67"/>
      <c r="AV454" s="67">
        <v>34239</v>
      </c>
      <c r="AW454" s="67">
        <v>46023</v>
      </c>
      <c r="AX454" s="68" t="s">
        <v>750</v>
      </c>
      <c r="AY454" s="69" t="s">
        <v>6260</v>
      </c>
    </row>
    <row r="455" spans="1:51" ht="15" customHeight="1" x14ac:dyDescent="0.3">
      <c r="A455" s="59" t="s">
        <v>4764</v>
      </c>
      <c r="B455" s="59" t="s">
        <v>851</v>
      </c>
      <c r="C455" s="59" t="s">
        <v>1383</v>
      </c>
      <c r="D455" s="59" t="s">
        <v>793</v>
      </c>
      <c r="E455" s="59" t="s">
        <v>775</v>
      </c>
      <c r="F455" s="60">
        <v>33410</v>
      </c>
      <c r="G455" s="59" t="s">
        <v>4765</v>
      </c>
      <c r="H455" s="59" t="s">
        <v>4766</v>
      </c>
      <c r="I455" s="60">
        <v>36383</v>
      </c>
      <c r="J455" s="61">
        <f t="shared" ca="1" si="28"/>
        <v>26</v>
      </c>
      <c r="K455" s="62">
        <f t="shared" si="29"/>
        <v>55325</v>
      </c>
      <c r="L455" s="59" t="s">
        <v>735</v>
      </c>
      <c r="M455" s="59" t="s">
        <v>1020</v>
      </c>
      <c r="N455" s="59" t="s">
        <v>737</v>
      </c>
      <c r="O455" s="63">
        <v>0</v>
      </c>
      <c r="P455" s="61">
        <f>IFERROR(SUMPRODUCT((LK_GradeDerivation!$A$4:$A$135=N455)*(IF(O455="",0,O455)&gt;=LK_GradeDerivation!$B$4:$B$135)*(IF(O455="",0,O455)&lt;=LK_GradeDerivation!$C$4:$C$135)*LK_GradeDerivation!$D$4:$D$135),1)</f>
        <v>4</v>
      </c>
      <c r="Q455" s="61">
        <f>IFERROR(SUMPRODUCT((LK_GradeDerivation!$A$4:$A$135=N455)*(IF(O455="",0,O455)&gt;=LK_GradeDerivation!$B$4:$B$135)*(IF(O455="",0,O455)&lt;=LK_GradeDerivation!$C$4:$C$135)*LK_GradeDerivation!$E$4:$E$135),1)</f>
        <v>1</v>
      </c>
      <c r="R455" s="59" t="s">
        <v>4767</v>
      </c>
      <c r="S455" s="59" t="s">
        <v>4768</v>
      </c>
      <c r="T455" s="59" t="s">
        <v>761</v>
      </c>
      <c r="U455" s="59" t="s">
        <v>762</v>
      </c>
      <c r="V455" s="59" t="s">
        <v>763</v>
      </c>
      <c r="W455" s="59" t="s">
        <v>285</v>
      </c>
      <c r="X455" s="59" t="s">
        <v>288</v>
      </c>
      <c r="Y455" s="59" t="s">
        <v>296</v>
      </c>
      <c r="Z455" s="64" t="str">
        <f>IFERROR(VLOOKUP(T455,LK_OrgMaster!$B$4:$H$89,5,FALSE()),"Administration")</f>
        <v>Administration</v>
      </c>
      <c r="AA455" s="65" t="str">
        <f>IFERROR(VLOOKUP(X455,LK_LocationMaster!$D$4:$G$157,4,FALSE()),"No")</f>
        <v>No</v>
      </c>
      <c r="AB455" s="65" t="str">
        <f t="shared" si="30"/>
        <v>No</v>
      </c>
      <c r="AC455" s="65" t="str">
        <f>IFERROR(VLOOKUP(X455,LK_LocationMaster!$D$4:$H$157,5,FALSE()),"No")</f>
        <v>No</v>
      </c>
      <c r="AD455" s="59" t="s">
        <v>1507</v>
      </c>
      <c r="AE455" s="59" t="s">
        <v>800</v>
      </c>
      <c r="AF455" s="59" t="s">
        <v>969</v>
      </c>
      <c r="AG455" s="59" t="s">
        <v>408</v>
      </c>
      <c r="AH455" s="59" t="s">
        <v>4769</v>
      </c>
      <c r="AI455" s="59" t="s">
        <v>285</v>
      </c>
      <c r="AJ455" s="59" t="s">
        <v>833</v>
      </c>
      <c r="AK455" s="59" t="s">
        <v>834</v>
      </c>
      <c r="AL455" s="64" t="str">
        <f>IFERROR(INDEX(LK_BankMaster!$D$4:$D$23,MATCH(AJ455&amp;"|"&amp;AK455,LK_BankMaster!$H$4:$H$23,0)),"")</f>
        <v/>
      </c>
      <c r="AM455" s="59" t="s">
        <v>4770</v>
      </c>
      <c r="AN455" s="64" t="str">
        <f>IFERROR(VLOOKUP(AJ455,LK_BankMaster!$A$4:$E$23,5,FALSE()),"")</f>
        <v/>
      </c>
      <c r="AO455" s="59" t="s">
        <v>314</v>
      </c>
      <c r="AP455" s="66">
        <v>3</v>
      </c>
      <c r="AQ455" s="64" t="str">
        <f t="shared" si="31"/>
        <v>Position Allowance - Section Chief</v>
      </c>
      <c r="AR455" s="65" t="str">
        <f>IFERROR(VLOOKUP(T455,LK_OrgMaster!$B$4:$G$89,6,FALSE()),"No")</f>
        <v>Yes</v>
      </c>
      <c r="AS455" s="64" t="str">
        <f>IFERROR(VLOOKUP(T455,LK_OrgMaster!$B$4:$H$89,7,FALSE()),"None")</f>
        <v>None</v>
      </c>
      <c r="AT455" s="70">
        <v>36383</v>
      </c>
      <c r="AU455" s="70"/>
      <c r="AV455" s="70">
        <v>36383</v>
      </c>
      <c r="AW455" s="70">
        <v>46023</v>
      </c>
      <c r="AX455" s="71" t="s">
        <v>750</v>
      </c>
      <c r="AY455" s="72" t="s">
        <v>6260</v>
      </c>
    </row>
    <row r="456" spans="1:51" ht="15" customHeight="1" x14ac:dyDescent="0.3">
      <c r="A456" s="59" t="s">
        <v>4771</v>
      </c>
      <c r="B456" s="59" t="s">
        <v>772</v>
      </c>
      <c r="C456" s="59" t="s">
        <v>2143</v>
      </c>
      <c r="D456" s="59" t="s">
        <v>2375</v>
      </c>
      <c r="E456" s="59" t="s">
        <v>732</v>
      </c>
      <c r="F456" s="60">
        <v>29343</v>
      </c>
      <c r="G456" s="59" t="s">
        <v>4772</v>
      </c>
      <c r="H456" s="59" t="s">
        <v>4773</v>
      </c>
      <c r="I456" s="60">
        <v>35016</v>
      </c>
      <c r="J456" s="61">
        <f t="shared" ca="1" si="28"/>
        <v>30</v>
      </c>
      <c r="K456" s="62">
        <f t="shared" si="29"/>
        <v>51258</v>
      </c>
      <c r="L456" s="59" t="s">
        <v>735</v>
      </c>
      <c r="M456" s="59" t="s">
        <v>1259</v>
      </c>
      <c r="N456" s="59" t="s">
        <v>737</v>
      </c>
      <c r="O456" s="63">
        <v>0</v>
      </c>
      <c r="P456" s="61">
        <f>IFERROR(SUMPRODUCT((LK_GradeDerivation!$A$4:$A$135=N456)*(IF(O456="",0,O456)&gt;=LK_GradeDerivation!$B$4:$B$135)*(IF(O456="",0,O456)&lt;=LK_GradeDerivation!$C$4:$C$135)*LK_GradeDerivation!$D$4:$D$135),1)</f>
        <v>4</v>
      </c>
      <c r="Q456" s="61">
        <f>IFERROR(SUMPRODUCT((LK_GradeDerivation!$A$4:$A$135=N456)*(IF(O456="",0,O456)&gt;=LK_GradeDerivation!$B$4:$B$135)*(IF(O456="",0,O456)&lt;=LK_GradeDerivation!$C$4:$C$135)*LK_GradeDerivation!$E$4:$E$135),1)</f>
        <v>1</v>
      </c>
      <c r="R456" s="59" t="s">
        <v>4774</v>
      </c>
      <c r="S456" s="59" t="s">
        <v>4775</v>
      </c>
      <c r="T456" s="59" t="s">
        <v>740</v>
      </c>
      <c r="U456" s="59" t="s">
        <v>1166</v>
      </c>
      <c r="V456" s="59" t="s">
        <v>763</v>
      </c>
      <c r="W456" s="59" t="s">
        <v>285</v>
      </c>
      <c r="X456" s="59" t="s">
        <v>408</v>
      </c>
      <c r="Y456" s="59" t="s">
        <v>425</v>
      </c>
      <c r="Z456" s="64" t="str">
        <f>IFERROR(VLOOKUP(T456,LK_OrgMaster!$B$4:$H$89,5,FALSE()),"Administration")</f>
        <v>Teacher</v>
      </c>
      <c r="AA456" s="65" t="str">
        <f>IFERROR(VLOOKUP(X456,LK_LocationMaster!$D$4:$G$157,4,FALSE()),"No")</f>
        <v>Yes</v>
      </c>
      <c r="AB456" s="65" t="str">
        <f t="shared" si="30"/>
        <v>No</v>
      </c>
      <c r="AC456" s="65" t="str">
        <f>IFERROR(VLOOKUP(X456,LK_LocationMaster!$D$4:$H$157,5,FALSE()),"No")</f>
        <v>No</v>
      </c>
      <c r="AD456" s="59" t="s">
        <v>3289</v>
      </c>
      <c r="AE456" s="59" t="s">
        <v>765</v>
      </c>
      <c r="AF456" s="59" t="s">
        <v>745</v>
      </c>
      <c r="AG456" s="59" t="s">
        <v>288</v>
      </c>
      <c r="AH456" s="59" t="s">
        <v>4776</v>
      </c>
      <c r="AI456" s="59" t="s">
        <v>285</v>
      </c>
      <c r="AJ456" s="59" t="s">
        <v>788</v>
      </c>
      <c r="AK456" s="59" t="s">
        <v>1221</v>
      </c>
      <c r="AL456" s="64" t="str">
        <f>IFERROR(INDEX(LK_BankMaster!$D$4:$D$23,MATCH(AJ456&amp;"|"&amp;AK456,LK_BankMaster!$H$4:$H$23,0)),"")</f>
        <v/>
      </c>
      <c r="AM456" s="59" t="s">
        <v>4777</v>
      </c>
      <c r="AN456" s="64" t="str">
        <f>IFERROR(VLOOKUP(AJ456,LK_BankMaster!$A$4:$E$23,5,FALSE()),"")</f>
        <v/>
      </c>
      <c r="AO456" s="59" t="s">
        <v>291</v>
      </c>
      <c r="AP456" s="66">
        <v>0</v>
      </c>
      <c r="AQ456" s="64" t="str">
        <f t="shared" si="31"/>
        <v>Position Allowance - General Staff</v>
      </c>
      <c r="AR456" s="65" t="str">
        <f>IFERROR(VLOOKUP(T456,LK_OrgMaster!$B$4:$G$89,6,FALSE()),"No")</f>
        <v>No</v>
      </c>
      <c r="AS456" s="64" t="str">
        <f>IFERROR(VLOOKUP(T456,LK_OrgMaster!$B$4:$H$89,7,FALSE()),"None")</f>
        <v>Teaching</v>
      </c>
      <c r="AT456" s="67">
        <v>35016</v>
      </c>
      <c r="AU456" s="67"/>
      <c r="AV456" s="67">
        <v>35016</v>
      </c>
      <c r="AW456" s="67">
        <v>46023</v>
      </c>
      <c r="AX456" s="68" t="s">
        <v>750</v>
      </c>
      <c r="AY456" s="69" t="s">
        <v>6260</v>
      </c>
    </row>
    <row r="457" spans="1:51" ht="15" customHeight="1" x14ac:dyDescent="0.3">
      <c r="A457" s="59" t="s">
        <v>4778</v>
      </c>
      <c r="B457" s="59" t="s">
        <v>851</v>
      </c>
      <c r="C457" s="59" t="s">
        <v>2015</v>
      </c>
      <c r="D457" s="59" t="s">
        <v>2444</v>
      </c>
      <c r="E457" s="59" t="s">
        <v>775</v>
      </c>
      <c r="F457" s="60">
        <v>33678</v>
      </c>
      <c r="G457" s="59" t="s">
        <v>4779</v>
      </c>
      <c r="H457" s="59" t="s">
        <v>4780</v>
      </c>
      <c r="I457" s="60">
        <v>37846</v>
      </c>
      <c r="J457" s="61">
        <f t="shared" ca="1" si="28"/>
        <v>22</v>
      </c>
      <c r="K457" s="62">
        <f t="shared" si="29"/>
        <v>55593</v>
      </c>
      <c r="L457" s="59" t="s">
        <v>735</v>
      </c>
      <c r="M457" s="59" t="s">
        <v>778</v>
      </c>
      <c r="N457" s="59" t="s">
        <v>1081</v>
      </c>
      <c r="O457" s="63">
        <v>0</v>
      </c>
      <c r="P457" s="61">
        <f>IFERROR(SUMPRODUCT((LK_GradeDerivation!$A$4:$A$135=N457)*(IF(O457="",0,O457)&gt;=LK_GradeDerivation!$B$4:$B$135)*(IF(O457="",0,O457)&lt;=LK_GradeDerivation!$C$4:$C$135)*LK_GradeDerivation!$D$4:$D$135),1)</f>
        <v>3</v>
      </c>
      <c r="Q457" s="61">
        <f>IFERROR(SUMPRODUCT((LK_GradeDerivation!$A$4:$A$135=N457)*(IF(O457="",0,O457)&gt;=LK_GradeDerivation!$B$4:$B$135)*(IF(O457="",0,O457)&lt;=LK_GradeDerivation!$C$4:$C$135)*LK_GradeDerivation!$E$4:$E$135),1)</f>
        <v>1</v>
      </c>
      <c r="R457" s="59" t="s">
        <v>4781</v>
      </c>
      <c r="S457" s="59" t="s">
        <v>4782</v>
      </c>
      <c r="T457" s="59" t="s">
        <v>782</v>
      </c>
      <c r="U457" s="59" t="s">
        <v>813</v>
      </c>
      <c r="V457" s="59" t="s">
        <v>4783</v>
      </c>
      <c r="W457" s="59" t="s">
        <v>285</v>
      </c>
      <c r="X457" s="59" t="s">
        <v>356</v>
      </c>
      <c r="Y457" s="59" t="s">
        <v>360</v>
      </c>
      <c r="Z457" s="64" t="str">
        <f>IFERROR(VLOOKUP(T457,LK_OrgMaster!$B$4:$H$89,5,FALSE()),"Administration")</f>
        <v>Medical</v>
      </c>
      <c r="AA457" s="65" t="str">
        <f>IFERROR(VLOOKUP(X457,LK_LocationMaster!$D$4:$G$157,4,FALSE()),"No")</f>
        <v>Yes</v>
      </c>
      <c r="AB457" s="65" t="str">
        <f t="shared" si="30"/>
        <v>No</v>
      </c>
      <c r="AC457" s="65" t="str">
        <f>IFERROR(VLOOKUP(X457,LK_LocationMaster!$D$4:$H$157,5,FALSE()),"No")</f>
        <v>No</v>
      </c>
      <c r="AD457" s="59" t="s">
        <v>831</v>
      </c>
      <c r="AE457" s="59" t="s">
        <v>765</v>
      </c>
      <c r="AF457" s="59" t="s">
        <v>766</v>
      </c>
      <c r="AG457" s="59" t="s">
        <v>312</v>
      </c>
      <c r="AH457" s="59" t="s">
        <v>4784</v>
      </c>
      <c r="AI457" s="59" t="s">
        <v>285</v>
      </c>
      <c r="AJ457" s="59" t="s">
        <v>833</v>
      </c>
      <c r="AK457" s="59" t="s">
        <v>834</v>
      </c>
      <c r="AL457" s="64" t="str">
        <f>IFERROR(INDEX(LK_BankMaster!$D$4:$D$23,MATCH(AJ457&amp;"|"&amp;AK457,LK_BankMaster!$H$4:$H$23,0)),"")</f>
        <v/>
      </c>
      <c r="AM457" s="59" t="s">
        <v>4785</v>
      </c>
      <c r="AN457" s="64" t="str">
        <f>IFERROR(VLOOKUP(AJ457,LK_BankMaster!$A$4:$E$23,5,FALSE()),"")</f>
        <v/>
      </c>
      <c r="AO457" s="59" t="s">
        <v>314</v>
      </c>
      <c r="AP457" s="66">
        <v>1</v>
      </c>
      <c r="AQ457" s="64" t="str">
        <f t="shared" si="31"/>
        <v>Position Allowance - General Staff</v>
      </c>
      <c r="AR457" s="65" t="str">
        <f>IFERROR(VLOOKUP(T457,LK_OrgMaster!$B$4:$G$89,6,FALSE()),"No")</f>
        <v>No</v>
      </c>
      <c r="AS457" s="64" t="str">
        <f>IFERROR(VLOOKUP(T457,LK_OrgMaster!$B$4:$H$89,7,FALSE()),"None")</f>
        <v>Medical</v>
      </c>
      <c r="AT457" s="70">
        <v>37846</v>
      </c>
      <c r="AU457" s="70"/>
      <c r="AV457" s="70">
        <v>37846</v>
      </c>
      <c r="AW457" s="70">
        <v>46023</v>
      </c>
      <c r="AX457" s="71" t="s">
        <v>750</v>
      </c>
      <c r="AY457" s="72" t="s">
        <v>6260</v>
      </c>
    </row>
    <row r="458" spans="1:51" ht="15" customHeight="1" x14ac:dyDescent="0.3">
      <c r="A458" s="59" t="s">
        <v>4786</v>
      </c>
      <c r="B458" s="59" t="s">
        <v>772</v>
      </c>
      <c r="C458" s="59" t="s">
        <v>1673</v>
      </c>
      <c r="D458" s="59" t="s">
        <v>1112</v>
      </c>
      <c r="E458" s="59" t="s">
        <v>775</v>
      </c>
      <c r="F458" s="60">
        <v>27968</v>
      </c>
      <c r="G458" s="59" t="s">
        <v>4787</v>
      </c>
      <c r="H458" s="59" t="s">
        <v>4788</v>
      </c>
      <c r="I458" s="60">
        <v>41143</v>
      </c>
      <c r="J458" s="61">
        <f t="shared" ca="1" si="28"/>
        <v>13</v>
      </c>
      <c r="K458" s="62">
        <f t="shared" si="29"/>
        <v>49883</v>
      </c>
      <c r="L458" s="59" t="s">
        <v>735</v>
      </c>
      <c r="M458" s="59" t="s">
        <v>1483</v>
      </c>
      <c r="N458" s="59" t="s">
        <v>737</v>
      </c>
      <c r="O458" s="63">
        <v>14</v>
      </c>
      <c r="P458" s="61">
        <f>IFERROR(SUMPRODUCT((LK_GradeDerivation!$A$4:$A$135=N458)*(IF(O458="",0,O458)&gt;=LK_GradeDerivation!$B$4:$B$135)*(IF(O458="",0,O458)&lt;=LK_GradeDerivation!$C$4:$C$135)*LK_GradeDerivation!$D$4:$D$135),1)</f>
        <v>4</v>
      </c>
      <c r="Q458" s="61">
        <f>IFERROR(SUMPRODUCT((LK_GradeDerivation!$A$4:$A$135=N458)*(IF(O458="",0,O458)&gt;=LK_GradeDerivation!$B$4:$B$135)*(IF(O458="",0,O458)&lt;=LK_GradeDerivation!$C$4:$C$135)*LK_GradeDerivation!$E$4:$E$135),1)</f>
        <v>8</v>
      </c>
      <c r="R458" s="59" t="s">
        <v>4789</v>
      </c>
      <c r="S458" s="59" t="s">
        <v>4790</v>
      </c>
      <c r="T458" s="59" t="s">
        <v>1096</v>
      </c>
      <c r="U458" s="59" t="s">
        <v>1597</v>
      </c>
      <c r="V458" s="59" t="s">
        <v>763</v>
      </c>
      <c r="W458" s="59" t="s">
        <v>285</v>
      </c>
      <c r="X458" s="59" t="s">
        <v>408</v>
      </c>
      <c r="Y458" s="59" t="s">
        <v>411</v>
      </c>
      <c r="Z458" s="64" t="str">
        <f>IFERROR(VLOOKUP(T458,LK_OrgMaster!$B$4:$H$89,5,FALSE()),"Administration")</f>
        <v>Administration</v>
      </c>
      <c r="AA458" s="65" t="str">
        <f>IFERROR(VLOOKUP(X458,LK_LocationMaster!$D$4:$G$157,4,FALSE()),"No")</f>
        <v>Yes</v>
      </c>
      <c r="AB458" s="65" t="str">
        <f t="shared" si="30"/>
        <v>No</v>
      </c>
      <c r="AC458" s="65" t="str">
        <f>IFERROR(VLOOKUP(X458,LK_LocationMaster!$D$4:$H$157,5,FALSE()),"No")</f>
        <v>No</v>
      </c>
      <c r="AD458" s="59" t="s">
        <v>4791</v>
      </c>
      <c r="AE458" s="59" t="s">
        <v>800</v>
      </c>
      <c r="AF458" s="59" t="s">
        <v>969</v>
      </c>
      <c r="AG458" s="59" t="s">
        <v>368</v>
      </c>
      <c r="AH458" s="59" t="s">
        <v>4792</v>
      </c>
      <c r="AI458" s="59" t="s">
        <v>285</v>
      </c>
      <c r="AJ458" s="59" t="s">
        <v>818</v>
      </c>
      <c r="AK458" s="59" t="s">
        <v>819</v>
      </c>
      <c r="AL458" s="64" t="str">
        <f>IFERROR(INDEX(LK_BankMaster!$D$4:$D$23,MATCH(AJ458&amp;"|"&amp;AK458,LK_BankMaster!$H$4:$H$23,0)),"")</f>
        <v/>
      </c>
      <c r="AM458" s="59" t="s">
        <v>4793</v>
      </c>
      <c r="AN458" s="64" t="str">
        <f>IFERROR(VLOOKUP(AJ458,LK_BankMaster!$A$4:$E$23,5,FALSE()),"")</f>
        <v/>
      </c>
      <c r="AO458" s="59" t="s">
        <v>291</v>
      </c>
      <c r="AP458" s="66">
        <v>0</v>
      </c>
      <c r="AQ458" s="64" t="str">
        <f t="shared" si="31"/>
        <v>Position Allowance - General Staff</v>
      </c>
      <c r="AR458" s="65" t="str">
        <f>IFERROR(VLOOKUP(T458,LK_OrgMaster!$B$4:$G$89,6,FALSE()),"No")</f>
        <v>No</v>
      </c>
      <c r="AS458" s="64" t="str">
        <f>IFERROR(VLOOKUP(T458,LK_OrgMaster!$B$4:$H$89,7,FALSE()),"None")</f>
        <v>None</v>
      </c>
      <c r="AT458" s="67">
        <v>41143</v>
      </c>
      <c r="AU458" s="67"/>
      <c r="AV458" s="67">
        <v>41143</v>
      </c>
      <c r="AW458" s="67">
        <v>46023</v>
      </c>
      <c r="AX458" s="68" t="s">
        <v>750</v>
      </c>
      <c r="AY458" s="69" t="s">
        <v>6260</v>
      </c>
    </row>
    <row r="459" spans="1:51" ht="15" customHeight="1" x14ac:dyDescent="0.3">
      <c r="A459" s="59" t="s">
        <v>4794</v>
      </c>
      <c r="B459" s="59" t="s">
        <v>772</v>
      </c>
      <c r="C459" s="59" t="s">
        <v>2042</v>
      </c>
      <c r="D459" s="59" t="s">
        <v>1137</v>
      </c>
      <c r="E459" s="59" t="s">
        <v>732</v>
      </c>
      <c r="F459" s="60">
        <v>31939</v>
      </c>
      <c r="G459" s="59" t="s">
        <v>4795</v>
      </c>
      <c r="H459" s="59" t="s">
        <v>4796</v>
      </c>
      <c r="I459" s="60">
        <v>41741</v>
      </c>
      <c r="J459" s="61">
        <f t="shared" ca="1" si="28"/>
        <v>11</v>
      </c>
      <c r="K459" s="62">
        <f t="shared" si="29"/>
        <v>53854</v>
      </c>
      <c r="L459" s="59" t="s">
        <v>735</v>
      </c>
      <c r="M459" s="59" t="s">
        <v>1069</v>
      </c>
      <c r="N459" s="59" t="s">
        <v>737</v>
      </c>
      <c r="O459" s="63">
        <v>4</v>
      </c>
      <c r="P459" s="61">
        <f>IFERROR(SUMPRODUCT((LK_GradeDerivation!$A$4:$A$135=N459)*(IF(O459="",0,O459)&gt;=LK_GradeDerivation!$B$4:$B$135)*(IF(O459="",0,O459)&lt;=LK_GradeDerivation!$C$4:$C$135)*LK_GradeDerivation!$D$4:$D$135),1)</f>
        <v>4</v>
      </c>
      <c r="Q459" s="61">
        <f>IFERROR(SUMPRODUCT((LK_GradeDerivation!$A$4:$A$135=N459)*(IF(O459="",0,O459)&gt;=LK_GradeDerivation!$B$4:$B$135)*(IF(O459="",0,O459)&lt;=LK_GradeDerivation!$C$4:$C$135)*LK_GradeDerivation!$E$4:$E$135),1)</f>
        <v>3</v>
      </c>
      <c r="R459" s="59" t="s">
        <v>4797</v>
      </c>
      <c r="S459" s="59" t="s">
        <v>4798</v>
      </c>
      <c r="T459" s="59" t="s">
        <v>1305</v>
      </c>
      <c r="U459" s="59" t="s">
        <v>2268</v>
      </c>
      <c r="V459" s="59" t="s">
        <v>4799</v>
      </c>
      <c r="W459" s="59" t="s">
        <v>285</v>
      </c>
      <c r="X459" s="59" t="s">
        <v>288</v>
      </c>
      <c r="Y459" s="59" t="s">
        <v>306</v>
      </c>
      <c r="Z459" s="64" t="str">
        <f>IFERROR(VLOOKUP(T459,LK_OrgMaster!$B$4:$H$89,5,FALSE()),"Administration")</f>
        <v>Administration</v>
      </c>
      <c r="AA459" s="65" t="str">
        <f>IFERROR(VLOOKUP(X459,LK_LocationMaster!$D$4:$G$157,4,FALSE()),"No")</f>
        <v>No</v>
      </c>
      <c r="AB459" s="65" t="str">
        <f t="shared" si="30"/>
        <v>No</v>
      </c>
      <c r="AC459" s="65" t="str">
        <f>IFERROR(VLOOKUP(X459,LK_LocationMaster!$D$4:$H$157,5,FALSE()),"No")</f>
        <v>No</v>
      </c>
      <c r="AD459" s="59" t="s">
        <v>3323</v>
      </c>
      <c r="AE459" s="59" t="s">
        <v>800</v>
      </c>
      <c r="AF459" s="59" t="s">
        <v>786</v>
      </c>
      <c r="AG459" s="59" t="s">
        <v>391</v>
      </c>
      <c r="AH459" s="59" t="s">
        <v>4800</v>
      </c>
      <c r="AI459" s="59" t="s">
        <v>285</v>
      </c>
      <c r="AJ459" s="59" t="s">
        <v>788</v>
      </c>
      <c r="AK459" s="59" t="s">
        <v>999</v>
      </c>
      <c r="AL459" s="64" t="str">
        <f>IFERROR(INDEX(LK_BankMaster!$D$4:$D$23,MATCH(AJ459&amp;"|"&amp;AK459,LK_BankMaster!$H$4:$H$23,0)),"")</f>
        <v/>
      </c>
      <c r="AM459" s="59" t="s">
        <v>4801</v>
      </c>
      <c r="AN459" s="64" t="str">
        <f>IFERROR(VLOOKUP(AJ459,LK_BankMaster!$A$4:$E$23,5,FALSE()),"")</f>
        <v/>
      </c>
      <c r="AO459" s="59" t="s">
        <v>314</v>
      </c>
      <c r="AP459" s="66">
        <v>0</v>
      </c>
      <c r="AQ459" s="64" t="str">
        <f t="shared" si="31"/>
        <v>Position Allowance - General Staff</v>
      </c>
      <c r="AR459" s="65" t="str">
        <f>IFERROR(VLOOKUP(T459,LK_OrgMaster!$B$4:$G$89,6,FALSE()),"No")</f>
        <v>No</v>
      </c>
      <c r="AS459" s="64" t="str">
        <f>IFERROR(VLOOKUP(T459,LK_OrgMaster!$B$4:$H$89,7,FALSE()),"None")</f>
        <v>None</v>
      </c>
      <c r="AT459" s="70">
        <v>41741</v>
      </c>
      <c r="AU459" s="70"/>
      <c r="AV459" s="70">
        <v>41741</v>
      </c>
      <c r="AW459" s="70">
        <v>46023</v>
      </c>
      <c r="AX459" s="71" t="s">
        <v>750</v>
      </c>
      <c r="AY459" s="72" t="s">
        <v>6260</v>
      </c>
    </row>
    <row r="460" spans="1:51" ht="15" customHeight="1" x14ac:dyDescent="0.3">
      <c r="A460" s="59" t="s">
        <v>4802</v>
      </c>
      <c r="B460" s="59" t="s">
        <v>729</v>
      </c>
      <c r="C460" s="59" t="s">
        <v>2517</v>
      </c>
      <c r="D460" s="59" t="s">
        <v>1352</v>
      </c>
      <c r="E460" s="59" t="s">
        <v>732</v>
      </c>
      <c r="F460" s="60">
        <v>27715</v>
      </c>
      <c r="G460" s="59" t="s">
        <v>2518</v>
      </c>
      <c r="H460" s="59" t="s">
        <v>4803</v>
      </c>
      <c r="I460" s="60">
        <v>41711</v>
      </c>
      <c r="J460" s="61">
        <f t="shared" ca="1" si="28"/>
        <v>12</v>
      </c>
      <c r="K460" s="62">
        <f t="shared" si="29"/>
        <v>49630</v>
      </c>
      <c r="L460" s="59" t="s">
        <v>735</v>
      </c>
      <c r="M460" s="59" t="s">
        <v>1201</v>
      </c>
      <c r="N460" s="59" t="s">
        <v>1081</v>
      </c>
      <c r="O460" s="63">
        <v>18</v>
      </c>
      <c r="P460" s="61">
        <f>IFERROR(SUMPRODUCT((LK_GradeDerivation!$A$4:$A$135=N460)*(IF(O460="",0,O460)&gt;=LK_GradeDerivation!$B$4:$B$135)*(IF(O460="",0,O460)&lt;=LK_GradeDerivation!$C$4:$C$135)*LK_GradeDerivation!$D$4:$D$135),1)</f>
        <v>3</v>
      </c>
      <c r="Q460" s="61">
        <f>IFERROR(SUMPRODUCT((LK_GradeDerivation!$A$4:$A$135=N460)*(IF(O460="",0,O460)&gt;=LK_GradeDerivation!$B$4:$B$135)*(IF(O460="",0,O460)&lt;=LK_GradeDerivation!$C$4:$C$135)*LK_GradeDerivation!$E$4:$E$135),1)</f>
        <v>10</v>
      </c>
      <c r="R460" s="59" t="s">
        <v>4804</v>
      </c>
      <c r="S460" s="59" t="s">
        <v>4805</v>
      </c>
      <c r="T460" s="59" t="s">
        <v>952</v>
      </c>
      <c r="U460" s="59" t="s">
        <v>1229</v>
      </c>
      <c r="V460" s="59" t="s">
        <v>2234</v>
      </c>
      <c r="W460" s="59" t="s">
        <v>285</v>
      </c>
      <c r="X460" s="59" t="s">
        <v>544</v>
      </c>
      <c r="Y460" s="59" t="s">
        <v>546</v>
      </c>
      <c r="Z460" s="64" t="str">
        <f>IFERROR(VLOOKUP(T460,LK_OrgMaster!$B$4:$H$89,5,FALSE()),"Administration")</f>
        <v>Administration</v>
      </c>
      <c r="AA460" s="65" t="str">
        <f>IFERROR(VLOOKUP(X460,LK_LocationMaster!$D$4:$G$157,4,FALSE()),"No")</f>
        <v>Yes</v>
      </c>
      <c r="AB460" s="65" t="str">
        <f t="shared" si="30"/>
        <v>No</v>
      </c>
      <c r="AC460" s="65" t="str">
        <f>IFERROR(VLOOKUP(X460,LK_LocationMaster!$D$4:$H$157,5,FALSE()),"No")</f>
        <v>Yes</v>
      </c>
      <c r="AD460" s="59" t="s">
        <v>2286</v>
      </c>
      <c r="AE460" s="59" t="s">
        <v>2722</v>
      </c>
      <c r="AF460" s="59" t="s">
        <v>816</v>
      </c>
      <c r="AG460" s="59" t="s">
        <v>368</v>
      </c>
      <c r="AH460" s="59" t="s">
        <v>4806</v>
      </c>
      <c r="AI460" s="59" t="s">
        <v>285</v>
      </c>
      <c r="AJ460" s="59" t="s">
        <v>768</v>
      </c>
      <c r="AK460" s="59" t="s">
        <v>1589</v>
      </c>
      <c r="AL460" s="64" t="str">
        <f>IFERROR(INDEX(LK_BankMaster!$D$4:$D$23,MATCH(AJ460&amp;"|"&amp;AK460,LK_BankMaster!$H$4:$H$23,0)),"")</f>
        <v/>
      </c>
      <c r="AM460" s="59" t="s">
        <v>4807</v>
      </c>
      <c r="AN460" s="64" t="str">
        <f>IFERROR(VLOOKUP(AJ460,LK_BankMaster!$A$4:$E$23,5,FALSE()),"")</f>
        <v/>
      </c>
      <c r="AO460" s="59" t="s">
        <v>291</v>
      </c>
      <c r="AP460" s="66">
        <v>0</v>
      </c>
      <c r="AQ460" s="64" t="str">
        <f t="shared" si="31"/>
        <v>Position Allowance - General Staff</v>
      </c>
      <c r="AR460" s="65" t="str">
        <f>IFERROR(VLOOKUP(T460,LK_OrgMaster!$B$4:$G$89,6,FALSE()),"No")</f>
        <v>No</v>
      </c>
      <c r="AS460" s="64" t="str">
        <f>IFERROR(VLOOKUP(T460,LK_OrgMaster!$B$4:$H$89,7,FALSE()),"None")</f>
        <v>None</v>
      </c>
      <c r="AT460" s="67">
        <v>41711</v>
      </c>
      <c r="AU460" s="67"/>
      <c r="AV460" s="67">
        <v>41711</v>
      </c>
      <c r="AW460" s="67">
        <v>46023</v>
      </c>
      <c r="AX460" s="68" t="s">
        <v>750</v>
      </c>
      <c r="AY460" s="69" t="s">
        <v>6260</v>
      </c>
    </row>
    <row r="461" spans="1:51" ht="15" customHeight="1" x14ac:dyDescent="0.3">
      <c r="A461" s="59" t="s">
        <v>4808</v>
      </c>
      <c r="B461" s="59" t="s">
        <v>752</v>
      </c>
      <c r="C461" s="59" t="s">
        <v>1713</v>
      </c>
      <c r="D461" s="59" t="s">
        <v>1172</v>
      </c>
      <c r="E461" s="59" t="s">
        <v>732</v>
      </c>
      <c r="F461" s="60">
        <v>31276</v>
      </c>
      <c r="G461" s="59" t="s">
        <v>4809</v>
      </c>
      <c r="H461" s="59" t="s">
        <v>4810</v>
      </c>
      <c r="I461" s="60">
        <v>43399</v>
      </c>
      <c r="J461" s="61">
        <f t="shared" ca="1" si="28"/>
        <v>7</v>
      </c>
      <c r="K461" s="62">
        <f t="shared" si="29"/>
        <v>53191</v>
      </c>
      <c r="L461" s="59" t="s">
        <v>735</v>
      </c>
      <c r="M461" s="59" t="s">
        <v>910</v>
      </c>
      <c r="N461" s="59" t="s">
        <v>758</v>
      </c>
      <c r="O461" s="63">
        <v>8</v>
      </c>
      <c r="P461" s="61">
        <f>IFERROR(SUMPRODUCT((LK_GradeDerivation!$A$4:$A$135=N461)*(IF(O461="",0,O461)&gt;=LK_GradeDerivation!$B$4:$B$135)*(IF(O461="",0,O461)&lt;=LK_GradeDerivation!$C$4:$C$135)*LK_GradeDerivation!$D$4:$D$135),1)</f>
        <v>5</v>
      </c>
      <c r="Q461" s="61">
        <f>IFERROR(SUMPRODUCT((LK_GradeDerivation!$A$4:$A$135=N461)*(IF(O461="",0,O461)&gt;=LK_GradeDerivation!$B$4:$B$135)*(IF(O461="",0,O461)&lt;=LK_GradeDerivation!$C$4:$C$135)*LK_GradeDerivation!$E$4:$E$135),1)</f>
        <v>5</v>
      </c>
      <c r="R461" s="59" t="s">
        <v>4811</v>
      </c>
      <c r="S461" s="59" t="s">
        <v>4812</v>
      </c>
      <c r="T461" s="59" t="s">
        <v>979</v>
      </c>
      <c r="U461" s="59" t="s">
        <v>1166</v>
      </c>
      <c r="V461" s="59" t="s">
        <v>763</v>
      </c>
      <c r="W461" s="59" t="s">
        <v>285</v>
      </c>
      <c r="X461" s="59" t="s">
        <v>554</v>
      </c>
      <c r="Y461" s="59" t="s">
        <v>566</v>
      </c>
      <c r="Z461" s="64" t="str">
        <f>IFERROR(VLOOKUP(T461,LK_OrgMaster!$B$4:$H$89,5,FALSE()),"Administration")</f>
        <v>Administration</v>
      </c>
      <c r="AA461" s="65" t="str">
        <f>IFERROR(VLOOKUP(X461,LK_LocationMaster!$D$4:$G$157,4,FALSE()),"No")</f>
        <v>No</v>
      </c>
      <c r="AB461" s="65" t="str">
        <f t="shared" si="30"/>
        <v>No</v>
      </c>
      <c r="AC461" s="65" t="str">
        <f>IFERROR(VLOOKUP(X461,LK_LocationMaster!$D$4:$H$157,5,FALSE()),"No")</f>
        <v>No</v>
      </c>
      <c r="AD461" s="59" t="s">
        <v>4813</v>
      </c>
      <c r="AE461" s="59" t="s">
        <v>930</v>
      </c>
      <c r="AF461" s="59" t="s">
        <v>786</v>
      </c>
      <c r="AG461" s="59" t="s">
        <v>391</v>
      </c>
      <c r="AH461" s="59" t="s">
        <v>4814</v>
      </c>
      <c r="AI461" s="59" t="s">
        <v>285</v>
      </c>
      <c r="AJ461" s="59" t="s">
        <v>747</v>
      </c>
      <c r="AK461" s="59" t="s">
        <v>748</v>
      </c>
      <c r="AL461" s="64" t="str">
        <f>IFERROR(INDEX(LK_BankMaster!$D$4:$D$23,MATCH(AJ461&amp;"|"&amp;AK461,LK_BankMaster!$H$4:$H$23,0)),"")</f>
        <v/>
      </c>
      <c r="AM461" s="59" t="s">
        <v>4815</v>
      </c>
      <c r="AN461" s="64" t="str">
        <f>IFERROR(VLOOKUP(AJ461,LK_BankMaster!$A$4:$E$23,5,FALSE()),"")</f>
        <v/>
      </c>
      <c r="AO461" s="59" t="s">
        <v>291</v>
      </c>
      <c r="AP461" s="66">
        <v>0</v>
      </c>
      <c r="AQ461" s="64" t="str">
        <f t="shared" si="31"/>
        <v>Position Allowance - Division Chief</v>
      </c>
      <c r="AR461" s="65" t="str">
        <f>IFERROR(VLOOKUP(T461,LK_OrgMaster!$B$4:$G$89,6,FALSE()),"No")</f>
        <v>No</v>
      </c>
      <c r="AS461" s="64" t="str">
        <f>IFERROR(VLOOKUP(T461,LK_OrgMaster!$B$4:$H$89,7,FALSE()),"None")</f>
        <v>None</v>
      </c>
      <c r="AT461" s="70">
        <v>43399</v>
      </c>
      <c r="AU461" s="70"/>
      <c r="AV461" s="70">
        <v>43399</v>
      </c>
      <c r="AW461" s="70">
        <v>46023</v>
      </c>
      <c r="AX461" s="71" t="s">
        <v>750</v>
      </c>
      <c r="AY461" s="72" t="s">
        <v>6260</v>
      </c>
    </row>
    <row r="462" spans="1:51" ht="15" customHeight="1" x14ac:dyDescent="0.3">
      <c r="A462" s="59" t="s">
        <v>4816</v>
      </c>
      <c r="B462" s="59" t="s">
        <v>772</v>
      </c>
      <c r="C462" s="59" t="s">
        <v>2662</v>
      </c>
      <c r="D462" s="59" t="s">
        <v>853</v>
      </c>
      <c r="E462" s="59" t="s">
        <v>775</v>
      </c>
      <c r="F462" s="60">
        <v>26526</v>
      </c>
      <c r="G462" s="59" t="s">
        <v>4817</v>
      </c>
      <c r="H462" s="59" t="s">
        <v>4818</v>
      </c>
      <c r="I462" s="60">
        <v>39086</v>
      </c>
      <c r="J462" s="61">
        <f t="shared" ca="1" si="28"/>
        <v>19</v>
      </c>
      <c r="K462" s="62">
        <f t="shared" si="29"/>
        <v>48441</v>
      </c>
      <c r="L462" s="59" t="s">
        <v>735</v>
      </c>
      <c r="M462" s="59" t="s">
        <v>1504</v>
      </c>
      <c r="N462" s="59" t="s">
        <v>779</v>
      </c>
      <c r="O462" s="63">
        <v>16</v>
      </c>
      <c r="P462" s="61">
        <f>IFERROR(SUMPRODUCT((LK_GradeDerivation!$A$4:$A$135=N462)*(IF(O462="",0,O462)&gt;=LK_GradeDerivation!$B$4:$B$135)*(IF(O462="",0,O462)&lt;=LK_GradeDerivation!$C$4:$C$135)*LK_GradeDerivation!$D$4:$D$135),1)</f>
        <v>2</v>
      </c>
      <c r="Q462" s="61">
        <f>IFERROR(SUMPRODUCT((LK_GradeDerivation!$A$4:$A$135=N462)*(IF(O462="",0,O462)&gt;=LK_GradeDerivation!$B$4:$B$135)*(IF(O462="",0,O462)&lt;=LK_GradeDerivation!$C$4:$C$135)*LK_GradeDerivation!$E$4:$E$135),1)</f>
        <v>9</v>
      </c>
      <c r="R462" s="59" t="s">
        <v>4819</v>
      </c>
      <c r="S462" s="59" t="s">
        <v>4820</v>
      </c>
      <c r="T462" s="59" t="s">
        <v>782</v>
      </c>
      <c r="U462" s="59" t="s">
        <v>1191</v>
      </c>
      <c r="V462" s="59" t="s">
        <v>1192</v>
      </c>
      <c r="W462" s="59" t="s">
        <v>285</v>
      </c>
      <c r="X462" s="59" t="s">
        <v>477</v>
      </c>
      <c r="Y462" s="59" t="s">
        <v>488</v>
      </c>
      <c r="Z462" s="64" t="str">
        <f>IFERROR(VLOOKUP(T462,LK_OrgMaster!$B$4:$H$89,5,FALSE()),"Administration")</f>
        <v>Medical</v>
      </c>
      <c r="AA462" s="65" t="str">
        <f>IFERROR(VLOOKUP(X462,LK_LocationMaster!$D$4:$G$157,4,FALSE()),"No")</f>
        <v>No</v>
      </c>
      <c r="AB462" s="65" t="str">
        <f t="shared" si="30"/>
        <v>No</v>
      </c>
      <c r="AC462" s="65" t="str">
        <f>IFERROR(VLOOKUP(X462,LK_LocationMaster!$D$4:$H$157,5,FALSE()),"No")</f>
        <v>Yes</v>
      </c>
      <c r="AD462" s="59" t="s">
        <v>4821</v>
      </c>
      <c r="AE462" s="59" t="s">
        <v>930</v>
      </c>
      <c r="AF462" s="59" t="s">
        <v>801</v>
      </c>
      <c r="AG462" s="59" t="s">
        <v>356</v>
      </c>
      <c r="AH462" s="59" t="s">
        <v>4822</v>
      </c>
      <c r="AI462" s="59" t="s">
        <v>285</v>
      </c>
      <c r="AJ462" s="59" t="s">
        <v>818</v>
      </c>
      <c r="AK462" s="59" t="s">
        <v>944</v>
      </c>
      <c r="AL462" s="64" t="str">
        <f>IFERROR(INDEX(LK_BankMaster!$D$4:$D$23,MATCH(AJ462&amp;"|"&amp;AK462,LK_BankMaster!$H$4:$H$23,0)),"")</f>
        <v/>
      </c>
      <c r="AM462" s="59" t="s">
        <v>4823</v>
      </c>
      <c r="AN462" s="64" t="str">
        <f>IFERROR(VLOOKUP(AJ462,LK_BankMaster!$A$4:$E$23,5,FALSE()),"")</f>
        <v/>
      </c>
      <c r="AO462" s="59" t="s">
        <v>314</v>
      </c>
      <c r="AP462" s="66">
        <v>0</v>
      </c>
      <c r="AQ462" s="64" t="str">
        <f t="shared" si="31"/>
        <v>Position Allowance - General Staff</v>
      </c>
      <c r="AR462" s="65" t="str">
        <f>IFERROR(VLOOKUP(T462,LK_OrgMaster!$B$4:$G$89,6,FALSE()),"No")</f>
        <v>No</v>
      </c>
      <c r="AS462" s="64" t="str">
        <f>IFERROR(VLOOKUP(T462,LK_OrgMaster!$B$4:$H$89,7,FALSE()),"None")</f>
        <v>Medical</v>
      </c>
      <c r="AT462" s="67">
        <v>39086</v>
      </c>
      <c r="AU462" s="67"/>
      <c r="AV462" s="67">
        <v>39086</v>
      </c>
      <c r="AW462" s="67">
        <v>46023</v>
      </c>
      <c r="AX462" s="68" t="s">
        <v>750</v>
      </c>
      <c r="AY462" s="69" t="s">
        <v>6260</v>
      </c>
    </row>
    <row r="463" spans="1:51" ht="15" customHeight="1" x14ac:dyDescent="0.3">
      <c r="A463" s="59" t="s">
        <v>4824</v>
      </c>
      <c r="B463" s="59" t="s">
        <v>851</v>
      </c>
      <c r="C463" s="59" t="s">
        <v>1673</v>
      </c>
      <c r="D463" s="59" t="s">
        <v>731</v>
      </c>
      <c r="E463" s="59" t="s">
        <v>775</v>
      </c>
      <c r="F463" s="60">
        <v>28007</v>
      </c>
      <c r="G463" s="59" t="s">
        <v>4825</v>
      </c>
      <c r="H463" s="59" t="s">
        <v>4826</v>
      </c>
      <c r="I463" s="60">
        <v>40240</v>
      </c>
      <c r="J463" s="61">
        <f t="shared" ca="1" si="28"/>
        <v>16</v>
      </c>
      <c r="K463" s="62">
        <f t="shared" si="29"/>
        <v>49922</v>
      </c>
      <c r="L463" s="59" t="s">
        <v>735</v>
      </c>
      <c r="M463" s="59" t="s">
        <v>1483</v>
      </c>
      <c r="N463" s="59" t="s">
        <v>737</v>
      </c>
      <c r="O463" s="63">
        <v>11</v>
      </c>
      <c r="P463" s="61">
        <f>IFERROR(SUMPRODUCT((LK_GradeDerivation!$A$4:$A$135=N463)*(IF(O463="",0,O463)&gt;=LK_GradeDerivation!$B$4:$B$135)*(IF(O463="",0,O463)&lt;=LK_GradeDerivation!$C$4:$C$135)*LK_GradeDerivation!$D$4:$D$135),1)</f>
        <v>4</v>
      </c>
      <c r="Q463" s="61">
        <f>IFERROR(SUMPRODUCT((LK_GradeDerivation!$A$4:$A$135=N463)*(IF(O463="",0,O463)&gt;=LK_GradeDerivation!$B$4:$B$135)*(IF(O463="",0,O463)&lt;=LK_GradeDerivation!$C$4:$C$135)*LK_GradeDerivation!$E$4:$E$135),1)</f>
        <v>6</v>
      </c>
      <c r="R463" s="59" t="s">
        <v>4827</v>
      </c>
      <c r="S463" s="59" t="s">
        <v>4828</v>
      </c>
      <c r="T463" s="59" t="s">
        <v>896</v>
      </c>
      <c r="U463" s="59" t="s">
        <v>1639</v>
      </c>
      <c r="V463" s="59" t="s">
        <v>2624</v>
      </c>
      <c r="W463" s="59" t="s">
        <v>285</v>
      </c>
      <c r="X463" s="59" t="s">
        <v>288</v>
      </c>
      <c r="Y463" s="59" t="s">
        <v>298</v>
      </c>
      <c r="Z463" s="64" t="str">
        <f>IFERROR(VLOOKUP(T463,LK_OrgMaster!$B$4:$H$89,5,FALSE()),"Administration")</f>
        <v>Administration</v>
      </c>
      <c r="AA463" s="65" t="str">
        <f>IFERROR(VLOOKUP(X463,LK_LocationMaster!$D$4:$G$157,4,FALSE()),"No")</f>
        <v>No</v>
      </c>
      <c r="AB463" s="65" t="str">
        <f t="shared" si="30"/>
        <v>No</v>
      </c>
      <c r="AC463" s="65" t="str">
        <f>IFERROR(VLOOKUP(X463,LK_LocationMaster!$D$4:$H$157,5,FALSE()),"No")</f>
        <v>No</v>
      </c>
      <c r="AD463" s="59" t="s">
        <v>4829</v>
      </c>
      <c r="AE463" s="59" t="s">
        <v>2592</v>
      </c>
      <c r="AF463" s="59" t="s">
        <v>969</v>
      </c>
      <c r="AG463" s="59" t="s">
        <v>340</v>
      </c>
      <c r="AH463" s="59" t="s">
        <v>4830</v>
      </c>
      <c r="AI463" s="59" t="s">
        <v>285</v>
      </c>
      <c r="AJ463" s="59" t="s">
        <v>833</v>
      </c>
      <c r="AK463" s="59" t="s">
        <v>1013</v>
      </c>
      <c r="AL463" s="64" t="str">
        <f>IFERROR(INDEX(LK_BankMaster!$D$4:$D$23,MATCH(AJ463&amp;"|"&amp;AK463,LK_BankMaster!$H$4:$H$23,0)),"")</f>
        <v/>
      </c>
      <c r="AM463" s="59" t="s">
        <v>4831</v>
      </c>
      <c r="AN463" s="64" t="str">
        <f>IFERROR(VLOOKUP(AJ463,LK_BankMaster!$A$4:$E$23,5,FALSE()),"")</f>
        <v/>
      </c>
      <c r="AO463" s="59" t="s">
        <v>291</v>
      </c>
      <c r="AP463" s="66">
        <v>0</v>
      </c>
      <c r="AQ463" s="64" t="str">
        <f t="shared" si="31"/>
        <v>Position Allowance - General Staff</v>
      </c>
      <c r="AR463" s="65" t="str">
        <f>IFERROR(VLOOKUP(T463,LK_OrgMaster!$B$4:$G$89,6,FALSE()),"No")</f>
        <v>No</v>
      </c>
      <c r="AS463" s="64" t="str">
        <f>IFERROR(VLOOKUP(T463,LK_OrgMaster!$B$4:$H$89,7,FALSE()),"None")</f>
        <v>None</v>
      </c>
      <c r="AT463" s="70">
        <v>40240</v>
      </c>
      <c r="AU463" s="70"/>
      <c r="AV463" s="70">
        <v>40240</v>
      </c>
      <c r="AW463" s="70">
        <v>46023</v>
      </c>
      <c r="AX463" s="71" t="s">
        <v>750</v>
      </c>
      <c r="AY463" s="72" t="s">
        <v>6260</v>
      </c>
    </row>
    <row r="464" spans="1:51" ht="15" customHeight="1" x14ac:dyDescent="0.3">
      <c r="A464" s="59" t="s">
        <v>4832</v>
      </c>
      <c r="B464" s="59" t="s">
        <v>752</v>
      </c>
      <c r="C464" s="59" t="s">
        <v>2315</v>
      </c>
      <c r="D464" s="59" t="s">
        <v>1042</v>
      </c>
      <c r="E464" s="59" t="s">
        <v>732</v>
      </c>
      <c r="F464" s="60">
        <v>28297</v>
      </c>
      <c r="G464" s="59" t="s">
        <v>4833</v>
      </c>
      <c r="H464" s="59" t="s">
        <v>4834</v>
      </c>
      <c r="I464" s="60">
        <v>34306</v>
      </c>
      <c r="J464" s="61">
        <f t="shared" ca="1" si="28"/>
        <v>32</v>
      </c>
      <c r="K464" s="62">
        <f t="shared" si="29"/>
        <v>50212</v>
      </c>
      <c r="L464" s="59" t="s">
        <v>735</v>
      </c>
      <c r="M464" s="59" t="s">
        <v>1069</v>
      </c>
      <c r="N464" s="59" t="s">
        <v>737</v>
      </c>
      <c r="O464" s="63">
        <v>0</v>
      </c>
      <c r="P464" s="61">
        <f>IFERROR(SUMPRODUCT((LK_GradeDerivation!$A$4:$A$135=N464)*(IF(O464="",0,O464)&gt;=LK_GradeDerivation!$B$4:$B$135)*(IF(O464="",0,O464)&lt;=LK_GradeDerivation!$C$4:$C$135)*LK_GradeDerivation!$D$4:$D$135),1)</f>
        <v>4</v>
      </c>
      <c r="Q464" s="61">
        <f>IFERROR(SUMPRODUCT((LK_GradeDerivation!$A$4:$A$135=N464)*(IF(O464="",0,O464)&gt;=LK_GradeDerivation!$B$4:$B$135)*(IF(O464="",0,O464)&lt;=LK_GradeDerivation!$C$4:$C$135)*LK_GradeDerivation!$E$4:$E$135),1)</f>
        <v>1</v>
      </c>
      <c r="R464" s="59" t="s">
        <v>4835</v>
      </c>
      <c r="S464" s="59" t="s">
        <v>4836</v>
      </c>
      <c r="T464" s="59" t="s">
        <v>761</v>
      </c>
      <c r="U464" s="59" t="s">
        <v>1314</v>
      </c>
      <c r="V464" s="59" t="s">
        <v>1726</v>
      </c>
      <c r="W464" s="59" t="s">
        <v>285</v>
      </c>
      <c r="X464" s="59" t="s">
        <v>288</v>
      </c>
      <c r="Y464" s="59" t="s">
        <v>302</v>
      </c>
      <c r="Z464" s="64" t="str">
        <f>IFERROR(VLOOKUP(T464,LK_OrgMaster!$B$4:$H$89,5,FALSE()),"Administration")</f>
        <v>Administration</v>
      </c>
      <c r="AA464" s="65" t="str">
        <f>IFERROR(VLOOKUP(X464,LK_LocationMaster!$D$4:$G$157,4,FALSE()),"No")</f>
        <v>No</v>
      </c>
      <c r="AB464" s="65" t="str">
        <f t="shared" si="30"/>
        <v>No</v>
      </c>
      <c r="AC464" s="65" t="str">
        <f>IFERROR(VLOOKUP(X464,LK_LocationMaster!$D$4:$H$157,5,FALSE()),"No")</f>
        <v>No</v>
      </c>
      <c r="AD464" s="59" t="s">
        <v>4837</v>
      </c>
      <c r="AE464" s="59" t="s">
        <v>3554</v>
      </c>
      <c r="AF464" s="59" t="s">
        <v>745</v>
      </c>
      <c r="AG464" s="59" t="s">
        <v>312</v>
      </c>
      <c r="AH464" s="59" t="s">
        <v>4838</v>
      </c>
      <c r="AI464" s="59" t="s">
        <v>285</v>
      </c>
      <c r="AJ464" s="59" t="s">
        <v>818</v>
      </c>
      <c r="AK464" s="59" t="s">
        <v>944</v>
      </c>
      <c r="AL464" s="64" t="str">
        <f>IFERROR(INDEX(LK_BankMaster!$D$4:$D$23,MATCH(AJ464&amp;"|"&amp;AK464,LK_BankMaster!$H$4:$H$23,0)),"")</f>
        <v/>
      </c>
      <c r="AM464" s="59" t="s">
        <v>4839</v>
      </c>
      <c r="AN464" s="64" t="str">
        <f>IFERROR(VLOOKUP(AJ464,LK_BankMaster!$A$4:$E$23,5,FALSE()),"")</f>
        <v/>
      </c>
      <c r="AO464" s="59" t="s">
        <v>314</v>
      </c>
      <c r="AP464" s="66">
        <v>2</v>
      </c>
      <c r="AQ464" s="64" t="str">
        <f t="shared" si="31"/>
        <v>Position Allowance - General Staff</v>
      </c>
      <c r="AR464" s="65" t="str">
        <f>IFERROR(VLOOKUP(T464,LK_OrgMaster!$B$4:$G$89,6,FALSE()),"No")</f>
        <v>Yes</v>
      </c>
      <c r="AS464" s="64" t="str">
        <f>IFERROR(VLOOKUP(T464,LK_OrgMaster!$B$4:$H$89,7,FALSE()),"None")</f>
        <v>None</v>
      </c>
      <c r="AT464" s="67">
        <v>34306</v>
      </c>
      <c r="AU464" s="67"/>
      <c r="AV464" s="67">
        <v>34306</v>
      </c>
      <c r="AW464" s="67">
        <v>46023</v>
      </c>
      <c r="AX464" s="68" t="s">
        <v>750</v>
      </c>
      <c r="AY464" s="69" t="s">
        <v>6260</v>
      </c>
    </row>
    <row r="465" spans="1:51" ht="15" customHeight="1" x14ac:dyDescent="0.3">
      <c r="A465" s="59" t="s">
        <v>4840</v>
      </c>
      <c r="B465" s="59" t="s">
        <v>772</v>
      </c>
      <c r="C465" s="59" t="s">
        <v>1111</v>
      </c>
      <c r="D465" s="59" t="s">
        <v>1186</v>
      </c>
      <c r="E465" s="59" t="s">
        <v>775</v>
      </c>
      <c r="F465" s="60">
        <v>30988</v>
      </c>
      <c r="G465" s="59" t="s">
        <v>4841</v>
      </c>
      <c r="H465" s="59" t="s">
        <v>4842</v>
      </c>
      <c r="I465" s="60">
        <v>41776</v>
      </c>
      <c r="J465" s="61">
        <f t="shared" ca="1" si="28"/>
        <v>11</v>
      </c>
      <c r="K465" s="62">
        <f t="shared" si="29"/>
        <v>52903</v>
      </c>
      <c r="L465" s="59" t="s">
        <v>735</v>
      </c>
      <c r="M465" s="59" t="s">
        <v>1525</v>
      </c>
      <c r="N465" s="59" t="s">
        <v>1081</v>
      </c>
      <c r="O465" s="63">
        <v>9</v>
      </c>
      <c r="P465" s="61">
        <f>IFERROR(SUMPRODUCT((LK_GradeDerivation!$A$4:$A$135=N465)*(IF(O465="",0,O465)&gt;=LK_GradeDerivation!$B$4:$B$135)*(IF(O465="",0,O465)&lt;=LK_GradeDerivation!$C$4:$C$135)*LK_GradeDerivation!$D$4:$D$135),1)</f>
        <v>3</v>
      </c>
      <c r="Q465" s="61">
        <f>IFERROR(SUMPRODUCT((LK_GradeDerivation!$A$4:$A$135=N465)*(IF(O465="",0,O465)&gt;=LK_GradeDerivation!$B$4:$B$135)*(IF(O465="",0,O465)&lt;=LK_GradeDerivation!$C$4:$C$135)*LK_GradeDerivation!$E$4:$E$135),1)</f>
        <v>5</v>
      </c>
      <c r="R465" s="59" t="s">
        <v>4843</v>
      </c>
      <c r="S465" s="59" t="s">
        <v>4844</v>
      </c>
      <c r="T465" s="59" t="s">
        <v>1084</v>
      </c>
      <c r="U465" s="59" t="s">
        <v>1528</v>
      </c>
      <c r="V465" s="59" t="s">
        <v>2388</v>
      </c>
      <c r="W465" s="59" t="s">
        <v>285</v>
      </c>
      <c r="X465" s="59" t="s">
        <v>368</v>
      </c>
      <c r="Y465" s="59" t="s">
        <v>389</v>
      </c>
      <c r="Z465" s="64" t="str">
        <f>IFERROR(VLOOKUP(T465,LK_OrgMaster!$B$4:$H$89,5,FALSE()),"Administration")</f>
        <v>Finance</v>
      </c>
      <c r="AA465" s="65" t="str">
        <f>IFERROR(VLOOKUP(X465,LK_LocationMaster!$D$4:$G$157,4,FALSE()),"No")</f>
        <v>No</v>
      </c>
      <c r="AB465" s="65" t="str">
        <f t="shared" si="30"/>
        <v>No</v>
      </c>
      <c r="AC465" s="65" t="str">
        <f>IFERROR(VLOOKUP(X465,LK_LocationMaster!$D$4:$H$157,5,FALSE()),"No")</f>
        <v>No</v>
      </c>
      <c r="AD465" s="59" t="s">
        <v>4845</v>
      </c>
      <c r="AE465" s="59" t="s">
        <v>800</v>
      </c>
      <c r="AF465" s="59" t="s">
        <v>969</v>
      </c>
      <c r="AG465" s="59" t="s">
        <v>329</v>
      </c>
      <c r="AH465" s="59" t="s">
        <v>4846</v>
      </c>
      <c r="AI465" s="59" t="s">
        <v>285</v>
      </c>
      <c r="AJ465" s="59" t="s">
        <v>768</v>
      </c>
      <c r="AK465" s="59" t="s">
        <v>769</v>
      </c>
      <c r="AL465" s="64" t="str">
        <f>IFERROR(INDEX(LK_BankMaster!$D$4:$D$23,MATCH(AJ465&amp;"|"&amp;AK465,LK_BankMaster!$H$4:$H$23,0)),"")</f>
        <v/>
      </c>
      <c r="AM465" s="59" t="s">
        <v>4847</v>
      </c>
      <c r="AN465" s="64" t="str">
        <f>IFERROR(VLOOKUP(AJ465,LK_BankMaster!$A$4:$E$23,5,FALSE()),"")</f>
        <v/>
      </c>
      <c r="AO465" s="59" t="s">
        <v>314</v>
      </c>
      <c r="AP465" s="66">
        <v>0</v>
      </c>
      <c r="AQ465" s="64" t="str">
        <f t="shared" si="31"/>
        <v>Position Allowance - General Staff</v>
      </c>
      <c r="AR465" s="65" t="str">
        <f>IFERROR(VLOOKUP(T465,LK_OrgMaster!$B$4:$G$89,6,FALSE()),"No")</f>
        <v>No</v>
      </c>
      <c r="AS465" s="64" t="str">
        <f>IFERROR(VLOOKUP(T465,LK_OrgMaster!$B$4:$H$89,7,FALSE()),"None")</f>
        <v>None</v>
      </c>
      <c r="AT465" s="70">
        <v>41776</v>
      </c>
      <c r="AU465" s="70"/>
      <c r="AV465" s="70">
        <v>41776</v>
      </c>
      <c r="AW465" s="70">
        <v>46023</v>
      </c>
      <c r="AX465" s="71" t="s">
        <v>750</v>
      </c>
      <c r="AY465" s="72" t="s">
        <v>6260</v>
      </c>
    </row>
    <row r="466" spans="1:51" ht="15" customHeight="1" x14ac:dyDescent="0.3">
      <c r="A466" s="59" t="s">
        <v>4848</v>
      </c>
      <c r="B466" s="59" t="s">
        <v>772</v>
      </c>
      <c r="C466" s="59" t="s">
        <v>852</v>
      </c>
      <c r="D466" s="59" t="s">
        <v>1373</v>
      </c>
      <c r="E466" s="59" t="s">
        <v>775</v>
      </c>
      <c r="F466" s="60">
        <v>30640</v>
      </c>
      <c r="G466" s="59" t="s">
        <v>4849</v>
      </c>
      <c r="H466" s="59" t="s">
        <v>4850</v>
      </c>
      <c r="I466" s="60">
        <v>35352</v>
      </c>
      <c r="J466" s="61">
        <f t="shared" ca="1" si="28"/>
        <v>29</v>
      </c>
      <c r="K466" s="62">
        <f t="shared" si="29"/>
        <v>52555</v>
      </c>
      <c r="L466" s="59" t="s">
        <v>735</v>
      </c>
      <c r="M466" s="59" t="s">
        <v>1574</v>
      </c>
      <c r="N466" s="59" t="s">
        <v>737</v>
      </c>
      <c r="O466" s="63">
        <v>0</v>
      </c>
      <c r="P466" s="61">
        <f>IFERROR(SUMPRODUCT((LK_GradeDerivation!$A$4:$A$135=N466)*(IF(O466="",0,O466)&gt;=LK_GradeDerivation!$B$4:$B$135)*(IF(O466="",0,O466)&lt;=LK_GradeDerivation!$C$4:$C$135)*LK_GradeDerivation!$D$4:$D$135),1)</f>
        <v>4</v>
      </c>
      <c r="Q466" s="61">
        <f>IFERROR(SUMPRODUCT((LK_GradeDerivation!$A$4:$A$135=N466)*(IF(O466="",0,O466)&gt;=LK_GradeDerivation!$B$4:$B$135)*(IF(O466="",0,O466)&lt;=LK_GradeDerivation!$C$4:$C$135)*LK_GradeDerivation!$E$4:$E$135),1)</f>
        <v>1</v>
      </c>
      <c r="R466" s="59" t="s">
        <v>4851</v>
      </c>
      <c r="S466" s="59" t="s">
        <v>4852</v>
      </c>
      <c r="T466" s="59" t="s">
        <v>1035</v>
      </c>
      <c r="U466" s="59" t="s">
        <v>1597</v>
      </c>
      <c r="V466" s="59" t="s">
        <v>1598</v>
      </c>
      <c r="W466" s="59" t="s">
        <v>285</v>
      </c>
      <c r="X466" s="59" t="s">
        <v>500</v>
      </c>
      <c r="Y466" s="59" t="s">
        <v>515</v>
      </c>
      <c r="Z466" s="64" t="str">
        <f>IFERROR(VLOOKUP(T466,LK_OrgMaster!$B$4:$H$89,5,FALSE()),"Administration")</f>
        <v>Administration</v>
      </c>
      <c r="AA466" s="65" t="str">
        <f>IFERROR(VLOOKUP(X466,LK_LocationMaster!$D$4:$G$157,4,FALSE()),"No")</f>
        <v>No</v>
      </c>
      <c r="AB466" s="65" t="str">
        <f t="shared" si="30"/>
        <v>No</v>
      </c>
      <c r="AC466" s="65" t="str">
        <f>IFERROR(VLOOKUP(X466,LK_LocationMaster!$D$4:$H$157,5,FALSE()),"No")</f>
        <v>Yes</v>
      </c>
      <c r="AD466" s="59" t="s">
        <v>4853</v>
      </c>
      <c r="AE466" s="59" t="s">
        <v>800</v>
      </c>
      <c r="AF466" s="59" t="s">
        <v>915</v>
      </c>
      <c r="AG466" s="59" t="s">
        <v>408</v>
      </c>
      <c r="AH466" s="59" t="s">
        <v>4854</v>
      </c>
      <c r="AI466" s="59" t="s">
        <v>285</v>
      </c>
      <c r="AJ466" s="59" t="s">
        <v>747</v>
      </c>
      <c r="AK466" s="59" t="s">
        <v>748</v>
      </c>
      <c r="AL466" s="64" t="str">
        <f>IFERROR(INDEX(LK_BankMaster!$D$4:$D$23,MATCH(AJ466&amp;"|"&amp;AK466,LK_BankMaster!$H$4:$H$23,0)),"")</f>
        <v/>
      </c>
      <c r="AM466" s="59" t="s">
        <v>4855</v>
      </c>
      <c r="AN466" s="64" t="str">
        <f>IFERROR(VLOOKUP(AJ466,LK_BankMaster!$A$4:$E$23,5,FALSE()),"")</f>
        <v/>
      </c>
      <c r="AO466" s="59" t="s">
        <v>314</v>
      </c>
      <c r="AP466" s="66">
        <v>2</v>
      </c>
      <c r="AQ466" s="64" t="str">
        <f t="shared" si="31"/>
        <v>Position Allowance - Deputy Director</v>
      </c>
      <c r="AR466" s="65" t="str">
        <f>IFERROR(VLOOKUP(T466,LK_OrgMaster!$B$4:$G$89,6,FALSE()),"No")</f>
        <v>No</v>
      </c>
      <c r="AS466" s="64" t="str">
        <f>IFERROR(VLOOKUP(T466,LK_OrgMaster!$B$4:$H$89,7,FALSE()),"None")</f>
        <v>None</v>
      </c>
      <c r="AT466" s="67">
        <v>35352</v>
      </c>
      <c r="AU466" s="67"/>
      <c r="AV466" s="67">
        <v>35352</v>
      </c>
      <c r="AW466" s="67">
        <v>46023</v>
      </c>
      <c r="AX466" s="68" t="s">
        <v>750</v>
      </c>
      <c r="AY466" s="69" t="s">
        <v>6260</v>
      </c>
    </row>
    <row r="467" spans="1:51" ht="15" customHeight="1" x14ac:dyDescent="0.3">
      <c r="A467" s="59" t="s">
        <v>4856</v>
      </c>
      <c r="B467" s="59" t="s">
        <v>772</v>
      </c>
      <c r="C467" s="59" t="s">
        <v>1634</v>
      </c>
      <c r="D467" s="59" t="s">
        <v>1042</v>
      </c>
      <c r="E467" s="59" t="s">
        <v>732</v>
      </c>
      <c r="F467" s="60">
        <v>25682</v>
      </c>
      <c r="G467" s="59" t="s">
        <v>4857</v>
      </c>
      <c r="H467" s="59" t="s">
        <v>4858</v>
      </c>
      <c r="I467" s="60">
        <v>33027</v>
      </c>
      <c r="J467" s="61">
        <f t="shared" ca="1" si="28"/>
        <v>35</v>
      </c>
      <c r="K467" s="62">
        <f t="shared" si="29"/>
        <v>47597</v>
      </c>
      <c r="L467" s="59" t="s">
        <v>735</v>
      </c>
      <c r="M467" s="59" t="s">
        <v>1069</v>
      </c>
      <c r="N467" s="59" t="s">
        <v>737</v>
      </c>
      <c r="O467" s="63">
        <v>0</v>
      </c>
      <c r="P467" s="61">
        <f>IFERROR(SUMPRODUCT((LK_GradeDerivation!$A$4:$A$135=N467)*(IF(O467="",0,O467)&gt;=LK_GradeDerivation!$B$4:$B$135)*(IF(O467="",0,O467)&lt;=LK_GradeDerivation!$C$4:$C$135)*LK_GradeDerivation!$D$4:$D$135),1)</f>
        <v>4</v>
      </c>
      <c r="Q467" s="61">
        <f>IFERROR(SUMPRODUCT((LK_GradeDerivation!$A$4:$A$135=N467)*(IF(O467="",0,O467)&gt;=LK_GradeDerivation!$B$4:$B$135)*(IF(O467="",0,O467)&lt;=LK_GradeDerivation!$C$4:$C$135)*LK_GradeDerivation!$E$4:$E$135),1)</f>
        <v>1</v>
      </c>
      <c r="R467" s="59" t="s">
        <v>4859</v>
      </c>
      <c r="S467" s="59" t="s">
        <v>4860</v>
      </c>
      <c r="T467" s="59" t="s">
        <v>896</v>
      </c>
      <c r="U467" s="59" t="s">
        <v>2755</v>
      </c>
      <c r="V467" s="59" t="s">
        <v>2756</v>
      </c>
      <c r="W467" s="59" t="s">
        <v>285</v>
      </c>
      <c r="X467" s="59" t="s">
        <v>288</v>
      </c>
      <c r="Y467" s="59" t="s">
        <v>310</v>
      </c>
      <c r="Z467" s="64" t="str">
        <f>IFERROR(VLOOKUP(T467,LK_OrgMaster!$B$4:$H$89,5,FALSE()),"Administration")</f>
        <v>Administration</v>
      </c>
      <c r="AA467" s="65" t="str">
        <f>IFERROR(VLOOKUP(X467,LK_LocationMaster!$D$4:$G$157,4,FALSE()),"No")</f>
        <v>No</v>
      </c>
      <c r="AB467" s="65" t="str">
        <f t="shared" si="30"/>
        <v>No</v>
      </c>
      <c r="AC467" s="65" t="str">
        <f>IFERROR(VLOOKUP(X467,LK_LocationMaster!$D$4:$H$157,5,FALSE()),"No")</f>
        <v>No</v>
      </c>
      <c r="AD467" s="59" t="s">
        <v>4861</v>
      </c>
      <c r="AE467" s="59" t="s">
        <v>4862</v>
      </c>
      <c r="AF467" s="59" t="s">
        <v>969</v>
      </c>
      <c r="AG467" s="59" t="s">
        <v>408</v>
      </c>
      <c r="AH467" s="59" t="s">
        <v>4863</v>
      </c>
      <c r="AI467" s="59" t="s">
        <v>285</v>
      </c>
      <c r="AJ467" s="59" t="s">
        <v>768</v>
      </c>
      <c r="AK467" s="59" t="s">
        <v>769</v>
      </c>
      <c r="AL467" s="64" t="str">
        <f>IFERROR(INDEX(LK_BankMaster!$D$4:$D$23,MATCH(AJ467&amp;"|"&amp;AK467,LK_BankMaster!$H$4:$H$23,0)),"")</f>
        <v/>
      </c>
      <c r="AM467" s="59" t="s">
        <v>4864</v>
      </c>
      <c r="AN467" s="64" t="str">
        <f>IFERROR(VLOOKUP(AJ467,LK_BankMaster!$A$4:$E$23,5,FALSE()),"")</f>
        <v/>
      </c>
      <c r="AO467" s="59" t="s">
        <v>291</v>
      </c>
      <c r="AP467" s="66">
        <v>0</v>
      </c>
      <c r="AQ467" s="64" t="str">
        <f t="shared" si="31"/>
        <v>Position Allowance - General Staff</v>
      </c>
      <c r="AR467" s="65" t="str">
        <f>IFERROR(VLOOKUP(T467,LK_OrgMaster!$B$4:$G$89,6,FALSE()),"No")</f>
        <v>No</v>
      </c>
      <c r="AS467" s="64" t="str">
        <f>IFERROR(VLOOKUP(T467,LK_OrgMaster!$B$4:$H$89,7,FALSE()),"None")</f>
        <v>None</v>
      </c>
      <c r="AT467" s="70">
        <v>33027</v>
      </c>
      <c r="AU467" s="70"/>
      <c r="AV467" s="70">
        <v>33027</v>
      </c>
      <c r="AW467" s="70">
        <v>46023</v>
      </c>
      <c r="AX467" s="71" t="s">
        <v>750</v>
      </c>
      <c r="AY467" s="72" t="s">
        <v>6260</v>
      </c>
    </row>
    <row r="468" spans="1:51" ht="15" customHeight="1" x14ac:dyDescent="0.3">
      <c r="A468" s="59" t="s">
        <v>4865</v>
      </c>
      <c r="B468" s="59" t="s">
        <v>752</v>
      </c>
      <c r="C468" s="59" t="s">
        <v>2263</v>
      </c>
      <c r="D468" s="59" t="s">
        <v>1289</v>
      </c>
      <c r="E468" s="59" t="s">
        <v>732</v>
      </c>
      <c r="F468" s="60">
        <v>31613</v>
      </c>
      <c r="G468" s="59" t="s">
        <v>4866</v>
      </c>
      <c r="H468" s="59" t="s">
        <v>4867</v>
      </c>
      <c r="I468" s="60">
        <v>37139</v>
      </c>
      <c r="J468" s="61">
        <f t="shared" ca="1" si="28"/>
        <v>24</v>
      </c>
      <c r="K468" s="62">
        <f t="shared" si="29"/>
        <v>53528</v>
      </c>
      <c r="L468" s="59" t="s">
        <v>735</v>
      </c>
      <c r="M468" s="59" t="s">
        <v>924</v>
      </c>
      <c r="N468" s="59" t="s">
        <v>1292</v>
      </c>
      <c r="O468" s="63">
        <v>0</v>
      </c>
      <c r="P468" s="61">
        <f>IFERROR(SUMPRODUCT((LK_GradeDerivation!$A$4:$A$135=N468)*(IF(O468="",0,O468)&gt;=LK_GradeDerivation!$B$4:$B$135)*(IF(O468="",0,O468)&lt;=LK_GradeDerivation!$C$4:$C$135)*LK_GradeDerivation!$D$4:$D$135),1)</f>
        <v>5</v>
      </c>
      <c r="Q468" s="61">
        <f>IFERROR(SUMPRODUCT((LK_GradeDerivation!$A$4:$A$135=N468)*(IF(O468="",0,O468)&gt;=LK_GradeDerivation!$B$4:$B$135)*(IF(O468="",0,O468)&lt;=LK_GradeDerivation!$C$4:$C$135)*LK_GradeDerivation!$E$4:$E$135),1)</f>
        <v>6</v>
      </c>
      <c r="R468" s="59" t="s">
        <v>4868</v>
      </c>
      <c r="S468" s="59" t="s">
        <v>4869</v>
      </c>
      <c r="T468" s="59" t="s">
        <v>740</v>
      </c>
      <c r="U468" s="59" t="s">
        <v>1154</v>
      </c>
      <c r="V468" s="59" t="s">
        <v>2711</v>
      </c>
      <c r="W468" s="59" t="s">
        <v>285</v>
      </c>
      <c r="X468" s="59" t="s">
        <v>340</v>
      </c>
      <c r="Y468" s="59" t="s">
        <v>342</v>
      </c>
      <c r="Z468" s="64" t="str">
        <f>IFERROR(VLOOKUP(T468,LK_OrgMaster!$B$4:$H$89,5,FALSE()),"Administration")</f>
        <v>Teacher</v>
      </c>
      <c r="AA468" s="65" t="str">
        <f>IFERROR(VLOOKUP(X468,LK_LocationMaster!$D$4:$G$157,4,FALSE()),"No")</f>
        <v>No</v>
      </c>
      <c r="AB468" s="65" t="str">
        <f t="shared" si="30"/>
        <v>No</v>
      </c>
      <c r="AC468" s="65" t="str">
        <f>IFERROR(VLOOKUP(X468,LK_LocationMaster!$D$4:$H$157,5,FALSE()),"No")</f>
        <v>No</v>
      </c>
      <c r="AD468" s="59" t="s">
        <v>4870</v>
      </c>
      <c r="AE468" s="59" t="s">
        <v>800</v>
      </c>
      <c r="AF468" s="59" t="s">
        <v>766</v>
      </c>
      <c r="AG468" s="59" t="s">
        <v>329</v>
      </c>
      <c r="AH468" s="59" t="s">
        <v>4871</v>
      </c>
      <c r="AI468" s="59" t="s">
        <v>285</v>
      </c>
      <c r="AJ468" s="59" t="s">
        <v>818</v>
      </c>
      <c r="AK468" s="59" t="s">
        <v>819</v>
      </c>
      <c r="AL468" s="64" t="str">
        <f>IFERROR(INDEX(LK_BankMaster!$D$4:$D$23,MATCH(AJ468&amp;"|"&amp;AK468,LK_BankMaster!$H$4:$H$23,0)),"")</f>
        <v/>
      </c>
      <c r="AM468" s="59" t="s">
        <v>4872</v>
      </c>
      <c r="AN468" s="64" t="str">
        <f>IFERROR(VLOOKUP(AJ468,LK_BankMaster!$A$4:$E$23,5,FALSE()),"")</f>
        <v/>
      </c>
      <c r="AO468" s="59" t="s">
        <v>291</v>
      </c>
      <c r="AP468" s="66">
        <v>0</v>
      </c>
      <c r="AQ468" s="64" t="str">
        <f t="shared" si="31"/>
        <v>Position Allowance - General Staff</v>
      </c>
      <c r="AR468" s="65" t="str">
        <f>IFERROR(VLOOKUP(T468,LK_OrgMaster!$B$4:$G$89,6,FALSE()),"No")</f>
        <v>No</v>
      </c>
      <c r="AS468" s="64" t="str">
        <f>IFERROR(VLOOKUP(T468,LK_OrgMaster!$B$4:$H$89,7,FALSE()),"None")</f>
        <v>Teaching</v>
      </c>
      <c r="AT468" s="67">
        <v>37139</v>
      </c>
      <c r="AU468" s="67"/>
      <c r="AV468" s="67">
        <v>37139</v>
      </c>
      <c r="AW468" s="67">
        <v>46023</v>
      </c>
      <c r="AX468" s="68" t="s">
        <v>750</v>
      </c>
      <c r="AY468" s="69" t="s">
        <v>6260</v>
      </c>
    </row>
    <row r="469" spans="1:51" ht="15" customHeight="1" x14ac:dyDescent="0.3">
      <c r="A469" s="59" t="s">
        <v>4873</v>
      </c>
      <c r="B469" s="59" t="s">
        <v>729</v>
      </c>
      <c r="C469" s="59" t="s">
        <v>1740</v>
      </c>
      <c r="D469" s="59" t="s">
        <v>1418</v>
      </c>
      <c r="E469" s="59" t="s">
        <v>732</v>
      </c>
      <c r="F469" s="60">
        <v>34955</v>
      </c>
      <c r="G469" s="59" t="s">
        <v>4874</v>
      </c>
      <c r="H469" s="59" t="s">
        <v>4875</v>
      </c>
      <c r="I469" s="60">
        <v>38613</v>
      </c>
      <c r="J469" s="61">
        <f t="shared" ca="1" si="28"/>
        <v>20</v>
      </c>
      <c r="K469" s="62">
        <f t="shared" si="29"/>
        <v>56870</v>
      </c>
      <c r="L469" s="59" t="s">
        <v>735</v>
      </c>
      <c r="M469" s="59" t="s">
        <v>1607</v>
      </c>
      <c r="N469" s="59" t="s">
        <v>737</v>
      </c>
      <c r="O469" s="63">
        <v>0</v>
      </c>
      <c r="P469" s="61">
        <f>IFERROR(SUMPRODUCT((LK_GradeDerivation!$A$4:$A$135=N469)*(IF(O469="",0,O469)&gt;=LK_GradeDerivation!$B$4:$B$135)*(IF(O469="",0,O469)&lt;=LK_GradeDerivation!$C$4:$C$135)*LK_GradeDerivation!$D$4:$D$135),1)</f>
        <v>4</v>
      </c>
      <c r="Q469" s="61">
        <f>IFERROR(SUMPRODUCT((LK_GradeDerivation!$A$4:$A$135=N469)*(IF(O469="",0,O469)&gt;=LK_GradeDerivation!$B$4:$B$135)*(IF(O469="",0,O469)&lt;=LK_GradeDerivation!$C$4:$C$135)*LK_GradeDerivation!$E$4:$E$135),1)</f>
        <v>1</v>
      </c>
      <c r="R469" s="59" t="s">
        <v>4876</v>
      </c>
      <c r="S469" s="59" t="s">
        <v>4877</v>
      </c>
      <c r="T469" s="59" t="s">
        <v>1058</v>
      </c>
      <c r="U469" s="59" t="s">
        <v>1446</v>
      </c>
      <c r="V469" s="59" t="s">
        <v>4037</v>
      </c>
      <c r="W469" s="59" t="s">
        <v>285</v>
      </c>
      <c r="X469" s="59" t="s">
        <v>500</v>
      </c>
      <c r="Y469" s="59" t="s">
        <v>515</v>
      </c>
      <c r="Z469" s="64" t="str">
        <f>IFERROR(VLOOKUP(T469,LK_OrgMaster!$B$4:$H$89,5,FALSE()),"Administration")</f>
        <v>Technical</v>
      </c>
      <c r="AA469" s="65" t="str">
        <f>IFERROR(VLOOKUP(X469,LK_LocationMaster!$D$4:$G$157,4,FALSE()),"No")</f>
        <v>No</v>
      </c>
      <c r="AB469" s="65" t="str">
        <f t="shared" si="30"/>
        <v>No</v>
      </c>
      <c r="AC469" s="65" t="str">
        <f>IFERROR(VLOOKUP(X469,LK_LocationMaster!$D$4:$H$157,5,FALSE()),"No")</f>
        <v>Yes</v>
      </c>
      <c r="AD469" s="59" t="s">
        <v>2824</v>
      </c>
      <c r="AE469" s="59" t="s">
        <v>3299</v>
      </c>
      <c r="AF469" s="59" t="s">
        <v>901</v>
      </c>
      <c r="AG469" s="59" t="s">
        <v>391</v>
      </c>
      <c r="AH469" s="59" t="s">
        <v>4878</v>
      </c>
      <c r="AI469" s="59" t="s">
        <v>285</v>
      </c>
      <c r="AJ469" s="59" t="s">
        <v>818</v>
      </c>
      <c r="AK469" s="59" t="s">
        <v>944</v>
      </c>
      <c r="AL469" s="64" t="str">
        <f>IFERROR(INDEX(LK_BankMaster!$D$4:$D$23,MATCH(AJ469&amp;"|"&amp;AK469,LK_BankMaster!$H$4:$H$23,0)),"")</f>
        <v/>
      </c>
      <c r="AM469" s="59" t="s">
        <v>4879</v>
      </c>
      <c r="AN469" s="64" t="str">
        <f>IFERROR(VLOOKUP(AJ469,LK_BankMaster!$A$4:$E$23,5,FALSE()),"")</f>
        <v/>
      </c>
      <c r="AO469" s="59" t="s">
        <v>291</v>
      </c>
      <c r="AP469" s="66">
        <v>0</v>
      </c>
      <c r="AQ469" s="64" t="str">
        <f t="shared" si="31"/>
        <v>Position Allowance - General Staff</v>
      </c>
      <c r="AR469" s="65" t="str">
        <f>IFERROR(VLOOKUP(T469,LK_OrgMaster!$B$4:$G$89,6,FALSE()),"No")</f>
        <v>No</v>
      </c>
      <c r="AS469" s="64" t="str">
        <f>IFERROR(VLOOKUP(T469,LK_OrgMaster!$B$4:$H$89,7,FALSE()),"None")</f>
        <v>None</v>
      </c>
      <c r="AT469" s="70">
        <v>38613</v>
      </c>
      <c r="AU469" s="70"/>
      <c r="AV469" s="70">
        <v>38613</v>
      </c>
      <c r="AW469" s="70">
        <v>46023</v>
      </c>
      <c r="AX469" s="71" t="s">
        <v>750</v>
      </c>
      <c r="AY469" s="72" t="s">
        <v>6260</v>
      </c>
    </row>
    <row r="470" spans="1:51" ht="15" customHeight="1" x14ac:dyDescent="0.3">
      <c r="A470" s="59" t="s">
        <v>4880</v>
      </c>
      <c r="B470" s="59" t="s">
        <v>729</v>
      </c>
      <c r="C470" s="59" t="s">
        <v>3177</v>
      </c>
      <c r="D470" s="59" t="s">
        <v>838</v>
      </c>
      <c r="E470" s="59" t="s">
        <v>732</v>
      </c>
      <c r="F470" s="60">
        <v>32587</v>
      </c>
      <c r="G470" s="59" t="s">
        <v>4881</v>
      </c>
      <c r="H470" s="59" t="s">
        <v>4882</v>
      </c>
      <c r="I470" s="60">
        <v>45573</v>
      </c>
      <c r="J470" s="61">
        <f t="shared" ca="1" si="28"/>
        <v>1</v>
      </c>
      <c r="K470" s="62">
        <f t="shared" si="29"/>
        <v>54502</v>
      </c>
      <c r="L470" s="59" t="s">
        <v>735</v>
      </c>
      <c r="M470" s="59" t="s">
        <v>3028</v>
      </c>
      <c r="N470" s="59" t="s">
        <v>758</v>
      </c>
      <c r="O470" s="63">
        <v>10</v>
      </c>
      <c r="P470" s="61">
        <f>IFERROR(SUMPRODUCT((LK_GradeDerivation!$A$4:$A$135=N470)*(IF(O470="",0,O470)&gt;=LK_GradeDerivation!$B$4:$B$135)*(IF(O470="",0,O470)&lt;=LK_GradeDerivation!$C$4:$C$135)*LK_GradeDerivation!$D$4:$D$135),1)</f>
        <v>5</v>
      </c>
      <c r="Q470" s="61">
        <f>IFERROR(SUMPRODUCT((LK_GradeDerivation!$A$4:$A$135=N470)*(IF(O470="",0,O470)&gt;=LK_GradeDerivation!$B$4:$B$135)*(IF(O470="",0,O470)&lt;=LK_GradeDerivation!$C$4:$C$135)*LK_GradeDerivation!$E$4:$E$135),1)</f>
        <v>6</v>
      </c>
      <c r="R470" s="59" t="s">
        <v>4883</v>
      </c>
      <c r="S470" s="59" t="s">
        <v>4884</v>
      </c>
      <c r="T470" s="59" t="s">
        <v>1118</v>
      </c>
      <c r="U470" s="59" t="s">
        <v>2930</v>
      </c>
      <c r="V470" s="59" t="s">
        <v>4885</v>
      </c>
      <c r="W470" s="59" t="s">
        <v>285</v>
      </c>
      <c r="X470" s="59" t="s">
        <v>527</v>
      </c>
      <c r="Y470" s="59" t="s">
        <v>527</v>
      </c>
      <c r="Z470" s="64" t="str">
        <f>IFERROR(VLOOKUP(T470,LK_OrgMaster!$B$4:$H$89,5,FALSE()),"Administration")</f>
        <v>Diplomatic</v>
      </c>
      <c r="AA470" s="65" t="str">
        <f>IFERROR(VLOOKUP(X470,LK_LocationMaster!$D$4:$G$157,4,FALSE()),"No")</f>
        <v>No</v>
      </c>
      <c r="AB470" s="65" t="str">
        <f t="shared" si="30"/>
        <v>No</v>
      </c>
      <c r="AC470" s="65" t="str">
        <f>IFERROR(VLOOKUP(X470,LK_LocationMaster!$D$4:$H$157,5,FALSE()),"No")</f>
        <v>No</v>
      </c>
      <c r="AD470" s="59" t="s">
        <v>4886</v>
      </c>
      <c r="AE470" s="59" t="s">
        <v>800</v>
      </c>
      <c r="AF470" s="59" t="s">
        <v>766</v>
      </c>
      <c r="AG470" s="59" t="s">
        <v>288</v>
      </c>
      <c r="AH470" s="59" t="s">
        <v>4887</v>
      </c>
      <c r="AI470" s="59" t="s">
        <v>285</v>
      </c>
      <c r="AJ470" s="59" t="s">
        <v>768</v>
      </c>
      <c r="AK470" s="59" t="s">
        <v>1063</v>
      </c>
      <c r="AL470" s="64" t="str">
        <f>IFERROR(INDEX(LK_BankMaster!$D$4:$D$23,MATCH(AJ470&amp;"|"&amp;AK470,LK_BankMaster!$H$4:$H$23,0)),"")</f>
        <v/>
      </c>
      <c r="AM470" s="59" t="s">
        <v>4888</v>
      </c>
      <c r="AN470" s="64" t="str">
        <f>IFERROR(VLOOKUP(AJ470,LK_BankMaster!$A$4:$E$23,5,FALSE()),"")</f>
        <v/>
      </c>
      <c r="AO470" s="59" t="s">
        <v>314</v>
      </c>
      <c r="AP470" s="66">
        <v>3</v>
      </c>
      <c r="AQ470" s="64" t="str">
        <f t="shared" si="31"/>
        <v>Position Allowance - General Staff</v>
      </c>
      <c r="AR470" s="65" t="str">
        <f>IFERROR(VLOOKUP(T470,LK_OrgMaster!$B$4:$G$89,6,FALSE()),"No")</f>
        <v>No</v>
      </c>
      <c r="AS470" s="64" t="str">
        <f>IFERROR(VLOOKUP(T470,LK_OrgMaster!$B$4:$H$89,7,FALSE()),"None")</f>
        <v>None</v>
      </c>
      <c r="AT470" s="67">
        <v>45573</v>
      </c>
      <c r="AU470" s="67"/>
      <c r="AV470" s="67">
        <v>45573</v>
      </c>
      <c r="AW470" s="67">
        <v>46023</v>
      </c>
      <c r="AX470" s="68" t="s">
        <v>750</v>
      </c>
      <c r="AY470" s="69" t="s">
        <v>6260</v>
      </c>
    </row>
    <row r="471" spans="1:51" ht="15" customHeight="1" x14ac:dyDescent="0.3">
      <c r="A471" s="59" t="s">
        <v>4889</v>
      </c>
      <c r="B471" s="59" t="s">
        <v>752</v>
      </c>
      <c r="C471" s="59" t="s">
        <v>2315</v>
      </c>
      <c r="D471" s="59" t="s">
        <v>731</v>
      </c>
      <c r="E471" s="59" t="s">
        <v>732</v>
      </c>
      <c r="F471" s="60">
        <v>32540</v>
      </c>
      <c r="G471" s="59" t="s">
        <v>4890</v>
      </c>
      <c r="H471" s="59" t="s">
        <v>4891</v>
      </c>
      <c r="I471" s="60">
        <v>38421</v>
      </c>
      <c r="J471" s="61">
        <f t="shared" ca="1" si="28"/>
        <v>21</v>
      </c>
      <c r="K471" s="62">
        <f t="shared" si="29"/>
        <v>54455</v>
      </c>
      <c r="L471" s="59" t="s">
        <v>735</v>
      </c>
      <c r="M471" s="59" t="s">
        <v>1454</v>
      </c>
      <c r="N471" s="59" t="s">
        <v>758</v>
      </c>
      <c r="O471" s="63">
        <v>0</v>
      </c>
      <c r="P471" s="61">
        <f>IFERROR(SUMPRODUCT((LK_GradeDerivation!$A$4:$A$135=N471)*(IF(O471="",0,O471)&gt;=LK_GradeDerivation!$B$4:$B$135)*(IF(O471="",0,O471)&lt;=LK_GradeDerivation!$C$4:$C$135)*LK_GradeDerivation!$D$4:$D$135),1)</f>
        <v>5</v>
      </c>
      <c r="Q471" s="61">
        <f>IFERROR(SUMPRODUCT((LK_GradeDerivation!$A$4:$A$135=N471)*(IF(O471="",0,O471)&gt;=LK_GradeDerivation!$B$4:$B$135)*(IF(O471="",0,O471)&lt;=LK_GradeDerivation!$C$4:$C$135)*LK_GradeDerivation!$E$4:$E$135),1)</f>
        <v>1</v>
      </c>
      <c r="R471" s="59" t="s">
        <v>4892</v>
      </c>
      <c r="S471" s="59" t="s">
        <v>4893</v>
      </c>
      <c r="T471" s="59" t="s">
        <v>740</v>
      </c>
      <c r="U471" s="59" t="s">
        <v>927</v>
      </c>
      <c r="V471" s="59" t="s">
        <v>2335</v>
      </c>
      <c r="W471" s="59" t="s">
        <v>285</v>
      </c>
      <c r="X471" s="59" t="s">
        <v>544</v>
      </c>
      <c r="Y471" s="59" t="s">
        <v>552</v>
      </c>
      <c r="Z471" s="64" t="str">
        <f>IFERROR(VLOOKUP(T471,LK_OrgMaster!$B$4:$H$89,5,FALSE()),"Administration")</f>
        <v>Teacher</v>
      </c>
      <c r="AA471" s="65" t="str">
        <f>IFERROR(VLOOKUP(X471,LK_LocationMaster!$D$4:$G$157,4,FALSE()),"No")</f>
        <v>Yes</v>
      </c>
      <c r="AB471" s="65" t="str">
        <f t="shared" si="30"/>
        <v>No</v>
      </c>
      <c r="AC471" s="65" t="str">
        <f>IFERROR(VLOOKUP(X471,LK_LocationMaster!$D$4:$H$157,5,FALSE()),"No")</f>
        <v>Yes</v>
      </c>
      <c r="AD471" s="59" t="s">
        <v>4100</v>
      </c>
      <c r="AE471" s="59" t="s">
        <v>886</v>
      </c>
      <c r="AF471" s="59" t="s">
        <v>786</v>
      </c>
      <c r="AG471" s="59" t="s">
        <v>312</v>
      </c>
      <c r="AH471" s="59" t="s">
        <v>2774</v>
      </c>
      <c r="AI471" s="59" t="s">
        <v>285</v>
      </c>
      <c r="AJ471" s="59" t="s">
        <v>833</v>
      </c>
      <c r="AK471" s="59" t="s">
        <v>1013</v>
      </c>
      <c r="AL471" s="64" t="str">
        <f>IFERROR(INDEX(LK_BankMaster!$D$4:$D$23,MATCH(AJ471&amp;"|"&amp;AK471,LK_BankMaster!$H$4:$H$23,0)),"")</f>
        <v/>
      </c>
      <c r="AM471" s="59" t="s">
        <v>4894</v>
      </c>
      <c r="AN471" s="64" t="str">
        <f>IFERROR(VLOOKUP(AJ471,LK_BankMaster!$A$4:$E$23,5,FALSE()),"")</f>
        <v/>
      </c>
      <c r="AO471" s="59" t="s">
        <v>291</v>
      </c>
      <c r="AP471" s="66">
        <v>0</v>
      </c>
      <c r="AQ471" s="64" t="str">
        <f t="shared" si="31"/>
        <v>Position Allowance - General Staff</v>
      </c>
      <c r="AR471" s="65" t="str">
        <f>IFERROR(VLOOKUP(T471,LK_OrgMaster!$B$4:$G$89,6,FALSE()),"No")</f>
        <v>No</v>
      </c>
      <c r="AS471" s="64" t="str">
        <f>IFERROR(VLOOKUP(T471,LK_OrgMaster!$B$4:$H$89,7,FALSE()),"None")</f>
        <v>Teaching</v>
      </c>
      <c r="AT471" s="70">
        <v>38421</v>
      </c>
      <c r="AU471" s="70"/>
      <c r="AV471" s="70">
        <v>38421</v>
      </c>
      <c r="AW471" s="70">
        <v>46023</v>
      </c>
      <c r="AX471" s="71" t="s">
        <v>750</v>
      </c>
      <c r="AY471" s="72" t="s">
        <v>6260</v>
      </c>
    </row>
    <row r="472" spans="1:51" ht="15" customHeight="1" x14ac:dyDescent="0.3">
      <c r="A472" s="59" t="s">
        <v>4895</v>
      </c>
      <c r="B472" s="59" t="s">
        <v>772</v>
      </c>
      <c r="C472" s="59" t="s">
        <v>1289</v>
      </c>
      <c r="D472" s="59" t="s">
        <v>1042</v>
      </c>
      <c r="E472" s="59" t="s">
        <v>775</v>
      </c>
      <c r="F472" s="60">
        <v>28477</v>
      </c>
      <c r="G472" s="59" t="s">
        <v>4896</v>
      </c>
      <c r="H472" s="59" t="s">
        <v>4897</v>
      </c>
      <c r="I472" s="60">
        <v>44386</v>
      </c>
      <c r="J472" s="61">
        <f t="shared" ca="1" si="28"/>
        <v>4</v>
      </c>
      <c r="K472" s="62">
        <f t="shared" si="29"/>
        <v>50392</v>
      </c>
      <c r="L472" s="59" t="s">
        <v>735</v>
      </c>
      <c r="M472" s="59" t="s">
        <v>1443</v>
      </c>
      <c r="N472" s="59" t="s">
        <v>758</v>
      </c>
      <c r="O472" s="63">
        <v>18</v>
      </c>
      <c r="P472" s="61">
        <f>IFERROR(SUMPRODUCT((LK_GradeDerivation!$A$4:$A$135=N472)*(IF(O472="",0,O472)&gt;=LK_GradeDerivation!$B$4:$B$135)*(IF(O472="",0,O472)&lt;=LK_GradeDerivation!$C$4:$C$135)*LK_GradeDerivation!$D$4:$D$135),1)</f>
        <v>5</v>
      </c>
      <c r="Q472" s="61">
        <f>IFERROR(SUMPRODUCT((LK_GradeDerivation!$A$4:$A$135=N472)*(IF(O472="",0,O472)&gt;=LK_GradeDerivation!$B$4:$B$135)*(IF(O472="",0,O472)&lt;=LK_GradeDerivation!$C$4:$C$135)*LK_GradeDerivation!$E$4:$E$135),1)</f>
        <v>10</v>
      </c>
      <c r="R472" s="59" t="s">
        <v>4898</v>
      </c>
      <c r="S472" s="59" t="s">
        <v>4899</v>
      </c>
      <c r="T472" s="59" t="s">
        <v>859</v>
      </c>
      <c r="U472" s="59" t="s">
        <v>940</v>
      </c>
      <c r="V472" s="59" t="s">
        <v>941</v>
      </c>
      <c r="W472" s="59" t="s">
        <v>285</v>
      </c>
      <c r="X472" s="59" t="s">
        <v>587</v>
      </c>
      <c r="Y472" s="59" t="s">
        <v>589</v>
      </c>
      <c r="Z472" s="64" t="str">
        <f>IFERROR(VLOOKUP(T472,LK_OrgMaster!$B$4:$H$89,5,FALSE()),"Administration")</f>
        <v>Technical</v>
      </c>
      <c r="AA472" s="65" t="str">
        <f>IFERROR(VLOOKUP(X472,LK_LocationMaster!$D$4:$G$157,4,FALSE()),"No")</f>
        <v>Yes</v>
      </c>
      <c r="AB472" s="65" t="str">
        <f t="shared" si="30"/>
        <v>No</v>
      </c>
      <c r="AC472" s="65" t="str">
        <f>IFERROR(VLOOKUP(X472,LK_LocationMaster!$D$4:$H$157,5,FALSE()),"No")</f>
        <v>Yes</v>
      </c>
      <c r="AD472" s="59" t="s">
        <v>3182</v>
      </c>
      <c r="AE472" s="59" t="s">
        <v>4900</v>
      </c>
      <c r="AF472" s="59" t="s">
        <v>801</v>
      </c>
      <c r="AG472" s="59" t="s">
        <v>288</v>
      </c>
      <c r="AH472" s="59" t="s">
        <v>4901</v>
      </c>
      <c r="AI472" s="59" t="s">
        <v>285</v>
      </c>
      <c r="AJ472" s="59" t="s">
        <v>818</v>
      </c>
      <c r="AK472" s="59" t="s">
        <v>944</v>
      </c>
      <c r="AL472" s="64" t="str">
        <f>IFERROR(INDEX(LK_BankMaster!$D$4:$D$23,MATCH(AJ472&amp;"|"&amp;AK472,LK_BankMaster!$H$4:$H$23,0)),"")</f>
        <v/>
      </c>
      <c r="AM472" s="59" t="s">
        <v>4902</v>
      </c>
      <c r="AN472" s="64" t="str">
        <f>IFERROR(VLOOKUP(AJ472,LK_BankMaster!$A$4:$E$23,5,FALSE()),"")</f>
        <v/>
      </c>
      <c r="AO472" s="59" t="s">
        <v>291</v>
      </c>
      <c r="AP472" s="66">
        <v>0</v>
      </c>
      <c r="AQ472" s="64" t="str">
        <f t="shared" si="31"/>
        <v>Position Allowance - General Staff</v>
      </c>
      <c r="AR472" s="65" t="str">
        <f>IFERROR(VLOOKUP(T472,LK_OrgMaster!$B$4:$G$89,6,FALSE()),"No")</f>
        <v>No</v>
      </c>
      <c r="AS472" s="64" t="str">
        <f>IFERROR(VLOOKUP(T472,LK_OrgMaster!$B$4:$H$89,7,FALSE()),"None")</f>
        <v>None</v>
      </c>
      <c r="AT472" s="67">
        <v>44386</v>
      </c>
      <c r="AU472" s="67"/>
      <c r="AV472" s="67">
        <v>44386</v>
      </c>
      <c r="AW472" s="67">
        <v>46023</v>
      </c>
      <c r="AX472" s="68" t="s">
        <v>750</v>
      </c>
      <c r="AY472" s="69" t="s">
        <v>6260</v>
      </c>
    </row>
    <row r="473" spans="1:51" ht="15" customHeight="1" x14ac:dyDescent="0.3">
      <c r="A473" s="59" t="s">
        <v>4903</v>
      </c>
      <c r="B473" s="59" t="s">
        <v>851</v>
      </c>
      <c r="C473" s="59" t="s">
        <v>2689</v>
      </c>
      <c r="D473" s="59" t="s">
        <v>1289</v>
      </c>
      <c r="E473" s="59" t="s">
        <v>775</v>
      </c>
      <c r="F473" s="60">
        <v>27613</v>
      </c>
      <c r="G473" s="59" t="s">
        <v>4904</v>
      </c>
      <c r="H473" s="59" t="s">
        <v>4905</v>
      </c>
      <c r="I473" s="60">
        <v>38054</v>
      </c>
      <c r="J473" s="61">
        <f t="shared" ca="1" si="28"/>
        <v>22</v>
      </c>
      <c r="K473" s="62">
        <f t="shared" si="29"/>
        <v>49528</v>
      </c>
      <c r="L473" s="59" t="s">
        <v>735</v>
      </c>
      <c r="M473" s="59" t="s">
        <v>841</v>
      </c>
      <c r="N473" s="59" t="s">
        <v>758</v>
      </c>
      <c r="O473" s="63">
        <v>3</v>
      </c>
      <c r="P473" s="61">
        <f>IFERROR(SUMPRODUCT((LK_GradeDerivation!$A$4:$A$135=N473)*(IF(O473="",0,O473)&gt;=LK_GradeDerivation!$B$4:$B$135)*(IF(O473="",0,O473)&lt;=LK_GradeDerivation!$C$4:$C$135)*LK_GradeDerivation!$D$4:$D$135),1)</f>
        <v>5</v>
      </c>
      <c r="Q473" s="61">
        <f>IFERROR(SUMPRODUCT((LK_GradeDerivation!$A$4:$A$135=N473)*(IF(O473="",0,O473)&gt;=LK_GradeDerivation!$B$4:$B$135)*(IF(O473="",0,O473)&lt;=LK_GradeDerivation!$C$4:$C$135)*LK_GradeDerivation!$E$4:$E$135),1)</f>
        <v>2</v>
      </c>
      <c r="R473" s="59" t="s">
        <v>4906</v>
      </c>
      <c r="S473" s="59" t="s">
        <v>4907</v>
      </c>
      <c r="T473" s="59" t="s">
        <v>952</v>
      </c>
      <c r="U473" s="59" t="s">
        <v>1597</v>
      </c>
      <c r="V473" s="59" t="s">
        <v>2251</v>
      </c>
      <c r="W473" s="59" t="s">
        <v>285</v>
      </c>
      <c r="X473" s="59" t="s">
        <v>463</v>
      </c>
      <c r="Y473" s="59" t="s">
        <v>475</v>
      </c>
      <c r="Z473" s="64" t="str">
        <f>IFERROR(VLOOKUP(T473,LK_OrgMaster!$B$4:$H$89,5,FALSE()),"Administration")</f>
        <v>Administration</v>
      </c>
      <c r="AA473" s="65" t="str">
        <f>IFERROR(VLOOKUP(X473,LK_LocationMaster!$D$4:$G$157,4,FALSE()),"No")</f>
        <v>No</v>
      </c>
      <c r="AB473" s="65" t="str">
        <f t="shared" si="30"/>
        <v>No</v>
      </c>
      <c r="AC473" s="65" t="str">
        <f>IFERROR(VLOOKUP(X473,LK_LocationMaster!$D$4:$H$157,5,FALSE()),"No")</f>
        <v>No</v>
      </c>
      <c r="AD473" s="59" t="s">
        <v>4908</v>
      </c>
      <c r="AE473" s="59" t="s">
        <v>886</v>
      </c>
      <c r="AF473" s="59" t="s">
        <v>801</v>
      </c>
      <c r="AG473" s="59" t="s">
        <v>356</v>
      </c>
      <c r="AH473" s="59" t="s">
        <v>3475</v>
      </c>
      <c r="AI473" s="59" t="s">
        <v>285</v>
      </c>
      <c r="AJ473" s="59" t="s">
        <v>788</v>
      </c>
      <c r="AK473" s="59" t="s">
        <v>789</v>
      </c>
      <c r="AL473" s="64" t="str">
        <f>IFERROR(INDEX(LK_BankMaster!$D$4:$D$23,MATCH(AJ473&amp;"|"&amp;AK473,LK_BankMaster!$H$4:$H$23,0)),"")</f>
        <v/>
      </c>
      <c r="AM473" s="59" t="s">
        <v>4909</v>
      </c>
      <c r="AN473" s="64" t="str">
        <f>IFERROR(VLOOKUP(AJ473,LK_BankMaster!$A$4:$E$23,5,FALSE()),"")</f>
        <v/>
      </c>
      <c r="AO473" s="59" t="s">
        <v>314</v>
      </c>
      <c r="AP473" s="66">
        <v>1</v>
      </c>
      <c r="AQ473" s="64" t="str">
        <f t="shared" si="31"/>
        <v>Position Allowance - Director</v>
      </c>
      <c r="AR473" s="65" t="str">
        <f>IFERROR(VLOOKUP(T473,LK_OrgMaster!$B$4:$G$89,6,FALSE()),"No")</f>
        <v>No</v>
      </c>
      <c r="AS473" s="64" t="str">
        <f>IFERROR(VLOOKUP(T473,LK_OrgMaster!$B$4:$H$89,7,FALSE()),"None")</f>
        <v>None</v>
      </c>
      <c r="AT473" s="70">
        <v>38054</v>
      </c>
      <c r="AU473" s="70"/>
      <c r="AV473" s="70">
        <v>38054</v>
      </c>
      <c r="AW473" s="70">
        <v>46023</v>
      </c>
      <c r="AX473" s="71" t="s">
        <v>750</v>
      </c>
      <c r="AY473" s="72" t="s">
        <v>6260</v>
      </c>
    </row>
    <row r="474" spans="1:51" ht="15" customHeight="1" x14ac:dyDescent="0.3">
      <c r="A474" s="59" t="s">
        <v>4910</v>
      </c>
      <c r="B474" s="59" t="s">
        <v>772</v>
      </c>
      <c r="C474" s="59" t="s">
        <v>934</v>
      </c>
      <c r="D474" s="59" t="s">
        <v>974</v>
      </c>
      <c r="E474" s="59" t="s">
        <v>775</v>
      </c>
      <c r="F474" s="60">
        <v>28620</v>
      </c>
      <c r="G474" s="59" t="s">
        <v>4911</v>
      </c>
      <c r="H474" s="59" t="s">
        <v>4912</v>
      </c>
      <c r="I474" s="60">
        <v>32682</v>
      </c>
      <c r="J474" s="61">
        <f t="shared" ca="1" si="28"/>
        <v>36</v>
      </c>
      <c r="K474" s="62">
        <f t="shared" si="29"/>
        <v>50535</v>
      </c>
      <c r="L474" s="59" t="s">
        <v>735</v>
      </c>
      <c r="M474" s="59" t="s">
        <v>1201</v>
      </c>
      <c r="N474" s="59" t="s">
        <v>779</v>
      </c>
      <c r="O474" s="63">
        <v>0</v>
      </c>
      <c r="P474" s="61">
        <f>IFERROR(SUMPRODUCT((LK_GradeDerivation!$A$4:$A$135=N474)*(IF(O474="",0,O474)&gt;=LK_GradeDerivation!$B$4:$B$135)*(IF(O474="",0,O474)&lt;=LK_GradeDerivation!$C$4:$C$135)*LK_GradeDerivation!$D$4:$D$135),1)</f>
        <v>2</v>
      </c>
      <c r="Q474" s="61">
        <f>IFERROR(SUMPRODUCT((LK_GradeDerivation!$A$4:$A$135=N474)*(IF(O474="",0,O474)&gt;=LK_GradeDerivation!$B$4:$B$135)*(IF(O474="",0,O474)&lt;=LK_GradeDerivation!$C$4:$C$135)*LK_GradeDerivation!$E$4:$E$135),1)</f>
        <v>1</v>
      </c>
      <c r="R474" s="59" t="s">
        <v>4913</v>
      </c>
      <c r="S474" s="59" t="s">
        <v>4914</v>
      </c>
      <c r="T474" s="59" t="s">
        <v>979</v>
      </c>
      <c r="U474" s="59" t="s">
        <v>980</v>
      </c>
      <c r="V474" s="59" t="s">
        <v>981</v>
      </c>
      <c r="W474" s="59" t="s">
        <v>285</v>
      </c>
      <c r="X474" s="59" t="s">
        <v>368</v>
      </c>
      <c r="Y474" s="59" t="s">
        <v>387</v>
      </c>
      <c r="Z474" s="64" t="str">
        <f>IFERROR(VLOOKUP(T474,LK_OrgMaster!$B$4:$H$89,5,FALSE()),"Administration")</f>
        <v>Administration</v>
      </c>
      <c r="AA474" s="65" t="str">
        <f>IFERROR(VLOOKUP(X474,LK_LocationMaster!$D$4:$G$157,4,FALSE()),"No")</f>
        <v>No</v>
      </c>
      <c r="AB474" s="65" t="str">
        <f t="shared" si="30"/>
        <v>No</v>
      </c>
      <c r="AC474" s="65" t="str">
        <f>IFERROR(VLOOKUP(X474,LK_LocationMaster!$D$4:$H$157,5,FALSE()),"No")</f>
        <v>No</v>
      </c>
      <c r="AD474" s="59" t="s">
        <v>4915</v>
      </c>
      <c r="AE474" s="59" t="s">
        <v>886</v>
      </c>
      <c r="AF474" s="59" t="s">
        <v>816</v>
      </c>
      <c r="AG474" s="59" t="s">
        <v>329</v>
      </c>
      <c r="AH474" s="59" t="s">
        <v>4916</v>
      </c>
      <c r="AI474" s="59" t="s">
        <v>285</v>
      </c>
      <c r="AJ474" s="59" t="s">
        <v>768</v>
      </c>
      <c r="AK474" s="59" t="s">
        <v>803</v>
      </c>
      <c r="AL474" s="64" t="str">
        <f>IFERROR(INDEX(LK_BankMaster!$D$4:$D$23,MATCH(AJ474&amp;"|"&amp;AK474,LK_BankMaster!$H$4:$H$23,0)),"")</f>
        <v/>
      </c>
      <c r="AM474" s="59" t="s">
        <v>4917</v>
      </c>
      <c r="AN474" s="64" t="str">
        <f>IFERROR(VLOOKUP(AJ474,LK_BankMaster!$A$4:$E$23,5,FALSE()),"")</f>
        <v/>
      </c>
      <c r="AO474" s="59" t="s">
        <v>314</v>
      </c>
      <c r="AP474" s="66">
        <v>2</v>
      </c>
      <c r="AQ474" s="64" t="str">
        <f t="shared" si="31"/>
        <v>Position Allowance - General Staff</v>
      </c>
      <c r="AR474" s="65" t="str">
        <f>IFERROR(VLOOKUP(T474,LK_OrgMaster!$B$4:$G$89,6,FALSE()),"No")</f>
        <v>No</v>
      </c>
      <c r="AS474" s="64" t="str">
        <f>IFERROR(VLOOKUP(T474,LK_OrgMaster!$B$4:$H$89,7,FALSE()),"None")</f>
        <v>None</v>
      </c>
      <c r="AT474" s="67">
        <v>32682</v>
      </c>
      <c r="AU474" s="67"/>
      <c r="AV474" s="67">
        <v>32682</v>
      </c>
      <c r="AW474" s="67">
        <v>46023</v>
      </c>
      <c r="AX474" s="68" t="s">
        <v>750</v>
      </c>
      <c r="AY474" s="69" t="s">
        <v>6260</v>
      </c>
    </row>
    <row r="475" spans="1:51" ht="15" customHeight="1" x14ac:dyDescent="0.3">
      <c r="A475" s="59" t="s">
        <v>4918</v>
      </c>
      <c r="B475" s="59" t="s">
        <v>851</v>
      </c>
      <c r="C475" s="59" t="s">
        <v>866</v>
      </c>
      <c r="D475" s="59" t="s">
        <v>1017</v>
      </c>
      <c r="E475" s="59" t="s">
        <v>775</v>
      </c>
      <c r="F475" s="60">
        <v>31409</v>
      </c>
      <c r="G475" s="59" t="s">
        <v>4919</v>
      </c>
      <c r="H475" s="59" t="s">
        <v>4920</v>
      </c>
      <c r="I475" s="60">
        <v>37607</v>
      </c>
      <c r="J475" s="61">
        <f t="shared" ca="1" si="28"/>
        <v>23</v>
      </c>
      <c r="K475" s="62">
        <f t="shared" si="29"/>
        <v>53324</v>
      </c>
      <c r="L475" s="59" t="s">
        <v>735</v>
      </c>
      <c r="M475" s="59" t="s">
        <v>879</v>
      </c>
      <c r="N475" s="59" t="s">
        <v>737</v>
      </c>
      <c r="O475" s="63">
        <v>0</v>
      </c>
      <c r="P475" s="61">
        <f>IFERROR(SUMPRODUCT((LK_GradeDerivation!$A$4:$A$135=N475)*(IF(O475="",0,O475)&gt;=LK_GradeDerivation!$B$4:$B$135)*(IF(O475="",0,O475)&lt;=LK_GradeDerivation!$C$4:$C$135)*LK_GradeDerivation!$D$4:$D$135),1)</f>
        <v>4</v>
      </c>
      <c r="Q475" s="61">
        <f>IFERROR(SUMPRODUCT((LK_GradeDerivation!$A$4:$A$135=N475)*(IF(O475="",0,O475)&gt;=LK_GradeDerivation!$B$4:$B$135)*(IF(O475="",0,O475)&lt;=LK_GradeDerivation!$C$4:$C$135)*LK_GradeDerivation!$E$4:$E$135),1)</f>
        <v>1</v>
      </c>
      <c r="R475" s="59" t="s">
        <v>4921</v>
      </c>
      <c r="S475" s="59" t="s">
        <v>4922</v>
      </c>
      <c r="T475" s="59" t="s">
        <v>882</v>
      </c>
      <c r="U475" s="59" t="s">
        <v>883</v>
      </c>
      <c r="V475" s="59" t="s">
        <v>3602</v>
      </c>
      <c r="W475" s="59" t="s">
        <v>285</v>
      </c>
      <c r="X475" s="59" t="s">
        <v>500</v>
      </c>
      <c r="Y475" s="59" t="s">
        <v>515</v>
      </c>
      <c r="Z475" s="64" t="str">
        <f>IFERROR(VLOOKUP(T475,LK_OrgMaster!$B$4:$H$89,5,FALSE()),"Administration")</f>
        <v>Legal</v>
      </c>
      <c r="AA475" s="65" t="str">
        <f>IFERROR(VLOOKUP(X475,LK_LocationMaster!$D$4:$G$157,4,FALSE()),"No")</f>
        <v>No</v>
      </c>
      <c r="AB475" s="65" t="str">
        <f t="shared" si="30"/>
        <v>No</v>
      </c>
      <c r="AC475" s="65" t="str">
        <f>IFERROR(VLOOKUP(X475,LK_LocationMaster!$D$4:$H$157,5,FALSE()),"No")</f>
        <v>Yes</v>
      </c>
      <c r="AD475" s="59" t="s">
        <v>4923</v>
      </c>
      <c r="AE475" s="59" t="s">
        <v>765</v>
      </c>
      <c r="AF475" s="59" t="s">
        <v>766</v>
      </c>
      <c r="AG475" s="59" t="s">
        <v>368</v>
      </c>
      <c r="AH475" s="59" t="s">
        <v>4924</v>
      </c>
      <c r="AI475" s="59" t="s">
        <v>285</v>
      </c>
      <c r="AJ475" s="59" t="s">
        <v>747</v>
      </c>
      <c r="AK475" s="59" t="s">
        <v>748</v>
      </c>
      <c r="AL475" s="64" t="str">
        <f>IFERROR(INDEX(LK_BankMaster!$D$4:$D$23,MATCH(AJ475&amp;"|"&amp;AK475,LK_BankMaster!$H$4:$H$23,0)),"")</f>
        <v/>
      </c>
      <c r="AM475" s="59" t="s">
        <v>4925</v>
      </c>
      <c r="AN475" s="64" t="str">
        <f>IFERROR(VLOOKUP(AJ475,LK_BankMaster!$A$4:$E$23,5,FALSE()),"")</f>
        <v/>
      </c>
      <c r="AO475" s="59" t="s">
        <v>291</v>
      </c>
      <c r="AP475" s="66">
        <v>0</v>
      </c>
      <c r="AQ475" s="64" t="str">
        <f t="shared" si="31"/>
        <v>Position Allowance - General Staff</v>
      </c>
      <c r="AR475" s="65" t="str">
        <f>IFERROR(VLOOKUP(T475,LK_OrgMaster!$B$4:$G$89,6,FALSE()),"No")</f>
        <v>No</v>
      </c>
      <c r="AS475" s="64" t="str">
        <f>IFERROR(VLOOKUP(T475,LK_OrgMaster!$B$4:$H$89,7,FALSE()),"None")</f>
        <v>None</v>
      </c>
      <c r="AT475" s="70">
        <v>37607</v>
      </c>
      <c r="AU475" s="70"/>
      <c r="AV475" s="70">
        <v>37607</v>
      </c>
      <c r="AW475" s="70">
        <v>46023</v>
      </c>
      <c r="AX475" s="71" t="s">
        <v>750</v>
      </c>
      <c r="AY475" s="72" t="s">
        <v>6260</v>
      </c>
    </row>
    <row r="476" spans="1:51" ht="15" customHeight="1" x14ac:dyDescent="0.3">
      <c r="A476" s="59" t="s">
        <v>4926</v>
      </c>
      <c r="B476" s="59" t="s">
        <v>752</v>
      </c>
      <c r="C476" s="59" t="s">
        <v>2542</v>
      </c>
      <c r="D476" s="59" t="s">
        <v>1137</v>
      </c>
      <c r="E476" s="59" t="s">
        <v>732</v>
      </c>
      <c r="F476" s="60">
        <v>30091</v>
      </c>
      <c r="G476" s="59" t="s">
        <v>4927</v>
      </c>
      <c r="H476" s="59" t="s">
        <v>4928</v>
      </c>
      <c r="I476" s="60">
        <v>41004</v>
      </c>
      <c r="J476" s="61">
        <f t="shared" ca="1" si="28"/>
        <v>13</v>
      </c>
      <c r="K476" s="62">
        <f t="shared" si="29"/>
        <v>52006</v>
      </c>
      <c r="L476" s="59" t="s">
        <v>735</v>
      </c>
      <c r="M476" s="59" t="s">
        <v>1020</v>
      </c>
      <c r="N476" s="59" t="s">
        <v>737</v>
      </c>
      <c r="O476" s="63">
        <v>7</v>
      </c>
      <c r="P476" s="61">
        <f>IFERROR(SUMPRODUCT((LK_GradeDerivation!$A$4:$A$135=N476)*(IF(O476="",0,O476)&gt;=LK_GradeDerivation!$B$4:$B$135)*(IF(O476="",0,O476)&lt;=LK_GradeDerivation!$C$4:$C$135)*LK_GradeDerivation!$D$4:$D$135),1)</f>
        <v>4</v>
      </c>
      <c r="Q476" s="61">
        <f>IFERROR(SUMPRODUCT((LK_GradeDerivation!$A$4:$A$135=N476)*(IF(O476="",0,O476)&gt;=LK_GradeDerivation!$B$4:$B$135)*(IF(O476="",0,O476)&lt;=LK_GradeDerivation!$C$4:$C$135)*LK_GradeDerivation!$E$4:$E$135),1)</f>
        <v>4</v>
      </c>
      <c r="R476" s="59" t="s">
        <v>4929</v>
      </c>
      <c r="S476" s="59" t="s">
        <v>4930</v>
      </c>
      <c r="T476" s="59" t="s">
        <v>979</v>
      </c>
      <c r="U476" s="59" t="s">
        <v>1475</v>
      </c>
      <c r="V476" s="59" t="s">
        <v>763</v>
      </c>
      <c r="W476" s="59" t="s">
        <v>285</v>
      </c>
      <c r="X476" s="59" t="s">
        <v>340</v>
      </c>
      <c r="Y476" s="59" t="s">
        <v>352</v>
      </c>
      <c r="Z476" s="64" t="str">
        <f>IFERROR(VLOOKUP(T476,LK_OrgMaster!$B$4:$H$89,5,FALSE()),"Administration")</f>
        <v>Administration</v>
      </c>
      <c r="AA476" s="65" t="str">
        <f>IFERROR(VLOOKUP(X476,LK_LocationMaster!$D$4:$G$157,4,FALSE()),"No")</f>
        <v>No</v>
      </c>
      <c r="AB476" s="65" t="str">
        <f t="shared" si="30"/>
        <v>No</v>
      </c>
      <c r="AC476" s="65" t="str">
        <f>IFERROR(VLOOKUP(X476,LK_LocationMaster!$D$4:$H$157,5,FALSE()),"No")</f>
        <v>No</v>
      </c>
      <c r="AD476" s="59" t="s">
        <v>3182</v>
      </c>
      <c r="AE476" s="59" t="s">
        <v>930</v>
      </c>
      <c r="AF476" s="59" t="s">
        <v>816</v>
      </c>
      <c r="AG476" s="59" t="s">
        <v>340</v>
      </c>
      <c r="AH476" s="59" t="s">
        <v>4931</v>
      </c>
      <c r="AI476" s="59" t="s">
        <v>285</v>
      </c>
      <c r="AJ476" s="59" t="s">
        <v>833</v>
      </c>
      <c r="AK476" s="59" t="s">
        <v>834</v>
      </c>
      <c r="AL476" s="64" t="str">
        <f>IFERROR(INDEX(LK_BankMaster!$D$4:$D$23,MATCH(AJ476&amp;"|"&amp;AK476,LK_BankMaster!$H$4:$H$23,0)),"")</f>
        <v/>
      </c>
      <c r="AM476" s="59" t="s">
        <v>4932</v>
      </c>
      <c r="AN476" s="64" t="str">
        <f>IFERROR(VLOOKUP(AJ476,LK_BankMaster!$A$4:$E$23,5,FALSE()),"")</f>
        <v/>
      </c>
      <c r="AO476" s="59" t="s">
        <v>314</v>
      </c>
      <c r="AP476" s="66">
        <v>0</v>
      </c>
      <c r="AQ476" s="64" t="str">
        <f t="shared" si="31"/>
        <v>Position Allowance - Section Chief</v>
      </c>
      <c r="AR476" s="65" t="str">
        <f>IFERROR(VLOOKUP(T476,LK_OrgMaster!$B$4:$G$89,6,FALSE()),"No")</f>
        <v>No</v>
      </c>
      <c r="AS476" s="64" t="str">
        <f>IFERROR(VLOOKUP(T476,LK_OrgMaster!$B$4:$H$89,7,FALSE()),"None")</f>
        <v>None</v>
      </c>
      <c r="AT476" s="67">
        <v>41004</v>
      </c>
      <c r="AU476" s="67"/>
      <c r="AV476" s="67">
        <v>41004</v>
      </c>
      <c r="AW476" s="67">
        <v>46023</v>
      </c>
      <c r="AX476" s="68" t="s">
        <v>750</v>
      </c>
      <c r="AY476" s="69" t="s">
        <v>6260</v>
      </c>
    </row>
    <row r="477" spans="1:51" ht="15" customHeight="1" x14ac:dyDescent="0.3">
      <c r="A477" s="59" t="s">
        <v>4933</v>
      </c>
      <c r="B477" s="59" t="s">
        <v>772</v>
      </c>
      <c r="C477" s="59" t="s">
        <v>753</v>
      </c>
      <c r="D477" s="59" t="s">
        <v>921</v>
      </c>
      <c r="E477" s="59" t="s">
        <v>732</v>
      </c>
      <c r="F477" s="60">
        <v>35893</v>
      </c>
      <c r="G477" s="59" t="s">
        <v>4934</v>
      </c>
      <c r="H477" s="59" t="s">
        <v>4935</v>
      </c>
      <c r="I477" s="60">
        <v>35720</v>
      </c>
      <c r="J477" s="61">
        <f t="shared" ca="1" si="28"/>
        <v>28</v>
      </c>
      <c r="K477" s="62">
        <f t="shared" si="29"/>
        <v>57808</v>
      </c>
      <c r="L477" s="59" t="s">
        <v>735</v>
      </c>
      <c r="M477" s="59" t="s">
        <v>992</v>
      </c>
      <c r="N477" s="59" t="s">
        <v>779</v>
      </c>
      <c r="O477" s="63">
        <v>0</v>
      </c>
      <c r="P477" s="61">
        <f>IFERROR(SUMPRODUCT((LK_GradeDerivation!$A$4:$A$135=N477)*(IF(O477="",0,O477)&gt;=LK_GradeDerivation!$B$4:$B$135)*(IF(O477="",0,O477)&lt;=LK_GradeDerivation!$C$4:$C$135)*LK_GradeDerivation!$D$4:$D$135),1)</f>
        <v>2</v>
      </c>
      <c r="Q477" s="61">
        <f>IFERROR(SUMPRODUCT((LK_GradeDerivation!$A$4:$A$135=N477)*(IF(O477="",0,O477)&gt;=LK_GradeDerivation!$B$4:$B$135)*(IF(O477="",0,O477)&lt;=LK_GradeDerivation!$C$4:$C$135)*LK_GradeDerivation!$E$4:$E$135),1)</f>
        <v>1</v>
      </c>
      <c r="R477" s="59" t="s">
        <v>4936</v>
      </c>
      <c r="S477" s="59" t="s">
        <v>4937</v>
      </c>
      <c r="T477" s="59" t="s">
        <v>740</v>
      </c>
      <c r="U477" s="59" t="s">
        <v>1262</v>
      </c>
      <c r="V477" s="59" t="s">
        <v>1325</v>
      </c>
      <c r="W477" s="59" t="s">
        <v>285</v>
      </c>
      <c r="X477" s="59" t="s">
        <v>368</v>
      </c>
      <c r="Y477" s="59" t="s">
        <v>389</v>
      </c>
      <c r="Z477" s="64" t="str">
        <f>IFERROR(VLOOKUP(T477,LK_OrgMaster!$B$4:$H$89,5,FALSE()),"Administration")</f>
        <v>Teacher</v>
      </c>
      <c r="AA477" s="65" t="str">
        <f>IFERROR(VLOOKUP(X477,LK_LocationMaster!$D$4:$G$157,4,FALSE()),"No")</f>
        <v>No</v>
      </c>
      <c r="AB477" s="65" t="str">
        <f t="shared" si="30"/>
        <v>No</v>
      </c>
      <c r="AC477" s="65" t="str">
        <f>IFERROR(VLOOKUP(X477,LK_LocationMaster!$D$4:$H$157,5,FALSE()),"No")</f>
        <v>No</v>
      </c>
      <c r="AD477" s="59" t="s">
        <v>4938</v>
      </c>
      <c r="AE477" s="59" t="s">
        <v>930</v>
      </c>
      <c r="AF477" s="59" t="s">
        <v>915</v>
      </c>
      <c r="AG477" s="59" t="s">
        <v>356</v>
      </c>
      <c r="AH477" s="59" t="s">
        <v>4939</v>
      </c>
      <c r="AI477" s="59" t="s">
        <v>285</v>
      </c>
      <c r="AJ477" s="59" t="s">
        <v>833</v>
      </c>
      <c r="AK477" s="59" t="s">
        <v>917</v>
      </c>
      <c r="AL477" s="64" t="str">
        <f>IFERROR(INDEX(LK_BankMaster!$D$4:$D$23,MATCH(AJ477&amp;"|"&amp;AK477,LK_BankMaster!$H$4:$H$23,0)),"")</f>
        <v/>
      </c>
      <c r="AM477" s="59" t="s">
        <v>4940</v>
      </c>
      <c r="AN477" s="64" t="str">
        <f>IFERROR(VLOOKUP(AJ477,LK_BankMaster!$A$4:$E$23,5,FALSE()),"")</f>
        <v/>
      </c>
      <c r="AO477" s="59" t="s">
        <v>291</v>
      </c>
      <c r="AP477" s="66">
        <v>0</v>
      </c>
      <c r="AQ477" s="64" t="str">
        <f t="shared" si="31"/>
        <v>Position Allowance - General Staff</v>
      </c>
      <c r="AR477" s="65" t="str">
        <f>IFERROR(VLOOKUP(T477,LK_OrgMaster!$B$4:$G$89,6,FALSE()),"No")</f>
        <v>No</v>
      </c>
      <c r="AS477" s="64" t="str">
        <f>IFERROR(VLOOKUP(T477,LK_OrgMaster!$B$4:$H$89,7,FALSE()),"None")</f>
        <v>Teaching</v>
      </c>
      <c r="AT477" s="70">
        <v>35720</v>
      </c>
      <c r="AU477" s="70"/>
      <c r="AV477" s="70">
        <v>35720</v>
      </c>
      <c r="AW477" s="70">
        <v>46023</v>
      </c>
      <c r="AX477" s="71" t="s">
        <v>750</v>
      </c>
      <c r="AY477" s="72" t="s">
        <v>6260</v>
      </c>
    </row>
    <row r="478" spans="1:51" ht="15" customHeight="1" x14ac:dyDescent="0.3">
      <c r="A478" s="59" t="s">
        <v>4941</v>
      </c>
      <c r="B478" s="59" t="s">
        <v>851</v>
      </c>
      <c r="C478" s="59" t="s">
        <v>1429</v>
      </c>
      <c r="D478" s="59" t="s">
        <v>1003</v>
      </c>
      <c r="E478" s="59" t="s">
        <v>775</v>
      </c>
      <c r="F478" s="60">
        <v>26309</v>
      </c>
      <c r="G478" s="59" t="s">
        <v>4942</v>
      </c>
      <c r="H478" s="59" t="s">
        <v>4943</v>
      </c>
      <c r="I478" s="60">
        <v>43734</v>
      </c>
      <c r="J478" s="61">
        <f t="shared" ca="1" si="28"/>
        <v>6</v>
      </c>
      <c r="K478" s="62">
        <f t="shared" si="29"/>
        <v>48224</v>
      </c>
      <c r="L478" s="59" t="s">
        <v>735</v>
      </c>
      <c r="M478" s="59" t="s">
        <v>1020</v>
      </c>
      <c r="N478" s="59" t="s">
        <v>758</v>
      </c>
      <c r="O478" s="63">
        <v>22</v>
      </c>
      <c r="P478" s="61">
        <f>IFERROR(SUMPRODUCT((LK_GradeDerivation!$A$4:$A$135=N478)*(IF(O478="",0,O478)&gt;=LK_GradeDerivation!$B$4:$B$135)*(IF(O478="",0,O478)&lt;=LK_GradeDerivation!$C$4:$C$135)*LK_GradeDerivation!$D$4:$D$135),1)</f>
        <v>5</v>
      </c>
      <c r="Q478" s="61">
        <f>IFERROR(SUMPRODUCT((LK_GradeDerivation!$A$4:$A$135=N478)*(IF(O478="",0,O478)&gt;=LK_GradeDerivation!$B$4:$B$135)*(IF(O478="",0,O478)&lt;=LK_GradeDerivation!$C$4:$C$135)*LK_GradeDerivation!$E$4:$E$135),1)</f>
        <v>12</v>
      </c>
      <c r="R478" s="59" t="s">
        <v>4944</v>
      </c>
      <c r="S478" s="59" t="s">
        <v>4945</v>
      </c>
      <c r="T478" s="59" t="s">
        <v>1058</v>
      </c>
      <c r="U478" s="59" t="s">
        <v>1059</v>
      </c>
      <c r="V478" s="59" t="s">
        <v>4946</v>
      </c>
      <c r="W478" s="59" t="s">
        <v>285</v>
      </c>
      <c r="X478" s="59" t="s">
        <v>329</v>
      </c>
      <c r="Y478" s="59" t="s">
        <v>332</v>
      </c>
      <c r="Z478" s="64" t="str">
        <f>IFERROR(VLOOKUP(T478,LK_OrgMaster!$B$4:$H$89,5,FALSE()),"Administration")</f>
        <v>Technical</v>
      </c>
      <c r="AA478" s="65" t="str">
        <f>IFERROR(VLOOKUP(X478,LK_LocationMaster!$D$4:$G$157,4,FALSE()),"No")</f>
        <v>Yes</v>
      </c>
      <c r="AB478" s="65" t="str">
        <f t="shared" si="30"/>
        <v>No</v>
      </c>
      <c r="AC478" s="65" t="str">
        <f>IFERROR(VLOOKUP(X478,LK_LocationMaster!$D$4:$H$157,5,FALSE()),"No")</f>
        <v>No</v>
      </c>
      <c r="AD478" s="59" t="s">
        <v>4947</v>
      </c>
      <c r="AE478" s="59" t="s">
        <v>886</v>
      </c>
      <c r="AF478" s="59" t="s">
        <v>969</v>
      </c>
      <c r="AG478" s="59" t="s">
        <v>340</v>
      </c>
      <c r="AH478" s="59" t="s">
        <v>4948</v>
      </c>
      <c r="AI478" s="59" t="s">
        <v>285</v>
      </c>
      <c r="AJ478" s="59" t="s">
        <v>818</v>
      </c>
      <c r="AK478" s="59" t="s">
        <v>819</v>
      </c>
      <c r="AL478" s="64" t="str">
        <f>IFERROR(INDEX(LK_BankMaster!$D$4:$D$23,MATCH(AJ478&amp;"|"&amp;AK478,LK_BankMaster!$H$4:$H$23,0)),"")</f>
        <v/>
      </c>
      <c r="AM478" s="59" t="s">
        <v>4949</v>
      </c>
      <c r="AN478" s="64" t="str">
        <f>IFERROR(VLOOKUP(AJ478,LK_BankMaster!$A$4:$E$23,5,FALSE()),"")</f>
        <v/>
      </c>
      <c r="AO478" s="59" t="s">
        <v>314</v>
      </c>
      <c r="AP478" s="66">
        <v>1</v>
      </c>
      <c r="AQ478" s="64" t="str">
        <f t="shared" si="31"/>
        <v>Position Allowance - Section Chief</v>
      </c>
      <c r="AR478" s="65" t="str">
        <f>IFERROR(VLOOKUP(T478,LK_OrgMaster!$B$4:$G$89,6,FALSE()),"No")</f>
        <v>No</v>
      </c>
      <c r="AS478" s="64" t="str">
        <f>IFERROR(VLOOKUP(T478,LK_OrgMaster!$B$4:$H$89,7,FALSE()),"None")</f>
        <v>None</v>
      </c>
      <c r="AT478" s="67">
        <v>43734</v>
      </c>
      <c r="AU478" s="67"/>
      <c r="AV478" s="67">
        <v>43734</v>
      </c>
      <c r="AW478" s="67">
        <v>46023</v>
      </c>
      <c r="AX478" s="68" t="s">
        <v>750</v>
      </c>
      <c r="AY478" s="69" t="s">
        <v>6260</v>
      </c>
    </row>
    <row r="479" spans="1:51" ht="15" customHeight="1" x14ac:dyDescent="0.3">
      <c r="A479" s="59" t="s">
        <v>4950</v>
      </c>
      <c r="B479" s="59" t="s">
        <v>851</v>
      </c>
      <c r="C479" s="59" t="s">
        <v>1136</v>
      </c>
      <c r="D479" s="59" t="s">
        <v>2194</v>
      </c>
      <c r="E479" s="59" t="s">
        <v>775</v>
      </c>
      <c r="F479" s="60">
        <v>37027</v>
      </c>
      <c r="G479" s="59" t="s">
        <v>4951</v>
      </c>
      <c r="H479" s="59" t="s">
        <v>4952</v>
      </c>
      <c r="I479" s="60">
        <v>40014</v>
      </c>
      <c r="J479" s="61">
        <f t="shared" ca="1" si="28"/>
        <v>16</v>
      </c>
      <c r="K479" s="62">
        <f t="shared" si="29"/>
        <v>58942</v>
      </c>
      <c r="L479" s="59" t="s">
        <v>735</v>
      </c>
      <c r="M479" s="59" t="s">
        <v>1020</v>
      </c>
      <c r="N479" s="59" t="s">
        <v>758</v>
      </c>
      <c r="O479" s="63">
        <v>0</v>
      </c>
      <c r="P479" s="61">
        <f>IFERROR(SUMPRODUCT((LK_GradeDerivation!$A$4:$A$135=N479)*(IF(O479="",0,O479)&gt;=LK_GradeDerivation!$B$4:$B$135)*(IF(O479="",0,O479)&lt;=LK_GradeDerivation!$C$4:$C$135)*LK_GradeDerivation!$D$4:$D$135),1)</f>
        <v>5</v>
      </c>
      <c r="Q479" s="61">
        <f>IFERROR(SUMPRODUCT((LK_GradeDerivation!$A$4:$A$135=N479)*(IF(O479="",0,O479)&gt;=LK_GradeDerivation!$B$4:$B$135)*(IF(O479="",0,O479)&lt;=LK_GradeDerivation!$C$4:$C$135)*LK_GradeDerivation!$E$4:$E$135),1)</f>
        <v>1</v>
      </c>
      <c r="R479" s="59" t="s">
        <v>4953</v>
      </c>
      <c r="S479" s="59" t="s">
        <v>4954</v>
      </c>
      <c r="T479" s="59" t="s">
        <v>1084</v>
      </c>
      <c r="U479" s="59" t="s">
        <v>1528</v>
      </c>
      <c r="V479" s="59" t="s">
        <v>763</v>
      </c>
      <c r="W479" s="59" t="s">
        <v>285</v>
      </c>
      <c r="X479" s="59" t="s">
        <v>463</v>
      </c>
      <c r="Y479" s="59" t="s">
        <v>473</v>
      </c>
      <c r="Z479" s="64" t="str">
        <f>IFERROR(VLOOKUP(T479,LK_OrgMaster!$B$4:$H$89,5,FALSE()),"Administration")</f>
        <v>Finance</v>
      </c>
      <c r="AA479" s="65" t="str">
        <f>IFERROR(VLOOKUP(X479,LK_LocationMaster!$D$4:$G$157,4,FALSE()),"No")</f>
        <v>No</v>
      </c>
      <c r="AB479" s="65" t="str">
        <f t="shared" si="30"/>
        <v>No</v>
      </c>
      <c r="AC479" s="65" t="str">
        <f>IFERROR(VLOOKUP(X479,LK_LocationMaster!$D$4:$H$157,5,FALSE()),"No")</f>
        <v>No</v>
      </c>
      <c r="AD479" s="59" t="s">
        <v>3047</v>
      </c>
      <c r="AE479" s="59" t="s">
        <v>900</v>
      </c>
      <c r="AF479" s="59" t="s">
        <v>745</v>
      </c>
      <c r="AG479" s="59" t="s">
        <v>356</v>
      </c>
      <c r="AH479" s="59" t="s">
        <v>4955</v>
      </c>
      <c r="AI479" s="59" t="s">
        <v>285</v>
      </c>
      <c r="AJ479" s="59" t="s">
        <v>818</v>
      </c>
      <c r="AK479" s="59" t="s">
        <v>944</v>
      </c>
      <c r="AL479" s="64" t="str">
        <f>IFERROR(INDEX(LK_BankMaster!$D$4:$D$23,MATCH(AJ479&amp;"|"&amp;AK479,LK_BankMaster!$H$4:$H$23,0)),"")</f>
        <v/>
      </c>
      <c r="AM479" s="59" t="s">
        <v>4956</v>
      </c>
      <c r="AN479" s="64" t="str">
        <f>IFERROR(VLOOKUP(AJ479,LK_BankMaster!$A$4:$E$23,5,FALSE()),"")</f>
        <v/>
      </c>
      <c r="AO479" s="59" t="s">
        <v>314</v>
      </c>
      <c r="AP479" s="66">
        <v>3</v>
      </c>
      <c r="AQ479" s="64" t="str">
        <f t="shared" si="31"/>
        <v>Position Allowance - Section Chief</v>
      </c>
      <c r="AR479" s="65" t="str">
        <f>IFERROR(VLOOKUP(T479,LK_OrgMaster!$B$4:$G$89,6,FALSE()),"No")</f>
        <v>No</v>
      </c>
      <c r="AS479" s="64" t="str">
        <f>IFERROR(VLOOKUP(T479,LK_OrgMaster!$B$4:$H$89,7,FALSE()),"None")</f>
        <v>None</v>
      </c>
      <c r="AT479" s="70">
        <v>40014</v>
      </c>
      <c r="AU479" s="70"/>
      <c r="AV479" s="70">
        <v>40014</v>
      </c>
      <c r="AW479" s="70">
        <v>46023</v>
      </c>
      <c r="AX479" s="71" t="s">
        <v>750</v>
      </c>
      <c r="AY479" s="72" t="s">
        <v>6260</v>
      </c>
    </row>
    <row r="480" spans="1:51" ht="15" customHeight="1" x14ac:dyDescent="0.3">
      <c r="A480" s="59" t="s">
        <v>4957</v>
      </c>
      <c r="B480" s="59" t="s">
        <v>772</v>
      </c>
      <c r="C480" s="59" t="s">
        <v>2542</v>
      </c>
      <c r="D480" s="59" t="s">
        <v>1604</v>
      </c>
      <c r="E480" s="59" t="s">
        <v>732</v>
      </c>
      <c r="F480" s="60">
        <v>33441</v>
      </c>
      <c r="G480" s="59" t="s">
        <v>4704</v>
      </c>
      <c r="H480" s="59" t="s">
        <v>4958</v>
      </c>
      <c r="I480" s="60">
        <v>41695</v>
      </c>
      <c r="J480" s="61">
        <f t="shared" ca="1" si="28"/>
        <v>12</v>
      </c>
      <c r="K480" s="62">
        <f t="shared" si="29"/>
        <v>55356</v>
      </c>
      <c r="L480" s="59" t="s">
        <v>735</v>
      </c>
      <c r="M480" s="59" t="s">
        <v>893</v>
      </c>
      <c r="N480" s="59" t="s">
        <v>1081</v>
      </c>
      <c r="O480" s="63">
        <v>2</v>
      </c>
      <c r="P480" s="61">
        <f>IFERROR(SUMPRODUCT((LK_GradeDerivation!$A$4:$A$135=N480)*(IF(O480="",0,O480)&gt;=LK_GradeDerivation!$B$4:$B$135)*(IF(O480="",0,O480)&lt;=LK_GradeDerivation!$C$4:$C$135)*LK_GradeDerivation!$D$4:$D$135),1)</f>
        <v>3</v>
      </c>
      <c r="Q480" s="61">
        <f>IFERROR(SUMPRODUCT((LK_GradeDerivation!$A$4:$A$135=N480)*(IF(O480="",0,O480)&gt;=LK_GradeDerivation!$B$4:$B$135)*(IF(O480="",0,O480)&lt;=LK_GradeDerivation!$C$4:$C$135)*LK_GradeDerivation!$E$4:$E$135),1)</f>
        <v>2</v>
      </c>
      <c r="R480" s="59" t="s">
        <v>4959</v>
      </c>
      <c r="S480" s="59" t="s">
        <v>4960</v>
      </c>
      <c r="T480" s="59" t="s">
        <v>844</v>
      </c>
      <c r="U480" s="59" t="s">
        <v>845</v>
      </c>
      <c r="V480" s="59" t="s">
        <v>4961</v>
      </c>
      <c r="W480" s="59" t="s">
        <v>285</v>
      </c>
      <c r="X480" s="59" t="s">
        <v>544</v>
      </c>
      <c r="Y480" s="59" t="s">
        <v>550</v>
      </c>
      <c r="Z480" s="64" t="str">
        <f>IFERROR(VLOOKUP(T480,LK_OrgMaster!$B$4:$H$89,5,FALSE()),"Administration")</f>
        <v>Administration</v>
      </c>
      <c r="AA480" s="65" t="str">
        <f>IFERROR(VLOOKUP(X480,LK_LocationMaster!$D$4:$G$157,4,FALSE()),"No")</f>
        <v>Yes</v>
      </c>
      <c r="AB480" s="65" t="str">
        <f t="shared" si="30"/>
        <v>No</v>
      </c>
      <c r="AC480" s="65" t="str">
        <f>IFERROR(VLOOKUP(X480,LK_LocationMaster!$D$4:$H$157,5,FALSE()),"No")</f>
        <v>Yes</v>
      </c>
      <c r="AD480" s="59" t="s">
        <v>4962</v>
      </c>
      <c r="AE480" s="59" t="s">
        <v>886</v>
      </c>
      <c r="AF480" s="59" t="s">
        <v>766</v>
      </c>
      <c r="AG480" s="59" t="s">
        <v>356</v>
      </c>
      <c r="AH480" s="59" t="s">
        <v>4963</v>
      </c>
      <c r="AI480" s="59" t="s">
        <v>285</v>
      </c>
      <c r="AJ480" s="59" t="s">
        <v>747</v>
      </c>
      <c r="AK480" s="59" t="s">
        <v>748</v>
      </c>
      <c r="AL480" s="64" t="str">
        <f>IFERROR(INDEX(LK_BankMaster!$D$4:$D$23,MATCH(AJ480&amp;"|"&amp;AK480,LK_BankMaster!$H$4:$H$23,0)),"")</f>
        <v/>
      </c>
      <c r="AM480" s="59" t="s">
        <v>4964</v>
      </c>
      <c r="AN480" s="64" t="str">
        <f>IFERROR(VLOOKUP(AJ480,LK_BankMaster!$A$4:$E$23,5,FALSE()),"")</f>
        <v/>
      </c>
      <c r="AO480" s="59" t="s">
        <v>291</v>
      </c>
      <c r="AP480" s="66">
        <v>0</v>
      </c>
      <c r="AQ480" s="64" t="str">
        <f t="shared" si="31"/>
        <v>Position Allowance - General Staff</v>
      </c>
      <c r="AR480" s="65" t="str">
        <f>IFERROR(VLOOKUP(T480,LK_OrgMaster!$B$4:$G$89,6,FALSE()),"No")</f>
        <v>No</v>
      </c>
      <c r="AS480" s="64" t="str">
        <f>IFERROR(VLOOKUP(T480,LK_OrgMaster!$B$4:$H$89,7,FALSE()),"None")</f>
        <v>None</v>
      </c>
      <c r="AT480" s="67">
        <v>41695</v>
      </c>
      <c r="AU480" s="67"/>
      <c r="AV480" s="67">
        <v>41695</v>
      </c>
      <c r="AW480" s="67">
        <v>46023</v>
      </c>
      <c r="AX480" s="68" t="s">
        <v>750</v>
      </c>
      <c r="AY480" s="69" t="s">
        <v>6260</v>
      </c>
    </row>
    <row r="481" spans="1:51" ht="15" customHeight="1" x14ac:dyDescent="0.3">
      <c r="A481" s="59" t="s">
        <v>4965</v>
      </c>
      <c r="B481" s="59" t="s">
        <v>851</v>
      </c>
      <c r="C481" s="59" t="s">
        <v>1758</v>
      </c>
      <c r="D481" s="59" t="s">
        <v>1352</v>
      </c>
      <c r="E481" s="59" t="s">
        <v>775</v>
      </c>
      <c r="F481" s="60">
        <v>32587</v>
      </c>
      <c r="G481" s="59" t="s">
        <v>4966</v>
      </c>
      <c r="H481" s="59" t="s">
        <v>4967</v>
      </c>
      <c r="I481" s="60">
        <v>36613</v>
      </c>
      <c r="J481" s="61">
        <f t="shared" ca="1" si="28"/>
        <v>25</v>
      </c>
      <c r="K481" s="62">
        <f t="shared" si="29"/>
        <v>54502</v>
      </c>
      <c r="L481" s="59" t="s">
        <v>735</v>
      </c>
      <c r="M481" s="59" t="s">
        <v>1607</v>
      </c>
      <c r="N481" s="59" t="s">
        <v>779</v>
      </c>
      <c r="O481" s="63">
        <v>0</v>
      </c>
      <c r="P481" s="61">
        <f>IFERROR(SUMPRODUCT((LK_GradeDerivation!$A$4:$A$135=N481)*(IF(O481="",0,O481)&gt;=LK_GradeDerivation!$B$4:$B$135)*(IF(O481="",0,O481)&lt;=LK_GradeDerivation!$C$4:$C$135)*LK_GradeDerivation!$D$4:$D$135),1)</f>
        <v>2</v>
      </c>
      <c r="Q481" s="61">
        <f>IFERROR(SUMPRODUCT((LK_GradeDerivation!$A$4:$A$135=N481)*(IF(O481="",0,O481)&gt;=LK_GradeDerivation!$B$4:$B$135)*(IF(O481="",0,O481)&lt;=LK_GradeDerivation!$C$4:$C$135)*LK_GradeDerivation!$E$4:$E$135),1)</f>
        <v>1</v>
      </c>
      <c r="R481" s="59" t="s">
        <v>4968</v>
      </c>
      <c r="S481" s="59" t="s">
        <v>4969</v>
      </c>
      <c r="T481" s="59" t="s">
        <v>1023</v>
      </c>
      <c r="U481" s="59" t="s">
        <v>2589</v>
      </c>
      <c r="V481" s="59" t="s">
        <v>2772</v>
      </c>
      <c r="W481" s="59" t="s">
        <v>285</v>
      </c>
      <c r="X481" s="59" t="s">
        <v>463</v>
      </c>
      <c r="Y481" s="59" t="s">
        <v>473</v>
      </c>
      <c r="Z481" s="64" t="str">
        <f>IFERROR(VLOOKUP(T481,LK_OrgMaster!$B$4:$H$89,5,FALSE()),"Administration")</f>
        <v>Technical</v>
      </c>
      <c r="AA481" s="65" t="str">
        <f>IFERROR(VLOOKUP(X481,LK_LocationMaster!$D$4:$G$157,4,FALSE()),"No")</f>
        <v>No</v>
      </c>
      <c r="AB481" s="65" t="str">
        <f t="shared" si="30"/>
        <v>No</v>
      </c>
      <c r="AC481" s="65" t="str">
        <f>IFERROR(VLOOKUP(X481,LK_LocationMaster!$D$4:$H$157,5,FALSE()),"No")</f>
        <v>No</v>
      </c>
      <c r="AD481" s="59" t="s">
        <v>3700</v>
      </c>
      <c r="AE481" s="59" t="s">
        <v>886</v>
      </c>
      <c r="AF481" s="59" t="s">
        <v>786</v>
      </c>
      <c r="AG481" s="59" t="s">
        <v>408</v>
      </c>
      <c r="AH481" s="59" t="s">
        <v>4970</v>
      </c>
      <c r="AI481" s="59" t="s">
        <v>285</v>
      </c>
      <c r="AJ481" s="59" t="s">
        <v>818</v>
      </c>
      <c r="AK481" s="59" t="s">
        <v>944</v>
      </c>
      <c r="AL481" s="64" t="str">
        <f>IFERROR(INDEX(LK_BankMaster!$D$4:$D$23,MATCH(AJ481&amp;"|"&amp;AK481,LK_BankMaster!$H$4:$H$23,0)),"")</f>
        <v/>
      </c>
      <c r="AM481" s="59" t="s">
        <v>4971</v>
      </c>
      <c r="AN481" s="64" t="str">
        <f>IFERROR(VLOOKUP(AJ481,LK_BankMaster!$A$4:$E$23,5,FALSE()),"")</f>
        <v/>
      </c>
      <c r="AO481" s="59" t="s">
        <v>291</v>
      </c>
      <c r="AP481" s="66">
        <v>0</v>
      </c>
      <c r="AQ481" s="64" t="str">
        <f t="shared" si="31"/>
        <v>Position Allowance - General Staff</v>
      </c>
      <c r="AR481" s="65" t="str">
        <f>IFERROR(VLOOKUP(T481,LK_OrgMaster!$B$4:$G$89,6,FALSE()),"No")</f>
        <v>No</v>
      </c>
      <c r="AS481" s="64" t="str">
        <f>IFERROR(VLOOKUP(T481,LK_OrgMaster!$B$4:$H$89,7,FALSE()),"None")</f>
        <v>None</v>
      </c>
      <c r="AT481" s="70">
        <v>36613</v>
      </c>
      <c r="AU481" s="70"/>
      <c r="AV481" s="70">
        <v>36613</v>
      </c>
      <c r="AW481" s="70">
        <v>46023</v>
      </c>
      <c r="AX481" s="71" t="s">
        <v>750</v>
      </c>
      <c r="AY481" s="72" t="s">
        <v>6260</v>
      </c>
    </row>
    <row r="482" spans="1:51" ht="15" customHeight="1" x14ac:dyDescent="0.3">
      <c r="A482" s="59" t="s">
        <v>4972</v>
      </c>
      <c r="B482" s="59" t="s">
        <v>729</v>
      </c>
      <c r="C482" s="59" t="s">
        <v>1553</v>
      </c>
      <c r="D482" s="59" t="s">
        <v>1017</v>
      </c>
      <c r="E482" s="59" t="s">
        <v>732</v>
      </c>
      <c r="F482" s="60">
        <v>37063</v>
      </c>
      <c r="G482" s="59" t="s">
        <v>4973</v>
      </c>
      <c r="H482" s="59" t="s">
        <v>4974</v>
      </c>
      <c r="I482" s="60">
        <v>36539</v>
      </c>
      <c r="J482" s="61">
        <f t="shared" ca="1" si="28"/>
        <v>26</v>
      </c>
      <c r="K482" s="62">
        <f t="shared" si="29"/>
        <v>58978</v>
      </c>
      <c r="L482" s="59" t="s">
        <v>735</v>
      </c>
      <c r="M482" s="59" t="s">
        <v>736</v>
      </c>
      <c r="N482" s="59" t="s">
        <v>1081</v>
      </c>
      <c r="O482" s="63">
        <v>0</v>
      </c>
      <c r="P482" s="61">
        <f>IFERROR(SUMPRODUCT((LK_GradeDerivation!$A$4:$A$135=N482)*(IF(O482="",0,O482)&gt;=LK_GradeDerivation!$B$4:$B$135)*(IF(O482="",0,O482)&lt;=LK_GradeDerivation!$C$4:$C$135)*LK_GradeDerivation!$D$4:$D$135),1)</f>
        <v>3</v>
      </c>
      <c r="Q482" s="61">
        <f>IFERROR(SUMPRODUCT((LK_GradeDerivation!$A$4:$A$135=N482)*(IF(O482="",0,O482)&gt;=LK_GradeDerivation!$B$4:$B$135)*(IF(O482="",0,O482)&lt;=LK_GradeDerivation!$C$4:$C$135)*LK_GradeDerivation!$E$4:$E$135),1)</f>
        <v>1</v>
      </c>
      <c r="R482" s="59" t="s">
        <v>4975</v>
      </c>
      <c r="S482" s="59" t="s">
        <v>4976</v>
      </c>
      <c r="T482" s="59" t="s">
        <v>740</v>
      </c>
      <c r="U482" s="59" t="s">
        <v>1262</v>
      </c>
      <c r="V482" s="59" t="s">
        <v>1263</v>
      </c>
      <c r="W482" s="59" t="s">
        <v>285</v>
      </c>
      <c r="X482" s="59" t="s">
        <v>544</v>
      </c>
      <c r="Y482" s="59" t="s">
        <v>550</v>
      </c>
      <c r="Z482" s="64" t="str">
        <f>IFERROR(VLOOKUP(T482,LK_OrgMaster!$B$4:$H$89,5,FALSE()),"Administration")</f>
        <v>Teacher</v>
      </c>
      <c r="AA482" s="65" t="str">
        <f>IFERROR(VLOOKUP(X482,LK_LocationMaster!$D$4:$G$157,4,FALSE()),"No")</f>
        <v>Yes</v>
      </c>
      <c r="AB482" s="65" t="str">
        <f t="shared" si="30"/>
        <v>No</v>
      </c>
      <c r="AC482" s="65" t="str">
        <f>IFERROR(VLOOKUP(X482,LK_LocationMaster!$D$4:$H$157,5,FALSE()),"No")</f>
        <v>Yes</v>
      </c>
      <c r="AD482" s="59" t="s">
        <v>4115</v>
      </c>
      <c r="AE482" s="59" t="s">
        <v>800</v>
      </c>
      <c r="AF482" s="59" t="s">
        <v>816</v>
      </c>
      <c r="AG482" s="59" t="s">
        <v>368</v>
      </c>
      <c r="AH482" s="59" t="s">
        <v>4977</v>
      </c>
      <c r="AI482" s="59" t="s">
        <v>285</v>
      </c>
      <c r="AJ482" s="59" t="s">
        <v>788</v>
      </c>
      <c r="AK482" s="59" t="s">
        <v>999</v>
      </c>
      <c r="AL482" s="64" t="str">
        <f>IFERROR(INDEX(LK_BankMaster!$D$4:$D$23,MATCH(AJ482&amp;"|"&amp;AK482,LK_BankMaster!$H$4:$H$23,0)),"")</f>
        <v/>
      </c>
      <c r="AM482" s="59" t="s">
        <v>4978</v>
      </c>
      <c r="AN482" s="64" t="str">
        <f>IFERROR(VLOOKUP(AJ482,LK_BankMaster!$A$4:$E$23,5,FALSE()),"")</f>
        <v/>
      </c>
      <c r="AO482" s="59" t="s">
        <v>291</v>
      </c>
      <c r="AP482" s="66">
        <v>0</v>
      </c>
      <c r="AQ482" s="64" t="str">
        <f t="shared" si="31"/>
        <v>Position Allowance - General Staff</v>
      </c>
      <c r="AR482" s="65" t="str">
        <f>IFERROR(VLOOKUP(T482,LK_OrgMaster!$B$4:$G$89,6,FALSE()),"No")</f>
        <v>No</v>
      </c>
      <c r="AS482" s="64" t="str">
        <f>IFERROR(VLOOKUP(T482,LK_OrgMaster!$B$4:$H$89,7,FALSE()),"None")</f>
        <v>Teaching</v>
      </c>
      <c r="AT482" s="67">
        <v>36539</v>
      </c>
      <c r="AU482" s="67"/>
      <c r="AV482" s="67">
        <v>36539</v>
      </c>
      <c r="AW482" s="67">
        <v>46023</v>
      </c>
      <c r="AX482" s="68" t="s">
        <v>750</v>
      </c>
      <c r="AY482" s="69" t="s">
        <v>6260</v>
      </c>
    </row>
    <row r="483" spans="1:51" ht="15" customHeight="1" x14ac:dyDescent="0.3">
      <c r="A483" s="59" t="s">
        <v>4979</v>
      </c>
      <c r="B483" s="59" t="s">
        <v>772</v>
      </c>
      <c r="C483" s="59" t="s">
        <v>3267</v>
      </c>
      <c r="D483" s="59" t="s">
        <v>774</v>
      </c>
      <c r="E483" s="59" t="s">
        <v>775</v>
      </c>
      <c r="F483" s="60">
        <v>35780</v>
      </c>
      <c r="G483" s="59" t="s">
        <v>4980</v>
      </c>
      <c r="H483" s="59" t="s">
        <v>4981</v>
      </c>
      <c r="I483" s="60">
        <v>40248</v>
      </c>
      <c r="J483" s="61">
        <f t="shared" ca="1" si="28"/>
        <v>16</v>
      </c>
      <c r="K483" s="62">
        <f t="shared" si="29"/>
        <v>57695</v>
      </c>
      <c r="L483" s="59" t="s">
        <v>735</v>
      </c>
      <c r="M483" s="59" t="s">
        <v>924</v>
      </c>
      <c r="N483" s="59" t="s">
        <v>758</v>
      </c>
      <c r="O483" s="63">
        <v>0</v>
      </c>
      <c r="P483" s="61">
        <f>IFERROR(SUMPRODUCT((LK_GradeDerivation!$A$4:$A$135=N483)*(IF(O483="",0,O483)&gt;=LK_GradeDerivation!$B$4:$B$135)*(IF(O483="",0,O483)&lt;=LK_GradeDerivation!$C$4:$C$135)*LK_GradeDerivation!$D$4:$D$135),1)</f>
        <v>5</v>
      </c>
      <c r="Q483" s="61">
        <f>IFERROR(SUMPRODUCT((LK_GradeDerivation!$A$4:$A$135=N483)*(IF(O483="",0,O483)&gt;=LK_GradeDerivation!$B$4:$B$135)*(IF(O483="",0,O483)&lt;=LK_GradeDerivation!$C$4:$C$135)*LK_GradeDerivation!$E$4:$E$135),1)</f>
        <v>1</v>
      </c>
      <c r="R483" s="59" t="s">
        <v>4982</v>
      </c>
      <c r="S483" s="59" t="s">
        <v>4983</v>
      </c>
      <c r="T483" s="59" t="s">
        <v>740</v>
      </c>
      <c r="U483" s="59" t="s">
        <v>1154</v>
      </c>
      <c r="V483" s="59" t="s">
        <v>4612</v>
      </c>
      <c r="W483" s="59" t="s">
        <v>285</v>
      </c>
      <c r="X483" s="59" t="s">
        <v>554</v>
      </c>
      <c r="Y483" s="59" t="s">
        <v>556</v>
      </c>
      <c r="Z483" s="64" t="str">
        <f>IFERROR(VLOOKUP(T483,LK_OrgMaster!$B$4:$H$89,5,FALSE()),"Administration")</f>
        <v>Teacher</v>
      </c>
      <c r="AA483" s="65" t="str">
        <f>IFERROR(VLOOKUP(X483,LK_LocationMaster!$D$4:$G$157,4,FALSE()),"No")</f>
        <v>No</v>
      </c>
      <c r="AB483" s="65" t="str">
        <f t="shared" si="30"/>
        <v>No</v>
      </c>
      <c r="AC483" s="65" t="str">
        <f>IFERROR(VLOOKUP(X483,LK_LocationMaster!$D$4:$H$157,5,FALSE()),"No")</f>
        <v>No</v>
      </c>
      <c r="AD483" s="59" t="s">
        <v>4984</v>
      </c>
      <c r="AE483" s="59" t="s">
        <v>886</v>
      </c>
      <c r="AF483" s="59" t="s">
        <v>745</v>
      </c>
      <c r="AG483" s="59" t="s">
        <v>312</v>
      </c>
      <c r="AH483" s="59" t="s">
        <v>4985</v>
      </c>
      <c r="AI483" s="59" t="s">
        <v>285</v>
      </c>
      <c r="AJ483" s="59" t="s">
        <v>818</v>
      </c>
      <c r="AK483" s="59" t="s">
        <v>944</v>
      </c>
      <c r="AL483" s="64" t="str">
        <f>IFERROR(INDEX(LK_BankMaster!$D$4:$D$23,MATCH(AJ483&amp;"|"&amp;AK483,LK_BankMaster!$H$4:$H$23,0)),"")</f>
        <v/>
      </c>
      <c r="AM483" s="59" t="s">
        <v>4986</v>
      </c>
      <c r="AN483" s="64" t="str">
        <f>IFERROR(VLOOKUP(AJ483,LK_BankMaster!$A$4:$E$23,5,FALSE()),"")</f>
        <v/>
      </c>
      <c r="AO483" s="59" t="s">
        <v>314</v>
      </c>
      <c r="AP483" s="66">
        <v>3</v>
      </c>
      <c r="AQ483" s="64" t="str">
        <f t="shared" si="31"/>
        <v>Position Allowance - General Staff</v>
      </c>
      <c r="AR483" s="65" t="str">
        <f>IFERROR(VLOOKUP(T483,LK_OrgMaster!$B$4:$G$89,6,FALSE()),"No")</f>
        <v>No</v>
      </c>
      <c r="AS483" s="64" t="str">
        <f>IFERROR(VLOOKUP(T483,LK_OrgMaster!$B$4:$H$89,7,FALSE()),"None")</f>
        <v>Teaching</v>
      </c>
      <c r="AT483" s="70">
        <v>40248</v>
      </c>
      <c r="AU483" s="70"/>
      <c r="AV483" s="70">
        <v>40248</v>
      </c>
      <c r="AW483" s="70">
        <v>46023</v>
      </c>
      <c r="AX483" s="71" t="s">
        <v>750</v>
      </c>
      <c r="AY483" s="72" t="s">
        <v>6260</v>
      </c>
    </row>
    <row r="484" spans="1:51" ht="15" customHeight="1" x14ac:dyDescent="0.3">
      <c r="A484" s="59" t="s">
        <v>4987</v>
      </c>
      <c r="B484" s="59" t="s">
        <v>752</v>
      </c>
      <c r="C484" s="59" t="s">
        <v>1417</v>
      </c>
      <c r="D484" s="59" t="s">
        <v>1300</v>
      </c>
      <c r="E484" s="59" t="s">
        <v>732</v>
      </c>
      <c r="F484" s="60">
        <v>29664</v>
      </c>
      <c r="G484" s="59" t="s">
        <v>4988</v>
      </c>
      <c r="H484" s="59" t="s">
        <v>4989</v>
      </c>
      <c r="I484" s="60">
        <v>36247</v>
      </c>
      <c r="J484" s="61">
        <f t="shared" ca="1" si="28"/>
        <v>26</v>
      </c>
      <c r="K484" s="62">
        <f t="shared" si="29"/>
        <v>51579</v>
      </c>
      <c r="L484" s="59" t="s">
        <v>735</v>
      </c>
      <c r="M484" s="59" t="s">
        <v>1912</v>
      </c>
      <c r="N484" s="59" t="s">
        <v>779</v>
      </c>
      <c r="O484" s="63">
        <v>0</v>
      </c>
      <c r="P484" s="61">
        <f>IFERROR(SUMPRODUCT((LK_GradeDerivation!$A$4:$A$135=N484)*(IF(O484="",0,O484)&gt;=LK_GradeDerivation!$B$4:$B$135)*(IF(O484="",0,O484)&lt;=LK_GradeDerivation!$C$4:$C$135)*LK_GradeDerivation!$D$4:$D$135),1)</f>
        <v>2</v>
      </c>
      <c r="Q484" s="61">
        <f>IFERROR(SUMPRODUCT((LK_GradeDerivation!$A$4:$A$135=N484)*(IF(O484="",0,O484)&gt;=LK_GradeDerivation!$B$4:$B$135)*(IF(O484="",0,O484)&lt;=LK_GradeDerivation!$C$4:$C$135)*LK_GradeDerivation!$E$4:$E$135),1)</f>
        <v>1</v>
      </c>
      <c r="R484" s="59" t="s">
        <v>4990</v>
      </c>
      <c r="S484" s="59" t="s">
        <v>4991</v>
      </c>
      <c r="T484" s="59" t="s">
        <v>782</v>
      </c>
      <c r="U484" s="59" t="s">
        <v>1191</v>
      </c>
      <c r="V484" s="59" t="s">
        <v>1991</v>
      </c>
      <c r="W484" s="59" t="s">
        <v>285</v>
      </c>
      <c r="X484" s="59" t="s">
        <v>391</v>
      </c>
      <c r="Y484" s="59" t="s">
        <v>402</v>
      </c>
      <c r="Z484" s="64" t="str">
        <f>IFERROR(VLOOKUP(T484,LK_OrgMaster!$B$4:$H$89,5,FALSE()),"Administration")</f>
        <v>Medical</v>
      </c>
      <c r="AA484" s="65" t="str">
        <f>IFERROR(VLOOKUP(X484,LK_LocationMaster!$D$4:$G$157,4,FALSE()),"No")</f>
        <v>Yes</v>
      </c>
      <c r="AB484" s="65" t="str">
        <f t="shared" si="30"/>
        <v>No</v>
      </c>
      <c r="AC484" s="65" t="str">
        <f>IFERROR(VLOOKUP(X484,LK_LocationMaster!$D$4:$H$157,5,FALSE()),"No")</f>
        <v>Yes</v>
      </c>
      <c r="AD484" s="59" t="s">
        <v>1061</v>
      </c>
      <c r="AE484" s="59" t="s">
        <v>765</v>
      </c>
      <c r="AF484" s="59" t="s">
        <v>847</v>
      </c>
      <c r="AG484" s="59" t="s">
        <v>356</v>
      </c>
      <c r="AH484" s="59" t="s">
        <v>4992</v>
      </c>
      <c r="AI484" s="59" t="s">
        <v>285</v>
      </c>
      <c r="AJ484" s="59" t="s">
        <v>788</v>
      </c>
      <c r="AK484" s="59" t="s">
        <v>789</v>
      </c>
      <c r="AL484" s="64" t="str">
        <f>IFERROR(INDEX(LK_BankMaster!$D$4:$D$23,MATCH(AJ484&amp;"|"&amp;AK484,LK_BankMaster!$H$4:$H$23,0)),"")</f>
        <v/>
      </c>
      <c r="AM484" s="59" t="s">
        <v>4993</v>
      </c>
      <c r="AN484" s="64" t="str">
        <f>IFERROR(VLOOKUP(AJ484,LK_BankMaster!$A$4:$E$23,5,FALSE()),"")</f>
        <v/>
      </c>
      <c r="AO484" s="59" t="s">
        <v>314</v>
      </c>
      <c r="AP484" s="66">
        <v>3</v>
      </c>
      <c r="AQ484" s="64" t="str">
        <f t="shared" si="31"/>
        <v>Position Allowance - General Staff</v>
      </c>
      <c r="AR484" s="65" t="str">
        <f>IFERROR(VLOOKUP(T484,LK_OrgMaster!$B$4:$G$89,6,FALSE()),"No")</f>
        <v>No</v>
      </c>
      <c r="AS484" s="64" t="str">
        <f>IFERROR(VLOOKUP(T484,LK_OrgMaster!$B$4:$H$89,7,FALSE()),"None")</f>
        <v>Medical</v>
      </c>
      <c r="AT484" s="67">
        <v>36247</v>
      </c>
      <c r="AU484" s="67"/>
      <c r="AV484" s="67">
        <v>36247</v>
      </c>
      <c r="AW484" s="67">
        <v>46023</v>
      </c>
      <c r="AX484" s="68" t="s">
        <v>750</v>
      </c>
      <c r="AY484" s="69" t="s">
        <v>6260</v>
      </c>
    </row>
    <row r="485" spans="1:51" ht="15" customHeight="1" x14ac:dyDescent="0.3">
      <c r="A485" s="59" t="s">
        <v>4994</v>
      </c>
      <c r="B485" s="59" t="s">
        <v>772</v>
      </c>
      <c r="C485" s="59" t="s">
        <v>792</v>
      </c>
      <c r="D485" s="59" t="s">
        <v>1604</v>
      </c>
      <c r="E485" s="59" t="s">
        <v>775</v>
      </c>
      <c r="F485" s="60">
        <v>28833</v>
      </c>
      <c r="G485" s="59" t="s">
        <v>2654</v>
      </c>
      <c r="H485" s="59" t="s">
        <v>4995</v>
      </c>
      <c r="I485" s="60">
        <v>38099</v>
      </c>
      <c r="J485" s="61">
        <f t="shared" ca="1" si="28"/>
        <v>21</v>
      </c>
      <c r="K485" s="62">
        <f t="shared" si="29"/>
        <v>50748</v>
      </c>
      <c r="L485" s="59" t="s">
        <v>735</v>
      </c>
      <c r="M485" s="59" t="s">
        <v>1525</v>
      </c>
      <c r="N485" s="59" t="s">
        <v>1081</v>
      </c>
      <c r="O485" s="63">
        <v>5</v>
      </c>
      <c r="P485" s="61">
        <f>IFERROR(SUMPRODUCT((LK_GradeDerivation!$A$4:$A$135=N485)*(IF(O485="",0,O485)&gt;=LK_GradeDerivation!$B$4:$B$135)*(IF(O485="",0,O485)&lt;=LK_GradeDerivation!$C$4:$C$135)*LK_GradeDerivation!$D$4:$D$135),1)</f>
        <v>3</v>
      </c>
      <c r="Q485" s="61">
        <f>IFERROR(SUMPRODUCT((LK_GradeDerivation!$A$4:$A$135=N485)*(IF(O485="",0,O485)&gt;=LK_GradeDerivation!$B$4:$B$135)*(IF(O485="",0,O485)&lt;=LK_GradeDerivation!$C$4:$C$135)*LK_GradeDerivation!$E$4:$E$135),1)</f>
        <v>3</v>
      </c>
      <c r="R485" s="59" t="s">
        <v>4996</v>
      </c>
      <c r="S485" s="59" t="s">
        <v>4997</v>
      </c>
      <c r="T485" s="59" t="s">
        <v>1084</v>
      </c>
      <c r="U485" s="59" t="s">
        <v>1687</v>
      </c>
      <c r="V485" s="59" t="s">
        <v>763</v>
      </c>
      <c r="W485" s="59" t="s">
        <v>285</v>
      </c>
      <c r="X485" s="59" t="s">
        <v>288</v>
      </c>
      <c r="Y485" s="59" t="s">
        <v>298</v>
      </c>
      <c r="Z485" s="64" t="str">
        <f>IFERROR(VLOOKUP(T485,LK_OrgMaster!$B$4:$H$89,5,FALSE()),"Administration")</f>
        <v>Finance</v>
      </c>
      <c r="AA485" s="65" t="str">
        <f>IFERROR(VLOOKUP(X485,LK_LocationMaster!$D$4:$G$157,4,FALSE()),"No")</f>
        <v>No</v>
      </c>
      <c r="AB485" s="65" t="str">
        <f t="shared" si="30"/>
        <v>No</v>
      </c>
      <c r="AC485" s="65" t="str">
        <f>IFERROR(VLOOKUP(X485,LK_LocationMaster!$D$4:$H$157,5,FALSE()),"No")</f>
        <v>No</v>
      </c>
      <c r="AD485" s="59" t="s">
        <v>4621</v>
      </c>
      <c r="AE485" s="59" t="s">
        <v>886</v>
      </c>
      <c r="AF485" s="59" t="s">
        <v>984</v>
      </c>
      <c r="AG485" s="59" t="s">
        <v>288</v>
      </c>
      <c r="AH485" s="59" t="s">
        <v>4998</v>
      </c>
      <c r="AI485" s="59" t="s">
        <v>285</v>
      </c>
      <c r="AJ485" s="59" t="s">
        <v>788</v>
      </c>
      <c r="AK485" s="59" t="s">
        <v>1221</v>
      </c>
      <c r="AL485" s="64" t="str">
        <f>IFERROR(INDEX(LK_BankMaster!$D$4:$D$23,MATCH(AJ485&amp;"|"&amp;AK485,LK_BankMaster!$H$4:$H$23,0)),"")</f>
        <v/>
      </c>
      <c r="AM485" s="59" t="s">
        <v>4999</v>
      </c>
      <c r="AN485" s="64" t="str">
        <f>IFERROR(VLOOKUP(AJ485,LK_BankMaster!$A$4:$E$23,5,FALSE()),"")</f>
        <v/>
      </c>
      <c r="AO485" s="59" t="s">
        <v>314</v>
      </c>
      <c r="AP485" s="66">
        <v>3</v>
      </c>
      <c r="AQ485" s="64" t="str">
        <f t="shared" si="31"/>
        <v>Position Allowance - General Staff</v>
      </c>
      <c r="AR485" s="65" t="str">
        <f>IFERROR(VLOOKUP(T485,LK_OrgMaster!$B$4:$G$89,6,FALSE()),"No")</f>
        <v>No</v>
      </c>
      <c r="AS485" s="64" t="str">
        <f>IFERROR(VLOOKUP(T485,LK_OrgMaster!$B$4:$H$89,7,FALSE()),"None")</f>
        <v>None</v>
      </c>
      <c r="AT485" s="70">
        <v>38099</v>
      </c>
      <c r="AU485" s="70"/>
      <c r="AV485" s="70">
        <v>38099</v>
      </c>
      <c r="AW485" s="70">
        <v>46023</v>
      </c>
      <c r="AX485" s="71" t="s">
        <v>750</v>
      </c>
      <c r="AY485" s="72" t="s">
        <v>6260</v>
      </c>
    </row>
    <row r="486" spans="1:51" ht="15" customHeight="1" x14ac:dyDescent="0.3">
      <c r="A486" s="59" t="s">
        <v>5000</v>
      </c>
      <c r="B486" s="59" t="s">
        <v>729</v>
      </c>
      <c r="C486" s="59" t="s">
        <v>2203</v>
      </c>
      <c r="D486" s="59" t="s">
        <v>1186</v>
      </c>
      <c r="E486" s="59" t="s">
        <v>732</v>
      </c>
      <c r="F486" s="60">
        <v>35479</v>
      </c>
      <c r="G486" s="59" t="s">
        <v>5001</v>
      </c>
      <c r="H486" s="59" t="s">
        <v>5002</v>
      </c>
      <c r="I486" s="60">
        <v>32557</v>
      </c>
      <c r="J486" s="61">
        <f t="shared" ca="1" si="28"/>
        <v>37</v>
      </c>
      <c r="K486" s="62">
        <f t="shared" si="29"/>
        <v>57394</v>
      </c>
      <c r="L486" s="59" t="s">
        <v>735</v>
      </c>
      <c r="M486" s="59" t="s">
        <v>910</v>
      </c>
      <c r="N486" s="59" t="s">
        <v>737</v>
      </c>
      <c r="O486" s="63">
        <v>0</v>
      </c>
      <c r="P486" s="61">
        <f>IFERROR(SUMPRODUCT((LK_GradeDerivation!$A$4:$A$135=N486)*(IF(O486="",0,O486)&gt;=LK_GradeDerivation!$B$4:$B$135)*(IF(O486="",0,O486)&lt;=LK_GradeDerivation!$C$4:$C$135)*LK_GradeDerivation!$D$4:$D$135),1)</f>
        <v>4</v>
      </c>
      <c r="Q486" s="61">
        <f>IFERROR(SUMPRODUCT((LK_GradeDerivation!$A$4:$A$135=N486)*(IF(O486="",0,O486)&gt;=LK_GradeDerivation!$B$4:$B$135)*(IF(O486="",0,O486)&lt;=LK_GradeDerivation!$C$4:$C$135)*LK_GradeDerivation!$E$4:$E$135),1)</f>
        <v>1</v>
      </c>
      <c r="R486" s="59" t="s">
        <v>5003</v>
      </c>
      <c r="S486" s="59" t="s">
        <v>5004</v>
      </c>
      <c r="T486" s="59" t="s">
        <v>1084</v>
      </c>
      <c r="U486" s="59" t="s">
        <v>2822</v>
      </c>
      <c r="V486" s="59" t="s">
        <v>5005</v>
      </c>
      <c r="W486" s="59" t="s">
        <v>285</v>
      </c>
      <c r="X486" s="59" t="s">
        <v>575</v>
      </c>
      <c r="Y486" s="59" t="s">
        <v>577</v>
      </c>
      <c r="Z486" s="64" t="str">
        <f>IFERROR(VLOOKUP(T486,LK_OrgMaster!$B$4:$H$89,5,FALSE()),"Administration")</f>
        <v>Finance</v>
      </c>
      <c r="AA486" s="65" t="str">
        <f>IFERROR(VLOOKUP(X486,LK_LocationMaster!$D$4:$G$157,4,FALSE()),"No")</f>
        <v>Yes</v>
      </c>
      <c r="AB486" s="65" t="str">
        <f t="shared" si="30"/>
        <v>No</v>
      </c>
      <c r="AC486" s="65" t="str">
        <f>IFERROR(VLOOKUP(X486,LK_LocationMaster!$D$4:$H$157,5,FALSE()),"No")</f>
        <v>Yes</v>
      </c>
      <c r="AD486" s="59" t="s">
        <v>5006</v>
      </c>
      <c r="AE486" s="59" t="s">
        <v>800</v>
      </c>
      <c r="AF486" s="59" t="s">
        <v>801</v>
      </c>
      <c r="AG486" s="59" t="s">
        <v>391</v>
      </c>
      <c r="AH486" s="59" t="s">
        <v>5007</v>
      </c>
      <c r="AI486" s="59" t="s">
        <v>285</v>
      </c>
      <c r="AJ486" s="59" t="s">
        <v>747</v>
      </c>
      <c r="AK486" s="59" t="s">
        <v>748</v>
      </c>
      <c r="AL486" s="64" t="str">
        <f>IFERROR(INDEX(LK_BankMaster!$D$4:$D$23,MATCH(AJ486&amp;"|"&amp;AK486,LK_BankMaster!$H$4:$H$23,0)),"")</f>
        <v/>
      </c>
      <c r="AM486" s="59" t="s">
        <v>5008</v>
      </c>
      <c r="AN486" s="64" t="str">
        <f>IFERROR(VLOOKUP(AJ486,LK_BankMaster!$A$4:$E$23,5,FALSE()),"")</f>
        <v/>
      </c>
      <c r="AO486" s="59" t="s">
        <v>291</v>
      </c>
      <c r="AP486" s="66">
        <v>0</v>
      </c>
      <c r="AQ486" s="64" t="str">
        <f t="shared" si="31"/>
        <v>Position Allowance - Division Chief</v>
      </c>
      <c r="AR486" s="65" t="str">
        <f>IFERROR(VLOOKUP(T486,LK_OrgMaster!$B$4:$G$89,6,FALSE()),"No")</f>
        <v>No</v>
      </c>
      <c r="AS486" s="64" t="str">
        <f>IFERROR(VLOOKUP(T486,LK_OrgMaster!$B$4:$H$89,7,FALSE()),"None")</f>
        <v>None</v>
      </c>
      <c r="AT486" s="67">
        <v>32557</v>
      </c>
      <c r="AU486" s="67"/>
      <c r="AV486" s="67">
        <v>32557</v>
      </c>
      <c r="AW486" s="67">
        <v>46023</v>
      </c>
      <c r="AX486" s="68" t="s">
        <v>750</v>
      </c>
      <c r="AY486" s="69" t="s">
        <v>6260</v>
      </c>
    </row>
    <row r="487" spans="1:51" ht="15" customHeight="1" x14ac:dyDescent="0.3">
      <c r="A487" s="59" t="s">
        <v>5009</v>
      </c>
      <c r="B487" s="59" t="s">
        <v>772</v>
      </c>
      <c r="C487" s="59" t="s">
        <v>4461</v>
      </c>
      <c r="D487" s="59" t="s">
        <v>1186</v>
      </c>
      <c r="E487" s="59" t="s">
        <v>775</v>
      </c>
      <c r="F487" s="60">
        <v>27150</v>
      </c>
      <c r="G487" s="59" t="s">
        <v>5010</v>
      </c>
      <c r="H487" s="59" t="s">
        <v>5011</v>
      </c>
      <c r="I487" s="60">
        <v>45492</v>
      </c>
      <c r="J487" s="61">
        <f t="shared" ca="1" si="28"/>
        <v>1</v>
      </c>
      <c r="K487" s="62">
        <f t="shared" si="29"/>
        <v>49065</v>
      </c>
      <c r="L487" s="59" t="s">
        <v>735</v>
      </c>
      <c r="M487" s="59" t="s">
        <v>1006</v>
      </c>
      <c r="N487" s="59" t="s">
        <v>737</v>
      </c>
      <c r="O487" s="63">
        <v>25</v>
      </c>
      <c r="P487" s="61">
        <f>IFERROR(SUMPRODUCT((LK_GradeDerivation!$A$4:$A$135=N487)*(IF(O487="",0,O487)&gt;=LK_GradeDerivation!$B$4:$B$135)*(IF(O487="",0,O487)&lt;=LK_GradeDerivation!$C$4:$C$135)*LK_GradeDerivation!$D$4:$D$135),1)</f>
        <v>4</v>
      </c>
      <c r="Q487" s="61">
        <f>IFERROR(SUMPRODUCT((LK_GradeDerivation!$A$4:$A$135=N487)*(IF(O487="",0,O487)&gt;=LK_GradeDerivation!$B$4:$B$135)*(IF(O487="",0,O487)&lt;=LK_GradeDerivation!$C$4:$C$135)*LK_GradeDerivation!$E$4:$E$135),1)</f>
        <v>13</v>
      </c>
      <c r="R487" s="59" t="s">
        <v>5012</v>
      </c>
      <c r="S487" s="59" t="s">
        <v>5013</v>
      </c>
      <c r="T487" s="59" t="s">
        <v>859</v>
      </c>
      <c r="U487" s="59" t="s">
        <v>1009</v>
      </c>
      <c r="V487" s="59" t="s">
        <v>1010</v>
      </c>
      <c r="W487" s="59" t="s">
        <v>285</v>
      </c>
      <c r="X487" s="59" t="s">
        <v>500</v>
      </c>
      <c r="Y487" s="59" t="s">
        <v>502</v>
      </c>
      <c r="Z487" s="64" t="str">
        <f>IFERROR(VLOOKUP(T487,LK_OrgMaster!$B$4:$H$89,5,FALSE()),"Administration")</f>
        <v>Technical</v>
      </c>
      <c r="AA487" s="65" t="str">
        <f>IFERROR(VLOOKUP(X487,LK_LocationMaster!$D$4:$G$157,4,FALSE()),"No")</f>
        <v>No</v>
      </c>
      <c r="AB487" s="65" t="str">
        <f t="shared" si="30"/>
        <v>No</v>
      </c>
      <c r="AC487" s="65" t="str">
        <f>IFERROR(VLOOKUP(X487,LK_LocationMaster!$D$4:$H$157,5,FALSE()),"No")</f>
        <v>Yes</v>
      </c>
      <c r="AD487" s="59" t="s">
        <v>1774</v>
      </c>
      <c r="AE487" s="59" t="s">
        <v>765</v>
      </c>
      <c r="AF487" s="59" t="s">
        <v>969</v>
      </c>
      <c r="AG487" s="59" t="s">
        <v>368</v>
      </c>
      <c r="AH487" s="59" t="s">
        <v>5014</v>
      </c>
      <c r="AI487" s="59" t="s">
        <v>285</v>
      </c>
      <c r="AJ487" s="59" t="s">
        <v>788</v>
      </c>
      <c r="AK487" s="59" t="s">
        <v>999</v>
      </c>
      <c r="AL487" s="64" t="str">
        <f>IFERROR(INDEX(LK_BankMaster!$D$4:$D$23,MATCH(AJ487&amp;"|"&amp;AK487,LK_BankMaster!$H$4:$H$23,0)),"")</f>
        <v/>
      </c>
      <c r="AM487" s="59" t="s">
        <v>5015</v>
      </c>
      <c r="AN487" s="64" t="str">
        <f>IFERROR(VLOOKUP(AJ487,LK_BankMaster!$A$4:$E$23,5,FALSE()),"")</f>
        <v/>
      </c>
      <c r="AO487" s="59" t="s">
        <v>314</v>
      </c>
      <c r="AP487" s="66">
        <v>2</v>
      </c>
      <c r="AQ487" s="64" t="str">
        <f t="shared" si="31"/>
        <v>Position Allowance - General Staff</v>
      </c>
      <c r="AR487" s="65" t="str">
        <f>IFERROR(VLOOKUP(T487,LK_OrgMaster!$B$4:$G$89,6,FALSE()),"No")</f>
        <v>No</v>
      </c>
      <c r="AS487" s="64" t="str">
        <f>IFERROR(VLOOKUP(T487,LK_OrgMaster!$B$4:$H$89,7,FALSE()),"None")</f>
        <v>None</v>
      </c>
      <c r="AT487" s="70">
        <v>45492</v>
      </c>
      <c r="AU487" s="70"/>
      <c r="AV487" s="70">
        <v>45492</v>
      </c>
      <c r="AW487" s="70">
        <v>46023</v>
      </c>
      <c r="AX487" s="71" t="s">
        <v>750</v>
      </c>
      <c r="AY487" s="72" t="s">
        <v>6260</v>
      </c>
    </row>
    <row r="488" spans="1:51" ht="15" customHeight="1" x14ac:dyDescent="0.3">
      <c r="A488" s="59" t="s">
        <v>5016</v>
      </c>
      <c r="B488" s="59" t="s">
        <v>851</v>
      </c>
      <c r="C488" s="59" t="s">
        <v>1429</v>
      </c>
      <c r="D488" s="59" t="s">
        <v>1017</v>
      </c>
      <c r="E488" s="59" t="s">
        <v>775</v>
      </c>
      <c r="F488" s="60">
        <v>24626</v>
      </c>
      <c r="G488" s="59" t="s">
        <v>5017</v>
      </c>
      <c r="H488" s="59" t="s">
        <v>5018</v>
      </c>
      <c r="I488" s="60">
        <v>45003</v>
      </c>
      <c r="J488" s="61">
        <f t="shared" ca="1" si="28"/>
        <v>2</v>
      </c>
      <c r="K488" s="62">
        <f t="shared" si="29"/>
        <v>46541</v>
      </c>
      <c r="L488" s="59" t="s">
        <v>735</v>
      </c>
      <c r="M488" s="59" t="s">
        <v>937</v>
      </c>
      <c r="N488" s="59" t="s">
        <v>737</v>
      </c>
      <c r="O488" s="63">
        <v>25</v>
      </c>
      <c r="P488" s="61">
        <f>IFERROR(SUMPRODUCT((LK_GradeDerivation!$A$4:$A$135=N488)*(IF(O488="",0,O488)&gt;=LK_GradeDerivation!$B$4:$B$135)*(IF(O488="",0,O488)&lt;=LK_GradeDerivation!$C$4:$C$135)*LK_GradeDerivation!$D$4:$D$135),1)</f>
        <v>4</v>
      </c>
      <c r="Q488" s="61">
        <f>IFERROR(SUMPRODUCT((LK_GradeDerivation!$A$4:$A$135=N488)*(IF(O488="",0,O488)&gt;=LK_GradeDerivation!$B$4:$B$135)*(IF(O488="",0,O488)&lt;=LK_GradeDerivation!$C$4:$C$135)*LK_GradeDerivation!$E$4:$E$135),1)</f>
        <v>13</v>
      </c>
      <c r="R488" s="59" t="s">
        <v>5019</v>
      </c>
      <c r="S488" s="59" t="s">
        <v>5020</v>
      </c>
      <c r="T488" s="59" t="s">
        <v>1058</v>
      </c>
      <c r="U488" s="59" t="s">
        <v>1059</v>
      </c>
      <c r="V488" s="59" t="s">
        <v>1060</v>
      </c>
      <c r="W488" s="59" t="s">
        <v>285</v>
      </c>
      <c r="X488" s="59" t="s">
        <v>463</v>
      </c>
      <c r="Y488" s="59" t="s">
        <v>467</v>
      </c>
      <c r="Z488" s="64" t="str">
        <f>IFERROR(VLOOKUP(T488,LK_OrgMaster!$B$4:$H$89,5,FALSE()),"Administration")</f>
        <v>Technical</v>
      </c>
      <c r="AA488" s="65" t="str">
        <f>IFERROR(VLOOKUP(X488,LK_LocationMaster!$D$4:$G$157,4,FALSE()),"No")</f>
        <v>No</v>
      </c>
      <c r="AB488" s="65" t="str">
        <f t="shared" si="30"/>
        <v>No</v>
      </c>
      <c r="AC488" s="65" t="str">
        <f>IFERROR(VLOOKUP(X488,LK_LocationMaster!$D$4:$H$157,5,FALSE()),"No")</f>
        <v>No</v>
      </c>
      <c r="AD488" s="59" t="s">
        <v>5021</v>
      </c>
      <c r="AE488" s="59" t="s">
        <v>800</v>
      </c>
      <c r="AF488" s="59" t="s">
        <v>847</v>
      </c>
      <c r="AG488" s="59" t="s">
        <v>368</v>
      </c>
      <c r="AH488" s="59" t="s">
        <v>5022</v>
      </c>
      <c r="AI488" s="59" t="s">
        <v>285</v>
      </c>
      <c r="AJ488" s="59" t="s">
        <v>833</v>
      </c>
      <c r="AK488" s="59" t="s">
        <v>917</v>
      </c>
      <c r="AL488" s="64" t="str">
        <f>IFERROR(INDEX(LK_BankMaster!$D$4:$D$23,MATCH(AJ488&amp;"|"&amp;AK488,LK_BankMaster!$H$4:$H$23,0)),"")</f>
        <v/>
      </c>
      <c r="AM488" s="59" t="s">
        <v>5023</v>
      </c>
      <c r="AN488" s="64" t="str">
        <f>IFERROR(VLOOKUP(AJ488,LK_BankMaster!$A$4:$E$23,5,FALSE()),"")</f>
        <v/>
      </c>
      <c r="AO488" s="59" t="s">
        <v>314</v>
      </c>
      <c r="AP488" s="66">
        <v>2</v>
      </c>
      <c r="AQ488" s="64" t="str">
        <f t="shared" si="31"/>
        <v>Position Allowance - General Staff</v>
      </c>
      <c r="AR488" s="65" t="str">
        <f>IFERROR(VLOOKUP(T488,LK_OrgMaster!$B$4:$G$89,6,FALSE()),"No")</f>
        <v>No</v>
      </c>
      <c r="AS488" s="64" t="str">
        <f>IFERROR(VLOOKUP(T488,LK_OrgMaster!$B$4:$H$89,7,FALSE()),"None")</f>
        <v>None</v>
      </c>
      <c r="AT488" s="67">
        <v>45003</v>
      </c>
      <c r="AU488" s="67"/>
      <c r="AV488" s="67">
        <v>45003</v>
      </c>
      <c r="AW488" s="67">
        <v>46023</v>
      </c>
      <c r="AX488" s="68" t="s">
        <v>750</v>
      </c>
      <c r="AY488" s="69" t="s">
        <v>6260</v>
      </c>
    </row>
    <row r="489" spans="1:51" ht="15" customHeight="1" x14ac:dyDescent="0.3">
      <c r="A489" s="59" t="s">
        <v>5024</v>
      </c>
      <c r="B489" s="59" t="s">
        <v>772</v>
      </c>
      <c r="C489" s="59" t="s">
        <v>1440</v>
      </c>
      <c r="D489" s="59" t="s">
        <v>1160</v>
      </c>
      <c r="E489" s="59" t="s">
        <v>775</v>
      </c>
      <c r="F489" s="60">
        <v>32542</v>
      </c>
      <c r="G489" s="59" t="s">
        <v>5025</v>
      </c>
      <c r="H489" s="59" t="s">
        <v>5026</v>
      </c>
      <c r="I489" s="60">
        <v>41109</v>
      </c>
      <c r="J489" s="61">
        <f t="shared" ca="1" si="28"/>
        <v>13</v>
      </c>
      <c r="K489" s="62">
        <f t="shared" si="29"/>
        <v>54457</v>
      </c>
      <c r="L489" s="59" t="s">
        <v>735</v>
      </c>
      <c r="M489" s="59" t="s">
        <v>810</v>
      </c>
      <c r="N489" s="59" t="s">
        <v>1081</v>
      </c>
      <c r="O489" s="63">
        <v>3</v>
      </c>
      <c r="P489" s="61">
        <f>IFERROR(SUMPRODUCT((LK_GradeDerivation!$A$4:$A$135=N489)*(IF(O489="",0,O489)&gt;=LK_GradeDerivation!$B$4:$B$135)*(IF(O489="",0,O489)&lt;=LK_GradeDerivation!$C$4:$C$135)*LK_GradeDerivation!$D$4:$D$135),1)</f>
        <v>3</v>
      </c>
      <c r="Q489" s="61">
        <f>IFERROR(SUMPRODUCT((LK_GradeDerivation!$A$4:$A$135=N489)*(IF(O489="",0,O489)&gt;=LK_GradeDerivation!$B$4:$B$135)*(IF(O489="",0,O489)&lt;=LK_GradeDerivation!$C$4:$C$135)*LK_GradeDerivation!$E$4:$E$135),1)</f>
        <v>2</v>
      </c>
      <c r="R489" s="59" t="s">
        <v>5027</v>
      </c>
      <c r="S489" s="59" t="s">
        <v>5028</v>
      </c>
      <c r="T489" s="59" t="s">
        <v>782</v>
      </c>
      <c r="U489" s="59" t="s">
        <v>965</v>
      </c>
      <c r="V489" s="59" t="s">
        <v>1240</v>
      </c>
      <c r="W489" s="59" t="s">
        <v>285</v>
      </c>
      <c r="X489" s="59" t="s">
        <v>575</v>
      </c>
      <c r="Y489" s="59" t="s">
        <v>585</v>
      </c>
      <c r="Z489" s="64" t="str">
        <f>IFERROR(VLOOKUP(T489,LK_OrgMaster!$B$4:$H$89,5,FALSE()),"Administration")</f>
        <v>Medical</v>
      </c>
      <c r="AA489" s="65" t="str">
        <f>IFERROR(VLOOKUP(X489,LK_LocationMaster!$D$4:$G$157,4,FALSE()),"No")</f>
        <v>Yes</v>
      </c>
      <c r="AB489" s="65" t="str">
        <f t="shared" si="30"/>
        <v>No</v>
      </c>
      <c r="AC489" s="65" t="str">
        <f>IFERROR(VLOOKUP(X489,LK_LocationMaster!$D$4:$H$157,5,FALSE()),"No")</f>
        <v>Yes</v>
      </c>
      <c r="AD489" s="59" t="s">
        <v>5029</v>
      </c>
      <c r="AE489" s="59" t="s">
        <v>800</v>
      </c>
      <c r="AF489" s="59" t="s">
        <v>915</v>
      </c>
      <c r="AG489" s="59" t="s">
        <v>368</v>
      </c>
      <c r="AH489" s="59" t="s">
        <v>5030</v>
      </c>
      <c r="AI489" s="59" t="s">
        <v>285</v>
      </c>
      <c r="AJ489" s="59" t="s">
        <v>747</v>
      </c>
      <c r="AK489" s="59" t="s">
        <v>748</v>
      </c>
      <c r="AL489" s="64" t="str">
        <f>IFERROR(INDEX(LK_BankMaster!$D$4:$D$23,MATCH(AJ489&amp;"|"&amp;AK489,LK_BankMaster!$H$4:$H$23,0)),"")</f>
        <v/>
      </c>
      <c r="AM489" s="59" t="s">
        <v>5031</v>
      </c>
      <c r="AN489" s="64" t="str">
        <f>IFERROR(VLOOKUP(AJ489,LK_BankMaster!$A$4:$E$23,5,FALSE()),"")</f>
        <v/>
      </c>
      <c r="AO489" s="59" t="s">
        <v>291</v>
      </c>
      <c r="AP489" s="66">
        <v>0</v>
      </c>
      <c r="AQ489" s="64" t="str">
        <f t="shared" si="31"/>
        <v>Position Allowance - General Staff</v>
      </c>
      <c r="AR489" s="65" t="str">
        <f>IFERROR(VLOOKUP(T489,LK_OrgMaster!$B$4:$G$89,6,FALSE()),"No")</f>
        <v>No</v>
      </c>
      <c r="AS489" s="64" t="str">
        <f>IFERROR(VLOOKUP(T489,LK_OrgMaster!$B$4:$H$89,7,FALSE()),"None")</f>
        <v>Medical</v>
      </c>
      <c r="AT489" s="70">
        <v>41109</v>
      </c>
      <c r="AU489" s="70"/>
      <c r="AV489" s="70">
        <v>41109</v>
      </c>
      <c r="AW489" s="70">
        <v>46023</v>
      </c>
      <c r="AX489" s="71" t="s">
        <v>750</v>
      </c>
      <c r="AY489" s="72" t="s">
        <v>6260</v>
      </c>
    </row>
    <row r="490" spans="1:51" ht="15" customHeight="1" x14ac:dyDescent="0.3">
      <c r="A490" s="59" t="s">
        <v>5032</v>
      </c>
      <c r="B490" s="59" t="s">
        <v>752</v>
      </c>
      <c r="C490" s="59" t="s">
        <v>2894</v>
      </c>
      <c r="D490" s="59" t="s">
        <v>774</v>
      </c>
      <c r="E490" s="59" t="s">
        <v>732</v>
      </c>
      <c r="F490" s="60">
        <v>36934</v>
      </c>
      <c r="G490" s="59" t="s">
        <v>5033</v>
      </c>
      <c r="H490" s="59" t="s">
        <v>5034</v>
      </c>
      <c r="I490" s="60">
        <v>37085</v>
      </c>
      <c r="J490" s="61">
        <f t="shared" ca="1" si="28"/>
        <v>24</v>
      </c>
      <c r="K490" s="62">
        <f t="shared" si="29"/>
        <v>58849</v>
      </c>
      <c r="L490" s="59" t="s">
        <v>735</v>
      </c>
      <c r="M490" s="59" t="s">
        <v>893</v>
      </c>
      <c r="N490" s="59" t="s">
        <v>779</v>
      </c>
      <c r="O490" s="63">
        <v>0</v>
      </c>
      <c r="P490" s="61">
        <f>IFERROR(SUMPRODUCT((LK_GradeDerivation!$A$4:$A$135=N490)*(IF(O490="",0,O490)&gt;=LK_GradeDerivation!$B$4:$B$135)*(IF(O490="",0,O490)&lt;=LK_GradeDerivation!$C$4:$C$135)*LK_GradeDerivation!$D$4:$D$135),1)</f>
        <v>2</v>
      </c>
      <c r="Q490" s="61">
        <f>IFERROR(SUMPRODUCT((LK_GradeDerivation!$A$4:$A$135=N490)*(IF(O490="",0,O490)&gt;=LK_GradeDerivation!$B$4:$B$135)*(IF(O490="",0,O490)&lt;=LK_GradeDerivation!$C$4:$C$135)*LK_GradeDerivation!$E$4:$E$135),1)</f>
        <v>1</v>
      </c>
      <c r="R490" s="59" t="s">
        <v>5035</v>
      </c>
      <c r="S490" s="59" t="s">
        <v>5036</v>
      </c>
      <c r="T490" s="59" t="s">
        <v>1204</v>
      </c>
      <c r="U490" s="59" t="s">
        <v>3245</v>
      </c>
      <c r="V490" s="59" t="s">
        <v>3280</v>
      </c>
      <c r="W490" s="59" t="s">
        <v>285</v>
      </c>
      <c r="X490" s="59" t="s">
        <v>443</v>
      </c>
      <c r="Y490" s="59" t="s">
        <v>447</v>
      </c>
      <c r="Z490" s="64" t="str">
        <f>IFERROR(VLOOKUP(T490,LK_OrgMaster!$B$4:$H$89,5,FALSE()),"Administration")</f>
        <v>Administration</v>
      </c>
      <c r="AA490" s="65" t="str">
        <f>IFERROR(VLOOKUP(X490,LK_LocationMaster!$D$4:$G$157,4,FALSE()),"No")</f>
        <v>No</v>
      </c>
      <c r="AB490" s="65" t="str">
        <f t="shared" si="30"/>
        <v>No</v>
      </c>
      <c r="AC490" s="65" t="str">
        <f>IFERROR(VLOOKUP(X490,LK_LocationMaster!$D$4:$H$157,5,FALSE()),"No")</f>
        <v>No</v>
      </c>
      <c r="AD490" s="59" t="s">
        <v>4530</v>
      </c>
      <c r="AE490" s="59" t="s">
        <v>930</v>
      </c>
      <c r="AF490" s="59" t="s">
        <v>745</v>
      </c>
      <c r="AG490" s="59" t="s">
        <v>391</v>
      </c>
      <c r="AH490" s="59" t="s">
        <v>5037</v>
      </c>
      <c r="AI490" s="59" t="s">
        <v>285</v>
      </c>
      <c r="AJ490" s="59" t="s">
        <v>818</v>
      </c>
      <c r="AK490" s="59" t="s">
        <v>944</v>
      </c>
      <c r="AL490" s="64" t="str">
        <f>IFERROR(INDEX(LK_BankMaster!$D$4:$D$23,MATCH(AJ490&amp;"|"&amp;AK490,LK_BankMaster!$H$4:$H$23,0)),"")</f>
        <v/>
      </c>
      <c r="AM490" s="59" t="s">
        <v>5038</v>
      </c>
      <c r="AN490" s="64" t="str">
        <f>IFERROR(VLOOKUP(AJ490,LK_BankMaster!$A$4:$E$23,5,FALSE()),"")</f>
        <v/>
      </c>
      <c r="AO490" s="59" t="s">
        <v>291</v>
      </c>
      <c r="AP490" s="66">
        <v>0</v>
      </c>
      <c r="AQ490" s="64" t="str">
        <f t="shared" si="31"/>
        <v>Position Allowance - General Staff</v>
      </c>
      <c r="AR490" s="65" t="str">
        <f>IFERROR(VLOOKUP(T490,LK_OrgMaster!$B$4:$G$89,6,FALSE()),"No")</f>
        <v>No</v>
      </c>
      <c r="AS490" s="64" t="str">
        <f>IFERROR(VLOOKUP(T490,LK_OrgMaster!$B$4:$H$89,7,FALSE()),"None")</f>
        <v>None</v>
      </c>
      <c r="AT490" s="67">
        <v>37085</v>
      </c>
      <c r="AU490" s="67"/>
      <c r="AV490" s="67">
        <v>37085</v>
      </c>
      <c r="AW490" s="67">
        <v>46023</v>
      </c>
      <c r="AX490" s="68" t="s">
        <v>750</v>
      </c>
      <c r="AY490" s="69" t="s">
        <v>6260</v>
      </c>
    </row>
    <row r="491" spans="1:51" ht="15" customHeight="1" x14ac:dyDescent="0.3">
      <c r="A491" s="59" t="s">
        <v>5039</v>
      </c>
      <c r="B491" s="59" t="s">
        <v>851</v>
      </c>
      <c r="C491" s="59" t="s">
        <v>792</v>
      </c>
      <c r="D491" s="59" t="s">
        <v>1186</v>
      </c>
      <c r="E491" s="59" t="s">
        <v>775</v>
      </c>
      <c r="F491" s="60">
        <v>34268</v>
      </c>
      <c r="G491" s="59" t="s">
        <v>5040</v>
      </c>
      <c r="H491" s="59" t="s">
        <v>5041</v>
      </c>
      <c r="I491" s="60">
        <v>34701</v>
      </c>
      <c r="J491" s="61">
        <f t="shared" ca="1" si="28"/>
        <v>31</v>
      </c>
      <c r="K491" s="62">
        <f t="shared" si="29"/>
        <v>56183</v>
      </c>
      <c r="L491" s="59" t="s">
        <v>735</v>
      </c>
      <c r="M491" s="59" t="s">
        <v>841</v>
      </c>
      <c r="N491" s="59" t="s">
        <v>737</v>
      </c>
      <c r="O491" s="63">
        <v>0</v>
      </c>
      <c r="P491" s="61">
        <f>IFERROR(SUMPRODUCT((LK_GradeDerivation!$A$4:$A$135=N491)*(IF(O491="",0,O491)&gt;=LK_GradeDerivation!$B$4:$B$135)*(IF(O491="",0,O491)&lt;=LK_GradeDerivation!$C$4:$C$135)*LK_GradeDerivation!$D$4:$D$135),1)</f>
        <v>4</v>
      </c>
      <c r="Q491" s="61">
        <f>IFERROR(SUMPRODUCT((LK_GradeDerivation!$A$4:$A$135=N491)*(IF(O491="",0,O491)&gt;=LK_GradeDerivation!$B$4:$B$135)*(IF(O491="",0,O491)&lt;=LK_GradeDerivation!$C$4:$C$135)*LK_GradeDerivation!$E$4:$E$135),1)</f>
        <v>1</v>
      </c>
      <c r="R491" s="59" t="s">
        <v>5042</v>
      </c>
      <c r="S491" s="59" t="s">
        <v>5043</v>
      </c>
      <c r="T491" s="59" t="s">
        <v>1096</v>
      </c>
      <c r="U491" s="59" t="s">
        <v>1597</v>
      </c>
      <c r="V491" s="59" t="s">
        <v>1598</v>
      </c>
      <c r="W491" s="59" t="s">
        <v>285</v>
      </c>
      <c r="X491" s="59" t="s">
        <v>443</v>
      </c>
      <c r="Y491" s="59" t="s">
        <v>455</v>
      </c>
      <c r="Z491" s="64" t="str">
        <f>IFERROR(VLOOKUP(T491,LK_OrgMaster!$B$4:$H$89,5,FALSE()),"Administration")</f>
        <v>Administration</v>
      </c>
      <c r="AA491" s="65" t="str">
        <f>IFERROR(VLOOKUP(X491,LK_LocationMaster!$D$4:$G$157,4,FALSE()),"No")</f>
        <v>No</v>
      </c>
      <c r="AB491" s="65" t="str">
        <f t="shared" si="30"/>
        <v>No</v>
      </c>
      <c r="AC491" s="65" t="str">
        <f>IFERROR(VLOOKUP(X491,LK_LocationMaster!$D$4:$H$157,5,FALSE()),"No")</f>
        <v>No</v>
      </c>
      <c r="AD491" s="59" t="s">
        <v>5044</v>
      </c>
      <c r="AE491" s="59" t="s">
        <v>765</v>
      </c>
      <c r="AF491" s="59" t="s">
        <v>901</v>
      </c>
      <c r="AG491" s="59" t="s">
        <v>329</v>
      </c>
      <c r="AH491" s="59" t="s">
        <v>5045</v>
      </c>
      <c r="AI491" s="59" t="s">
        <v>285</v>
      </c>
      <c r="AJ491" s="59" t="s">
        <v>747</v>
      </c>
      <c r="AK491" s="59" t="s">
        <v>748</v>
      </c>
      <c r="AL491" s="64" t="str">
        <f>IFERROR(INDEX(LK_BankMaster!$D$4:$D$23,MATCH(AJ491&amp;"|"&amp;AK491,LK_BankMaster!$H$4:$H$23,0)),"")</f>
        <v/>
      </c>
      <c r="AM491" s="59" t="s">
        <v>5046</v>
      </c>
      <c r="AN491" s="64" t="str">
        <f>IFERROR(VLOOKUP(AJ491,LK_BankMaster!$A$4:$E$23,5,FALSE()),"")</f>
        <v/>
      </c>
      <c r="AO491" s="59" t="s">
        <v>314</v>
      </c>
      <c r="AP491" s="66">
        <v>1</v>
      </c>
      <c r="AQ491" s="64" t="str">
        <f t="shared" si="31"/>
        <v>Position Allowance - Director</v>
      </c>
      <c r="AR491" s="65" t="str">
        <f>IFERROR(VLOOKUP(T491,LK_OrgMaster!$B$4:$G$89,6,FALSE()),"No")</f>
        <v>No</v>
      </c>
      <c r="AS491" s="64" t="str">
        <f>IFERROR(VLOOKUP(T491,LK_OrgMaster!$B$4:$H$89,7,FALSE()),"None")</f>
        <v>None</v>
      </c>
      <c r="AT491" s="70">
        <v>34701</v>
      </c>
      <c r="AU491" s="70"/>
      <c r="AV491" s="70">
        <v>34701</v>
      </c>
      <c r="AW491" s="70">
        <v>46023</v>
      </c>
      <c r="AX491" s="71" t="s">
        <v>750</v>
      </c>
      <c r="AY491" s="72" t="s">
        <v>6260</v>
      </c>
    </row>
    <row r="492" spans="1:51" ht="15" customHeight="1" x14ac:dyDescent="0.3">
      <c r="A492" s="59" t="s">
        <v>5047</v>
      </c>
      <c r="B492" s="59" t="s">
        <v>729</v>
      </c>
      <c r="C492" s="59" t="s">
        <v>2070</v>
      </c>
      <c r="D492" s="59" t="s">
        <v>1017</v>
      </c>
      <c r="E492" s="59" t="s">
        <v>732</v>
      </c>
      <c r="F492" s="60">
        <v>29602</v>
      </c>
      <c r="G492" s="59" t="s">
        <v>5048</v>
      </c>
      <c r="H492" s="59" t="s">
        <v>5049</v>
      </c>
      <c r="I492" s="60">
        <v>45302</v>
      </c>
      <c r="J492" s="61">
        <f t="shared" ca="1" si="28"/>
        <v>2</v>
      </c>
      <c r="K492" s="62">
        <f t="shared" si="29"/>
        <v>51517</v>
      </c>
      <c r="L492" s="59" t="s">
        <v>735</v>
      </c>
      <c r="M492" s="59" t="s">
        <v>1020</v>
      </c>
      <c r="N492" s="59" t="s">
        <v>758</v>
      </c>
      <c r="O492" s="63">
        <v>18</v>
      </c>
      <c r="P492" s="61">
        <f>IFERROR(SUMPRODUCT((LK_GradeDerivation!$A$4:$A$135=N492)*(IF(O492="",0,O492)&gt;=LK_GradeDerivation!$B$4:$B$135)*(IF(O492="",0,O492)&lt;=LK_GradeDerivation!$C$4:$C$135)*LK_GradeDerivation!$D$4:$D$135),1)</f>
        <v>5</v>
      </c>
      <c r="Q492" s="61">
        <f>IFERROR(SUMPRODUCT((LK_GradeDerivation!$A$4:$A$135=N492)*(IF(O492="",0,O492)&gt;=LK_GradeDerivation!$B$4:$B$135)*(IF(O492="",0,O492)&lt;=LK_GradeDerivation!$C$4:$C$135)*LK_GradeDerivation!$E$4:$E$135),1)</f>
        <v>10</v>
      </c>
      <c r="R492" s="59" t="s">
        <v>5050</v>
      </c>
      <c r="S492" s="59" t="s">
        <v>5051</v>
      </c>
      <c r="T492" s="59" t="s">
        <v>2790</v>
      </c>
      <c r="U492" s="59" t="s">
        <v>1229</v>
      </c>
      <c r="V492" s="59" t="s">
        <v>1230</v>
      </c>
      <c r="W492" s="59" t="s">
        <v>285</v>
      </c>
      <c r="X492" s="59" t="s">
        <v>356</v>
      </c>
      <c r="Y492" s="59" t="s">
        <v>364</v>
      </c>
      <c r="Z492" s="64" t="str">
        <f>IFERROR(VLOOKUP(T492,LK_OrgMaster!$B$4:$H$89,5,FALSE()),"Administration")</f>
        <v>Administration</v>
      </c>
      <c r="AA492" s="65" t="str">
        <f>IFERROR(VLOOKUP(X492,LK_LocationMaster!$D$4:$G$157,4,FALSE()),"No")</f>
        <v>Yes</v>
      </c>
      <c r="AB492" s="65" t="str">
        <f t="shared" si="30"/>
        <v>No</v>
      </c>
      <c r="AC492" s="65" t="str">
        <f>IFERROR(VLOOKUP(X492,LK_LocationMaster!$D$4:$H$157,5,FALSE()),"No")</f>
        <v>No</v>
      </c>
      <c r="AD492" s="59" t="s">
        <v>2505</v>
      </c>
      <c r="AE492" s="59" t="s">
        <v>765</v>
      </c>
      <c r="AF492" s="59" t="s">
        <v>847</v>
      </c>
      <c r="AG492" s="59" t="s">
        <v>312</v>
      </c>
      <c r="AH492" s="59" t="s">
        <v>5052</v>
      </c>
      <c r="AI492" s="59" t="s">
        <v>285</v>
      </c>
      <c r="AJ492" s="59" t="s">
        <v>788</v>
      </c>
      <c r="AK492" s="59" t="s">
        <v>1221</v>
      </c>
      <c r="AL492" s="64" t="str">
        <f>IFERROR(INDEX(LK_BankMaster!$D$4:$D$23,MATCH(AJ492&amp;"|"&amp;AK492,LK_BankMaster!$H$4:$H$23,0)),"")</f>
        <v/>
      </c>
      <c r="AM492" s="59" t="s">
        <v>5053</v>
      </c>
      <c r="AN492" s="64" t="str">
        <f>IFERROR(VLOOKUP(AJ492,LK_BankMaster!$A$4:$E$23,5,FALSE()),"")</f>
        <v/>
      </c>
      <c r="AO492" s="59" t="s">
        <v>314</v>
      </c>
      <c r="AP492" s="66">
        <v>3</v>
      </c>
      <c r="AQ492" s="64" t="str">
        <f t="shared" si="31"/>
        <v>Position Allowance - Section Chief</v>
      </c>
      <c r="AR492" s="65" t="str">
        <f>IFERROR(VLOOKUP(T492,LK_OrgMaster!$B$4:$G$89,6,FALSE()),"No")</f>
        <v>No</v>
      </c>
      <c r="AS492" s="64" t="str">
        <f>IFERROR(VLOOKUP(T492,LK_OrgMaster!$B$4:$H$89,7,FALSE()),"None")</f>
        <v>None</v>
      </c>
      <c r="AT492" s="67">
        <v>45302</v>
      </c>
      <c r="AU492" s="67"/>
      <c r="AV492" s="67">
        <v>45302</v>
      </c>
      <c r="AW492" s="67">
        <v>46023</v>
      </c>
      <c r="AX492" s="68" t="s">
        <v>750</v>
      </c>
      <c r="AY492" s="69" t="s">
        <v>6260</v>
      </c>
    </row>
    <row r="493" spans="1:51" ht="15" customHeight="1" x14ac:dyDescent="0.3">
      <c r="A493" s="59" t="s">
        <v>5054</v>
      </c>
      <c r="B493" s="59" t="s">
        <v>772</v>
      </c>
      <c r="C493" s="59" t="s">
        <v>875</v>
      </c>
      <c r="D493" s="59" t="s">
        <v>2482</v>
      </c>
      <c r="E493" s="59" t="s">
        <v>732</v>
      </c>
      <c r="F493" s="60">
        <v>37016</v>
      </c>
      <c r="G493" s="59" t="s">
        <v>5055</v>
      </c>
      <c r="H493" s="59" t="s">
        <v>5056</v>
      </c>
      <c r="I493" s="60">
        <v>38945</v>
      </c>
      <c r="J493" s="61">
        <f t="shared" ca="1" si="28"/>
        <v>19</v>
      </c>
      <c r="K493" s="62">
        <f t="shared" si="29"/>
        <v>58931</v>
      </c>
      <c r="L493" s="59" t="s">
        <v>735</v>
      </c>
      <c r="M493" s="59" t="s">
        <v>1743</v>
      </c>
      <c r="N493" s="59" t="s">
        <v>779</v>
      </c>
      <c r="O493" s="63">
        <v>0</v>
      </c>
      <c r="P493" s="61">
        <f>IFERROR(SUMPRODUCT((LK_GradeDerivation!$A$4:$A$135=N493)*(IF(O493="",0,O493)&gt;=LK_GradeDerivation!$B$4:$B$135)*(IF(O493="",0,O493)&lt;=LK_GradeDerivation!$C$4:$C$135)*LK_GradeDerivation!$D$4:$D$135),1)</f>
        <v>2</v>
      </c>
      <c r="Q493" s="61">
        <f>IFERROR(SUMPRODUCT((LK_GradeDerivation!$A$4:$A$135=N493)*(IF(O493="",0,O493)&gt;=LK_GradeDerivation!$B$4:$B$135)*(IF(O493="",0,O493)&lt;=LK_GradeDerivation!$C$4:$C$135)*LK_GradeDerivation!$E$4:$E$135),1)</f>
        <v>1</v>
      </c>
      <c r="R493" s="59" t="s">
        <v>5057</v>
      </c>
      <c r="S493" s="59" t="s">
        <v>5058</v>
      </c>
      <c r="T493" s="59" t="s">
        <v>882</v>
      </c>
      <c r="U493" s="59" t="s">
        <v>2009</v>
      </c>
      <c r="V493" s="59" t="s">
        <v>2010</v>
      </c>
      <c r="W493" s="59" t="s">
        <v>285</v>
      </c>
      <c r="X493" s="59" t="s">
        <v>587</v>
      </c>
      <c r="Y493" s="59" t="s">
        <v>593</v>
      </c>
      <c r="Z493" s="64" t="str">
        <f>IFERROR(VLOOKUP(T493,LK_OrgMaster!$B$4:$H$89,5,FALSE()),"Administration")</f>
        <v>Legal</v>
      </c>
      <c r="AA493" s="65" t="str">
        <f>IFERROR(VLOOKUP(X493,LK_LocationMaster!$D$4:$G$157,4,FALSE()),"No")</f>
        <v>Yes</v>
      </c>
      <c r="AB493" s="65" t="str">
        <f t="shared" si="30"/>
        <v>No</v>
      </c>
      <c r="AC493" s="65" t="str">
        <f>IFERROR(VLOOKUP(X493,LK_LocationMaster!$D$4:$H$157,5,FALSE()),"No")</f>
        <v>Yes</v>
      </c>
      <c r="AD493" s="59" t="s">
        <v>2047</v>
      </c>
      <c r="AE493" s="59" t="s">
        <v>765</v>
      </c>
      <c r="AF493" s="59" t="s">
        <v>915</v>
      </c>
      <c r="AG493" s="59" t="s">
        <v>340</v>
      </c>
      <c r="AH493" s="59" t="s">
        <v>5059</v>
      </c>
      <c r="AI493" s="59" t="s">
        <v>285</v>
      </c>
      <c r="AJ493" s="59" t="s">
        <v>747</v>
      </c>
      <c r="AK493" s="59" t="s">
        <v>748</v>
      </c>
      <c r="AL493" s="64" t="str">
        <f>IFERROR(INDEX(LK_BankMaster!$D$4:$D$23,MATCH(AJ493&amp;"|"&amp;AK493,LK_BankMaster!$H$4:$H$23,0)),"")</f>
        <v/>
      </c>
      <c r="AM493" s="59" t="s">
        <v>5060</v>
      </c>
      <c r="AN493" s="64" t="str">
        <f>IFERROR(VLOOKUP(AJ493,LK_BankMaster!$A$4:$E$23,5,FALSE()),"")</f>
        <v/>
      </c>
      <c r="AO493" s="59" t="s">
        <v>314</v>
      </c>
      <c r="AP493" s="66">
        <v>3</v>
      </c>
      <c r="AQ493" s="64" t="str">
        <f t="shared" si="31"/>
        <v>Position Allowance - General Staff</v>
      </c>
      <c r="AR493" s="65" t="str">
        <f>IFERROR(VLOOKUP(T493,LK_OrgMaster!$B$4:$G$89,6,FALSE()),"No")</f>
        <v>No</v>
      </c>
      <c r="AS493" s="64" t="str">
        <f>IFERROR(VLOOKUP(T493,LK_OrgMaster!$B$4:$H$89,7,FALSE()),"None")</f>
        <v>None</v>
      </c>
      <c r="AT493" s="70">
        <v>38945</v>
      </c>
      <c r="AU493" s="70"/>
      <c r="AV493" s="70">
        <v>38945</v>
      </c>
      <c r="AW493" s="70">
        <v>46023</v>
      </c>
      <c r="AX493" s="71" t="s">
        <v>750</v>
      </c>
      <c r="AY493" s="72" t="s">
        <v>6260</v>
      </c>
    </row>
    <row r="494" spans="1:51" ht="15" customHeight="1" x14ac:dyDescent="0.3">
      <c r="A494" s="59" t="s">
        <v>5061</v>
      </c>
      <c r="B494" s="59" t="s">
        <v>752</v>
      </c>
      <c r="C494" s="59" t="s">
        <v>2203</v>
      </c>
      <c r="D494" s="59" t="s">
        <v>853</v>
      </c>
      <c r="E494" s="59" t="s">
        <v>732</v>
      </c>
      <c r="F494" s="60">
        <v>31178</v>
      </c>
      <c r="G494" s="59" t="s">
        <v>5062</v>
      </c>
      <c r="H494" s="59" t="s">
        <v>5063</v>
      </c>
      <c r="I494" s="60">
        <v>41995</v>
      </c>
      <c r="J494" s="61">
        <f t="shared" ca="1" si="28"/>
        <v>11</v>
      </c>
      <c r="K494" s="62">
        <f t="shared" si="29"/>
        <v>53093</v>
      </c>
      <c r="L494" s="59" t="s">
        <v>735</v>
      </c>
      <c r="M494" s="59" t="s">
        <v>1421</v>
      </c>
      <c r="N494" s="59" t="s">
        <v>779</v>
      </c>
      <c r="O494" s="63">
        <v>11</v>
      </c>
      <c r="P494" s="61">
        <f>IFERROR(SUMPRODUCT((LK_GradeDerivation!$A$4:$A$135=N494)*(IF(O494="",0,O494)&gt;=LK_GradeDerivation!$B$4:$B$135)*(IF(O494="",0,O494)&lt;=LK_GradeDerivation!$C$4:$C$135)*LK_GradeDerivation!$D$4:$D$135),1)</f>
        <v>2</v>
      </c>
      <c r="Q494" s="61">
        <f>IFERROR(SUMPRODUCT((LK_GradeDerivation!$A$4:$A$135=N494)*(IF(O494="",0,O494)&gt;=LK_GradeDerivation!$B$4:$B$135)*(IF(O494="",0,O494)&lt;=LK_GradeDerivation!$C$4:$C$135)*LK_GradeDerivation!$E$4:$E$135),1)</f>
        <v>6</v>
      </c>
      <c r="R494" s="59" t="s">
        <v>5064</v>
      </c>
      <c r="S494" s="59" t="s">
        <v>5065</v>
      </c>
      <c r="T494" s="59" t="s">
        <v>782</v>
      </c>
      <c r="U494" s="59" t="s">
        <v>783</v>
      </c>
      <c r="V494" s="59" t="s">
        <v>3138</v>
      </c>
      <c r="W494" s="59" t="s">
        <v>285</v>
      </c>
      <c r="X494" s="59" t="s">
        <v>544</v>
      </c>
      <c r="Y494" s="59" t="s">
        <v>550</v>
      </c>
      <c r="Z494" s="64" t="str">
        <f>IFERROR(VLOOKUP(T494,LK_OrgMaster!$B$4:$H$89,5,FALSE()),"Administration")</f>
        <v>Medical</v>
      </c>
      <c r="AA494" s="65" t="str">
        <f>IFERROR(VLOOKUP(X494,LK_LocationMaster!$D$4:$G$157,4,FALSE()),"No")</f>
        <v>Yes</v>
      </c>
      <c r="AB494" s="65" t="str">
        <f t="shared" si="30"/>
        <v>No</v>
      </c>
      <c r="AC494" s="65" t="str">
        <f>IFERROR(VLOOKUP(X494,LK_LocationMaster!$D$4:$H$157,5,FALSE()),"No")</f>
        <v>Yes</v>
      </c>
      <c r="AD494" s="59" t="s">
        <v>5066</v>
      </c>
      <c r="AE494" s="59" t="s">
        <v>765</v>
      </c>
      <c r="AF494" s="59" t="s">
        <v>984</v>
      </c>
      <c r="AG494" s="59" t="s">
        <v>288</v>
      </c>
      <c r="AH494" s="59" t="s">
        <v>5067</v>
      </c>
      <c r="AI494" s="59" t="s">
        <v>285</v>
      </c>
      <c r="AJ494" s="59" t="s">
        <v>833</v>
      </c>
      <c r="AK494" s="59" t="s">
        <v>834</v>
      </c>
      <c r="AL494" s="64" t="str">
        <f>IFERROR(INDEX(LK_BankMaster!$D$4:$D$23,MATCH(AJ494&amp;"|"&amp;AK494,LK_BankMaster!$H$4:$H$23,0)),"")</f>
        <v/>
      </c>
      <c r="AM494" s="59" t="s">
        <v>5068</v>
      </c>
      <c r="AN494" s="64" t="str">
        <f>IFERROR(VLOOKUP(AJ494,LK_BankMaster!$A$4:$E$23,5,FALSE()),"")</f>
        <v/>
      </c>
      <c r="AO494" s="59" t="s">
        <v>314</v>
      </c>
      <c r="AP494" s="66">
        <v>1</v>
      </c>
      <c r="AQ494" s="64" t="str">
        <f t="shared" si="31"/>
        <v>Position Allowance - General Staff</v>
      </c>
      <c r="AR494" s="65" t="str">
        <f>IFERROR(VLOOKUP(T494,LK_OrgMaster!$B$4:$G$89,6,FALSE()),"No")</f>
        <v>No</v>
      </c>
      <c r="AS494" s="64" t="str">
        <f>IFERROR(VLOOKUP(T494,LK_OrgMaster!$B$4:$H$89,7,FALSE()),"None")</f>
        <v>Medical</v>
      </c>
      <c r="AT494" s="67">
        <v>41995</v>
      </c>
      <c r="AU494" s="67"/>
      <c r="AV494" s="67">
        <v>41995</v>
      </c>
      <c r="AW494" s="67">
        <v>46023</v>
      </c>
      <c r="AX494" s="68" t="s">
        <v>750</v>
      </c>
      <c r="AY494" s="69" t="s">
        <v>6260</v>
      </c>
    </row>
    <row r="495" spans="1:51" ht="15" customHeight="1" x14ac:dyDescent="0.3">
      <c r="A495" s="59" t="s">
        <v>5069</v>
      </c>
      <c r="B495" s="59" t="s">
        <v>772</v>
      </c>
      <c r="C495" s="59" t="s">
        <v>2003</v>
      </c>
      <c r="D495" s="59" t="s">
        <v>1331</v>
      </c>
      <c r="E495" s="59" t="s">
        <v>775</v>
      </c>
      <c r="F495" s="60">
        <v>26265</v>
      </c>
      <c r="G495" s="59" t="s">
        <v>5070</v>
      </c>
      <c r="H495" s="59" t="s">
        <v>5071</v>
      </c>
      <c r="I495" s="60">
        <v>34857</v>
      </c>
      <c r="J495" s="61">
        <f t="shared" ca="1" si="28"/>
        <v>30</v>
      </c>
      <c r="K495" s="62">
        <f t="shared" si="29"/>
        <v>48180</v>
      </c>
      <c r="L495" s="59" t="s">
        <v>735</v>
      </c>
      <c r="M495" s="59" t="s">
        <v>1201</v>
      </c>
      <c r="N495" s="59" t="s">
        <v>737</v>
      </c>
      <c r="O495" s="63">
        <v>1</v>
      </c>
      <c r="P495" s="61">
        <f>IFERROR(SUMPRODUCT((LK_GradeDerivation!$A$4:$A$135=N495)*(IF(O495="",0,O495)&gt;=LK_GradeDerivation!$B$4:$B$135)*(IF(O495="",0,O495)&lt;=LK_GradeDerivation!$C$4:$C$135)*LK_GradeDerivation!$D$4:$D$135),1)</f>
        <v>4</v>
      </c>
      <c r="Q495" s="61">
        <f>IFERROR(SUMPRODUCT((LK_GradeDerivation!$A$4:$A$135=N495)*(IF(O495="",0,O495)&gt;=LK_GradeDerivation!$B$4:$B$135)*(IF(O495="",0,O495)&lt;=LK_GradeDerivation!$C$4:$C$135)*LK_GradeDerivation!$E$4:$E$135),1)</f>
        <v>1</v>
      </c>
      <c r="R495" s="59" t="s">
        <v>5072</v>
      </c>
      <c r="S495" s="59" t="s">
        <v>5073</v>
      </c>
      <c r="T495" s="59" t="s">
        <v>761</v>
      </c>
      <c r="U495" s="59" t="s">
        <v>1942</v>
      </c>
      <c r="V495" s="59" t="s">
        <v>5074</v>
      </c>
      <c r="W495" s="59" t="s">
        <v>285</v>
      </c>
      <c r="X495" s="59" t="s">
        <v>288</v>
      </c>
      <c r="Y495" s="59" t="s">
        <v>306</v>
      </c>
      <c r="Z495" s="64" t="str">
        <f>IFERROR(VLOOKUP(T495,LK_OrgMaster!$B$4:$H$89,5,FALSE()),"Administration")</f>
        <v>Administration</v>
      </c>
      <c r="AA495" s="65" t="str">
        <f>IFERROR(VLOOKUP(X495,LK_LocationMaster!$D$4:$G$157,4,FALSE()),"No")</f>
        <v>No</v>
      </c>
      <c r="AB495" s="65" t="str">
        <f t="shared" si="30"/>
        <v>No</v>
      </c>
      <c r="AC495" s="65" t="str">
        <f>IFERROR(VLOOKUP(X495,LK_LocationMaster!$D$4:$H$157,5,FALSE()),"No")</f>
        <v>No</v>
      </c>
      <c r="AD495" s="59" t="s">
        <v>2555</v>
      </c>
      <c r="AE495" s="59" t="s">
        <v>4241</v>
      </c>
      <c r="AF495" s="59" t="s">
        <v>901</v>
      </c>
      <c r="AG495" s="59" t="s">
        <v>356</v>
      </c>
      <c r="AH495" s="59" t="s">
        <v>5075</v>
      </c>
      <c r="AI495" s="59" t="s">
        <v>285</v>
      </c>
      <c r="AJ495" s="59" t="s">
        <v>818</v>
      </c>
      <c r="AK495" s="59" t="s">
        <v>819</v>
      </c>
      <c r="AL495" s="64" t="str">
        <f>IFERROR(INDEX(LK_BankMaster!$D$4:$D$23,MATCH(AJ495&amp;"|"&amp;AK495,LK_BankMaster!$H$4:$H$23,0)),"")</f>
        <v/>
      </c>
      <c r="AM495" s="59" t="s">
        <v>5076</v>
      </c>
      <c r="AN495" s="64" t="str">
        <f>IFERROR(VLOOKUP(AJ495,LK_BankMaster!$A$4:$E$23,5,FALSE()),"")</f>
        <v/>
      </c>
      <c r="AO495" s="59" t="s">
        <v>291</v>
      </c>
      <c r="AP495" s="66">
        <v>0</v>
      </c>
      <c r="AQ495" s="64" t="str">
        <f t="shared" si="31"/>
        <v>Position Allowance - General Staff</v>
      </c>
      <c r="AR495" s="65" t="str">
        <f>IFERROR(VLOOKUP(T495,LK_OrgMaster!$B$4:$G$89,6,FALSE()),"No")</f>
        <v>Yes</v>
      </c>
      <c r="AS495" s="64" t="str">
        <f>IFERROR(VLOOKUP(T495,LK_OrgMaster!$B$4:$H$89,7,FALSE()),"None")</f>
        <v>None</v>
      </c>
      <c r="AT495" s="70">
        <v>34857</v>
      </c>
      <c r="AU495" s="70"/>
      <c r="AV495" s="70">
        <v>34857</v>
      </c>
      <c r="AW495" s="70">
        <v>46023</v>
      </c>
      <c r="AX495" s="71" t="s">
        <v>750</v>
      </c>
      <c r="AY495" s="72" t="s">
        <v>6260</v>
      </c>
    </row>
    <row r="496" spans="1:51" ht="15" customHeight="1" x14ac:dyDescent="0.3">
      <c r="A496" s="59" t="s">
        <v>5077</v>
      </c>
      <c r="B496" s="59" t="s">
        <v>772</v>
      </c>
      <c r="C496" s="59" t="s">
        <v>2042</v>
      </c>
      <c r="D496" s="59" t="s">
        <v>1172</v>
      </c>
      <c r="E496" s="59" t="s">
        <v>732</v>
      </c>
      <c r="F496" s="60">
        <v>34756</v>
      </c>
      <c r="G496" s="59" t="s">
        <v>5078</v>
      </c>
      <c r="H496" s="59" t="s">
        <v>5079</v>
      </c>
      <c r="I496" s="60">
        <v>38239</v>
      </c>
      <c r="J496" s="61">
        <f t="shared" ca="1" si="28"/>
        <v>21</v>
      </c>
      <c r="K496" s="62">
        <f t="shared" si="29"/>
        <v>56671</v>
      </c>
      <c r="L496" s="59" t="s">
        <v>735</v>
      </c>
      <c r="M496" s="59" t="s">
        <v>810</v>
      </c>
      <c r="N496" s="59" t="s">
        <v>737</v>
      </c>
      <c r="O496" s="63">
        <v>0</v>
      </c>
      <c r="P496" s="61">
        <f>IFERROR(SUMPRODUCT((LK_GradeDerivation!$A$4:$A$135=N496)*(IF(O496="",0,O496)&gt;=LK_GradeDerivation!$B$4:$B$135)*(IF(O496="",0,O496)&lt;=LK_GradeDerivation!$C$4:$C$135)*LK_GradeDerivation!$D$4:$D$135),1)</f>
        <v>4</v>
      </c>
      <c r="Q496" s="61">
        <f>IFERROR(SUMPRODUCT((LK_GradeDerivation!$A$4:$A$135=N496)*(IF(O496="",0,O496)&gt;=LK_GradeDerivation!$B$4:$B$135)*(IF(O496="",0,O496)&lt;=LK_GradeDerivation!$C$4:$C$135)*LK_GradeDerivation!$E$4:$E$135),1)</f>
        <v>1</v>
      </c>
      <c r="R496" s="59" t="s">
        <v>5080</v>
      </c>
      <c r="S496" s="59" t="s">
        <v>5081</v>
      </c>
      <c r="T496" s="59" t="s">
        <v>782</v>
      </c>
      <c r="U496" s="59" t="s">
        <v>813</v>
      </c>
      <c r="V496" s="59" t="s">
        <v>814</v>
      </c>
      <c r="W496" s="59" t="s">
        <v>285</v>
      </c>
      <c r="X496" s="59" t="s">
        <v>288</v>
      </c>
      <c r="Y496" s="59" t="s">
        <v>310</v>
      </c>
      <c r="Z496" s="64" t="str">
        <f>IFERROR(VLOOKUP(T496,LK_OrgMaster!$B$4:$H$89,5,FALSE()),"Administration")</f>
        <v>Medical</v>
      </c>
      <c r="AA496" s="65" t="str">
        <f>IFERROR(VLOOKUP(X496,LK_LocationMaster!$D$4:$G$157,4,FALSE()),"No")</f>
        <v>No</v>
      </c>
      <c r="AB496" s="65" t="str">
        <f t="shared" si="30"/>
        <v>No</v>
      </c>
      <c r="AC496" s="65" t="str">
        <f>IFERROR(VLOOKUP(X496,LK_LocationMaster!$D$4:$H$157,5,FALSE()),"No")</f>
        <v>No</v>
      </c>
      <c r="AD496" s="59" t="s">
        <v>5082</v>
      </c>
      <c r="AE496" s="59" t="s">
        <v>886</v>
      </c>
      <c r="AF496" s="59" t="s">
        <v>801</v>
      </c>
      <c r="AG496" s="59" t="s">
        <v>356</v>
      </c>
      <c r="AH496" s="59" t="s">
        <v>5083</v>
      </c>
      <c r="AI496" s="59" t="s">
        <v>285</v>
      </c>
      <c r="AJ496" s="59" t="s">
        <v>833</v>
      </c>
      <c r="AK496" s="59" t="s">
        <v>1550</v>
      </c>
      <c r="AL496" s="64" t="str">
        <f>IFERROR(INDEX(LK_BankMaster!$D$4:$D$23,MATCH(AJ496&amp;"|"&amp;AK496,LK_BankMaster!$H$4:$H$23,0)),"")</f>
        <v/>
      </c>
      <c r="AM496" s="59" t="s">
        <v>5084</v>
      </c>
      <c r="AN496" s="64" t="str">
        <f>IFERROR(VLOOKUP(AJ496,LK_BankMaster!$A$4:$E$23,5,FALSE()),"")</f>
        <v/>
      </c>
      <c r="AO496" s="59" t="s">
        <v>291</v>
      </c>
      <c r="AP496" s="66">
        <v>0</v>
      </c>
      <c r="AQ496" s="64" t="str">
        <f t="shared" si="31"/>
        <v>Position Allowance - General Staff</v>
      </c>
      <c r="AR496" s="65" t="str">
        <f>IFERROR(VLOOKUP(T496,LK_OrgMaster!$B$4:$G$89,6,FALSE()),"No")</f>
        <v>No</v>
      </c>
      <c r="AS496" s="64" t="str">
        <f>IFERROR(VLOOKUP(T496,LK_OrgMaster!$B$4:$H$89,7,FALSE()),"None")</f>
        <v>Medical</v>
      </c>
      <c r="AT496" s="67">
        <v>38239</v>
      </c>
      <c r="AU496" s="67"/>
      <c r="AV496" s="67">
        <v>38239</v>
      </c>
      <c r="AW496" s="67">
        <v>46023</v>
      </c>
      <c r="AX496" s="68" t="s">
        <v>750</v>
      </c>
      <c r="AY496" s="69" t="s">
        <v>6260</v>
      </c>
    </row>
    <row r="497" spans="1:51" ht="15" customHeight="1" x14ac:dyDescent="0.3">
      <c r="A497" s="59" t="s">
        <v>5085</v>
      </c>
      <c r="B497" s="59" t="s">
        <v>851</v>
      </c>
      <c r="C497" s="59" t="s">
        <v>1198</v>
      </c>
      <c r="D497" s="59" t="s">
        <v>774</v>
      </c>
      <c r="E497" s="59" t="s">
        <v>775</v>
      </c>
      <c r="F497" s="60">
        <v>36694</v>
      </c>
      <c r="G497" s="59" t="s">
        <v>5086</v>
      </c>
      <c r="H497" s="59" t="s">
        <v>5087</v>
      </c>
      <c r="I497" s="60">
        <v>41632</v>
      </c>
      <c r="J497" s="61">
        <f t="shared" ca="1" si="28"/>
        <v>12</v>
      </c>
      <c r="K497" s="62">
        <f t="shared" si="29"/>
        <v>58609</v>
      </c>
      <c r="L497" s="59" t="s">
        <v>735</v>
      </c>
      <c r="M497" s="59" t="s">
        <v>1454</v>
      </c>
      <c r="N497" s="59" t="s">
        <v>737</v>
      </c>
      <c r="O497" s="63">
        <v>0</v>
      </c>
      <c r="P497" s="61">
        <f>IFERROR(SUMPRODUCT((LK_GradeDerivation!$A$4:$A$135=N497)*(IF(O497="",0,O497)&gt;=LK_GradeDerivation!$B$4:$B$135)*(IF(O497="",0,O497)&lt;=LK_GradeDerivation!$C$4:$C$135)*LK_GradeDerivation!$D$4:$D$135),1)</f>
        <v>4</v>
      </c>
      <c r="Q497" s="61">
        <f>IFERROR(SUMPRODUCT((LK_GradeDerivation!$A$4:$A$135=N497)*(IF(O497="",0,O497)&gt;=LK_GradeDerivation!$B$4:$B$135)*(IF(O497="",0,O497)&lt;=LK_GradeDerivation!$C$4:$C$135)*LK_GradeDerivation!$E$4:$E$135),1)</f>
        <v>1</v>
      </c>
      <c r="R497" s="59" t="s">
        <v>5088</v>
      </c>
      <c r="S497" s="59" t="s">
        <v>5089</v>
      </c>
      <c r="T497" s="59" t="s">
        <v>740</v>
      </c>
      <c r="U497" s="59" t="s">
        <v>1154</v>
      </c>
      <c r="V497" s="59" t="s">
        <v>1864</v>
      </c>
      <c r="W497" s="59" t="s">
        <v>285</v>
      </c>
      <c r="X497" s="59" t="s">
        <v>356</v>
      </c>
      <c r="Y497" s="59" t="s">
        <v>366</v>
      </c>
      <c r="Z497" s="64" t="str">
        <f>IFERROR(VLOOKUP(T497,LK_OrgMaster!$B$4:$H$89,5,FALSE()),"Administration")</f>
        <v>Teacher</v>
      </c>
      <c r="AA497" s="65" t="str">
        <f>IFERROR(VLOOKUP(X497,LK_LocationMaster!$D$4:$G$157,4,FALSE()),"No")</f>
        <v>Yes</v>
      </c>
      <c r="AB497" s="65" t="str">
        <f t="shared" si="30"/>
        <v>No</v>
      </c>
      <c r="AC497" s="65" t="str">
        <f>IFERROR(VLOOKUP(X497,LK_LocationMaster!$D$4:$H$157,5,FALSE()),"No")</f>
        <v>No</v>
      </c>
      <c r="AD497" s="59" t="s">
        <v>5090</v>
      </c>
      <c r="AE497" s="59" t="s">
        <v>930</v>
      </c>
      <c r="AF497" s="59" t="s">
        <v>786</v>
      </c>
      <c r="AG497" s="59" t="s">
        <v>329</v>
      </c>
      <c r="AH497" s="59" t="s">
        <v>2111</v>
      </c>
      <c r="AI497" s="59" t="s">
        <v>285</v>
      </c>
      <c r="AJ497" s="59" t="s">
        <v>747</v>
      </c>
      <c r="AK497" s="59" t="s">
        <v>748</v>
      </c>
      <c r="AL497" s="64" t="str">
        <f>IFERROR(INDEX(LK_BankMaster!$D$4:$D$23,MATCH(AJ497&amp;"|"&amp;AK497,LK_BankMaster!$H$4:$H$23,0)),"")</f>
        <v/>
      </c>
      <c r="AM497" s="59" t="s">
        <v>5091</v>
      </c>
      <c r="AN497" s="64" t="str">
        <f>IFERROR(VLOOKUP(AJ497,LK_BankMaster!$A$4:$E$23,5,FALSE()),"")</f>
        <v/>
      </c>
      <c r="AO497" s="59" t="s">
        <v>314</v>
      </c>
      <c r="AP497" s="66">
        <v>3</v>
      </c>
      <c r="AQ497" s="64" t="str">
        <f t="shared" si="31"/>
        <v>Position Allowance - General Staff</v>
      </c>
      <c r="AR497" s="65" t="str">
        <f>IFERROR(VLOOKUP(T497,LK_OrgMaster!$B$4:$G$89,6,FALSE()),"No")</f>
        <v>No</v>
      </c>
      <c r="AS497" s="64" t="str">
        <f>IFERROR(VLOOKUP(T497,LK_OrgMaster!$B$4:$H$89,7,FALSE()),"None")</f>
        <v>Teaching</v>
      </c>
      <c r="AT497" s="70">
        <v>41632</v>
      </c>
      <c r="AU497" s="70"/>
      <c r="AV497" s="70">
        <v>41632</v>
      </c>
      <c r="AW497" s="70">
        <v>46023</v>
      </c>
      <c r="AX497" s="71" t="s">
        <v>750</v>
      </c>
      <c r="AY497" s="72" t="s">
        <v>6260</v>
      </c>
    </row>
    <row r="498" spans="1:51" ht="15" customHeight="1" x14ac:dyDescent="0.3">
      <c r="A498" s="59" t="s">
        <v>5092</v>
      </c>
      <c r="B498" s="59" t="s">
        <v>752</v>
      </c>
      <c r="C498" s="59" t="s">
        <v>1394</v>
      </c>
      <c r="D498" s="59" t="s">
        <v>1418</v>
      </c>
      <c r="E498" s="59" t="s">
        <v>732</v>
      </c>
      <c r="F498" s="60">
        <v>28348</v>
      </c>
      <c r="G498" s="59" t="s">
        <v>5093</v>
      </c>
      <c r="H498" s="59" t="s">
        <v>5094</v>
      </c>
      <c r="I498" s="60">
        <v>33801</v>
      </c>
      <c r="J498" s="61">
        <f t="shared" ca="1" si="28"/>
        <v>33</v>
      </c>
      <c r="K498" s="62">
        <f t="shared" si="29"/>
        <v>50263</v>
      </c>
      <c r="L498" s="59" t="s">
        <v>735</v>
      </c>
      <c r="M498" s="59" t="s">
        <v>736</v>
      </c>
      <c r="N498" s="59" t="s">
        <v>1081</v>
      </c>
      <c r="O498" s="63">
        <v>0</v>
      </c>
      <c r="P498" s="61">
        <f>IFERROR(SUMPRODUCT((LK_GradeDerivation!$A$4:$A$135=N498)*(IF(O498="",0,O498)&gt;=LK_GradeDerivation!$B$4:$B$135)*(IF(O498="",0,O498)&lt;=LK_GradeDerivation!$C$4:$C$135)*LK_GradeDerivation!$D$4:$D$135),1)</f>
        <v>3</v>
      </c>
      <c r="Q498" s="61">
        <f>IFERROR(SUMPRODUCT((LK_GradeDerivation!$A$4:$A$135=N498)*(IF(O498="",0,O498)&gt;=LK_GradeDerivation!$B$4:$B$135)*(IF(O498="",0,O498)&lt;=LK_GradeDerivation!$C$4:$C$135)*LK_GradeDerivation!$E$4:$E$135),1)</f>
        <v>1</v>
      </c>
      <c r="R498" s="59" t="s">
        <v>5095</v>
      </c>
      <c r="S498" s="59" t="s">
        <v>5096</v>
      </c>
      <c r="T498" s="59" t="s">
        <v>740</v>
      </c>
      <c r="U498" s="59" t="s">
        <v>1166</v>
      </c>
      <c r="V498" s="59" t="s">
        <v>1970</v>
      </c>
      <c r="W498" s="59" t="s">
        <v>285</v>
      </c>
      <c r="X498" s="59" t="s">
        <v>443</v>
      </c>
      <c r="Y498" s="59" t="s">
        <v>445</v>
      </c>
      <c r="Z498" s="64" t="str">
        <f>IFERROR(VLOOKUP(T498,LK_OrgMaster!$B$4:$H$89,5,FALSE()),"Administration")</f>
        <v>Teacher</v>
      </c>
      <c r="AA498" s="65" t="str">
        <f>IFERROR(VLOOKUP(X498,LK_LocationMaster!$D$4:$G$157,4,FALSE()),"No")</f>
        <v>No</v>
      </c>
      <c r="AB498" s="65" t="str">
        <f t="shared" si="30"/>
        <v>No</v>
      </c>
      <c r="AC498" s="65" t="str">
        <f>IFERROR(VLOOKUP(X498,LK_LocationMaster!$D$4:$H$157,5,FALSE()),"No")</f>
        <v>No</v>
      </c>
      <c r="AD498" s="59" t="s">
        <v>4662</v>
      </c>
      <c r="AE498" s="59" t="s">
        <v>800</v>
      </c>
      <c r="AF498" s="59" t="s">
        <v>786</v>
      </c>
      <c r="AG498" s="59" t="s">
        <v>312</v>
      </c>
      <c r="AH498" s="59" t="s">
        <v>5097</v>
      </c>
      <c r="AI498" s="59" t="s">
        <v>285</v>
      </c>
      <c r="AJ498" s="59" t="s">
        <v>788</v>
      </c>
      <c r="AK498" s="59" t="s">
        <v>903</v>
      </c>
      <c r="AL498" s="64" t="str">
        <f>IFERROR(INDEX(LK_BankMaster!$D$4:$D$23,MATCH(AJ498&amp;"|"&amp;AK498,LK_BankMaster!$H$4:$H$23,0)),"")</f>
        <v/>
      </c>
      <c r="AM498" s="59" t="s">
        <v>5098</v>
      </c>
      <c r="AN498" s="64" t="str">
        <f>IFERROR(VLOOKUP(AJ498,LK_BankMaster!$A$4:$E$23,5,FALSE()),"")</f>
        <v/>
      </c>
      <c r="AO498" s="59" t="s">
        <v>314</v>
      </c>
      <c r="AP498" s="66">
        <v>2</v>
      </c>
      <c r="AQ498" s="64" t="str">
        <f t="shared" si="31"/>
        <v>Position Allowance - General Staff</v>
      </c>
      <c r="AR498" s="65" t="str">
        <f>IFERROR(VLOOKUP(T498,LK_OrgMaster!$B$4:$G$89,6,FALSE()),"No")</f>
        <v>No</v>
      </c>
      <c r="AS498" s="64" t="str">
        <f>IFERROR(VLOOKUP(T498,LK_OrgMaster!$B$4:$H$89,7,FALSE()),"None")</f>
        <v>Teaching</v>
      </c>
      <c r="AT498" s="67">
        <v>33801</v>
      </c>
      <c r="AU498" s="67"/>
      <c r="AV498" s="67">
        <v>33801</v>
      </c>
      <c r="AW498" s="67">
        <v>46023</v>
      </c>
      <c r="AX498" s="68" t="s">
        <v>750</v>
      </c>
      <c r="AY498" s="69" t="s">
        <v>6260</v>
      </c>
    </row>
    <row r="499" spans="1:51" ht="15" customHeight="1" x14ac:dyDescent="0.3">
      <c r="A499" s="59" t="s">
        <v>5099</v>
      </c>
      <c r="B499" s="59" t="s">
        <v>772</v>
      </c>
      <c r="C499" s="59" t="s">
        <v>1198</v>
      </c>
      <c r="D499" s="59" t="s">
        <v>1909</v>
      </c>
      <c r="E499" s="59" t="s">
        <v>775</v>
      </c>
      <c r="F499" s="60">
        <v>32607</v>
      </c>
      <c r="G499" s="59" t="s">
        <v>5100</v>
      </c>
      <c r="H499" s="59" t="s">
        <v>5101</v>
      </c>
      <c r="I499" s="60">
        <v>40332</v>
      </c>
      <c r="J499" s="61">
        <f t="shared" ca="1" si="28"/>
        <v>15</v>
      </c>
      <c r="K499" s="62">
        <f t="shared" si="29"/>
        <v>54522</v>
      </c>
      <c r="L499" s="59" t="s">
        <v>735</v>
      </c>
      <c r="M499" s="59" t="s">
        <v>736</v>
      </c>
      <c r="N499" s="59" t="s">
        <v>737</v>
      </c>
      <c r="O499" s="63">
        <v>0</v>
      </c>
      <c r="P499" s="61">
        <f>IFERROR(SUMPRODUCT((LK_GradeDerivation!$A$4:$A$135=N499)*(IF(O499="",0,O499)&gt;=LK_GradeDerivation!$B$4:$B$135)*(IF(O499="",0,O499)&lt;=LK_GradeDerivation!$C$4:$C$135)*LK_GradeDerivation!$D$4:$D$135),1)</f>
        <v>4</v>
      </c>
      <c r="Q499" s="61">
        <f>IFERROR(SUMPRODUCT((LK_GradeDerivation!$A$4:$A$135=N499)*(IF(O499="",0,O499)&gt;=LK_GradeDerivation!$B$4:$B$135)*(IF(O499="",0,O499)&lt;=LK_GradeDerivation!$C$4:$C$135)*LK_GradeDerivation!$E$4:$E$135),1)</f>
        <v>1</v>
      </c>
      <c r="R499" s="59" t="s">
        <v>5102</v>
      </c>
      <c r="S499" s="59" t="s">
        <v>5103</v>
      </c>
      <c r="T499" s="59" t="s">
        <v>740</v>
      </c>
      <c r="U499" s="59" t="s">
        <v>1388</v>
      </c>
      <c r="V499" s="59" t="s">
        <v>1457</v>
      </c>
      <c r="W499" s="59" t="s">
        <v>285</v>
      </c>
      <c r="X499" s="59" t="s">
        <v>500</v>
      </c>
      <c r="Y499" s="59" t="s">
        <v>504</v>
      </c>
      <c r="Z499" s="64" t="str">
        <f>IFERROR(VLOOKUP(T499,LK_OrgMaster!$B$4:$H$89,5,FALSE()),"Administration")</f>
        <v>Teacher</v>
      </c>
      <c r="AA499" s="65" t="str">
        <f>IFERROR(VLOOKUP(X499,LK_LocationMaster!$D$4:$G$157,4,FALSE()),"No")</f>
        <v>No</v>
      </c>
      <c r="AB499" s="65" t="str">
        <f t="shared" si="30"/>
        <v>No</v>
      </c>
      <c r="AC499" s="65" t="str">
        <f>IFERROR(VLOOKUP(X499,LK_LocationMaster!$D$4:$H$157,5,FALSE()),"No")</f>
        <v>Yes</v>
      </c>
      <c r="AD499" s="59" t="s">
        <v>5104</v>
      </c>
      <c r="AE499" s="59" t="s">
        <v>744</v>
      </c>
      <c r="AF499" s="59" t="s">
        <v>847</v>
      </c>
      <c r="AG499" s="59" t="s">
        <v>312</v>
      </c>
      <c r="AH499" s="59" t="s">
        <v>5105</v>
      </c>
      <c r="AI499" s="59" t="s">
        <v>285</v>
      </c>
      <c r="AJ499" s="59" t="s">
        <v>747</v>
      </c>
      <c r="AK499" s="59" t="s">
        <v>748</v>
      </c>
      <c r="AL499" s="64" t="str">
        <f>IFERROR(INDEX(LK_BankMaster!$D$4:$D$23,MATCH(AJ499&amp;"|"&amp;AK499,LK_BankMaster!$H$4:$H$23,0)),"")</f>
        <v/>
      </c>
      <c r="AM499" s="59" t="s">
        <v>5106</v>
      </c>
      <c r="AN499" s="64" t="str">
        <f>IFERROR(VLOOKUP(AJ499,LK_BankMaster!$A$4:$E$23,5,FALSE()),"")</f>
        <v/>
      </c>
      <c r="AO499" s="59" t="s">
        <v>314</v>
      </c>
      <c r="AP499" s="66">
        <v>2</v>
      </c>
      <c r="AQ499" s="64" t="str">
        <f t="shared" si="31"/>
        <v>Position Allowance - General Staff</v>
      </c>
      <c r="AR499" s="65" t="str">
        <f>IFERROR(VLOOKUP(T499,LK_OrgMaster!$B$4:$G$89,6,FALSE()),"No")</f>
        <v>No</v>
      </c>
      <c r="AS499" s="64" t="str">
        <f>IFERROR(VLOOKUP(T499,LK_OrgMaster!$B$4:$H$89,7,FALSE()),"None")</f>
        <v>Teaching</v>
      </c>
      <c r="AT499" s="70">
        <v>40332</v>
      </c>
      <c r="AU499" s="70"/>
      <c r="AV499" s="70">
        <v>40332</v>
      </c>
      <c r="AW499" s="70">
        <v>46023</v>
      </c>
      <c r="AX499" s="71" t="s">
        <v>750</v>
      </c>
      <c r="AY499" s="72" t="s">
        <v>6260</v>
      </c>
    </row>
    <row r="500" spans="1:51" ht="15" customHeight="1" x14ac:dyDescent="0.3">
      <c r="A500" s="59" t="s">
        <v>5107</v>
      </c>
      <c r="B500" s="59" t="s">
        <v>772</v>
      </c>
      <c r="C500" s="59" t="s">
        <v>1417</v>
      </c>
      <c r="D500" s="59" t="s">
        <v>921</v>
      </c>
      <c r="E500" s="59" t="s">
        <v>732</v>
      </c>
      <c r="F500" s="60">
        <v>33726</v>
      </c>
      <c r="G500" s="59" t="s">
        <v>5108</v>
      </c>
      <c r="H500" s="59" t="s">
        <v>5109</v>
      </c>
      <c r="I500" s="60">
        <v>44541</v>
      </c>
      <c r="J500" s="61">
        <f t="shared" ca="1" si="28"/>
        <v>4</v>
      </c>
      <c r="K500" s="62">
        <f t="shared" si="29"/>
        <v>55641</v>
      </c>
      <c r="L500" s="59" t="s">
        <v>735</v>
      </c>
      <c r="M500" s="59" t="s">
        <v>1069</v>
      </c>
      <c r="N500" s="59" t="s">
        <v>758</v>
      </c>
      <c r="O500" s="63">
        <v>4</v>
      </c>
      <c r="P500" s="61">
        <f>IFERROR(SUMPRODUCT((LK_GradeDerivation!$A$4:$A$135=N500)*(IF(O500="",0,O500)&gt;=LK_GradeDerivation!$B$4:$B$135)*(IF(O500="",0,O500)&lt;=LK_GradeDerivation!$C$4:$C$135)*LK_GradeDerivation!$D$4:$D$135),1)</f>
        <v>5</v>
      </c>
      <c r="Q500" s="61">
        <f>IFERROR(SUMPRODUCT((LK_GradeDerivation!$A$4:$A$135=N500)*(IF(O500="",0,O500)&gt;=LK_GradeDerivation!$B$4:$B$135)*(IF(O500="",0,O500)&lt;=LK_GradeDerivation!$C$4:$C$135)*LK_GradeDerivation!$E$4:$E$135),1)</f>
        <v>3</v>
      </c>
      <c r="R500" s="59" t="s">
        <v>5110</v>
      </c>
      <c r="S500" s="59" t="s">
        <v>5111</v>
      </c>
      <c r="T500" s="59" t="s">
        <v>761</v>
      </c>
      <c r="U500" s="59" t="s">
        <v>1980</v>
      </c>
      <c r="V500" s="59" t="s">
        <v>763</v>
      </c>
      <c r="W500" s="59" t="s">
        <v>285</v>
      </c>
      <c r="X500" s="59" t="s">
        <v>288</v>
      </c>
      <c r="Y500" s="59" t="s">
        <v>306</v>
      </c>
      <c r="Z500" s="64" t="str">
        <f>IFERROR(VLOOKUP(T500,LK_OrgMaster!$B$4:$H$89,5,FALSE()),"Administration")</f>
        <v>Administration</v>
      </c>
      <c r="AA500" s="65" t="str">
        <f>IFERROR(VLOOKUP(X500,LK_LocationMaster!$D$4:$G$157,4,FALSE()),"No")</f>
        <v>No</v>
      </c>
      <c r="AB500" s="65" t="str">
        <f t="shared" si="30"/>
        <v>No</v>
      </c>
      <c r="AC500" s="65" t="str">
        <f>IFERROR(VLOOKUP(X500,LK_LocationMaster!$D$4:$H$157,5,FALSE()),"No")</f>
        <v>No</v>
      </c>
      <c r="AD500" s="59" t="s">
        <v>5112</v>
      </c>
      <c r="AE500" s="59" t="s">
        <v>765</v>
      </c>
      <c r="AF500" s="59" t="s">
        <v>766</v>
      </c>
      <c r="AG500" s="59" t="s">
        <v>408</v>
      </c>
      <c r="AH500" s="59" t="s">
        <v>5113</v>
      </c>
      <c r="AI500" s="59" t="s">
        <v>285</v>
      </c>
      <c r="AJ500" s="59" t="s">
        <v>768</v>
      </c>
      <c r="AK500" s="59" t="s">
        <v>1589</v>
      </c>
      <c r="AL500" s="64" t="str">
        <f>IFERROR(INDEX(LK_BankMaster!$D$4:$D$23,MATCH(AJ500&amp;"|"&amp;AK500,LK_BankMaster!$H$4:$H$23,0)),"")</f>
        <v/>
      </c>
      <c r="AM500" s="59" t="s">
        <v>5114</v>
      </c>
      <c r="AN500" s="64" t="str">
        <f>IFERROR(VLOOKUP(AJ500,LK_BankMaster!$A$4:$E$23,5,FALSE()),"")</f>
        <v/>
      </c>
      <c r="AO500" s="59" t="s">
        <v>314</v>
      </c>
      <c r="AP500" s="66">
        <v>3</v>
      </c>
      <c r="AQ500" s="64" t="str">
        <f t="shared" si="31"/>
        <v>Position Allowance - General Staff</v>
      </c>
      <c r="AR500" s="65" t="str">
        <f>IFERROR(VLOOKUP(T500,LK_OrgMaster!$B$4:$G$89,6,FALSE()),"No")</f>
        <v>Yes</v>
      </c>
      <c r="AS500" s="64" t="str">
        <f>IFERROR(VLOOKUP(T500,LK_OrgMaster!$B$4:$H$89,7,FALSE()),"None")</f>
        <v>None</v>
      </c>
      <c r="AT500" s="67">
        <v>44541</v>
      </c>
      <c r="AU500" s="67"/>
      <c r="AV500" s="67">
        <v>44541</v>
      </c>
      <c r="AW500" s="67">
        <v>46023</v>
      </c>
      <c r="AX500" s="68" t="s">
        <v>750</v>
      </c>
      <c r="AY500" s="69" t="s">
        <v>6260</v>
      </c>
    </row>
    <row r="501" spans="1:51" ht="15" customHeight="1" x14ac:dyDescent="0.3">
      <c r="A501" s="59" t="s">
        <v>5115</v>
      </c>
      <c r="B501" s="59" t="s">
        <v>772</v>
      </c>
      <c r="C501" s="59" t="s">
        <v>2015</v>
      </c>
      <c r="D501" s="59" t="s">
        <v>1704</v>
      </c>
      <c r="E501" s="59" t="s">
        <v>775</v>
      </c>
      <c r="F501" s="60">
        <v>34828</v>
      </c>
      <c r="G501" s="59" t="s">
        <v>5116</v>
      </c>
      <c r="H501" s="59" t="s">
        <v>5117</v>
      </c>
      <c r="I501" s="60">
        <v>39806</v>
      </c>
      <c r="J501" s="61">
        <f t="shared" ca="1" si="28"/>
        <v>17</v>
      </c>
      <c r="K501" s="62">
        <f t="shared" si="29"/>
        <v>56743</v>
      </c>
      <c r="L501" s="59" t="s">
        <v>735</v>
      </c>
      <c r="M501" s="59" t="s">
        <v>1214</v>
      </c>
      <c r="N501" s="59" t="s">
        <v>779</v>
      </c>
      <c r="O501" s="63">
        <v>0</v>
      </c>
      <c r="P501" s="61">
        <f>IFERROR(SUMPRODUCT((LK_GradeDerivation!$A$4:$A$135=N501)*(IF(O501="",0,O501)&gt;=LK_GradeDerivation!$B$4:$B$135)*(IF(O501="",0,O501)&lt;=LK_GradeDerivation!$C$4:$C$135)*LK_GradeDerivation!$D$4:$D$135),1)</f>
        <v>2</v>
      </c>
      <c r="Q501" s="61">
        <f>IFERROR(SUMPRODUCT((LK_GradeDerivation!$A$4:$A$135=N501)*(IF(O501="",0,O501)&gt;=LK_GradeDerivation!$B$4:$B$135)*(IF(O501="",0,O501)&lt;=LK_GradeDerivation!$C$4:$C$135)*LK_GradeDerivation!$E$4:$E$135),1)</f>
        <v>1</v>
      </c>
      <c r="R501" s="59" t="s">
        <v>5118</v>
      </c>
      <c r="S501" s="59" t="s">
        <v>5119</v>
      </c>
      <c r="T501" s="59" t="s">
        <v>1084</v>
      </c>
      <c r="U501" s="59" t="s">
        <v>2822</v>
      </c>
      <c r="V501" s="59" t="s">
        <v>5005</v>
      </c>
      <c r="W501" s="59" t="s">
        <v>285</v>
      </c>
      <c r="X501" s="59" t="s">
        <v>463</v>
      </c>
      <c r="Y501" s="59" t="s">
        <v>471</v>
      </c>
      <c r="Z501" s="64" t="str">
        <f>IFERROR(VLOOKUP(T501,LK_OrgMaster!$B$4:$H$89,5,FALSE()),"Administration")</f>
        <v>Finance</v>
      </c>
      <c r="AA501" s="65" t="str">
        <f>IFERROR(VLOOKUP(X501,LK_LocationMaster!$D$4:$G$157,4,FALSE()),"No")</f>
        <v>No</v>
      </c>
      <c r="AB501" s="65" t="str">
        <f t="shared" si="30"/>
        <v>No</v>
      </c>
      <c r="AC501" s="65" t="str">
        <f>IFERROR(VLOOKUP(X501,LK_LocationMaster!$D$4:$H$157,5,FALSE()),"No")</f>
        <v>No</v>
      </c>
      <c r="AD501" s="59" t="s">
        <v>5120</v>
      </c>
      <c r="AE501" s="59" t="s">
        <v>800</v>
      </c>
      <c r="AF501" s="59" t="s">
        <v>745</v>
      </c>
      <c r="AG501" s="59" t="s">
        <v>408</v>
      </c>
      <c r="AH501" s="59" t="s">
        <v>5121</v>
      </c>
      <c r="AI501" s="59" t="s">
        <v>285</v>
      </c>
      <c r="AJ501" s="59" t="s">
        <v>768</v>
      </c>
      <c r="AK501" s="59" t="s">
        <v>769</v>
      </c>
      <c r="AL501" s="64" t="str">
        <f>IFERROR(INDEX(LK_BankMaster!$D$4:$D$23,MATCH(AJ501&amp;"|"&amp;AK501,LK_BankMaster!$H$4:$H$23,0)),"")</f>
        <v/>
      </c>
      <c r="AM501" s="59" t="s">
        <v>5122</v>
      </c>
      <c r="AN501" s="64" t="str">
        <f>IFERROR(VLOOKUP(AJ501,LK_BankMaster!$A$4:$E$23,5,FALSE()),"")</f>
        <v/>
      </c>
      <c r="AO501" s="59" t="s">
        <v>314</v>
      </c>
      <c r="AP501" s="66">
        <v>3</v>
      </c>
      <c r="AQ501" s="64" t="str">
        <f t="shared" si="31"/>
        <v>Position Allowance - General Staff</v>
      </c>
      <c r="AR501" s="65" t="str">
        <f>IFERROR(VLOOKUP(T501,LK_OrgMaster!$B$4:$G$89,6,FALSE()),"No")</f>
        <v>No</v>
      </c>
      <c r="AS501" s="64" t="str">
        <f>IFERROR(VLOOKUP(T501,LK_OrgMaster!$B$4:$H$89,7,FALSE()),"None")</f>
        <v>None</v>
      </c>
      <c r="AT501" s="70">
        <v>39806</v>
      </c>
      <c r="AU501" s="70"/>
      <c r="AV501" s="70">
        <v>39806</v>
      </c>
      <c r="AW501" s="70">
        <v>46023</v>
      </c>
      <c r="AX501" s="71" t="s">
        <v>750</v>
      </c>
      <c r="AY501" s="72" t="s">
        <v>6260</v>
      </c>
    </row>
    <row r="502" spans="1:51" ht="15" customHeight="1" x14ac:dyDescent="0.3">
      <c r="A502" s="59" t="s">
        <v>5123</v>
      </c>
      <c r="B502" s="59" t="s">
        <v>772</v>
      </c>
      <c r="C502" s="59" t="s">
        <v>1740</v>
      </c>
      <c r="D502" s="59" t="s">
        <v>974</v>
      </c>
      <c r="E502" s="59" t="s">
        <v>732</v>
      </c>
      <c r="F502" s="60">
        <v>34755</v>
      </c>
      <c r="G502" s="59" t="s">
        <v>5124</v>
      </c>
      <c r="H502" s="59" t="s">
        <v>5125</v>
      </c>
      <c r="I502" s="60">
        <v>43742</v>
      </c>
      <c r="J502" s="61">
        <f t="shared" ca="1" si="28"/>
        <v>6</v>
      </c>
      <c r="K502" s="62">
        <f t="shared" si="29"/>
        <v>56670</v>
      </c>
      <c r="L502" s="59" t="s">
        <v>735</v>
      </c>
      <c r="M502" s="59" t="s">
        <v>1504</v>
      </c>
      <c r="N502" s="59" t="s">
        <v>779</v>
      </c>
      <c r="O502" s="63">
        <v>6</v>
      </c>
      <c r="P502" s="61">
        <f>IFERROR(SUMPRODUCT((LK_GradeDerivation!$A$4:$A$135=N502)*(IF(O502="",0,O502)&gt;=LK_GradeDerivation!$B$4:$B$135)*(IF(O502="",0,O502)&lt;=LK_GradeDerivation!$C$4:$C$135)*LK_GradeDerivation!$D$4:$D$135),1)</f>
        <v>2</v>
      </c>
      <c r="Q502" s="61">
        <f>IFERROR(SUMPRODUCT((LK_GradeDerivation!$A$4:$A$135=N502)*(IF(O502="",0,O502)&gt;=LK_GradeDerivation!$B$4:$B$135)*(IF(O502="",0,O502)&lt;=LK_GradeDerivation!$C$4:$C$135)*LK_GradeDerivation!$E$4:$E$135),1)</f>
        <v>4</v>
      </c>
      <c r="R502" s="59" t="s">
        <v>5126</v>
      </c>
      <c r="S502" s="59" t="s">
        <v>5127</v>
      </c>
      <c r="T502" s="59" t="s">
        <v>782</v>
      </c>
      <c r="U502" s="59" t="s">
        <v>783</v>
      </c>
      <c r="V502" s="59" t="s">
        <v>763</v>
      </c>
      <c r="W502" s="59" t="s">
        <v>285</v>
      </c>
      <c r="X502" s="59" t="s">
        <v>527</v>
      </c>
      <c r="Y502" s="59" t="s">
        <v>540</v>
      </c>
      <c r="Z502" s="64" t="str">
        <f>IFERROR(VLOOKUP(T502,LK_OrgMaster!$B$4:$H$89,5,FALSE()),"Administration")</f>
        <v>Medical</v>
      </c>
      <c r="AA502" s="65" t="str">
        <f>IFERROR(VLOOKUP(X502,LK_LocationMaster!$D$4:$G$157,4,FALSE()),"No")</f>
        <v>No</v>
      </c>
      <c r="AB502" s="65" t="str">
        <f t="shared" si="30"/>
        <v>No</v>
      </c>
      <c r="AC502" s="65" t="str">
        <f>IFERROR(VLOOKUP(X502,LK_LocationMaster!$D$4:$H$157,5,FALSE()),"No")</f>
        <v>No</v>
      </c>
      <c r="AD502" s="59" t="s">
        <v>5128</v>
      </c>
      <c r="AE502" s="59" t="s">
        <v>800</v>
      </c>
      <c r="AF502" s="59" t="s">
        <v>984</v>
      </c>
      <c r="AG502" s="59" t="s">
        <v>288</v>
      </c>
      <c r="AH502" s="59" t="s">
        <v>5129</v>
      </c>
      <c r="AI502" s="59" t="s">
        <v>285</v>
      </c>
      <c r="AJ502" s="59" t="s">
        <v>788</v>
      </c>
      <c r="AK502" s="59" t="s">
        <v>1460</v>
      </c>
      <c r="AL502" s="64" t="str">
        <f>IFERROR(INDEX(LK_BankMaster!$D$4:$D$23,MATCH(AJ502&amp;"|"&amp;AK502,LK_BankMaster!$H$4:$H$23,0)),"")</f>
        <v/>
      </c>
      <c r="AM502" s="59" t="s">
        <v>5130</v>
      </c>
      <c r="AN502" s="64" t="str">
        <f>IFERROR(VLOOKUP(AJ502,LK_BankMaster!$A$4:$E$23,5,FALSE()),"")</f>
        <v/>
      </c>
      <c r="AO502" s="59" t="s">
        <v>291</v>
      </c>
      <c r="AP502" s="66">
        <v>0</v>
      </c>
      <c r="AQ502" s="64" t="str">
        <f t="shared" si="31"/>
        <v>Position Allowance - General Staff</v>
      </c>
      <c r="AR502" s="65" t="str">
        <f>IFERROR(VLOOKUP(T502,LK_OrgMaster!$B$4:$G$89,6,FALSE()),"No")</f>
        <v>No</v>
      </c>
      <c r="AS502" s="64" t="str">
        <f>IFERROR(VLOOKUP(T502,LK_OrgMaster!$B$4:$H$89,7,FALSE()),"None")</f>
        <v>Medical</v>
      </c>
      <c r="AT502" s="67">
        <v>43742</v>
      </c>
      <c r="AU502" s="67"/>
      <c r="AV502" s="67">
        <v>43742</v>
      </c>
      <c r="AW502" s="67">
        <v>46023</v>
      </c>
      <c r="AX502" s="68" t="s">
        <v>750</v>
      </c>
      <c r="AY502" s="69" t="s">
        <v>6260</v>
      </c>
    </row>
    <row r="503" spans="1:51" ht="15" customHeight="1" x14ac:dyDescent="0.3">
      <c r="A503" s="59" t="s">
        <v>5131</v>
      </c>
      <c r="B503" s="59" t="s">
        <v>729</v>
      </c>
      <c r="C503" s="59" t="s">
        <v>2220</v>
      </c>
      <c r="D503" s="59" t="s">
        <v>2794</v>
      </c>
      <c r="E503" s="59" t="s">
        <v>732</v>
      </c>
      <c r="F503" s="60">
        <v>26615</v>
      </c>
      <c r="G503" s="59" t="s">
        <v>5132</v>
      </c>
      <c r="H503" s="59" t="s">
        <v>5133</v>
      </c>
      <c r="I503" s="60">
        <v>39991</v>
      </c>
      <c r="J503" s="61">
        <f t="shared" ca="1" si="28"/>
        <v>16</v>
      </c>
      <c r="K503" s="62">
        <f t="shared" si="29"/>
        <v>48530</v>
      </c>
      <c r="L503" s="59" t="s">
        <v>735</v>
      </c>
      <c r="M503" s="59" t="s">
        <v>1201</v>
      </c>
      <c r="N503" s="59" t="s">
        <v>737</v>
      </c>
      <c r="O503" s="63">
        <v>14</v>
      </c>
      <c r="P503" s="61">
        <f>IFERROR(SUMPRODUCT((LK_GradeDerivation!$A$4:$A$135=N503)*(IF(O503="",0,O503)&gt;=LK_GradeDerivation!$B$4:$B$135)*(IF(O503="",0,O503)&lt;=LK_GradeDerivation!$C$4:$C$135)*LK_GradeDerivation!$D$4:$D$135),1)</f>
        <v>4</v>
      </c>
      <c r="Q503" s="61">
        <f>IFERROR(SUMPRODUCT((LK_GradeDerivation!$A$4:$A$135=N503)*(IF(O503="",0,O503)&gt;=LK_GradeDerivation!$B$4:$B$135)*(IF(O503="",0,O503)&lt;=LK_GradeDerivation!$C$4:$C$135)*LK_GradeDerivation!$E$4:$E$135),1)</f>
        <v>8</v>
      </c>
      <c r="R503" s="59" t="s">
        <v>5134</v>
      </c>
      <c r="S503" s="59" t="s">
        <v>5135</v>
      </c>
      <c r="T503" s="59" t="s">
        <v>844</v>
      </c>
      <c r="U503" s="59" t="s">
        <v>1961</v>
      </c>
      <c r="V503" s="59" t="s">
        <v>4590</v>
      </c>
      <c r="W503" s="59" t="s">
        <v>285</v>
      </c>
      <c r="X503" s="59" t="s">
        <v>408</v>
      </c>
      <c r="Y503" s="59" t="s">
        <v>417</v>
      </c>
      <c r="Z503" s="64" t="str">
        <f>IFERROR(VLOOKUP(T503,LK_OrgMaster!$B$4:$H$89,5,FALSE()),"Administration")</f>
        <v>Administration</v>
      </c>
      <c r="AA503" s="65" t="str">
        <f>IFERROR(VLOOKUP(X503,LK_LocationMaster!$D$4:$G$157,4,FALSE()),"No")</f>
        <v>Yes</v>
      </c>
      <c r="AB503" s="65" t="str">
        <f t="shared" si="30"/>
        <v>No</v>
      </c>
      <c r="AC503" s="65" t="str">
        <f>IFERROR(VLOOKUP(X503,LK_LocationMaster!$D$4:$H$157,5,FALSE()),"No")</f>
        <v>No</v>
      </c>
      <c r="AD503" s="59" t="s">
        <v>5136</v>
      </c>
      <c r="AE503" s="59" t="s">
        <v>886</v>
      </c>
      <c r="AF503" s="59" t="s">
        <v>786</v>
      </c>
      <c r="AG503" s="59" t="s">
        <v>368</v>
      </c>
      <c r="AH503" s="59" t="s">
        <v>5137</v>
      </c>
      <c r="AI503" s="59" t="s">
        <v>285</v>
      </c>
      <c r="AJ503" s="59" t="s">
        <v>818</v>
      </c>
      <c r="AK503" s="59" t="s">
        <v>819</v>
      </c>
      <c r="AL503" s="64" t="str">
        <f>IFERROR(INDEX(LK_BankMaster!$D$4:$D$23,MATCH(AJ503&amp;"|"&amp;AK503,LK_BankMaster!$H$4:$H$23,0)),"")</f>
        <v/>
      </c>
      <c r="AM503" s="59" t="s">
        <v>5138</v>
      </c>
      <c r="AN503" s="64" t="str">
        <f>IFERROR(VLOOKUP(AJ503,LK_BankMaster!$A$4:$E$23,5,FALSE()),"")</f>
        <v/>
      </c>
      <c r="AO503" s="59" t="s">
        <v>314</v>
      </c>
      <c r="AP503" s="66">
        <v>2</v>
      </c>
      <c r="AQ503" s="64" t="str">
        <f t="shared" si="31"/>
        <v>Position Allowance - General Staff</v>
      </c>
      <c r="AR503" s="65" t="str">
        <f>IFERROR(VLOOKUP(T503,LK_OrgMaster!$B$4:$G$89,6,FALSE()),"No")</f>
        <v>No</v>
      </c>
      <c r="AS503" s="64" t="str">
        <f>IFERROR(VLOOKUP(T503,LK_OrgMaster!$B$4:$H$89,7,FALSE()),"None")</f>
        <v>None</v>
      </c>
      <c r="AT503" s="70">
        <v>39991</v>
      </c>
      <c r="AU503" s="70"/>
      <c r="AV503" s="70">
        <v>39991</v>
      </c>
      <c r="AW503" s="70">
        <v>46023</v>
      </c>
      <c r="AX503" s="71" t="s">
        <v>750</v>
      </c>
      <c r="AY503" s="72" t="s">
        <v>6260</v>
      </c>
    </row>
  </sheetData>
  <mergeCells count="11">
    <mergeCell ref="A1:AY1"/>
    <mergeCell ref="A2:H2"/>
    <mergeCell ref="I2:K2"/>
    <mergeCell ref="L2:Q2"/>
    <mergeCell ref="R2:S2"/>
    <mergeCell ref="T2:V2"/>
    <mergeCell ref="W2:AC2"/>
    <mergeCell ref="AD2:AI2"/>
    <mergeCell ref="AJ2:AN2"/>
    <mergeCell ref="AO2:AS2"/>
    <mergeCell ref="AT2:AY2"/>
  </mergeCells>
  <dataValidations count="9">
    <dataValidation type="list" showErrorMessage="1" errorTitle="Invalid" error="Select from list" sqref="T4:T503" xr:uid="{00000000-0002-0000-0400-000000000000}">
      <formula1>MINISTRY_LIST</formula1>
      <formula2>0</formula2>
    </dataValidation>
    <dataValidation type="list" showErrorMessage="1" errorTitle="Invalid" error="Select from list" sqref="W4:W503" xr:uid="{00000000-0002-0000-0400-000001000000}">
      <formula1>COUNTRY_LIST</formula1>
      <formula2>0</formula2>
    </dataValidation>
    <dataValidation type="list" showErrorMessage="1" errorTitle="Invalid" error="Select from list" sqref="Y4:Y503" xr:uid="{00000000-0002-0000-0400-000002000000}">
      <formula1>INDIRECT("DIST_"&amp;IFERROR(VLOOKUP(X4,ALL_PROV_NAMES,2,0),"VTE"))</formula1>
      <formula2>0</formula2>
    </dataValidation>
    <dataValidation type="list" showErrorMessage="1" errorTitle="Invalid" error="Select from list" sqref="AJ4:AJ503" xr:uid="{00000000-0002-0000-0400-000003000000}">
      <formula1>BANK_LIST</formula1>
      <formula2>0</formula2>
    </dataValidation>
    <dataValidation type="list" showErrorMessage="1" errorTitle="Invalid" error="Select from list" sqref="M4:M503" xr:uid="{00000000-0002-0000-0400-000004000000}">
      <formula1>INDIRECT("POS_"&amp;UPPER(SUBSTITUTE(Z4," ","")))</formula1>
      <formula2>0</formula2>
    </dataValidation>
    <dataValidation type="list" showErrorMessage="1" errorTitle="Invalid" error="Select from list" sqref="E4:E503" xr:uid="{00000000-0002-0000-0400-000005000000}">
      <formula1>"Male,Female"</formula1>
      <formula2>0</formula2>
    </dataValidation>
    <dataValidation type="list" showErrorMessage="1" errorTitle="Invalid" error="Select from list" sqref="L4:L503" xr:uid="{00000000-0002-0000-0400-000006000000}">
      <formula1>"Permanent,Probationary,Contract,Intern"</formula1>
      <formula2>0</formula2>
    </dataValidation>
    <dataValidation type="list" showErrorMessage="1" errorTitle="Invalid" error="Select from list" sqref="N4:N503" xr:uid="{00000000-0002-0000-0400-000007000000}">
      <formula1>"Below Secondary,Secondary School (Grade 12),Diploma (2 years),Bachelor's Degree,Master's Degree,Doctorate (PhD)"</formula1>
      <formula2>0</formula2>
    </dataValidation>
    <dataValidation type="list" showErrorMessage="1" errorTitle="Invalid" error="Select from list" sqref="AO4:AO503" xr:uid="{00000000-0002-0000-0400-000008000000}">
      <formula1>"Yes,No"</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B3F00"/>
    <pageSetUpPr fitToPage="1"/>
  </sheetPr>
  <dimension ref="A1:AJ504"/>
  <sheetViews>
    <sheetView showGridLines="0" zoomScaleNormal="100" workbookViewId="0">
      <pane xSplit="4" ySplit="3" topLeftCell="M4" activePane="bottomRight" state="frozen"/>
      <selection pane="topRight" activeCell="U1" sqref="U1"/>
      <selection pane="bottomLeft" activeCell="A4" sqref="A4"/>
      <selection pane="bottomRight" activeCell="O4" sqref="O4"/>
    </sheetView>
  </sheetViews>
  <sheetFormatPr defaultColWidth="8.6640625" defaultRowHeight="14.4" x14ac:dyDescent="0.3"/>
  <cols>
    <col min="1" max="1" width="10" style="14" customWidth="1"/>
    <col min="2" max="3" width="16" style="14" customWidth="1"/>
    <col min="4" max="4" width="28" style="14" customWidth="1"/>
    <col min="5" max="5" width="22" style="14" customWidth="1"/>
    <col min="6" max="6" width="14" style="14" customWidth="1"/>
    <col min="7" max="8" width="7" style="14" customWidth="1"/>
    <col min="9" max="9" width="12" style="14" customWidth="1"/>
    <col min="10" max="10" width="11" style="14" customWidth="1"/>
    <col min="11" max="11" width="13" style="14" customWidth="1"/>
    <col min="12" max="12" width="15" style="14" customWidth="1"/>
    <col min="13" max="20" width="13" style="14" customWidth="1"/>
    <col min="21" max="21" width="12" style="14" customWidth="1"/>
    <col min="22" max="24" width="11" style="14" customWidth="1"/>
    <col min="25" max="27" width="22" style="14" customWidth="1"/>
    <col min="28" max="29" width="14" style="14" customWidth="1"/>
    <col min="30" max="30" width="15" style="14" customWidth="1"/>
    <col min="31" max="31" width="16" style="14" customWidth="1"/>
    <col min="33" max="34" width="22" style="14" customWidth="1"/>
    <col min="35" max="35" width="30.44140625" style="14" customWidth="1"/>
    <col min="36" max="36" width="16" style="14" customWidth="1"/>
  </cols>
  <sheetData>
    <row r="1" spans="1:36" ht="25.5" customHeight="1" thickBot="1" x14ac:dyDescent="0.35">
      <c r="A1" s="274" t="s">
        <v>5262</v>
      </c>
      <c r="B1" s="274"/>
      <c r="C1" s="274"/>
      <c r="D1" s="274"/>
      <c r="E1" s="274"/>
      <c r="F1" s="274"/>
      <c r="G1" s="274"/>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row>
    <row r="2" spans="1:36" ht="21.75" customHeight="1" x14ac:dyDescent="0.3">
      <c r="A2" s="83" t="s">
        <v>5263</v>
      </c>
      <c r="B2" s="84" t="s">
        <v>5264</v>
      </c>
      <c r="C2" s="83"/>
      <c r="D2" s="83"/>
      <c r="E2" s="83" t="s">
        <v>5265</v>
      </c>
      <c r="F2" s="288" t="s">
        <v>5266</v>
      </c>
      <c r="G2" s="289"/>
      <c r="H2" s="289"/>
      <c r="I2" s="289"/>
      <c r="J2" s="289"/>
      <c r="K2" s="289"/>
      <c r="L2" s="290"/>
      <c r="M2" s="285" t="s">
        <v>5267</v>
      </c>
      <c r="N2" s="286"/>
      <c r="O2" s="286"/>
      <c r="P2" s="286"/>
      <c r="Q2" s="286"/>
      <c r="R2" s="286"/>
      <c r="S2" s="286"/>
      <c r="T2" s="286"/>
      <c r="U2" s="286"/>
      <c r="V2" s="286"/>
      <c r="W2" s="286"/>
      <c r="X2" s="287"/>
      <c r="Y2" s="85" t="s">
        <v>6262</v>
      </c>
      <c r="Z2" s="85"/>
      <c r="AA2" s="85"/>
      <c r="AB2" s="86" t="s">
        <v>5268</v>
      </c>
      <c r="AC2" s="87" t="s">
        <v>5269</v>
      </c>
      <c r="AD2" s="88"/>
      <c r="AE2" s="88"/>
      <c r="AF2" s="88"/>
      <c r="AG2" s="291" t="s">
        <v>6263</v>
      </c>
      <c r="AH2" s="292"/>
      <c r="AI2" s="89" t="s">
        <v>6264</v>
      </c>
      <c r="AJ2" s="90" t="s">
        <v>5270</v>
      </c>
    </row>
    <row r="3" spans="1:36" ht="43.5" customHeight="1" x14ac:dyDescent="0.3">
      <c r="A3" s="91" t="s">
        <v>5271</v>
      </c>
      <c r="B3" s="91" t="s">
        <v>682</v>
      </c>
      <c r="C3" s="91" t="s">
        <v>683</v>
      </c>
      <c r="D3" s="91" t="s">
        <v>5272</v>
      </c>
      <c r="E3" s="91" t="s">
        <v>5273</v>
      </c>
      <c r="F3" s="91" t="s">
        <v>5274</v>
      </c>
      <c r="G3" s="91" t="s">
        <v>695</v>
      </c>
      <c r="H3" s="91" t="s">
        <v>696</v>
      </c>
      <c r="I3" s="23" t="s">
        <v>5275</v>
      </c>
      <c r="J3" s="23" t="s">
        <v>5276</v>
      </c>
      <c r="K3" s="23" t="s">
        <v>5277</v>
      </c>
      <c r="L3" s="23" t="s">
        <v>5278</v>
      </c>
      <c r="M3" s="57" t="s">
        <v>5279</v>
      </c>
      <c r="N3" s="57" t="s">
        <v>5280</v>
      </c>
      <c r="O3" s="57" t="s">
        <v>5281</v>
      </c>
      <c r="P3" s="57" t="s">
        <v>5282</v>
      </c>
      <c r="Q3" s="57" t="s">
        <v>5283</v>
      </c>
      <c r="R3" s="57" t="s">
        <v>5284</v>
      </c>
      <c r="S3" s="57" t="s">
        <v>5285</v>
      </c>
      <c r="T3" s="57" t="s">
        <v>5286</v>
      </c>
      <c r="U3" s="57" t="s">
        <v>5287</v>
      </c>
      <c r="V3" s="57" t="s">
        <v>5288</v>
      </c>
      <c r="W3" s="57" t="s">
        <v>5289</v>
      </c>
      <c r="X3" s="57" t="s">
        <v>5290</v>
      </c>
      <c r="Y3" s="24" t="s">
        <v>5291</v>
      </c>
      <c r="Z3" s="24" t="s">
        <v>5292</v>
      </c>
      <c r="AA3" s="24" t="s">
        <v>5293</v>
      </c>
      <c r="AB3" s="92" t="s">
        <v>5294</v>
      </c>
      <c r="AC3" s="93" t="s">
        <v>5295</v>
      </c>
      <c r="AD3" s="94" t="s">
        <v>5296</v>
      </c>
      <c r="AE3" s="94" t="s">
        <v>5297</v>
      </c>
      <c r="AF3" s="94" t="s">
        <v>5298</v>
      </c>
      <c r="AG3" s="95" t="s">
        <v>5299</v>
      </c>
      <c r="AH3" s="95" t="s">
        <v>5300</v>
      </c>
      <c r="AI3" s="96" t="s">
        <v>5301</v>
      </c>
      <c r="AJ3" s="97" t="s">
        <v>5302</v>
      </c>
    </row>
    <row r="4" spans="1:36" ht="15" customHeight="1" x14ac:dyDescent="0.3">
      <c r="A4" s="98" t="str">
        <f>EMPLOYEE_MASTER!A4</f>
        <v>LAO00001</v>
      </c>
      <c r="B4" s="98" t="str">
        <f>EMPLOYEE_MASTER!C4</f>
        <v>Khamsone</v>
      </c>
      <c r="C4" s="98" t="str">
        <f>EMPLOYEE_MASTER!D4</f>
        <v>Bounseng</v>
      </c>
      <c r="D4" s="98" t="str">
        <f>EMPLOYEE_MASTER!T4</f>
        <v>Ministry of Education and Sports (MoES)</v>
      </c>
      <c r="E4" s="98" t="str">
        <f>EMPLOYEE_MASTER!M4</f>
        <v>School Principal</v>
      </c>
      <c r="F4" s="98" t="str">
        <f>EMPLOYEE_MASTER!Z4</f>
        <v>Teacher</v>
      </c>
      <c r="G4" s="99">
        <f>EMPLOYEE_MASTER!P4</f>
        <v>4</v>
      </c>
      <c r="H4" s="99">
        <f>EMPLOYEE_MASTER!Q4</f>
        <v>13</v>
      </c>
      <c r="I4" s="100" t="str">
        <f t="shared" ref="I4:I67" si="0">"G"&amp;TEXT(G4,"00")&amp;"-S"&amp;TEXT(H4,"00")</f>
        <v>G04-S13</v>
      </c>
      <c r="J4" s="100">
        <f>IFERROR(VLOOKUP(I4,LK_GradeStep!$C$4:$D$85,2,0),0)</f>
        <v>328</v>
      </c>
      <c r="K4" s="100">
        <f>IFERROR(VLOOKUP(I4,LK_GradeStep!$C$4:$E$85,3,0),10000)</f>
        <v>10000</v>
      </c>
      <c r="L4" s="100">
        <f t="shared" ref="L4:L67" si="1">IFERROR(J4*K4,0)</f>
        <v>3280000</v>
      </c>
      <c r="M4" s="101">
        <f>IFERROR(VLOOKUP(EMPLOYEE_MASTER!AQ4,LK_AllowanceRates!$A$5:$B$11,2,0),0)</f>
        <v>900000</v>
      </c>
      <c r="N4" s="101">
        <f ca="1">IFERROR(IF(EMPLOYEE_MASTER!J4&lt;=5,  EMPLOYEE_MASTER!J4*LK_AllowanceRates!$B$12,IF(EMPLOYEE_MASTER!J4&lt;=15, EMPLOYEE_MASTER!J4*LK_AllowanceRates!$B$13,IF(EMPLOYEE_MASTER!J4&lt;=25, EMPLOYEE_MASTER!J4*LK_AllowanceRates!$B$14,EMPLOYEE_MASTER!J4*LK_AllowanceRates!$B$15))),0)</f>
        <v>140000</v>
      </c>
      <c r="O4" s="101">
        <f>IF(EMPLOYEE_MASTER!AS4="Teaching",L4*LK_AllowanceRates!$B$16,0)</f>
        <v>656000</v>
      </c>
      <c r="P4" s="101">
        <f>IF(EMPLOYEE_MASTER!AS4="Medical",LK_AllowanceRates!$B$17,0)</f>
        <v>0</v>
      </c>
      <c r="Q4" s="101">
        <f>IF(EMPLOYEE_MASTER!AR4="Yes",LK_AllowanceRates!$B$18,0)</f>
        <v>0</v>
      </c>
      <c r="R4" s="101">
        <f>IF(EMPLOYEE_MASTER!AC4="Yes",LK_AllowanceRates!$B$19,0)</f>
        <v>1000000</v>
      </c>
      <c r="S4" s="101">
        <f>IF(EMPLOYEE_MASTER!AA4="Yes",L4*LK_AllowanceRates!$B$20,0)</f>
        <v>820000</v>
      </c>
      <c r="T4" s="101">
        <f>IF(EMPLOYEE_MASTER!AB4="Yes",LK_AllowanceRates!$B$21,0)</f>
        <v>0</v>
      </c>
      <c r="U4" s="101">
        <f>IF(EMPLOYEE_MASTER!P4&gt;=6,LK_AllowanceRates!$B$22,0)</f>
        <v>0</v>
      </c>
      <c r="V4" s="101">
        <f>IF(EMPLOYEE_MASTER!AO4="Yes",LK_AllowanceRates!$B$23,0)</f>
        <v>200000</v>
      </c>
      <c r="W4" s="101">
        <f>EMPLOYEE_MASTER!AP4*LK_AllowanceRates!$B$24</f>
        <v>400000</v>
      </c>
      <c r="X4" s="101">
        <v>0</v>
      </c>
      <c r="Y4" s="102">
        <v>0</v>
      </c>
      <c r="Z4" s="102">
        <v>0</v>
      </c>
      <c r="AA4" s="102">
        <v>0</v>
      </c>
      <c r="AB4" s="103">
        <f t="shared" ref="AB4:AB67" ca="1" si="2">SUM(M4:AA4)</f>
        <v>4116000</v>
      </c>
      <c r="AC4" s="104">
        <f t="shared" ref="AC4:AC67" ca="1" si="3">L4+AB4</f>
        <v>7396000</v>
      </c>
      <c r="AD4" s="105">
        <f>ROUND(L4*LK_AllowanceRates!$B$25/100,0)</f>
        <v>180400</v>
      </c>
      <c r="AE4" s="106">
        <f t="shared" ref="AE4:AE67" ca="1" si="4">IFERROR(AC4-AD4,0)</f>
        <v>7215600</v>
      </c>
      <c r="AF4" s="106">
        <f t="shared" ref="AF4:AF67" ca="1" si="5">IFERROR(IF(AE4&lt;=1300000,0,IF(AE4&lt;=5000000,(AE4-1300000)*0.05,IF(AE4&lt;=10000000,185000+(AE4-5000000)*0.1,IF(AE4&lt;=20000000,685000+(AE4-10000000)*0.15,IF(AE4&lt;=40000000,2185000+(AE4-20000000)*0.2,6185000+(AE4-40000000)*0.24))))),0)</f>
        <v>406560</v>
      </c>
      <c r="AG4" s="107">
        <v>0</v>
      </c>
      <c r="AH4" s="107">
        <v>0</v>
      </c>
      <c r="AI4" s="108">
        <f t="shared" ref="AI4:AI67" ca="1" si="6">AD4+AF4+AG4+AH4</f>
        <v>586960</v>
      </c>
      <c r="AJ4" s="109">
        <f t="shared" ref="AJ4:AJ67" ca="1" si="7">IFERROR(AC4-AI4,0)</f>
        <v>6809040</v>
      </c>
    </row>
    <row r="5" spans="1:36" ht="15" customHeight="1" x14ac:dyDescent="0.3">
      <c r="A5" s="98" t="str">
        <f>EMPLOYEE_MASTER!A5</f>
        <v>LAO00002</v>
      </c>
      <c r="B5" s="98" t="str">
        <f>EMPLOYEE_MASTER!C5</f>
        <v>Sisamone</v>
      </c>
      <c r="C5" s="98" t="str">
        <f>EMPLOYEE_MASTER!D5</f>
        <v>Vilayvong</v>
      </c>
      <c r="D5" s="98" t="str">
        <f>EMPLOYEE_MASTER!T5</f>
        <v>National Assembly (NA)</v>
      </c>
      <c r="E5" s="98" t="str">
        <f>EMPLOYEE_MASTER!M5</f>
        <v>Senior Officer</v>
      </c>
      <c r="F5" s="98" t="str">
        <f>EMPLOYEE_MASTER!Z5</f>
        <v>Administration</v>
      </c>
      <c r="G5" s="99">
        <f>EMPLOYEE_MASTER!P5</f>
        <v>5</v>
      </c>
      <c r="H5" s="99">
        <f>EMPLOYEE_MASTER!Q5</f>
        <v>1</v>
      </c>
      <c r="I5" s="100" t="str">
        <f t="shared" si="0"/>
        <v>G05-S01</v>
      </c>
      <c r="J5" s="100">
        <f>IFERROR(VLOOKUP(I5,LK_GradeStep!$C$4:$D$85,2,0),0)</f>
        <v>308</v>
      </c>
      <c r="K5" s="100">
        <f>IFERROR(VLOOKUP(I5,LK_GradeStep!$C$4:$E$85,3,0),10000)</f>
        <v>10000</v>
      </c>
      <c r="L5" s="100">
        <f t="shared" si="1"/>
        <v>3080000</v>
      </c>
      <c r="M5" s="101">
        <f>IFERROR(VLOOKUP(EMPLOYEE_MASTER!AQ5,LK_AllowanceRates!$A$5:$B$11,2,0),0)</f>
        <v>900000</v>
      </c>
      <c r="N5" s="101">
        <f ca="1">IFERROR(IF(EMPLOYEE_MASTER!J5&lt;=5,  EMPLOYEE_MASTER!J5*LK_AllowanceRates!$B$12,IF(EMPLOYEE_MASTER!J5&lt;=15, EMPLOYEE_MASTER!J5*LK_AllowanceRates!$B$13,IF(EMPLOYEE_MASTER!J5&lt;=25, EMPLOYEE_MASTER!J5*LK_AllowanceRates!$B$14,EMPLOYEE_MASTER!J5*LK_AllowanceRates!$B$15))),0)</f>
        <v>1440000</v>
      </c>
      <c r="O5" s="101">
        <f>IF(EMPLOYEE_MASTER!AS5="Teaching",L5*LK_AllowanceRates!$B$16,0)</f>
        <v>0</v>
      </c>
      <c r="P5" s="101">
        <f>IF(EMPLOYEE_MASTER!AS5="Medical",LK_AllowanceRates!$B$17,0)</f>
        <v>0</v>
      </c>
      <c r="Q5" s="101">
        <f>IF(EMPLOYEE_MASTER!AR5="Yes",LK_AllowanceRates!$B$18,0)</f>
        <v>1000000</v>
      </c>
      <c r="R5" s="101">
        <f>IF(EMPLOYEE_MASTER!AC5="Yes",LK_AllowanceRates!$B$19,0)</f>
        <v>0</v>
      </c>
      <c r="S5" s="101">
        <f>IF(EMPLOYEE_MASTER!AA5="Yes",L5*LK_AllowanceRates!$B$20,0)</f>
        <v>0</v>
      </c>
      <c r="T5" s="101">
        <f>IF(EMPLOYEE_MASTER!AB5="Yes",LK_AllowanceRates!$B$21,0)</f>
        <v>0</v>
      </c>
      <c r="U5" s="101">
        <f>IF(EMPLOYEE_MASTER!P5&gt;=6,LK_AllowanceRates!$B$22,0)</f>
        <v>0</v>
      </c>
      <c r="V5" s="101">
        <f>IF(EMPLOYEE_MASTER!AO5="Yes",LK_AllowanceRates!$B$23,0)</f>
        <v>200000</v>
      </c>
      <c r="W5" s="101">
        <f>EMPLOYEE_MASTER!AP5*LK_AllowanceRates!$B$24</f>
        <v>600000</v>
      </c>
      <c r="X5" s="101">
        <v>0</v>
      </c>
      <c r="Y5" s="102">
        <v>0</v>
      </c>
      <c r="Z5" s="102">
        <v>0</v>
      </c>
      <c r="AA5" s="102">
        <v>0</v>
      </c>
      <c r="AB5" s="103">
        <f t="shared" ca="1" si="2"/>
        <v>4140000</v>
      </c>
      <c r="AC5" s="104">
        <f t="shared" ca="1" si="3"/>
        <v>7220000</v>
      </c>
      <c r="AD5" s="105">
        <f>ROUND(L5*LK_AllowanceRates!$B$25/100,0)</f>
        <v>169400</v>
      </c>
      <c r="AE5" s="106">
        <f t="shared" ca="1" si="4"/>
        <v>7050600</v>
      </c>
      <c r="AF5" s="106">
        <f t="shared" ca="1" si="5"/>
        <v>390060</v>
      </c>
      <c r="AG5" s="107">
        <v>0</v>
      </c>
      <c r="AH5" s="107">
        <v>0</v>
      </c>
      <c r="AI5" s="108">
        <f t="shared" ca="1" si="6"/>
        <v>559460</v>
      </c>
      <c r="AJ5" s="109">
        <f t="shared" ca="1" si="7"/>
        <v>6660540</v>
      </c>
    </row>
    <row r="6" spans="1:36" ht="15" customHeight="1" x14ac:dyDescent="0.3">
      <c r="A6" s="98" t="str">
        <f>EMPLOYEE_MASTER!A6</f>
        <v>LAO00003</v>
      </c>
      <c r="B6" s="98" t="str">
        <f>EMPLOYEE_MASTER!C6</f>
        <v>Keovilay</v>
      </c>
      <c r="C6" s="98" t="str">
        <f>EMPLOYEE_MASTER!D6</f>
        <v>Sisouvath</v>
      </c>
      <c r="D6" s="98" t="str">
        <f>EMPLOYEE_MASTER!T6</f>
        <v>Ministry of Health (MoH)</v>
      </c>
      <c r="E6" s="98" t="str">
        <f>EMPLOYEE_MASTER!M6</f>
        <v>Nurse</v>
      </c>
      <c r="F6" s="98" t="str">
        <f>EMPLOYEE_MASTER!Z6</f>
        <v>Medical</v>
      </c>
      <c r="G6" s="99">
        <f>EMPLOYEE_MASTER!P6</f>
        <v>2</v>
      </c>
      <c r="H6" s="99">
        <f>EMPLOYEE_MASTER!Q6</f>
        <v>6</v>
      </c>
      <c r="I6" s="100" t="str">
        <f t="shared" si="0"/>
        <v>G02-S06</v>
      </c>
      <c r="J6" s="100">
        <f>IFERROR(VLOOKUP(I6,LK_GradeStep!$C$4:$D$85,2,0),0)</f>
        <v>273</v>
      </c>
      <c r="K6" s="100">
        <f>IFERROR(VLOOKUP(I6,LK_GradeStep!$C$4:$E$85,3,0),10000)</f>
        <v>10000</v>
      </c>
      <c r="L6" s="100">
        <f t="shared" si="1"/>
        <v>2730000</v>
      </c>
      <c r="M6" s="101">
        <f>IFERROR(VLOOKUP(EMPLOYEE_MASTER!AQ6,LK_AllowanceRates!$A$5:$B$11,2,0),0)</f>
        <v>900000</v>
      </c>
      <c r="N6" s="101">
        <f ca="1">IFERROR(IF(EMPLOYEE_MASTER!J6&lt;=5,  EMPLOYEE_MASTER!J6*LK_AllowanceRates!$B$12,IF(EMPLOYEE_MASTER!J6&lt;=15, EMPLOYEE_MASTER!J6*LK_AllowanceRates!$B$13,IF(EMPLOYEE_MASTER!J6&lt;=25, EMPLOYEE_MASTER!J6*LK_AllowanceRates!$B$14,EMPLOYEE_MASTER!J6*LK_AllowanceRates!$B$15))),0)</f>
        <v>280000</v>
      </c>
      <c r="O6" s="101">
        <f>IF(EMPLOYEE_MASTER!AS6="Teaching",L6*LK_AllowanceRates!$B$16,0)</f>
        <v>0</v>
      </c>
      <c r="P6" s="101">
        <f>IF(EMPLOYEE_MASTER!AS6="Medical",LK_AllowanceRates!$B$17,0)</f>
        <v>500000</v>
      </c>
      <c r="Q6" s="101">
        <f>IF(EMPLOYEE_MASTER!AR6="Yes",LK_AllowanceRates!$B$18,0)</f>
        <v>0</v>
      </c>
      <c r="R6" s="101">
        <f>IF(EMPLOYEE_MASTER!AC6="Yes",LK_AllowanceRates!$B$19,0)</f>
        <v>0</v>
      </c>
      <c r="S6" s="101">
        <f>IF(EMPLOYEE_MASTER!AA6="Yes",L6*LK_AllowanceRates!$B$20,0)</f>
        <v>0</v>
      </c>
      <c r="T6" s="101">
        <f>IF(EMPLOYEE_MASTER!AB6="Yes",LK_AllowanceRates!$B$21,0)</f>
        <v>0</v>
      </c>
      <c r="U6" s="101">
        <f>IF(EMPLOYEE_MASTER!P6&gt;=6,LK_AllowanceRates!$B$22,0)</f>
        <v>0</v>
      </c>
      <c r="V6" s="101">
        <f>IF(EMPLOYEE_MASTER!AO6="Yes",LK_AllowanceRates!$B$23,0)</f>
        <v>0</v>
      </c>
      <c r="W6" s="101">
        <f>EMPLOYEE_MASTER!AP6*LK_AllowanceRates!$B$24</f>
        <v>0</v>
      </c>
      <c r="X6" s="101">
        <v>0</v>
      </c>
      <c r="Y6" s="102">
        <v>0</v>
      </c>
      <c r="Z6" s="102">
        <v>0</v>
      </c>
      <c r="AA6" s="102">
        <v>0</v>
      </c>
      <c r="AB6" s="103">
        <f t="shared" ca="1" si="2"/>
        <v>1680000</v>
      </c>
      <c r="AC6" s="104">
        <f t="shared" ca="1" si="3"/>
        <v>4410000</v>
      </c>
      <c r="AD6" s="105">
        <f>ROUND(L6*LK_AllowanceRates!$B$25/100,0)</f>
        <v>150150</v>
      </c>
      <c r="AE6" s="106">
        <f t="shared" ca="1" si="4"/>
        <v>4259850</v>
      </c>
      <c r="AF6" s="106">
        <f t="shared" ca="1" si="5"/>
        <v>147992.5</v>
      </c>
      <c r="AG6" s="107">
        <v>0</v>
      </c>
      <c r="AH6" s="107">
        <v>0</v>
      </c>
      <c r="AI6" s="108">
        <f t="shared" ca="1" si="6"/>
        <v>298142.5</v>
      </c>
      <c r="AJ6" s="109">
        <f t="shared" ca="1" si="7"/>
        <v>4111857.5</v>
      </c>
    </row>
    <row r="7" spans="1:36" ht="15" customHeight="1" x14ac:dyDescent="0.3">
      <c r="A7" s="98" t="str">
        <f>EMPLOYEE_MASTER!A7</f>
        <v>LAO00004</v>
      </c>
      <c r="B7" s="98" t="str">
        <f>EMPLOYEE_MASTER!C7</f>
        <v>Sengphet</v>
      </c>
      <c r="C7" s="98" t="str">
        <f>EMPLOYEE_MASTER!D7</f>
        <v>Sengmixay</v>
      </c>
      <c r="D7" s="98" t="str">
        <f>EMPLOYEE_MASTER!T7</f>
        <v>Ministry of Education and Sports (MoES)</v>
      </c>
      <c r="E7" s="98" t="str">
        <f>EMPLOYEE_MASTER!M7</f>
        <v>Primary School Teacher</v>
      </c>
      <c r="F7" s="98" t="str">
        <f>EMPLOYEE_MASTER!Z7</f>
        <v>Teacher</v>
      </c>
      <c r="G7" s="99">
        <f>EMPLOYEE_MASTER!P7</f>
        <v>4</v>
      </c>
      <c r="H7" s="99">
        <f>EMPLOYEE_MASTER!Q7</f>
        <v>5</v>
      </c>
      <c r="I7" s="100" t="str">
        <f t="shared" si="0"/>
        <v>G04-S05</v>
      </c>
      <c r="J7" s="100">
        <f>IFERROR(VLOOKUP(I7,LK_GradeStep!$C$4:$D$85,2,0),0)</f>
        <v>294</v>
      </c>
      <c r="K7" s="100">
        <f>IFERROR(VLOOKUP(I7,LK_GradeStep!$C$4:$E$85,3,0),10000)</f>
        <v>10000</v>
      </c>
      <c r="L7" s="100">
        <f t="shared" si="1"/>
        <v>2940000</v>
      </c>
      <c r="M7" s="101">
        <f>IFERROR(VLOOKUP(EMPLOYEE_MASTER!AQ7,LK_AllowanceRates!$A$5:$B$11,2,0),0)</f>
        <v>900000</v>
      </c>
      <c r="N7" s="101">
        <f ca="1">IFERROR(IF(EMPLOYEE_MASTER!J7&lt;=5,  EMPLOYEE_MASTER!J7*LK_AllowanceRates!$B$12,IF(EMPLOYEE_MASTER!J7&lt;=15, EMPLOYEE_MASTER!J7*LK_AllowanceRates!$B$13,IF(EMPLOYEE_MASTER!J7&lt;=25, EMPLOYEE_MASTER!J7*LK_AllowanceRates!$B$14,EMPLOYEE_MASTER!J7*LK_AllowanceRates!$B$15))),0)</f>
        <v>140000</v>
      </c>
      <c r="O7" s="101">
        <f>IF(EMPLOYEE_MASTER!AS7="Teaching",L7*LK_AllowanceRates!$B$16,0)</f>
        <v>588000</v>
      </c>
      <c r="P7" s="101">
        <f>IF(EMPLOYEE_MASTER!AS7="Medical",LK_AllowanceRates!$B$17,0)</f>
        <v>0</v>
      </c>
      <c r="Q7" s="101">
        <f>IF(EMPLOYEE_MASTER!AR7="Yes",LK_AllowanceRates!$B$18,0)</f>
        <v>0</v>
      </c>
      <c r="R7" s="101">
        <f>IF(EMPLOYEE_MASTER!AC7="Yes",LK_AllowanceRates!$B$19,0)</f>
        <v>1000000</v>
      </c>
      <c r="S7" s="101">
        <f>IF(EMPLOYEE_MASTER!AA7="Yes",L7*LK_AllowanceRates!$B$20,0)</f>
        <v>735000</v>
      </c>
      <c r="T7" s="101">
        <f>IF(EMPLOYEE_MASTER!AB7="Yes",LK_AllowanceRates!$B$21,0)</f>
        <v>0</v>
      </c>
      <c r="U7" s="101">
        <f>IF(EMPLOYEE_MASTER!P7&gt;=6,LK_AllowanceRates!$B$22,0)</f>
        <v>0</v>
      </c>
      <c r="V7" s="101">
        <f>IF(EMPLOYEE_MASTER!AO7="Yes",LK_AllowanceRates!$B$23,0)</f>
        <v>0</v>
      </c>
      <c r="W7" s="101">
        <f>EMPLOYEE_MASTER!AP7*LK_AllowanceRates!$B$24</f>
        <v>0</v>
      </c>
      <c r="X7" s="101">
        <v>0</v>
      </c>
      <c r="Y7" s="102">
        <v>0</v>
      </c>
      <c r="Z7" s="102">
        <v>0</v>
      </c>
      <c r="AA7" s="102">
        <v>0</v>
      </c>
      <c r="AB7" s="103">
        <f t="shared" ca="1" si="2"/>
        <v>3363000</v>
      </c>
      <c r="AC7" s="104">
        <f t="shared" ca="1" si="3"/>
        <v>6303000</v>
      </c>
      <c r="AD7" s="105">
        <f>ROUND(L7*LK_AllowanceRates!$B$25/100,0)</f>
        <v>161700</v>
      </c>
      <c r="AE7" s="106">
        <f t="shared" ca="1" si="4"/>
        <v>6141300</v>
      </c>
      <c r="AF7" s="106">
        <f t="shared" ca="1" si="5"/>
        <v>299130</v>
      </c>
      <c r="AG7" s="107">
        <v>0</v>
      </c>
      <c r="AH7" s="107">
        <v>0</v>
      </c>
      <c r="AI7" s="108">
        <f t="shared" ca="1" si="6"/>
        <v>460830</v>
      </c>
      <c r="AJ7" s="109">
        <f t="shared" ca="1" si="7"/>
        <v>5842170</v>
      </c>
    </row>
    <row r="8" spans="1:36" ht="15" customHeight="1" x14ac:dyDescent="0.3">
      <c r="A8" s="98" t="str">
        <f>EMPLOYEE_MASTER!A8</f>
        <v>LAO00005</v>
      </c>
      <c r="B8" s="98" t="str">
        <f>EMPLOYEE_MASTER!C8</f>
        <v>Vilaychith</v>
      </c>
      <c r="C8" s="98" t="str">
        <f>EMPLOYEE_MASTER!D8</f>
        <v>Phommachack</v>
      </c>
      <c r="D8" s="98" t="str">
        <f>EMPLOYEE_MASTER!T8</f>
        <v>Ministry of Health (MoH)</v>
      </c>
      <c r="E8" s="98" t="str">
        <f>EMPLOYEE_MASTER!M8</f>
        <v>Dental Officer</v>
      </c>
      <c r="F8" s="98" t="str">
        <f>EMPLOYEE_MASTER!Z8</f>
        <v>Medical</v>
      </c>
      <c r="G8" s="99">
        <f>EMPLOYEE_MASTER!P8</f>
        <v>2</v>
      </c>
      <c r="H8" s="99">
        <f>EMPLOYEE_MASTER!Q8</f>
        <v>5</v>
      </c>
      <c r="I8" s="100" t="str">
        <f t="shared" si="0"/>
        <v>G02-S05</v>
      </c>
      <c r="J8" s="100">
        <f>IFERROR(VLOOKUP(I8,LK_GradeStep!$C$4:$D$85,2,0),0)</f>
        <v>272</v>
      </c>
      <c r="K8" s="100">
        <f>IFERROR(VLOOKUP(I8,LK_GradeStep!$C$4:$E$85,3,0),10000)</f>
        <v>10000</v>
      </c>
      <c r="L8" s="100">
        <f t="shared" si="1"/>
        <v>2720000</v>
      </c>
      <c r="M8" s="101">
        <f>IFERROR(VLOOKUP(EMPLOYEE_MASTER!AQ8,LK_AllowanceRates!$A$5:$B$11,2,0),0)</f>
        <v>900000</v>
      </c>
      <c r="N8" s="101">
        <f ca="1">IFERROR(IF(EMPLOYEE_MASTER!J8&lt;=5,  EMPLOYEE_MASTER!J8*LK_AllowanceRates!$B$12,IF(EMPLOYEE_MASTER!J8&lt;=15, EMPLOYEE_MASTER!J8*LK_AllowanceRates!$B$13,IF(EMPLOYEE_MASTER!J8&lt;=25, EMPLOYEE_MASTER!J8*LK_AllowanceRates!$B$14,EMPLOYEE_MASTER!J8*LK_AllowanceRates!$B$15))),0)</f>
        <v>300000</v>
      </c>
      <c r="O8" s="101">
        <f>IF(EMPLOYEE_MASTER!AS8="Teaching",L8*LK_AllowanceRates!$B$16,0)</f>
        <v>0</v>
      </c>
      <c r="P8" s="101">
        <f>IF(EMPLOYEE_MASTER!AS8="Medical",LK_AllowanceRates!$B$17,0)</f>
        <v>500000</v>
      </c>
      <c r="Q8" s="101">
        <f>IF(EMPLOYEE_MASTER!AR8="Yes",LK_AllowanceRates!$B$18,0)</f>
        <v>0</v>
      </c>
      <c r="R8" s="101">
        <f>IF(EMPLOYEE_MASTER!AC8="Yes",LK_AllowanceRates!$B$19,0)</f>
        <v>0</v>
      </c>
      <c r="S8" s="101">
        <f>IF(EMPLOYEE_MASTER!AA8="Yes",L8*LK_AllowanceRates!$B$20,0)</f>
        <v>680000</v>
      </c>
      <c r="T8" s="101">
        <f>IF(EMPLOYEE_MASTER!AB8="Yes",LK_AllowanceRates!$B$21,0)</f>
        <v>0</v>
      </c>
      <c r="U8" s="101">
        <f>IF(EMPLOYEE_MASTER!P8&gt;=6,LK_AllowanceRates!$B$22,0)</f>
        <v>0</v>
      </c>
      <c r="V8" s="101">
        <f>IF(EMPLOYEE_MASTER!AO8="Yes",LK_AllowanceRates!$B$23,0)</f>
        <v>200000</v>
      </c>
      <c r="W8" s="101">
        <f>EMPLOYEE_MASTER!AP8*LK_AllowanceRates!$B$24</f>
        <v>600000</v>
      </c>
      <c r="X8" s="101">
        <v>0</v>
      </c>
      <c r="Y8" s="102">
        <v>0</v>
      </c>
      <c r="Z8" s="102">
        <v>0</v>
      </c>
      <c r="AA8" s="102">
        <v>0</v>
      </c>
      <c r="AB8" s="103">
        <f t="shared" ca="1" si="2"/>
        <v>3180000</v>
      </c>
      <c r="AC8" s="104">
        <f t="shared" ca="1" si="3"/>
        <v>5900000</v>
      </c>
      <c r="AD8" s="105">
        <f>ROUND(L8*LK_AllowanceRates!$B$25/100,0)</f>
        <v>149600</v>
      </c>
      <c r="AE8" s="106">
        <f t="shared" ca="1" si="4"/>
        <v>5750400</v>
      </c>
      <c r="AF8" s="106">
        <f t="shared" ca="1" si="5"/>
        <v>260040</v>
      </c>
      <c r="AG8" s="107">
        <v>0</v>
      </c>
      <c r="AH8" s="107">
        <v>0</v>
      </c>
      <c r="AI8" s="108">
        <f t="shared" ca="1" si="6"/>
        <v>409640</v>
      </c>
      <c r="AJ8" s="109">
        <f t="shared" ca="1" si="7"/>
        <v>5490360</v>
      </c>
    </row>
    <row r="9" spans="1:36" ht="15" customHeight="1" x14ac:dyDescent="0.3">
      <c r="A9" s="98" t="str">
        <f>EMPLOYEE_MASTER!A9</f>
        <v>LAO00006</v>
      </c>
      <c r="B9" s="98" t="str">
        <f>EMPLOYEE_MASTER!C9</f>
        <v>Phonethip</v>
      </c>
      <c r="C9" s="98" t="str">
        <f>EMPLOYEE_MASTER!D9</f>
        <v>Phommavong</v>
      </c>
      <c r="D9" s="98" t="str">
        <f>EMPLOYEE_MASTER!T9</f>
        <v>Ministry of Health (MoH)</v>
      </c>
      <c r="E9" s="98" t="str">
        <f>EMPLOYEE_MASTER!M9</f>
        <v>Senior Doctor</v>
      </c>
      <c r="F9" s="98" t="str">
        <f>EMPLOYEE_MASTER!Z9</f>
        <v>Medical</v>
      </c>
      <c r="G9" s="99">
        <f>EMPLOYEE_MASTER!P9</f>
        <v>5</v>
      </c>
      <c r="H9" s="99">
        <f>EMPLOYEE_MASTER!Q9</f>
        <v>1</v>
      </c>
      <c r="I9" s="100" t="str">
        <f t="shared" si="0"/>
        <v>G05-S01</v>
      </c>
      <c r="J9" s="100">
        <f>IFERROR(VLOOKUP(I9,LK_GradeStep!$C$4:$D$85,2,0),0)</f>
        <v>308</v>
      </c>
      <c r="K9" s="100">
        <f>IFERROR(VLOOKUP(I9,LK_GradeStep!$C$4:$E$85,3,0),10000)</f>
        <v>10000</v>
      </c>
      <c r="L9" s="100">
        <f t="shared" si="1"/>
        <v>3080000</v>
      </c>
      <c r="M9" s="101">
        <f>IFERROR(VLOOKUP(EMPLOYEE_MASTER!AQ9,LK_AllowanceRates!$A$5:$B$11,2,0),0)</f>
        <v>900000</v>
      </c>
      <c r="N9" s="101">
        <f ca="1">IFERROR(IF(EMPLOYEE_MASTER!J9&lt;=5,  EMPLOYEE_MASTER!J9*LK_AllowanceRates!$B$12,IF(EMPLOYEE_MASTER!J9&lt;=15, EMPLOYEE_MASTER!J9*LK_AllowanceRates!$B$13,IF(EMPLOYEE_MASTER!J9&lt;=25, EMPLOYEE_MASTER!J9*LK_AllowanceRates!$B$14,EMPLOYEE_MASTER!J9*LK_AllowanceRates!$B$15))),0)</f>
        <v>1360000</v>
      </c>
      <c r="O9" s="101">
        <f>IF(EMPLOYEE_MASTER!AS9="Teaching",L9*LK_AllowanceRates!$B$16,0)</f>
        <v>0</v>
      </c>
      <c r="P9" s="101">
        <f>IF(EMPLOYEE_MASTER!AS9="Medical",LK_AllowanceRates!$B$17,0)</f>
        <v>500000</v>
      </c>
      <c r="Q9" s="101">
        <f>IF(EMPLOYEE_MASTER!AR9="Yes",LK_AllowanceRates!$B$18,0)</f>
        <v>0</v>
      </c>
      <c r="R9" s="101">
        <f>IF(EMPLOYEE_MASTER!AC9="Yes",LK_AllowanceRates!$B$19,0)</f>
        <v>0</v>
      </c>
      <c r="S9" s="101">
        <f>IF(EMPLOYEE_MASTER!AA9="Yes",L9*LK_AllowanceRates!$B$20,0)</f>
        <v>770000</v>
      </c>
      <c r="T9" s="101">
        <f>IF(EMPLOYEE_MASTER!AB9="Yes",LK_AllowanceRates!$B$21,0)</f>
        <v>0</v>
      </c>
      <c r="U9" s="101">
        <f>IF(EMPLOYEE_MASTER!P9&gt;=6,LK_AllowanceRates!$B$22,0)</f>
        <v>0</v>
      </c>
      <c r="V9" s="101">
        <f>IF(EMPLOYEE_MASTER!AO9="Yes",LK_AllowanceRates!$B$23,0)</f>
        <v>200000</v>
      </c>
      <c r="W9" s="101">
        <f>EMPLOYEE_MASTER!AP9*LK_AllowanceRates!$B$24</f>
        <v>600000</v>
      </c>
      <c r="X9" s="101">
        <v>0</v>
      </c>
      <c r="Y9" s="102">
        <v>0</v>
      </c>
      <c r="Z9" s="102">
        <v>0</v>
      </c>
      <c r="AA9" s="102">
        <v>0</v>
      </c>
      <c r="AB9" s="103">
        <f t="shared" ca="1" si="2"/>
        <v>4330000</v>
      </c>
      <c r="AC9" s="104">
        <f t="shared" ca="1" si="3"/>
        <v>7410000</v>
      </c>
      <c r="AD9" s="105">
        <f>ROUND(L9*LK_AllowanceRates!$B$25/100,0)</f>
        <v>169400</v>
      </c>
      <c r="AE9" s="106">
        <f t="shared" ca="1" si="4"/>
        <v>7240600</v>
      </c>
      <c r="AF9" s="106">
        <f t="shared" ca="1" si="5"/>
        <v>409060</v>
      </c>
      <c r="AG9" s="107">
        <v>0</v>
      </c>
      <c r="AH9" s="107">
        <v>0</v>
      </c>
      <c r="AI9" s="108">
        <f t="shared" ca="1" si="6"/>
        <v>578460</v>
      </c>
      <c r="AJ9" s="109">
        <f t="shared" ca="1" si="7"/>
        <v>6831540</v>
      </c>
    </row>
    <row r="10" spans="1:36" ht="15" customHeight="1" x14ac:dyDescent="0.3">
      <c r="A10" s="98" t="str">
        <f>EMPLOYEE_MASTER!A10</f>
        <v>LAO00007</v>
      </c>
      <c r="B10" s="98" t="str">
        <f>EMPLOYEE_MASTER!C10</f>
        <v>Phonesavanh</v>
      </c>
      <c r="C10" s="98" t="str">
        <f>EMPLOYEE_MASTER!D10</f>
        <v>Soulinthong</v>
      </c>
      <c r="D10" s="98" t="str">
        <f>EMPLOYEE_MASTER!T10</f>
        <v>Ministry of Industry &amp; Commerce (MoIC)</v>
      </c>
      <c r="E10" s="98" t="str">
        <f>EMPLOYEE_MASTER!M10</f>
        <v>Department Director</v>
      </c>
      <c r="F10" s="98" t="str">
        <f>EMPLOYEE_MASTER!Z10</f>
        <v>Administration</v>
      </c>
      <c r="G10" s="99">
        <f>EMPLOYEE_MASTER!P10</f>
        <v>5</v>
      </c>
      <c r="H10" s="99">
        <f>EMPLOYEE_MASTER!Q10</f>
        <v>4</v>
      </c>
      <c r="I10" s="100" t="str">
        <f t="shared" si="0"/>
        <v>G05-S04</v>
      </c>
      <c r="J10" s="100">
        <f>IFERROR(VLOOKUP(I10,LK_GradeStep!$C$4:$D$85,2,0),0)</f>
        <v>323</v>
      </c>
      <c r="K10" s="100">
        <f>IFERROR(VLOOKUP(I10,LK_GradeStep!$C$4:$E$85,3,0),10000)</f>
        <v>10000</v>
      </c>
      <c r="L10" s="100">
        <f t="shared" si="1"/>
        <v>3230000</v>
      </c>
      <c r="M10" s="101">
        <f>IFERROR(VLOOKUP(EMPLOYEE_MASTER!AQ10,LK_AllowanceRates!$A$5:$B$11,2,0),0)</f>
        <v>2500000</v>
      </c>
      <c r="N10" s="101">
        <f ca="1">IFERROR(IF(EMPLOYEE_MASTER!J10&lt;=5,  EMPLOYEE_MASTER!J10*LK_AllowanceRates!$B$12,IF(EMPLOYEE_MASTER!J10&lt;=15, EMPLOYEE_MASTER!J10*LK_AllowanceRates!$B$13,IF(EMPLOYEE_MASTER!J10&lt;=25, EMPLOYEE_MASTER!J10*LK_AllowanceRates!$B$14,EMPLOYEE_MASTER!J10*LK_AllowanceRates!$B$15))),0)</f>
        <v>30000</v>
      </c>
      <c r="O10" s="101">
        <f>IF(EMPLOYEE_MASTER!AS10="Teaching",L10*LK_AllowanceRates!$B$16,0)</f>
        <v>0</v>
      </c>
      <c r="P10" s="101">
        <f>IF(EMPLOYEE_MASTER!AS10="Medical",LK_AllowanceRates!$B$17,0)</f>
        <v>0</v>
      </c>
      <c r="Q10" s="101">
        <f>IF(EMPLOYEE_MASTER!AR10="Yes",LK_AllowanceRates!$B$18,0)</f>
        <v>0</v>
      </c>
      <c r="R10" s="101">
        <f>IF(EMPLOYEE_MASTER!AC10="Yes",LK_AllowanceRates!$B$19,0)</f>
        <v>0</v>
      </c>
      <c r="S10" s="101">
        <f>IF(EMPLOYEE_MASTER!AA10="Yes",L10*LK_AllowanceRates!$B$20,0)</f>
        <v>0</v>
      </c>
      <c r="T10" s="101">
        <f>IF(EMPLOYEE_MASTER!AB10="Yes",LK_AllowanceRates!$B$21,0)</f>
        <v>0</v>
      </c>
      <c r="U10" s="101">
        <f>IF(EMPLOYEE_MASTER!P10&gt;=6,LK_AllowanceRates!$B$22,0)</f>
        <v>0</v>
      </c>
      <c r="V10" s="101">
        <f>IF(EMPLOYEE_MASTER!AO10="Yes",LK_AllowanceRates!$B$23,0)</f>
        <v>0</v>
      </c>
      <c r="W10" s="101">
        <f>EMPLOYEE_MASTER!AP10*LK_AllowanceRates!$B$24</f>
        <v>0</v>
      </c>
      <c r="X10" s="101">
        <v>0</v>
      </c>
      <c r="Y10" s="102">
        <v>0</v>
      </c>
      <c r="Z10" s="102">
        <v>0</v>
      </c>
      <c r="AA10" s="102">
        <v>0</v>
      </c>
      <c r="AB10" s="103">
        <f t="shared" ca="1" si="2"/>
        <v>2530000</v>
      </c>
      <c r="AC10" s="104">
        <f t="shared" ca="1" si="3"/>
        <v>5760000</v>
      </c>
      <c r="AD10" s="105">
        <f>ROUND(L10*LK_AllowanceRates!$B$25/100,0)</f>
        <v>177650</v>
      </c>
      <c r="AE10" s="106">
        <f t="shared" ca="1" si="4"/>
        <v>5582350</v>
      </c>
      <c r="AF10" s="106">
        <f t="shared" ca="1" si="5"/>
        <v>243235</v>
      </c>
      <c r="AG10" s="107">
        <v>0</v>
      </c>
      <c r="AH10" s="107">
        <v>0</v>
      </c>
      <c r="AI10" s="108">
        <f t="shared" ca="1" si="6"/>
        <v>420885</v>
      </c>
      <c r="AJ10" s="109">
        <f t="shared" ca="1" si="7"/>
        <v>5339115</v>
      </c>
    </row>
    <row r="11" spans="1:36" ht="15" customHeight="1" x14ac:dyDescent="0.3">
      <c r="A11" s="98" t="str">
        <f>EMPLOYEE_MASTER!A11</f>
        <v>LAO00008</v>
      </c>
      <c r="B11" s="98" t="str">
        <f>EMPLOYEE_MASTER!C11</f>
        <v>Bounma</v>
      </c>
      <c r="C11" s="98" t="str">
        <f>EMPLOYEE_MASTER!D11</f>
        <v>Phongphichith</v>
      </c>
      <c r="D11" s="98" t="str">
        <f>EMPLOYEE_MASTER!T11</f>
        <v>Ministry of Public Works &amp; Transport (MPWT)</v>
      </c>
      <c r="E11" s="98" t="str">
        <f>EMPLOYEE_MASTER!M11</f>
        <v>IT Officer</v>
      </c>
      <c r="F11" s="98" t="str">
        <f>EMPLOYEE_MASTER!Z11</f>
        <v>Technical</v>
      </c>
      <c r="G11" s="99">
        <f>EMPLOYEE_MASTER!P11</f>
        <v>2</v>
      </c>
      <c r="H11" s="99">
        <f>EMPLOYEE_MASTER!Q11</f>
        <v>13</v>
      </c>
      <c r="I11" s="100" t="str">
        <f t="shared" si="0"/>
        <v>G02-S13</v>
      </c>
      <c r="J11" s="100">
        <f>IFERROR(VLOOKUP(I11,LK_GradeStep!$C$4:$D$85,2,0),0)</f>
        <v>280</v>
      </c>
      <c r="K11" s="100">
        <f>IFERROR(VLOOKUP(I11,LK_GradeStep!$C$4:$E$85,3,0),10000)</f>
        <v>10000</v>
      </c>
      <c r="L11" s="100">
        <f t="shared" si="1"/>
        <v>2800000</v>
      </c>
      <c r="M11" s="101">
        <f>IFERROR(VLOOKUP(EMPLOYEE_MASTER!AQ11,LK_AllowanceRates!$A$5:$B$11,2,0),0)</f>
        <v>900000</v>
      </c>
      <c r="N11" s="101">
        <f ca="1">IFERROR(IF(EMPLOYEE_MASTER!J11&lt;=5,  EMPLOYEE_MASTER!J11*LK_AllowanceRates!$B$12,IF(EMPLOYEE_MASTER!J11&lt;=15, EMPLOYEE_MASTER!J11*LK_AllowanceRates!$B$13,IF(EMPLOYEE_MASTER!J11&lt;=25, EMPLOYEE_MASTER!J11*LK_AllowanceRates!$B$14,EMPLOYEE_MASTER!J11*LK_AllowanceRates!$B$15))),0)</f>
        <v>140000</v>
      </c>
      <c r="O11" s="101">
        <f>IF(EMPLOYEE_MASTER!AS11="Teaching",L11*LK_AllowanceRates!$B$16,0)</f>
        <v>0</v>
      </c>
      <c r="P11" s="101">
        <f>IF(EMPLOYEE_MASTER!AS11="Medical",LK_AllowanceRates!$B$17,0)</f>
        <v>0</v>
      </c>
      <c r="Q11" s="101">
        <f>IF(EMPLOYEE_MASTER!AR11="Yes",LK_AllowanceRates!$B$18,0)</f>
        <v>0</v>
      </c>
      <c r="R11" s="101">
        <f>IF(EMPLOYEE_MASTER!AC11="Yes",LK_AllowanceRates!$B$19,0)</f>
        <v>1000000</v>
      </c>
      <c r="S11" s="101">
        <f>IF(EMPLOYEE_MASTER!AA11="Yes",L11*LK_AllowanceRates!$B$20,0)</f>
        <v>0</v>
      </c>
      <c r="T11" s="101">
        <f>IF(EMPLOYEE_MASTER!AB11="Yes",LK_AllowanceRates!$B$21,0)</f>
        <v>0</v>
      </c>
      <c r="U11" s="101">
        <f>IF(EMPLOYEE_MASTER!P11&gt;=6,LK_AllowanceRates!$B$22,0)</f>
        <v>0</v>
      </c>
      <c r="V11" s="101">
        <f>IF(EMPLOYEE_MASTER!AO11="Yes",LK_AllowanceRates!$B$23,0)</f>
        <v>0</v>
      </c>
      <c r="W11" s="101">
        <f>EMPLOYEE_MASTER!AP11*LK_AllowanceRates!$B$24</f>
        <v>0</v>
      </c>
      <c r="X11" s="101">
        <v>0</v>
      </c>
      <c r="Y11" s="102">
        <v>0</v>
      </c>
      <c r="Z11" s="102">
        <v>0</v>
      </c>
      <c r="AA11" s="102">
        <v>0</v>
      </c>
      <c r="AB11" s="103">
        <f t="shared" ca="1" si="2"/>
        <v>2040000</v>
      </c>
      <c r="AC11" s="104">
        <f t="shared" ca="1" si="3"/>
        <v>4840000</v>
      </c>
      <c r="AD11" s="105">
        <f>ROUND(L11*LK_AllowanceRates!$B$25/100,0)</f>
        <v>154000</v>
      </c>
      <c r="AE11" s="106">
        <f t="shared" ca="1" si="4"/>
        <v>4686000</v>
      </c>
      <c r="AF11" s="106">
        <f t="shared" ca="1" si="5"/>
        <v>169300</v>
      </c>
      <c r="AG11" s="107">
        <v>0</v>
      </c>
      <c r="AH11" s="107">
        <v>0</v>
      </c>
      <c r="AI11" s="108">
        <f t="shared" ca="1" si="6"/>
        <v>323300</v>
      </c>
      <c r="AJ11" s="109">
        <f t="shared" ca="1" si="7"/>
        <v>4516700</v>
      </c>
    </row>
    <row r="12" spans="1:36" ht="15" customHeight="1" x14ac:dyDescent="0.3">
      <c r="A12" s="98" t="str">
        <f>EMPLOYEE_MASTER!A12</f>
        <v>LAO00009</v>
      </c>
      <c r="B12" s="98" t="str">
        <f>EMPLOYEE_MASTER!C12</f>
        <v>Khanthavy</v>
      </c>
      <c r="C12" s="98" t="str">
        <f>EMPLOYEE_MASTER!D12</f>
        <v>Sengmixay</v>
      </c>
      <c r="D12" s="98" t="str">
        <f>EMPLOYEE_MASTER!T12</f>
        <v>Ministry of Health (MoH)</v>
      </c>
      <c r="E12" s="98" t="str">
        <f>EMPLOYEE_MASTER!M12</f>
        <v>Nurse</v>
      </c>
      <c r="F12" s="98" t="str">
        <f>EMPLOYEE_MASTER!Z12</f>
        <v>Medical</v>
      </c>
      <c r="G12" s="99">
        <f>EMPLOYEE_MASTER!P12</f>
        <v>4</v>
      </c>
      <c r="H12" s="99">
        <f>EMPLOYEE_MASTER!Q12</f>
        <v>8</v>
      </c>
      <c r="I12" s="100" t="str">
        <f t="shared" si="0"/>
        <v>G04-S08</v>
      </c>
      <c r="J12" s="100">
        <f>IFERROR(VLOOKUP(I12,LK_GradeStep!$C$4:$D$85,2,0),0)</f>
        <v>303</v>
      </c>
      <c r="K12" s="100">
        <f>IFERROR(VLOOKUP(I12,LK_GradeStep!$C$4:$E$85,3,0),10000)</f>
        <v>10000</v>
      </c>
      <c r="L12" s="100">
        <f t="shared" si="1"/>
        <v>3030000</v>
      </c>
      <c r="M12" s="101">
        <f>IFERROR(VLOOKUP(EMPLOYEE_MASTER!AQ12,LK_AllowanceRates!$A$5:$B$11,2,0),0)</f>
        <v>900000</v>
      </c>
      <c r="N12" s="101">
        <f ca="1">IFERROR(IF(EMPLOYEE_MASTER!J12&lt;=5,  EMPLOYEE_MASTER!J12*LK_AllowanceRates!$B$12,IF(EMPLOYEE_MASTER!J12&lt;=15, EMPLOYEE_MASTER!J12*LK_AllowanceRates!$B$13,IF(EMPLOYEE_MASTER!J12&lt;=25, EMPLOYEE_MASTER!J12*LK_AllowanceRates!$B$14,EMPLOYEE_MASTER!J12*LK_AllowanceRates!$B$15))),0)</f>
        <v>140000</v>
      </c>
      <c r="O12" s="101">
        <f>IF(EMPLOYEE_MASTER!AS12="Teaching",L12*LK_AllowanceRates!$B$16,0)</f>
        <v>0</v>
      </c>
      <c r="P12" s="101">
        <f>IF(EMPLOYEE_MASTER!AS12="Medical",LK_AllowanceRates!$B$17,0)</f>
        <v>500000</v>
      </c>
      <c r="Q12" s="101">
        <f>IF(EMPLOYEE_MASTER!AR12="Yes",LK_AllowanceRates!$B$18,0)</f>
        <v>0</v>
      </c>
      <c r="R12" s="101">
        <f>IF(EMPLOYEE_MASTER!AC12="Yes",LK_AllowanceRates!$B$19,0)</f>
        <v>1000000</v>
      </c>
      <c r="S12" s="101">
        <f>IF(EMPLOYEE_MASTER!AA12="Yes",L12*LK_AllowanceRates!$B$20,0)</f>
        <v>0</v>
      </c>
      <c r="T12" s="101">
        <f>IF(EMPLOYEE_MASTER!AB12="Yes",LK_AllowanceRates!$B$21,0)</f>
        <v>0</v>
      </c>
      <c r="U12" s="101">
        <f>IF(EMPLOYEE_MASTER!P12&gt;=6,LK_AllowanceRates!$B$22,0)</f>
        <v>0</v>
      </c>
      <c r="V12" s="101">
        <f>IF(EMPLOYEE_MASTER!AO12="Yes",LK_AllowanceRates!$B$23,0)</f>
        <v>0</v>
      </c>
      <c r="W12" s="101">
        <f>EMPLOYEE_MASTER!AP12*LK_AllowanceRates!$B$24</f>
        <v>0</v>
      </c>
      <c r="X12" s="101">
        <v>0</v>
      </c>
      <c r="Y12" s="102">
        <v>0</v>
      </c>
      <c r="Z12" s="102">
        <v>0</v>
      </c>
      <c r="AA12" s="102">
        <v>0</v>
      </c>
      <c r="AB12" s="103">
        <f t="shared" ca="1" si="2"/>
        <v>2540000</v>
      </c>
      <c r="AC12" s="104">
        <f t="shared" ca="1" si="3"/>
        <v>5570000</v>
      </c>
      <c r="AD12" s="105">
        <f>ROUND(L12*LK_AllowanceRates!$B$25/100,0)</f>
        <v>166650</v>
      </c>
      <c r="AE12" s="106">
        <f t="shared" ca="1" si="4"/>
        <v>5403350</v>
      </c>
      <c r="AF12" s="106">
        <f t="shared" ca="1" si="5"/>
        <v>225335</v>
      </c>
      <c r="AG12" s="107">
        <v>0</v>
      </c>
      <c r="AH12" s="107">
        <v>0</v>
      </c>
      <c r="AI12" s="108">
        <f t="shared" ca="1" si="6"/>
        <v>391985</v>
      </c>
      <c r="AJ12" s="109">
        <f t="shared" ca="1" si="7"/>
        <v>5178015</v>
      </c>
    </row>
    <row r="13" spans="1:36" ht="15" customHeight="1" x14ac:dyDescent="0.3">
      <c r="A13" s="98" t="str">
        <f>EMPLOYEE_MASTER!A13</f>
        <v>LAO00010</v>
      </c>
      <c r="B13" s="98" t="str">
        <f>EMPLOYEE_MASTER!C13</f>
        <v>Manyvone</v>
      </c>
      <c r="C13" s="98" t="str">
        <f>EMPLOYEE_MASTER!D13</f>
        <v>Phiaylack</v>
      </c>
      <c r="D13" s="98" t="str">
        <f>EMPLOYEE_MASTER!T13</f>
        <v>Ministry of Justice (MoJ)</v>
      </c>
      <c r="E13" s="98" t="str">
        <f>EMPLOYEE_MASTER!M13</f>
        <v>Senior Legal Advisor</v>
      </c>
      <c r="F13" s="98" t="str">
        <f>EMPLOYEE_MASTER!Z13</f>
        <v>Legal</v>
      </c>
      <c r="G13" s="99">
        <f>EMPLOYEE_MASTER!P13</f>
        <v>5</v>
      </c>
      <c r="H13" s="99">
        <f>EMPLOYEE_MASTER!Q13</f>
        <v>2</v>
      </c>
      <c r="I13" s="100" t="str">
        <f t="shared" si="0"/>
        <v>G05-S02</v>
      </c>
      <c r="J13" s="100">
        <f>IFERROR(VLOOKUP(I13,LK_GradeStep!$C$4:$D$85,2,0),0)</f>
        <v>313</v>
      </c>
      <c r="K13" s="100">
        <f>IFERROR(VLOOKUP(I13,LK_GradeStep!$C$4:$E$85,3,0),10000)</f>
        <v>10000</v>
      </c>
      <c r="L13" s="100">
        <f t="shared" si="1"/>
        <v>3130000</v>
      </c>
      <c r="M13" s="101">
        <f>IFERROR(VLOOKUP(EMPLOYEE_MASTER!AQ13,LK_AllowanceRates!$A$5:$B$11,2,0),0)</f>
        <v>900000</v>
      </c>
      <c r="N13" s="101">
        <f ca="1">IFERROR(IF(EMPLOYEE_MASTER!J13&lt;=5,  EMPLOYEE_MASTER!J13*LK_AllowanceRates!$B$12,IF(EMPLOYEE_MASTER!J13&lt;=15, EMPLOYEE_MASTER!J13*LK_AllowanceRates!$B$13,IF(EMPLOYEE_MASTER!J13&lt;=25, EMPLOYEE_MASTER!J13*LK_AllowanceRates!$B$14,EMPLOYEE_MASTER!J13*LK_AllowanceRates!$B$15))),0)</f>
        <v>480000</v>
      </c>
      <c r="O13" s="101">
        <f>IF(EMPLOYEE_MASTER!AS13="Teaching",L13*LK_AllowanceRates!$B$16,0)</f>
        <v>0</v>
      </c>
      <c r="P13" s="101">
        <f>IF(EMPLOYEE_MASTER!AS13="Medical",LK_AllowanceRates!$B$17,0)</f>
        <v>0</v>
      </c>
      <c r="Q13" s="101">
        <f>IF(EMPLOYEE_MASTER!AR13="Yes",LK_AllowanceRates!$B$18,0)</f>
        <v>0</v>
      </c>
      <c r="R13" s="101">
        <f>IF(EMPLOYEE_MASTER!AC13="Yes",LK_AllowanceRates!$B$19,0)</f>
        <v>1000000</v>
      </c>
      <c r="S13" s="101">
        <f>IF(EMPLOYEE_MASTER!AA13="Yes",L13*LK_AllowanceRates!$B$20,0)</f>
        <v>0</v>
      </c>
      <c r="T13" s="101">
        <f>IF(EMPLOYEE_MASTER!AB13="Yes",LK_AllowanceRates!$B$21,0)</f>
        <v>0</v>
      </c>
      <c r="U13" s="101">
        <f>IF(EMPLOYEE_MASTER!P13&gt;=6,LK_AllowanceRates!$B$22,0)</f>
        <v>0</v>
      </c>
      <c r="V13" s="101">
        <f>IF(EMPLOYEE_MASTER!AO13="Yes",LK_AllowanceRates!$B$23,0)</f>
        <v>200000</v>
      </c>
      <c r="W13" s="101">
        <f>EMPLOYEE_MASTER!AP13*LK_AllowanceRates!$B$24</f>
        <v>200000</v>
      </c>
      <c r="X13" s="101">
        <v>0</v>
      </c>
      <c r="Y13" s="102">
        <v>0</v>
      </c>
      <c r="Z13" s="102">
        <v>0</v>
      </c>
      <c r="AA13" s="102">
        <v>0</v>
      </c>
      <c r="AB13" s="103">
        <f t="shared" ca="1" si="2"/>
        <v>2780000</v>
      </c>
      <c r="AC13" s="104">
        <f t="shared" ca="1" si="3"/>
        <v>5910000</v>
      </c>
      <c r="AD13" s="105">
        <f>ROUND(L13*LK_AllowanceRates!$B$25/100,0)</f>
        <v>172150</v>
      </c>
      <c r="AE13" s="106">
        <f t="shared" ca="1" si="4"/>
        <v>5737850</v>
      </c>
      <c r="AF13" s="106">
        <f t="shared" ca="1" si="5"/>
        <v>258785</v>
      </c>
      <c r="AG13" s="107">
        <v>0</v>
      </c>
      <c r="AH13" s="107">
        <v>0</v>
      </c>
      <c r="AI13" s="108">
        <f t="shared" ca="1" si="6"/>
        <v>430935</v>
      </c>
      <c r="AJ13" s="109">
        <f t="shared" ca="1" si="7"/>
        <v>5479065</v>
      </c>
    </row>
    <row r="14" spans="1:36" ht="15" customHeight="1" x14ac:dyDescent="0.3">
      <c r="A14" s="98" t="str">
        <f>EMPLOYEE_MASTER!A14</f>
        <v>LAO00011</v>
      </c>
      <c r="B14" s="98" t="str">
        <f>EMPLOYEE_MASTER!C14</f>
        <v>Vongphet</v>
      </c>
      <c r="C14" s="98" t="str">
        <f>EMPLOYEE_MASTER!D14</f>
        <v>Bounseng</v>
      </c>
      <c r="D14" s="98" t="str">
        <f>EMPLOYEE_MASTER!T14</f>
        <v>Vientiane Capital Administration</v>
      </c>
      <c r="E14" s="98" t="str">
        <f>EMPLOYEE_MASTER!M14</f>
        <v>Officer</v>
      </c>
      <c r="F14" s="98" t="str">
        <f>EMPLOYEE_MASTER!Z14</f>
        <v>Administration</v>
      </c>
      <c r="G14" s="99">
        <f>EMPLOYEE_MASTER!P14</f>
        <v>4</v>
      </c>
      <c r="H14" s="99">
        <f>EMPLOYEE_MASTER!Q14</f>
        <v>1</v>
      </c>
      <c r="I14" s="100" t="str">
        <f t="shared" si="0"/>
        <v>G04-S01</v>
      </c>
      <c r="J14" s="100">
        <f>IFERROR(VLOOKUP(I14,LK_GradeStep!$C$4:$D$85,2,0),0)</f>
        <v>286</v>
      </c>
      <c r="K14" s="100">
        <f>IFERROR(VLOOKUP(I14,LK_GradeStep!$C$4:$E$85,3,0),10000)</f>
        <v>10000</v>
      </c>
      <c r="L14" s="100">
        <f t="shared" si="1"/>
        <v>2860000</v>
      </c>
      <c r="M14" s="101">
        <f>IFERROR(VLOOKUP(EMPLOYEE_MASTER!AQ14,LK_AllowanceRates!$A$5:$B$11,2,0),0)</f>
        <v>900000</v>
      </c>
      <c r="N14" s="101">
        <f ca="1">IFERROR(IF(EMPLOYEE_MASTER!J14&lt;=5,  EMPLOYEE_MASTER!J14*LK_AllowanceRates!$B$12,IF(EMPLOYEE_MASTER!J14&lt;=15, EMPLOYEE_MASTER!J14*LK_AllowanceRates!$B$13,IF(EMPLOYEE_MASTER!J14&lt;=25, EMPLOYEE_MASTER!J14*LK_AllowanceRates!$B$14,EMPLOYEE_MASTER!J14*LK_AllowanceRates!$B$15))),0)</f>
        <v>1200000</v>
      </c>
      <c r="O14" s="101">
        <f>IF(EMPLOYEE_MASTER!AS14="Teaching",L14*LK_AllowanceRates!$B$16,0)</f>
        <v>0</v>
      </c>
      <c r="P14" s="101">
        <f>IF(EMPLOYEE_MASTER!AS14="Medical",LK_AllowanceRates!$B$17,0)</f>
        <v>0</v>
      </c>
      <c r="Q14" s="101">
        <f>IF(EMPLOYEE_MASTER!AR14="Yes",LK_AllowanceRates!$B$18,0)</f>
        <v>0</v>
      </c>
      <c r="R14" s="101">
        <f>IF(EMPLOYEE_MASTER!AC14="Yes",LK_AllowanceRates!$B$19,0)</f>
        <v>0</v>
      </c>
      <c r="S14" s="101">
        <f>IF(EMPLOYEE_MASTER!AA14="Yes",L14*LK_AllowanceRates!$B$20,0)</f>
        <v>0</v>
      </c>
      <c r="T14" s="101">
        <f>IF(EMPLOYEE_MASTER!AB14="Yes",LK_AllowanceRates!$B$21,0)</f>
        <v>0</v>
      </c>
      <c r="U14" s="101">
        <f>IF(EMPLOYEE_MASTER!P14&gt;=6,LK_AllowanceRates!$B$22,0)</f>
        <v>0</v>
      </c>
      <c r="V14" s="101">
        <f>IF(EMPLOYEE_MASTER!AO14="Yes",LK_AllowanceRates!$B$23,0)</f>
        <v>200000</v>
      </c>
      <c r="W14" s="101">
        <f>EMPLOYEE_MASTER!AP14*LK_AllowanceRates!$B$24</f>
        <v>200000</v>
      </c>
      <c r="X14" s="101">
        <v>0</v>
      </c>
      <c r="Y14" s="102">
        <v>0</v>
      </c>
      <c r="Z14" s="102">
        <v>0</v>
      </c>
      <c r="AA14" s="102">
        <v>0</v>
      </c>
      <c r="AB14" s="103">
        <f t="shared" ca="1" si="2"/>
        <v>2500000</v>
      </c>
      <c r="AC14" s="104">
        <f t="shared" ca="1" si="3"/>
        <v>5360000</v>
      </c>
      <c r="AD14" s="105">
        <f>ROUND(L14*LK_AllowanceRates!$B$25/100,0)</f>
        <v>157300</v>
      </c>
      <c r="AE14" s="106">
        <f t="shared" ca="1" si="4"/>
        <v>5202700</v>
      </c>
      <c r="AF14" s="106">
        <f t="shared" ca="1" si="5"/>
        <v>205270</v>
      </c>
      <c r="AG14" s="107">
        <v>0</v>
      </c>
      <c r="AH14" s="107">
        <v>0</v>
      </c>
      <c r="AI14" s="108">
        <f t="shared" ca="1" si="6"/>
        <v>362570</v>
      </c>
      <c r="AJ14" s="109">
        <f t="shared" ca="1" si="7"/>
        <v>4997430</v>
      </c>
    </row>
    <row r="15" spans="1:36" ht="15" customHeight="1" x14ac:dyDescent="0.3">
      <c r="A15" s="98" t="str">
        <f>EMPLOYEE_MASTER!A15</f>
        <v>LAO00012</v>
      </c>
      <c r="B15" s="98" t="str">
        <f>EMPLOYEE_MASTER!C15</f>
        <v>Lattana</v>
      </c>
      <c r="C15" s="98" t="str">
        <f>EMPLOYEE_MASTER!D15</f>
        <v>Souksavanh</v>
      </c>
      <c r="D15" s="98" t="str">
        <f>EMPLOYEE_MASTER!T15</f>
        <v>Vientiane Capital Administration</v>
      </c>
      <c r="E15" s="98" t="str">
        <f>EMPLOYEE_MASTER!M15</f>
        <v>Division Chief</v>
      </c>
      <c r="F15" s="98" t="str">
        <f>EMPLOYEE_MASTER!Z15</f>
        <v>Administration</v>
      </c>
      <c r="G15" s="99">
        <f>EMPLOYEE_MASTER!P15</f>
        <v>5</v>
      </c>
      <c r="H15" s="99">
        <f>EMPLOYEE_MASTER!Q15</f>
        <v>4</v>
      </c>
      <c r="I15" s="100" t="str">
        <f t="shared" si="0"/>
        <v>G05-S04</v>
      </c>
      <c r="J15" s="100">
        <f>IFERROR(VLOOKUP(I15,LK_GradeStep!$C$4:$D$85,2,0),0)</f>
        <v>323</v>
      </c>
      <c r="K15" s="100">
        <f>IFERROR(VLOOKUP(I15,LK_GradeStep!$C$4:$E$85,3,0),10000)</f>
        <v>10000</v>
      </c>
      <c r="L15" s="100">
        <f t="shared" si="1"/>
        <v>3230000</v>
      </c>
      <c r="M15" s="101">
        <f>IFERROR(VLOOKUP(EMPLOYEE_MASTER!AQ15,LK_AllowanceRates!$A$5:$B$11,2,0),0)</f>
        <v>1900000</v>
      </c>
      <c r="N15" s="101">
        <f ca="1">IFERROR(IF(EMPLOYEE_MASTER!J15&lt;=5,  EMPLOYEE_MASTER!J15*LK_AllowanceRates!$B$12,IF(EMPLOYEE_MASTER!J15&lt;=15, EMPLOYEE_MASTER!J15*LK_AllowanceRates!$B$13,IF(EMPLOYEE_MASTER!J15&lt;=25, EMPLOYEE_MASTER!J15*LK_AllowanceRates!$B$14,EMPLOYEE_MASTER!J15*LK_AllowanceRates!$B$15))),0)</f>
        <v>140000</v>
      </c>
      <c r="O15" s="101">
        <f>IF(EMPLOYEE_MASTER!AS15="Teaching",L15*LK_AllowanceRates!$B$16,0)</f>
        <v>0</v>
      </c>
      <c r="P15" s="101">
        <f>IF(EMPLOYEE_MASTER!AS15="Medical",LK_AllowanceRates!$B$17,0)</f>
        <v>0</v>
      </c>
      <c r="Q15" s="101">
        <f>IF(EMPLOYEE_MASTER!AR15="Yes",LK_AllowanceRates!$B$18,0)</f>
        <v>0</v>
      </c>
      <c r="R15" s="101">
        <f>IF(EMPLOYEE_MASTER!AC15="Yes",LK_AllowanceRates!$B$19,0)</f>
        <v>0</v>
      </c>
      <c r="S15" s="101">
        <f>IF(EMPLOYEE_MASTER!AA15="Yes",L15*LK_AllowanceRates!$B$20,0)</f>
        <v>0</v>
      </c>
      <c r="T15" s="101">
        <f>IF(EMPLOYEE_MASTER!AB15="Yes",LK_AllowanceRates!$B$21,0)</f>
        <v>0</v>
      </c>
      <c r="U15" s="101">
        <f>IF(EMPLOYEE_MASTER!P15&gt;=6,LK_AllowanceRates!$B$22,0)</f>
        <v>0</v>
      </c>
      <c r="V15" s="101">
        <f>IF(EMPLOYEE_MASTER!AO15="Yes",LK_AllowanceRates!$B$23,0)</f>
        <v>0</v>
      </c>
      <c r="W15" s="101">
        <f>EMPLOYEE_MASTER!AP15*LK_AllowanceRates!$B$24</f>
        <v>0</v>
      </c>
      <c r="X15" s="101">
        <v>0</v>
      </c>
      <c r="Y15" s="102">
        <v>0</v>
      </c>
      <c r="Z15" s="102">
        <v>0</v>
      </c>
      <c r="AA15" s="102">
        <v>0</v>
      </c>
      <c r="AB15" s="103">
        <f t="shared" ca="1" si="2"/>
        <v>2040000</v>
      </c>
      <c r="AC15" s="104">
        <f t="shared" ca="1" si="3"/>
        <v>5270000</v>
      </c>
      <c r="AD15" s="105">
        <f>ROUND(L15*LK_AllowanceRates!$B$25/100,0)</f>
        <v>177650</v>
      </c>
      <c r="AE15" s="106">
        <f t="shared" ca="1" si="4"/>
        <v>5092350</v>
      </c>
      <c r="AF15" s="106">
        <f t="shared" ca="1" si="5"/>
        <v>194235</v>
      </c>
      <c r="AG15" s="107">
        <v>0</v>
      </c>
      <c r="AH15" s="107">
        <v>0</v>
      </c>
      <c r="AI15" s="108">
        <f t="shared" ca="1" si="6"/>
        <v>371885</v>
      </c>
      <c r="AJ15" s="109">
        <f t="shared" ca="1" si="7"/>
        <v>4898115</v>
      </c>
    </row>
    <row r="16" spans="1:36" ht="15" customHeight="1" x14ac:dyDescent="0.3">
      <c r="A16" s="98" t="str">
        <f>EMPLOYEE_MASTER!A16</f>
        <v>LAO00013</v>
      </c>
      <c r="B16" s="98" t="str">
        <f>EMPLOYEE_MASTER!C16</f>
        <v>Phengkham</v>
      </c>
      <c r="C16" s="98" t="str">
        <f>EMPLOYEE_MASTER!D16</f>
        <v>Manivong</v>
      </c>
      <c r="D16" s="98" t="str">
        <f>EMPLOYEE_MASTER!T16</f>
        <v>Ministry of Education and Sports (MoES)</v>
      </c>
      <c r="E16" s="98" t="str">
        <f>EMPLOYEE_MASTER!M16</f>
        <v>Associate Professor</v>
      </c>
      <c r="F16" s="98" t="str">
        <f>EMPLOYEE_MASTER!Z16</f>
        <v>Teacher</v>
      </c>
      <c r="G16" s="99">
        <f>EMPLOYEE_MASTER!P16</f>
        <v>5</v>
      </c>
      <c r="H16" s="99">
        <f>EMPLOYEE_MASTER!Q16</f>
        <v>1</v>
      </c>
      <c r="I16" s="100" t="str">
        <f t="shared" si="0"/>
        <v>G05-S01</v>
      </c>
      <c r="J16" s="100">
        <f>IFERROR(VLOOKUP(I16,LK_GradeStep!$C$4:$D$85,2,0),0)</f>
        <v>308</v>
      </c>
      <c r="K16" s="100">
        <f>IFERROR(VLOOKUP(I16,LK_GradeStep!$C$4:$E$85,3,0),10000)</f>
        <v>10000</v>
      </c>
      <c r="L16" s="100">
        <f t="shared" si="1"/>
        <v>3080000</v>
      </c>
      <c r="M16" s="101">
        <f>IFERROR(VLOOKUP(EMPLOYEE_MASTER!AQ16,LK_AllowanceRates!$A$5:$B$11,2,0),0)</f>
        <v>900000</v>
      </c>
      <c r="N16" s="101">
        <f ca="1">IFERROR(IF(EMPLOYEE_MASTER!J16&lt;=5,  EMPLOYEE_MASTER!J16*LK_AllowanceRates!$B$12,IF(EMPLOYEE_MASTER!J16&lt;=15, EMPLOYEE_MASTER!J16*LK_AllowanceRates!$B$13,IF(EMPLOYEE_MASTER!J16&lt;=25, EMPLOYEE_MASTER!J16*LK_AllowanceRates!$B$14,EMPLOYEE_MASTER!J16*LK_AllowanceRates!$B$15))),0)</f>
        <v>1400000</v>
      </c>
      <c r="O16" s="101">
        <f>IF(EMPLOYEE_MASTER!AS16="Teaching",L16*LK_AllowanceRates!$B$16,0)</f>
        <v>616000</v>
      </c>
      <c r="P16" s="101">
        <f>IF(EMPLOYEE_MASTER!AS16="Medical",LK_AllowanceRates!$B$17,0)</f>
        <v>0</v>
      </c>
      <c r="Q16" s="101">
        <f>IF(EMPLOYEE_MASTER!AR16="Yes",LK_AllowanceRates!$B$18,0)</f>
        <v>0</v>
      </c>
      <c r="R16" s="101">
        <f>IF(EMPLOYEE_MASTER!AC16="Yes",LK_AllowanceRates!$B$19,0)</f>
        <v>0</v>
      </c>
      <c r="S16" s="101">
        <f>IF(EMPLOYEE_MASTER!AA16="Yes",L16*LK_AllowanceRates!$B$20,0)</f>
        <v>0</v>
      </c>
      <c r="T16" s="101">
        <f>IF(EMPLOYEE_MASTER!AB16="Yes",LK_AllowanceRates!$B$21,0)</f>
        <v>0</v>
      </c>
      <c r="U16" s="101">
        <f>IF(EMPLOYEE_MASTER!P16&gt;=6,LK_AllowanceRates!$B$22,0)</f>
        <v>0</v>
      </c>
      <c r="V16" s="101">
        <f>IF(EMPLOYEE_MASTER!AO16="Yes",LK_AllowanceRates!$B$23,0)</f>
        <v>200000</v>
      </c>
      <c r="W16" s="101">
        <f>EMPLOYEE_MASTER!AP16*LK_AllowanceRates!$B$24</f>
        <v>400000</v>
      </c>
      <c r="X16" s="101">
        <v>0</v>
      </c>
      <c r="Y16" s="102">
        <v>0</v>
      </c>
      <c r="Z16" s="102">
        <v>0</v>
      </c>
      <c r="AA16" s="102">
        <v>0</v>
      </c>
      <c r="AB16" s="103">
        <f t="shared" ca="1" si="2"/>
        <v>3516000</v>
      </c>
      <c r="AC16" s="104">
        <f t="shared" ca="1" si="3"/>
        <v>6596000</v>
      </c>
      <c r="AD16" s="105">
        <f>ROUND(L16*LK_AllowanceRates!$B$25/100,0)</f>
        <v>169400</v>
      </c>
      <c r="AE16" s="106">
        <f t="shared" ca="1" si="4"/>
        <v>6426600</v>
      </c>
      <c r="AF16" s="106">
        <f t="shared" ca="1" si="5"/>
        <v>327660</v>
      </c>
      <c r="AG16" s="107">
        <v>0</v>
      </c>
      <c r="AH16" s="107">
        <v>0</v>
      </c>
      <c r="AI16" s="108">
        <f t="shared" ca="1" si="6"/>
        <v>497060</v>
      </c>
      <c r="AJ16" s="109">
        <f t="shared" ca="1" si="7"/>
        <v>6098940</v>
      </c>
    </row>
    <row r="17" spans="1:36" ht="15" customHeight="1" x14ac:dyDescent="0.3">
      <c r="A17" s="98" t="str">
        <f>EMPLOYEE_MASTER!A17</f>
        <v>LAO00014</v>
      </c>
      <c r="B17" s="98" t="str">
        <f>EMPLOYEE_MASTER!C17</f>
        <v>Sommay</v>
      </c>
      <c r="C17" s="98" t="str">
        <f>EMPLOYEE_MASTER!D17</f>
        <v>Xaysomboun</v>
      </c>
      <c r="D17" s="98" t="str">
        <f>EMPLOYEE_MASTER!T17</f>
        <v>Ministry of Public Works &amp; Transport (MPWT)</v>
      </c>
      <c r="E17" s="98" t="str">
        <f>EMPLOYEE_MASTER!M17</f>
        <v>Senior Engineer</v>
      </c>
      <c r="F17" s="98" t="str">
        <f>EMPLOYEE_MASTER!Z17</f>
        <v>Technical</v>
      </c>
      <c r="G17" s="99">
        <f>EMPLOYEE_MASTER!P17</f>
        <v>4</v>
      </c>
      <c r="H17" s="99">
        <f>EMPLOYEE_MASTER!Q17</f>
        <v>1</v>
      </c>
      <c r="I17" s="100" t="str">
        <f t="shared" si="0"/>
        <v>G04-S01</v>
      </c>
      <c r="J17" s="100">
        <f>IFERROR(VLOOKUP(I17,LK_GradeStep!$C$4:$D$85,2,0),0)</f>
        <v>286</v>
      </c>
      <c r="K17" s="100">
        <f>IFERROR(VLOOKUP(I17,LK_GradeStep!$C$4:$E$85,3,0),10000)</f>
        <v>10000</v>
      </c>
      <c r="L17" s="100">
        <f t="shared" si="1"/>
        <v>2860000</v>
      </c>
      <c r="M17" s="101">
        <f>IFERROR(VLOOKUP(EMPLOYEE_MASTER!AQ17,LK_AllowanceRates!$A$5:$B$11,2,0),0)</f>
        <v>900000</v>
      </c>
      <c r="N17" s="101">
        <f ca="1">IFERROR(IF(EMPLOYEE_MASTER!J17&lt;=5,  EMPLOYEE_MASTER!J17*LK_AllowanceRates!$B$12,IF(EMPLOYEE_MASTER!J17&lt;=15, EMPLOYEE_MASTER!J17*LK_AllowanceRates!$B$13,IF(EMPLOYEE_MASTER!J17&lt;=25, EMPLOYEE_MASTER!J17*LK_AllowanceRates!$B$14,EMPLOYEE_MASTER!J17*LK_AllowanceRates!$B$15))),0)</f>
        <v>1400000</v>
      </c>
      <c r="O17" s="101">
        <f>IF(EMPLOYEE_MASTER!AS17="Teaching",L17*LK_AllowanceRates!$B$16,0)</f>
        <v>0</v>
      </c>
      <c r="P17" s="101">
        <f>IF(EMPLOYEE_MASTER!AS17="Medical",LK_AllowanceRates!$B$17,0)</f>
        <v>0</v>
      </c>
      <c r="Q17" s="101">
        <f>IF(EMPLOYEE_MASTER!AR17="Yes",LK_AllowanceRates!$B$18,0)</f>
        <v>0</v>
      </c>
      <c r="R17" s="101">
        <f>IF(EMPLOYEE_MASTER!AC17="Yes",LK_AllowanceRates!$B$19,0)</f>
        <v>1000000</v>
      </c>
      <c r="S17" s="101">
        <f>IF(EMPLOYEE_MASTER!AA17="Yes",L17*LK_AllowanceRates!$B$20,0)</f>
        <v>715000</v>
      </c>
      <c r="T17" s="101">
        <f>IF(EMPLOYEE_MASTER!AB17="Yes",LK_AllowanceRates!$B$21,0)</f>
        <v>0</v>
      </c>
      <c r="U17" s="101">
        <f>IF(EMPLOYEE_MASTER!P17&gt;=6,LK_AllowanceRates!$B$22,0)</f>
        <v>0</v>
      </c>
      <c r="V17" s="101">
        <f>IF(EMPLOYEE_MASTER!AO17="Yes",LK_AllowanceRates!$B$23,0)</f>
        <v>0</v>
      </c>
      <c r="W17" s="101">
        <f>EMPLOYEE_MASTER!AP17*LK_AllowanceRates!$B$24</f>
        <v>0</v>
      </c>
      <c r="X17" s="101">
        <v>0</v>
      </c>
      <c r="Y17" s="102">
        <v>0</v>
      </c>
      <c r="Z17" s="102">
        <v>0</v>
      </c>
      <c r="AA17" s="102">
        <v>0</v>
      </c>
      <c r="AB17" s="103">
        <f t="shared" ca="1" si="2"/>
        <v>4015000</v>
      </c>
      <c r="AC17" s="104">
        <f t="shared" ca="1" si="3"/>
        <v>6875000</v>
      </c>
      <c r="AD17" s="105">
        <f>ROUND(L17*LK_AllowanceRates!$B$25/100,0)</f>
        <v>157300</v>
      </c>
      <c r="AE17" s="106">
        <f t="shared" ca="1" si="4"/>
        <v>6717700</v>
      </c>
      <c r="AF17" s="106">
        <f t="shared" ca="1" si="5"/>
        <v>356770</v>
      </c>
      <c r="AG17" s="107">
        <v>0</v>
      </c>
      <c r="AH17" s="107">
        <v>0</v>
      </c>
      <c r="AI17" s="108">
        <f t="shared" ca="1" si="6"/>
        <v>514070</v>
      </c>
      <c r="AJ17" s="109">
        <f t="shared" ca="1" si="7"/>
        <v>6360930</v>
      </c>
    </row>
    <row r="18" spans="1:36" ht="15" customHeight="1" x14ac:dyDescent="0.3">
      <c r="A18" s="98" t="str">
        <f>EMPLOYEE_MASTER!A18</f>
        <v>LAO00015</v>
      </c>
      <c r="B18" s="98" t="str">
        <f>EMPLOYEE_MASTER!C18</f>
        <v>Vongphet</v>
      </c>
      <c r="C18" s="98" t="str">
        <f>EMPLOYEE_MASTER!D18</f>
        <v>Chanthavong</v>
      </c>
      <c r="D18" s="98" t="str">
        <f>EMPLOYEE_MASTER!T18</f>
        <v>Savannakhet Province Administration</v>
      </c>
      <c r="E18" s="98" t="str">
        <f>EMPLOYEE_MASTER!M18</f>
        <v>Department Director</v>
      </c>
      <c r="F18" s="98" t="str">
        <f>EMPLOYEE_MASTER!Z18</f>
        <v>Administration</v>
      </c>
      <c r="G18" s="99">
        <f>EMPLOYEE_MASTER!P18</f>
        <v>4</v>
      </c>
      <c r="H18" s="99">
        <f>EMPLOYEE_MASTER!Q18</f>
        <v>1</v>
      </c>
      <c r="I18" s="100" t="str">
        <f t="shared" si="0"/>
        <v>G04-S01</v>
      </c>
      <c r="J18" s="100">
        <f>IFERROR(VLOOKUP(I18,LK_GradeStep!$C$4:$D$85,2,0),0)</f>
        <v>286</v>
      </c>
      <c r="K18" s="100">
        <f>IFERROR(VLOOKUP(I18,LK_GradeStep!$C$4:$E$85,3,0),10000)</f>
        <v>10000</v>
      </c>
      <c r="L18" s="100">
        <f t="shared" si="1"/>
        <v>2860000</v>
      </c>
      <c r="M18" s="101">
        <f>IFERROR(VLOOKUP(EMPLOYEE_MASTER!AQ18,LK_AllowanceRates!$A$5:$B$11,2,0),0)</f>
        <v>2500000</v>
      </c>
      <c r="N18" s="101">
        <f ca="1">IFERROR(IF(EMPLOYEE_MASTER!J18&lt;=5,  EMPLOYEE_MASTER!J18*LK_AllowanceRates!$B$12,IF(EMPLOYEE_MASTER!J18&lt;=15, EMPLOYEE_MASTER!J18*LK_AllowanceRates!$B$13,IF(EMPLOYEE_MASTER!J18&lt;=25, EMPLOYEE_MASTER!J18*LK_AllowanceRates!$B$14,EMPLOYEE_MASTER!J18*LK_AllowanceRates!$B$15))),0)</f>
        <v>1120000</v>
      </c>
      <c r="O18" s="101">
        <f>IF(EMPLOYEE_MASTER!AS18="Teaching",L18*LK_AllowanceRates!$B$16,0)</f>
        <v>0</v>
      </c>
      <c r="P18" s="101">
        <f>IF(EMPLOYEE_MASTER!AS18="Medical",LK_AllowanceRates!$B$17,0)</f>
        <v>0</v>
      </c>
      <c r="Q18" s="101">
        <f>IF(EMPLOYEE_MASTER!AR18="Yes",LK_AllowanceRates!$B$18,0)</f>
        <v>0</v>
      </c>
      <c r="R18" s="101">
        <f>IF(EMPLOYEE_MASTER!AC18="Yes",LK_AllowanceRates!$B$19,0)</f>
        <v>0</v>
      </c>
      <c r="S18" s="101">
        <f>IF(EMPLOYEE_MASTER!AA18="Yes",L18*LK_AllowanceRates!$B$20,0)</f>
        <v>715000</v>
      </c>
      <c r="T18" s="101">
        <f>IF(EMPLOYEE_MASTER!AB18="Yes",LK_AllowanceRates!$B$21,0)</f>
        <v>0</v>
      </c>
      <c r="U18" s="101">
        <f>IF(EMPLOYEE_MASTER!P18&gt;=6,LK_AllowanceRates!$B$22,0)</f>
        <v>0</v>
      </c>
      <c r="V18" s="101">
        <f>IF(EMPLOYEE_MASTER!AO18="Yes",LK_AllowanceRates!$B$23,0)</f>
        <v>200000</v>
      </c>
      <c r="W18" s="101">
        <f>EMPLOYEE_MASTER!AP18*LK_AllowanceRates!$B$24</f>
        <v>400000</v>
      </c>
      <c r="X18" s="101">
        <v>0</v>
      </c>
      <c r="Y18" s="102">
        <v>0</v>
      </c>
      <c r="Z18" s="102">
        <v>0</v>
      </c>
      <c r="AA18" s="102">
        <v>0</v>
      </c>
      <c r="AB18" s="103">
        <f t="shared" ca="1" si="2"/>
        <v>4935000</v>
      </c>
      <c r="AC18" s="104">
        <f t="shared" ca="1" si="3"/>
        <v>7795000</v>
      </c>
      <c r="AD18" s="105">
        <f>ROUND(L18*LK_AllowanceRates!$B$25/100,0)</f>
        <v>157300</v>
      </c>
      <c r="AE18" s="106">
        <f t="shared" ca="1" si="4"/>
        <v>7637700</v>
      </c>
      <c r="AF18" s="106">
        <f t="shared" ca="1" si="5"/>
        <v>448770</v>
      </c>
      <c r="AG18" s="107">
        <v>0</v>
      </c>
      <c r="AH18" s="107">
        <v>0</v>
      </c>
      <c r="AI18" s="108">
        <f t="shared" ca="1" si="6"/>
        <v>606070</v>
      </c>
      <c r="AJ18" s="109">
        <f t="shared" ca="1" si="7"/>
        <v>7188930</v>
      </c>
    </row>
    <row r="19" spans="1:36" ht="15" customHeight="1" x14ac:dyDescent="0.3">
      <c r="A19" s="98" t="str">
        <f>EMPLOYEE_MASTER!A19</f>
        <v>LAO00016</v>
      </c>
      <c r="B19" s="98" t="str">
        <f>EMPLOYEE_MASTER!C19</f>
        <v>Phongsavanh</v>
      </c>
      <c r="C19" s="98" t="str">
        <f>EMPLOYEE_MASTER!D19</f>
        <v>Sisoulath</v>
      </c>
      <c r="D19" s="98" t="str">
        <f>EMPLOYEE_MASTER!T19</f>
        <v>Ministry of Health (MoH)</v>
      </c>
      <c r="E19" s="98" t="str">
        <f>EMPLOYEE_MASTER!M19</f>
        <v>Dental Officer</v>
      </c>
      <c r="F19" s="98" t="str">
        <f>EMPLOYEE_MASTER!Z19</f>
        <v>Medical</v>
      </c>
      <c r="G19" s="99">
        <f>EMPLOYEE_MASTER!P19</f>
        <v>2</v>
      </c>
      <c r="H19" s="99">
        <f>EMPLOYEE_MASTER!Q19</f>
        <v>9</v>
      </c>
      <c r="I19" s="100" t="str">
        <f t="shared" si="0"/>
        <v>G02-S09</v>
      </c>
      <c r="J19" s="100">
        <f>IFERROR(VLOOKUP(I19,LK_GradeStep!$C$4:$D$85,2,0),0)</f>
        <v>276</v>
      </c>
      <c r="K19" s="100">
        <f>IFERROR(VLOOKUP(I19,LK_GradeStep!$C$4:$E$85,3,0),10000)</f>
        <v>10000</v>
      </c>
      <c r="L19" s="100">
        <f t="shared" si="1"/>
        <v>2760000</v>
      </c>
      <c r="M19" s="101">
        <f>IFERROR(VLOOKUP(EMPLOYEE_MASTER!AQ19,LK_AllowanceRates!$A$5:$B$11,2,0),0)</f>
        <v>900000</v>
      </c>
      <c r="N19" s="101">
        <f ca="1">IFERROR(IF(EMPLOYEE_MASTER!J19&lt;=5,  EMPLOYEE_MASTER!J19*LK_AllowanceRates!$B$12,IF(EMPLOYEE_MASTER!J19&lt;=15, EMPLOYEE_MASTER!J19*LK_AllowanceRates!$B$13,IF(EMPLOYEE_MASTER!J19&lt;=25, EMPLOYEE_MASTER!J19*LK_AllowanceRates!$B$14,EMPLOYEE_MASTER!J19*LK_AllowanceRates!$B$15))),0)</f>
        <v>570000</v>
      </c>
      <c r="O19" s="101">
        <f>IF(EMPLOYEE_MASTER!AS19="Teaching",L19*LK_AllowanceRates!$B$16,0)</f>
        <v>0</v>
      </c>
      <c r="P19" s="101">
        <f>IF(EMPLOYEE_MASTER!AS19="Medical",LK_AllowanceRates!$B$17,0)</f>
        <v>500000</v>
      </c>
      <c r="Q19" s="101">
        <f>IF(EMPLOYEE_MASTER!AR19="Yes",LK_AllowanceRates!$B$18,0)</f>
        <v>0</v>
      </c>
      <c r="R19" s="101">
        <f>IF(EMPLOYEE_MASTER!AC19="Yes",LK_AllowanceRates!$B$19,0)</f>
        <v>1000000</v>
      </c>
      <c r="S19" s="101">
        <f>IF(EMPLOYEE_MASTER!AA19="Yes",L19*LK_AllowanceRates!$B$20,0)</f>
        <v>690000</v>
      </c>
      <c r="T19" s="101">
        <f>IF(EMPLOYEE_MASTER!AB19="Yes",LK_AllowanceRates!$B$21,0)</f>
        <v>0</v>
      </c>
      <c r="U19" s="101">
        <f>IF(EMPLOYEE_MASTER!P19&gt;=6,LK_AllowanceRates!$B$22,0)</f>
        <v>0</v>
      </c>
      <c r="V19" s="101">
        <f>IF(EMPLOYEE_MASTER!AO19="Yes",LK_AllowanceRates!$B$23,0)</f>
        <v>0</v>
      </c>
      <c r="W19" s="101">
        <f>EMPLOYEE_MASTER!AP19*LK_AllowanceRates!$B$24</f>
        <v>0</v>
      </c>
      <c r="X19" s="101">
        <v>0</v>
      </c>
      <c r="Y19" s="102">
        <v>0</v>
      </c>
      <c r="Z19" s="102">
        <v>0</v>
      </c>
      <c r="AA19" s="102">
        <v>0</v>
      </c>
      <c r="AB19" s="103">
        <f t="shared" ca="1" si="2"/>
        <v>3660000</v>
      </c>
      <c r="AC19" s="104">
        <f t="shared" ca="1" si="3"/>
        <v>6420000</v>
      </c>
      <c r="AD19" s="105">
        <f>ROUND(L19*LK_AllowanceRates!$B$25/100,0)</f>
        <v>151800</v>
      </c>
      <c r="AE19" s="106">
        <f t="shared" ca="1" si="4"/>
        <v>6268200</v>
      </c>
      <c r="AF19" s="106">
        <f t="shared" ca="1" si="5"/>
        <v>311820</v>
      </c>
      <c r="AG19" s="107">
        <v>0</v>
      </c>
      <c r="AH19" s="107">
        <v>0</v>
      </c>
      <c r="AI19" s="108">
        <f t="shared" ca="1" si="6"/>
        <v>463620</v>
      </c>
      <c r="AJ19" s="109">
        <f t="shared" ca="1" si="7"/>
        <v>5956380</v>
      </c>
    </row>
    <row r="20" spans="1:36" ht="15" customHeight="1" x14ac:dyDescent="0.3">
      <c r="A20" s="98" t="str">
        <f>EMPLOYEE_MASTER!A20</f>
        <v>LAO00017</v>
      </c>
      <c r="B20" s="98" t="str">
        <f>EMPLOYEE_MASTER!C20</f>
        <v>Souvanny</v>
      </c>
      <c r="C20" s="98" t="str">
        <f>EMPLOYEE_MASTER!D20</f>
        <v>Xayyasith</v>
      </c>
      <c r="D20" s="98" t="str">
        <f>EMPLOYEE_MASTER!T20</f>
        <v>Ministry of Planning &amp; Investment (MPI)</v>
      </c>
      <c r="E20" s="98" t="str">
        <f>EMPLOYEE_MASTER!M20</f>
        <v>Division Chief</v>
      </c>
      <c r="F20" s="98" t="str">
        <f>EMPLOYEE_MASTER!Z20</f>
        <v>Administration</v>
      </c>
      <c r="G20" s="99">
        <f>EMPLOYEE_MASTER!P20</f>
        <v>4</v>
      </c>
      <c r="H20" s="99">
        <f>EMPLOYEE_MASTER!Q20</f>
        <v>1</v>
      </c>
      <c r="I20" s="100" t="str">
        <f t="shared" si="0"/>
        <v>G04-S01</v>
      </c>
      <c r="J20" s="100">
        <f>IFERROR(VLOOKUP(I20,LK_GradeStep!$C$4:$D$85,2,0),0)</f>
        <v>286</v>
      </c>
      <c r="K20" s="100">
        <f>IFERROR(VLOOKUP(I20,LK_GradeStep!$C$4:$E$85,3,0),10000)</f>
        <v>10000</v>
      </c>
      <c r="L20" s="100">
        <f t="shared" si="1"/>
        <v>2860000</v>
      </c>
      <c r="M20" s="101">
        <f>IFERROR(VLOOKUP(EMPLOYEE_MASTER!AQ20,LK_AllowanceRates!$A$5:$B$11,2,0),0)</f>
        <v>1900000</v>
      </c>
      <c r="N20" s="101">
        <f ca="1">IFERROR(IF(EMPLOYEE_MASTER!J20&lt;=5,  EMPLOYEE_MASTER!J20*LK_AllowanceRates!$B$12,IF(EMPLOYEE_MASTER!J20&lt;=15, EMPLOYEE_MASTER!J20*LK_AllowanceRates!$B$13,IF(EMPLOYEE_MASTER!J20&lt;=25, EMPLOYEE_MASTER!J20*LK_AllowanceRates!$B$14,EMPLOYEE_MASTER!J20*LK_AllowanceRates!$B$15))),0)</f>
        <v>1280000</v>
      </c>
      <c r="O20" s="101">
        <f>IF(EMPLOYEE_MASTER!AS20="Teaching",L20*LK_AllowanceRates!$B$16,0)</f>
        <v>0</v>
      </c>
      <c r="P20" s="101">
        <f>IF(EMPLOYEE_MASTER!AS20="Medical",LK_AllowanceRates!$B$17,0)</f>
        <v>0</v>
      </c>
      <c r="Q20" s="101">
        <f>IF(EMPLOYEE_MASTER!AR20="Yes",LK_AllowanceRates!$B$18,0)</f>
        <v>0</v>
      </c>
      <c r="R20" s="101">
        <f>IF(EMPLOYEE_MASTER!AC20="Yes",LK_AllowanceRates!$B$19,0)</f>
        <v>0</v>
      </c>
      <c r="S20" s="101">
        <f>IF(EMPLOYEE_MASTER!AA20="Yes",L20*LK_AllowanceRates!$B$20,0)</f>
        <v>0</v>
      </c>
      <c r="T20" s="101">
        <f>IF(EMPLOYEE_MASTER!AB20="Yes",LK_AllowanceRates!$B$21,0)</f>
        <v>0</v>
      </c>
      <c r="U20" s="101">
        <f>IF(EMPLOYEE_MASTER!P20&gt;=6,LK_AllowanceRates!$B$22,0)</f>
        <v>0</v>
      </c>
      <c r="V20" s="101">
        <f>IF(EMPLOYEE_MASTER!AO20="Yes",LK_AllowanceRates!$B$23,0)</f>
        <v>0</v>
      </c>
      <c r="W20" s="101">
        <f>EMPLOYEE_MASTER!AP20*LK_AllowanceRates!$B$24</f>
        <v>0</v>
      </c>
      <c r="X20" s="101">
        <v>0</v>
      </c>
      <c r="Y20" s="102">
        <v>0</v>
      </c>
      <c r="Z20" s="102">
        <v>0</v>
      </c>
      <c r="AA20" s="102">
        <v>0</v>
      </c>
      <c r="AB20" s="103">
        <f t="shared" ca="1" si="2"/>
        <v>3180000</v>
      </c>
      <c r="AC20" s="104">
        <f t="shared" ca="1" si="3"/>
        <v>6040000</v>
      </c>
      <c r="AD20" s="105">
        <f>ROUND(L20*LK_AllowanceRates!$B$25/100,0)</f>
        <v>157300</v>
      </c>
      <c r="AE20" s="106">
        <f t="shared" ca="1" si="4"/>
        <v>5882700</v>
      </c>
      <c r="AF20" s="106">
        <f t="shared" ca="1" si="5"/>
        <v>273270</v>
      </c>
      <c r="AG20" s="107">
        <v>0</v>
      </c>
      <c r="AH20" s="107">
        <v>0</v>
      </c>
      <c r="AI20" s="108">
        <f t="shared" ca="1" si="6"/>
        <v>430570</v>
      </c>
      <c r="AJ20" s="109">
        <f t="shared" ca="1" si="7"/>
        <v>5609430</v>
      </c>
    </row>
    <row r="21" spans="1:36" ht="15" customHeight="1" x14ac:dyDescent="0.3">
      <c r="A21" s="98" t="str">
        <f>EMPLOYEE_MASTER!A21</f>
        <v>LAO00018</v>
      </c>
      <c r="B21" s="98" t="str">
        <f>EMPLOYEE_MASTER!C21</f>
        <v>Chanthida</v>
      </c>
      <c r="C21" s="98" t="str">
        <f>EMPLOYEE_MASTER!D21</f>
        <v>Sengkhounmane</v>
      </c>
      <c r="D21" s="98" t="str">
        <f>EMPLOYEE_MASTER!T21</f>
        <v>Ministry of Education and Sports (MoES)</v>
      </c>
      <c r="E21" s="98" t="str">
        <f>EMPLOYEE_MASTER!M21</f>
        <v>Deputy Principal</v>
      </c>
      <c r="F21" s="98" t="str">
        <f>EMPLOYEE_MASTER!Z21</f>
        <v>Teacher</v>
      </c>
      <c r="G21" s="99">
        <f>EMPLOYEE_MASTER!P21</f>
        <v>2</v>
      </c>
      <c r="H21" s="99">
        <f>EMPLOYEE_MASTER!Q21</f>
        <v>6</v>
      </c>
      <c r="I21" s="100" t="str">
        <f t="shared" si="0"/>
        <v>G02-S06</v>
      </c>
      <c r="J21" s="100">
        <f>IFERROR(VLOOKUP(I21,LK_GradeStep!$C$4:$D$85,2,0),0)</f>
        <v>273</v>
      </c>
      <c r="K21" s="100">
        <f>IFERROR(VLOOKUP(I21,LK_GradeStep!$C$4:$E$85,3,0),10000)</f>
        <v>10000</v>
      </c>
      <c r="L21" s="100">
        <f t="shared" si="1"/>
        <v>2730000</v>
      </c>
      <c r="M21" s="101">
        <f>IFERROR(VLOOKUP(EMPLOYEE_MASTER!AQ21,LK_AllowanceRates!$A$5:$B$11,2,0),0)</f>
        <v>900000</v>
      </c>
      <c r="N21" s="101">
        <f ca="1">IFERROR(IF(EMPLOYEE_MASTER!J21&lt;=5,  EMPLOYEE_MASTER!J21*LK_AllowanceRates!$B$12,IF(EMPLOYEE_MASTER!J21&lt;=15, EMPLOYEE_MASTER!J21*LK_AllowanceRates!$B$13,IF(EMPLOYEE_MASTER!J21&lt;=25, EMPLOYEE_MASTER!J21*LK_AllowanceRates!$B$14,EMPLOYEE_MASTER!J21*LK_AllowanceRates!$B$15))),0)</f>
        <v>1160000</v>
      </c>
      <c r="O21" s="101">
        <f>IF(EMPLOYEE_MASTER!AS21="Teaching",L21*LK_AllowanceRates!$B$16,0)</f>
        <v>546000</v>
      </c>
      <c r="P21" s="101">
        <f>IF(EMPLOYEE_MASTER!AS21="Medical",LK_AllowanceRates!$B$17,0)</f>
        <v>0</v>
      </c>
      <c r="Q21" s="101">
        <f>IF(EMPLOYEE_MASTER!AR21="Yes",LK_AllowanceRates!$B$18,0)</f>
        <v>0</v>
      </c>
      <c r="R21" s="101">
        <f>IF(EMPLOYEE_MASTER!AC21="Yes",LK_AllowanceRates!$B$19,0)</f>
        <v>0</v>
      </c>
      <c r="S21" s="101">
        <f>IF(EMPLOYEE_MASTER!AA21="Yes",L21*LK_AllowanceRates!$B$20,0)</f>
        <v>0</v>
      </c>
      <c r="T21" s="101">
        <f>IF(EMPLOYEE_MASTER!AB21="Yes",LK_AllowanceRates!$B$21,0)</f>
        <v>0</v>
      </c>
      <c r="U21" s="101">
        <f>IF(EMPLOYEE_MASTER!P21&gt;=6,LK_AllowanceRates!$B$22,0)</f>
        <v>0</v>
      </c>
      <c r="V21" s="101">
        <f>IF(EMPLOYEE_MASTER!AO21="Yes",LK_AllowanceRates!$B$23,0)</f>
        <v>200000</v>
      </c>
      <c r="W21" s="101">
        <f>EMPLOYEE_MASTER!AP21*LK_AllowanceRates!$B$24</f>
        <v>400000</v>
      </c>
      <c r="X21" s="101">
        <v>0</v>
      </c>
      <c r="Y21" s="102">
        <v>0</v>
      </c>
      <c r="Z21" s="102">
        <v>0</v>
      </c>
      <c r="AA21" s="102">
        <v>0</v>
      </c>
      <c r="AB21" s="103">
        <f t="shared" ca="1" si="2"/>
        <v>3206000</v>
      </c>
      <c r="AC21" s="104">
        <f t="shared" ca="1" si="3"/>
        <v>5936000</v>
      </c>
      <c r="AD21" s="105">
        <f>ROUND(L21*LK_AllowanceRates!$B$25/100,0)</f>
        <v>150150</v>
      </c>
      <c r="AE21" s="106">
        <f t="shared" ca="1" si="4"/>
        <v>5785850</v>
      </c>
      <c r="AF21" s="106">
        <f t="shared" ca="1" si="5"/>
        <v>263585</v>
      </c>
      <c r="AG21" s="107">
        <v>0</v>
      </c>
      <c r="AH21" s="107">
        <v>0</v>
      </c>
      <c r="AI21" s="108">
        <f t="shared" ca="1" si="6"/>
        <v>413735</v>
      </c>
      <c r="AJ21" s="109">
        <f t="shared" ca="1" si="7"/>
        <v>5522265</v>
      </c>
    </row>
    <row r="22" spans="1:36" ht="15" customHeight="1" x14ac:dyDescent="0.3">
      <c r="A22" s="98" t="str">
        <f>EMPLOYEE_MASTER!A22</f>
        <v>LAO00019</v>
      </c>
      <c r="B22" s="98" t="str">
        <f>EMPLOYEE_MASTER!C22</f>
        <v>Dalavanh</v>
      </c>
      <c r="C22" s="98" t="str">
        <f>EMPLOYEE_MASTER!D22</f>
        <v>Vongphachanh</v>
      </c>
      <c r="D22" s="98" t="str">
        <f>EMPLOYEE_MASTER!T22</f>
        <v>Ministry of Public Works &amp; Transport (MPWT)</v>
      </c>
      <c r="E22" s="98" t="str">
        <f>EMPLOYEE_MASTER!M22</f>
        <v>Project Officer</v>
      </c>
      <c r="F22" s="98" t="str">
        <f>EMPLOYEE_MASTER!Z22</f>
        <v>Technical</v>
      </c>
      <c r="G22" s="99">
        <f>EMPLOYEE_MASTER!P22</f>
        <v>2</v>
      </c>
      <c r="H22" s="99">
        <f>EMPLOYEE_MASTER!Q22</f>
        <v>1</v>
      </c>
      <c r="I22" s="100" t="str">
        <f t="shared" si="0"/>
        <v>G02-S01</v>
      </c>
      <c r="J22" s="100">
        <f>IFERROR(VLOOKUP(I22,LK_GradeStep!$C$4:$D$85,2,0),0)</f>
        <v>268</v>
      </c>
      <c r="K22" s="100">
        <f>IFERROR(VLOOKUP(I22,LK_GradeStep!$C$4:$E$85,3,0),10000)</f>
        <v>10000</v>
      </c>
      <c r="L22" s="100">
        <f t="shared" si="1"/>
        <v>2680000</v>
      </c>
      <c r="M22" s="101">
        <f>IFERROR(VLOOKUP(EMPLOYEE_MASTER!AQ22,LK_AllowanceRates!$A$5:$B$11,2,0),0)</f>
        <v>900000</v>
      </c>
      <c r="N22" s="101">
        <f ca="1">IFERROR(IF(EMPLOYEE_MASTER!J22&lt;=5,  EMPLOYEE_MASTER!J22*LK_AllowanceRates!$B$12,IF(EMPLOYEE_MASTER!J22&lt;=15, EMPLOYEE_MASTER!J22*LK_AllowanceRates!$B$13,IF(EMPLOYEE_MASTER!J22&lt;=25, EMPLOYEE_MASTER!J22*LK_AllowanceRates!$B$14,EMPLOYEE_MASTER!J22*LK_AllowanceRates!$B$15))),0)</f>
        <v>1240000</v>
      </c>
      <c r="O22" s="101">
        <f>IF(EMPLOYEE_MASTER!AS22="Teaching",L22*LK_AllowanceRates!$B$16,0)</f>
        <v>0</v>
      </c>
      <c r="P22" s="101">
        <f>IF(EMPLOYEE_MASTER!AS22="Medical",LK_AllowanceRates!$B$17,0)</f>
        <v>0</v>
      </c>
      <c r="Q22" s="101">
        <f>IF(EMPLOYEE_MASTER!AR22="Yes",LK_AllowanceRates!$B$18,0)</f>
        <v>0</v>
      </c>
      <c r="R22" s="101">
        <f>IF(EMPLOYEE_MASTER!AC22="Yes",LK_AllowanceRates!$B$19,0)</f>
        <v>0</v>
      </c>
      <c r="S22" s="101">
        <f>IF(EMPLOYEE_MASTER!AA22="Yes",L22*LK_AllowanceRates!$B$20,0)</f>
        <v>0</v>
      </c>
      <c r="T22" s="101">
        <f>IF(EMPLOYEE_MASTER!AB22="Yes",LK_AllowanceRates!$B$21,0)</f>
        <v>0</v>
      </c>
      <c r="U22" s="101">
        <f>IF(EMPLOYEE_MASTER!P22&gt;=6,LK_AllowanceRates!$B$22,0)</f>
        <v>0</v>
      </c>
      <c r="V22" s="101">
        <f>IF(EMPLOYEE_MASTER!AO22="Yes",LK_AllowanceRates!$B$23,0)</f>
        <v>200000</v>
      </c>
      <c r="W22" s="101">
        <f>EMPLOYEE_MASTER!AP22*LK_AllowanceRates!$B$24</f>
        <v>200000</v>
      </c>
      <c r="X22" s="101">
        <v>0</v>
      </c>
      <c r="Y22" s="102">
        <v>0</v>
      </c>
      <c r="Z22" s="102">
        <v>0</v>
      </c>
      <c r="AA22" s="102">
        <v>0</v>
      </c>
      <c r="AB22" s="103">
        <f t="shared" ca="1" si="2"/>
        <v>2540000</v>
      </c>
      <c r="AC22" s="104">
        <f t="shared" ca="1" si="3"/>
        <v>5220000</v>
      </c>
      <c r="AD22" s="105">
        <f>ROUND(L22*LK_AllowanceRates!$B$25/100,0)</f>
        <v>147400</v>
      </c>
      <c r="AE22" s="106">
        <f t="shared" ca="1" si="4"/>
        <v>5072600</v>
      </c>
      <c r="AF22" s="106">
        <f t="shared" ca="1" si="5"/>
        <v>192260</v>
      </c>
      <c r="AG22" s="107">
        <v>0</v>
      </c>
      <c r="AH22" s="107">
        <v>0</v>
      </c>
      <c r="AI22" s="108">
        <f t="shared" ca="1" si="6"/>
        <v>339660</v>
      </c>
      <c r="AJ22" s="109">
        <f t="shared" ca="1" si="7"/>
        <v>4880340</v>
      </c>
    </row>
    <row r="23" spans="1:36" ht="15" customHeight="1" x14ac:dyDescent="0.3">
      <c r="A23" s="98" t="str">
        <f>EMPLOYEE_MASTER!A23</f>
        <v>LAO00020</v>
      </c>
      <c r="B23" s="98" t="str">
        <f>EMPLOYEE_MASTER!C23</f>
        <v>Visoune</v>
      </c>
      <c r="C23" s="98" t="str">
        <f>EMPLOYEE_MASTER!D23</f>
        <v>Vilayphitak</v>
      </c>
      <c r="D23" s="98" t="str">
        <f>EMPLOYEE_MASTER!T23</f>
        <v>Ministry of Agriculture and Forestry (MoAF)</v>
      </c>
      <c r="E23" s="98" t="str">
        <f>EMPLOYEE_MASTER!M23</f>
        <v>Section Chief</v>
      </c>
      <c r="F23" s="98" t="str">
        <f>EMPLOYEE_MASTER!Z23</f>
        <v>Technical</v>
      </c>
      <c r="G23" s="99">
        <f>EMPLOYEE_MASTER!P23</f>
        <v>5</v>
      </c>
      <c r="H23" s="99">
        <f>EMPLOYEE_MASTER!Q23</f>
        <v>1</v>
      </c>
      <c r="I23" s="100" t="str">
        <f t="shared" si="0"/>
        <v>G05-S01</v>
      </c>
      <c r="J23" s="100">
        <f>IFERROR(VLOOKUP(I23,LK_GradeStep!$C$4:$D$85,2,0),0)</f>
        <v>308</v>
      </c>
      <c r="K23" s="100">
        <f>IFERROR(VLOOKUP(I23,LK_GradeStep!$C$4:$E$85,3,0),10000)</f>
        <v>10000</v>
      </c>
      <c r="L23" s="100">
        <f t="shared" si="1"/>
        <v>3080000</v>
      </c>
      <c r="M23" s="101">
        <f>IFERROR(VLOOKUP(EMPLOYEE_MASTER!AQ23,LK_AllowanceRates!$A$5:$B$11,2,0),0)</f>
        <v>1500000</v>
      </c>
      <c r="N23" s="101">
        <f ca="1">IFERROR(IF(EMPLOYEE_MASTER!J23&lt;=5,  EMPLOYEE_MASTER!J23*LK_AllowanceRates!$B$12,IF(EMPLOYEE_MASTER!J23&lt;=15, EMPLOYEE_MASTER!J23*LK_AllowanceRates!$B$13,IF(EMPLOYEE_MASTER!J23&lt;=25, EMPLOYEE_MASTER!J23*LK_AllowanceRates!$B$14,EMPLOYEE_MASTER!J23*LK_AllowanceRates!$B$15))),0)</f>
        <v>1120000</v>
      </c>
      <c r="O23" s="101">
        <f>IF(EMPLOYEE_MASTER!AS23="Teaching",L23*LK_AllowanceRates!$B$16,0)</f>
        <v>0</v>
      </c>
      <c r="P23" s="101">
        <f>IF(EMPLOYEE_MASTER!AS23="Medical",LK_AllowanceRates!$B$17,0)</f>
        <v>0</v>
      </c>
      <c r="Q23" s="101">
        <f>IF(EMPLOYEE_MASTER!AR23="Yes",LK_AllowanceRates!$B$18,0)</f>
        <v>0</v>
      </c>
      <c r="R23" s="101">
        <f>IF(EMPLOYEE_MASTER!AC23="Yes",LK_AllowanceRates!$B$19,0)</f>
        <v>1000000</v>
      </c>
      <c r="S23" s="101">
        <f>IF(EMPLOYEE_MASTER!AA23="Yes",L23*LK_AllowanceRates!$B$20,0)</f>
        <v>770000</v>
      </c>
      <c r="T23" s="101">
        <f>IF(EMPLOYEE_MASTER!AB23="Yes",LK_AllowanceRates!$B$21,0)</f>
        <v>0</v>
      </c>
      <c r="U23" s="101">
        <f>IF(EMPLOYEE_MASTER!P23&gt;=6,LK_AllowanceRates!$B$22,0)</f>
        <v>0</v>
      </c>
      <c r="V23" s="101">
        <f>IF(EMPLOYEE_MASTER!AO23="Yes",LK_AllowanceRates!$B$23,0)</f>
        <v>0</v>
      </c>
      <c r="W23" s="101">
        <f>EMPLOYEE_MASTER!AP23*LK_AllowanceRates!$B$24</f>
        <v>0</v>
      </c>
      <c r="X23" s="101">
        <v>0</v>
      </c>
      <c r="Y23" s="102">
        <v>0</v>
      </c>
      <c r="Z23" s="102">
        <v>0</v>
      </c>
      <c r="AA23" s="102">
        <v>0</v>
      </c>
      <c r="AB23" s="103">
        <f t="shared" ca="1" si="2"/>
        <v>4390000</v>
      </c>
      <c r="AC23" s="104">
        <f t="shared" ca="1" si="3"/>
        <v>7470000</v>
      </c>
      <c r="AD23" s="105">
        <f>ROUND(L23*LK_AllowanceRates!$B$25/100,0)</f>
        <v>169400</v>
      </c>
      <c r="AE23" s="106">
        <f t="shared" ca="1" si="4"/>
        <v>7300600</v>
      </c>
      <c r="AF23" s="106">
        <f t="shared" ca="1" si="5"/>
        <v>415060</v>
      </c>
      <c r="AG23" s="107">
        <v>0</v>
      </c>
      <c r="AH23" s="107">
        <v>0</v>
      </c>
      <c r="AI23" s="108">
        <f t="shared" ca="1" si="6"/>
        <v>584460</v>
      </c>
      <c r="AJ23" s="109">
        <f t="shared" ca="1" si="7"/>
        <v>6885540</v>
      </c>
    </row>
    <row r="24" spans="1:36" ht="15" customHeight="1" x14ac:dyDescent="0.3">
      <c r="A24" s="98" t="str">
        <f>EMPLOYEE_MASTER!A24</f>
        <v>LAO00021</v>
      </c>
      <c r="B24" s="98" t="str">
        <f>EMPLOYEE_MASTER!C24</f>
        <v>Phonevieng</v>
      </c>
      <c r="C24" s="98" t="str">
        <f>EMPLOYEE_MASTER!D24</f>
        <v>Soulinthong</v>
      </c>
      <c r="D24" s="98" t="str">
        <f>EMPLOYEE_MASTER!T24</f>
        <v>Champasak Province Administration</v>
      </c>
      <c r="E24" s="98" t="str">
        <f>EMPLOYEE_MASTER!M24</f>
        <v>Officer</v>
      </c>
      <c r="F24" s="98" t="str">
        <f>EMPLOYEE_MASTER!Z24</f>
        <v>Administration</v>
      </c>
      <c r="G24" s="99">
        <f>EMPLOYEE_MASTER!P24</f>
        <v>2</v>
      </c>
      <c r="H24" s="99">
        <f>EMPLOYEE_MASTER!Q24</f>
        <v>1</v>
      </c>
      <c r="I24" s="100" t="str">
        <f t="shared" si="0"/>
        <v>G02-S01</v>
      </c>
      <c r="J24" s="100">
        <f>IFERROR(VLOOKUP(I24,LK_GradeStep!$C$4:$D$85,2,0),0)</f>
        <v>268</v>
      </c>
      <c r="K24" s="100">
        <f>IFERROR(VLOOKUP(I24,LK_GradeStep!$C$4:$E$85,3,0),10000)</f>
        <v>10000</v>
      </c>
      <c r="L24" s="100">
        <f t="shared" si="1"/>
        <v>2680000</v>
      </c>
      <c r="M24" s="101">
        <f>IFERROR(VLOOKUP(EMPLOYEE_MASTER!AQ24,LK_AllowanceRates!$A$5:$B$11,2,0),0)</f>
        <v>900000</v>
      </c>
      <c r="N24" s="101">
        <f ca="1">IFERROR(IF(EMPLOYEE_MASTER!J24&lt;=5,  EMPLOYEE_MASTER!J24*LK_AllowanceRates!$B$12,IF(EMPLOYEE_MASTER!J24&lt;=15, EMPLOYEE_MASTER!J24*LK_AllowanceRates!$B$13,IF(EMPLOYEE_MASTER!J24&lt;=25, EMPLOYEE_MASTER!J24*LK_AllowanceRates!$B$14,EMPLOYEE_MASTER!J24*LK_AllowanceRates!$B$15))),0)</f>
        <v>1280000</v>
      </c>
      <c r="O24" s="101">
        <f>IF(EMPLOYEE_MASTER!AS24="Teaching",L24*LK_AllowanceRates!$B$16,0)</f>
        <v>0</v>
      </c>
      <c r="P24" s="101">
        <f>IF(EMPLOYEE_MASTER!AS24="Medical",LK_AllowanceRates!$B$17,0)</f>
        <v>0</v>
      </c>
      <c r="Q24" s="101">
        <f>IF(EMPLOYEE_MASTER!AR24="Yes",LK_AllowanceRates!$B$18,0)</f>
        <v>0</v>
      </c>
      <c r="R24" s="101">
        <f>IF(EMPLOYEE_MASTER!AC24="Yes",LK_AllowanceRates!$B$19,0)</f>
        <v>0</v>
      </c>
      <c r="S24" s="101">
        <f>IF(EMPLOYEE_MASTER!AA24="Yes",L24*LK_AllowanceRates!$B$20,0)</f>
        <v>0</v>
      </c>
      <c r="T24" s="101">
        <f>IF(EMPLOYEE_MASTER!AB24="Yes",LK_AllowanceRates!$B$21,0)</f>
        <v>0</v>
      </c>
      <c r="U24" s="101">
        <f>IF(EMPLOYEE_MASTER!P24&gt;=6,LK_AllowanceRates!$B$22,0)</f>
        <v>0</v>
      </c>
      <c r="V24" s="101">
        <f>IF(EMPLOYEE_MASTER!AO24="Yes",LK_AllowanceRates!$B$23,0)</f>
        <v>200000</v>
      </c>
      <c r="W24" s="101">
        <f>EMPLOYEE_MASTER!AP24*LK_AllowanceRates!$B$24</f>
        <v>200000</v>
      </c>
      <c r="X24" s="101">
        <v>0</v>
      </c>
      <c r="Y24" s="102">
        <v>0</v>
      </c>
      <c r="Z24" s="102">
        <v>0</v>
      </c>
      <c r="AA24" s="102">
        <v>0</v>
      </c>
      <c r="AB24" s="103">
        <f t="shared" ca="1" si="2"/>
        <v>2580000</v>
      </c>
      <c r="AC24" s="104">
        <f t="shared" ca="1" si="3"/>
        <v>5260000</v>
      </c>
      <c r="AD24" s="105">
        <f>ROUND(L24*LK_AllowanceRates!$B$25/100,0)</f>
        <v>147400</v>
      </c>
      <c r="AE24" s="106">
        <f t="shared" ca="1" si="4"/>
        <v>5112600</v>
      </c>
      <c r="AF24" s="106">
        <f t="shared" ca="1" si="5"/>
        <v>196260</v>
      </c>
      <c r="AG24" s="107">
        <v>0</v>
      </c>
      <c r="AH24" s="107">
        <v>0</v>
      </c>
      <c r="AI24" s="108">
        <f t="shared" ca="1" si="6"/>
        <v>343660</v>
      </c>
      <c r="AJ24" s="109">
        <f t="shared" ca="1" si="7"/>
        <v>4916340</v>
      </c>
    </row>
    <row r="25" spans="1:36" ht="15" customHeight="1" x14ac:dyDescent="0.3">
      <c r="A25" s="98" t="str">
        <f>EMPLOYEE_MASTER!A25</f>
        <v>LAO00022</v>
      </c>
      <c r="B25" s="98" t="str">
        <f>EMPLOYEE_MASTER!C25</f>
        <v>Phonepadith</v>
      </c>
      <c r="C25" s="98" t="str">
        <f>EMPLOYEE_MASTER!D25</f>
        <v>Sisavath</v>
      </c>
      <c r="D25" s="98" t="str">
        <f>EMPLOYEE_MASTER!T25</f>
        <v>Ministry of Industry &amp; Commerce (MoIC)</v>
      </c>
      <c r="E25" s="98" t="str">
        <f>EMPLOYEE_MASTER!M25</f>
        <v>Senior Administrative Officer</v>
      </c>
      <c r="F25" s="98" t="str">
        <f>EMPLOYEE_MASTER!Z25</f>
        <v>Administration</v>
      </c>
      <c r="G25" s="99">
        <f>EMPLOYEE_MASTER!P25</f>
        <v>4</v>
      </c>
      <c r="H25" s="99">
        <f>EMPLOYEE_MASTER!Q25</f>
        <v>4</v>
      </c>
      <c r="I25" s="100" t="str">
        <f t="shared" si="0"/>
        <v>G04-S04</v>
      </c>
      <c r="J25" s="100">
        <f>IFERROR(VLOOKUP(I25,LK_GradeStep!$C$4:$D$85,2,0),0)</f>
        <v>292</v>
      </c>
      <c r="K25" s="100">
        <f>IFERROR(VLOOKUP(I25,LK_GradeStep!$C$4:$E$85,3,0),10000)</f>
        <v>10000</v>
      </c>
      <c r="L25" s="100">
        <f t="shared" si="1"/>
        <v>2920000</v>
      </c>
      <c r="M25" s="101">
        <f>IFERROR(VLOOKUP(EMPLOYEE_MASTER!AQ25,LK_AllowanceRates!$A$5:$B$11,2,0),0)</f>
        <v>900000</v>
      </c>
      <c r="N25" s="101">
        <f ca="1">IFERROR(IF(EMPLOYEE_MASTER!J25&lt;=5,  EMPLOYEE_MASTER!J25*LK_AllowanceRates!$B$12,IF(EMPLOYEE_MASTER!J25&lt;=15, EMPLOYEE_MASTER!J25*LK_AllowanceRates!$B$13,IF(EMPLOYEE_MASTER!J25&lt;=25, EMPLOYEE_MASTER!J25*LK_AllowanceRates!$B$14,EMPLOYEE_MASTER!J25*LK_AllowanceRates!$B$15))),0)</f>
        <v>280000</v>
      </c>
      <c r="O25" s="101">
        <f>IF(EMPLOYEE_MASTER!AS25="Teaching",L25*LK_AllowanceRates!$B$16,0)</f>
        <v>0</v>
      </c>
      <c r="P25" s="101">
        <f>IF(EMPLOYEE_MASTER!AS25="Medical",LK_AllowanceRates!$B$17,0)</f>
        <v>0</v>
      </c>
      <c r="Q25" s="101">
        <f>IF(EMPLOYEE_MASTER!AR25="Yes",LK_AllowanceRates!$B$18,0)</f>
        <v>0</v>
      </c>
      <c r="R25" s="101">
        <f>IF(EMPLOYEE_MASTER!AC25="Yes",LK_AllowanceRates!$B$19,0)</f>
        <v>0</v>
      </c>
      <c r="S25" s="101">
        <f>IF(EMPLOYEE_MASTER!AA25="Yes",L25*LK_AllowanceRates!$B$20,0)</f>
        <v>0</v>
      </c>
      <c r="T25" s="101">
        <f>IF(EMPLOYEE_MASTER!AB25="Yes",LK_AllowanceRates!$B$21,0)</f>
        <v>0</v>
      </c>
      <c r="U25" s="101">
        <f>IF(EMPLOYEE_MASTER!P25&gt;=6,LK_AllowanceRates!$B$22,0)</f>
        <v>0</v>
      </c>
      <c r="V25" s="101">
        <f>IF(EMPLOYEE_MASTER!AO25="Yes",LK_AllowanceRates!$B$23,0)</f>
        <v>200000</v>
      </c>
      <c r="W25" s="101">
        <f>EMPLOYEE_MASTER!AP25*LK_AllowanceRates!$B$24</f>
        <v>0</v>
      </c>
      <c r="X25" s="101">
        <v>0</v>
      </c>
      <c r="Y25" s="102">
        <v>0</v>
      </c>
      <c r="Z25" s="102">
        <v>0</v>
      </c>
      <c r="AA25" s="102">
        <v>0</v>
      </c>
      <c r="AB25" s="103">
        <f t="shared" ca="1" si="2"/>
        <v>1380000</v>
      </c>
      <c r="AC25" s="104">
        <f t="shared" ca="1" si="3"/>
        <v>4300000</v>
      </c>
      <c r="AD25" s="105">
        <f>ROUND(L25*LK_AllowanceRates!$B$25/100,0)</f>
        <v>160600</v>
      </c>
      <c r="AE25" s="106">
        <f t="shared" ca="1" si="4"/>
        <v>4139400</v>
      </c>
      <c r="AF25" s="106">
        <f t="shared" ca="1" si="5"/>
        <v>141970</v>
      </c>
      <c r="AG25" s="107">
        <v>0</v>
      </c>
      <c r="AH25" s="107">
        <v>0</v>
      </c>
      <c r="AI25" s="108">
        <f t="shared" ca="1" si="6"/>
        <v>302570</v>
      </c>
      <c r="AJ25" s="109">
        <f t="shared" ca="1" si="7"/>
        <v>3997430</v>
      </c>
    </row>
    <row r="26" spans="1:36" ht="15" customHeight="1" x14ac:dyDescent="0.3">
      <c r="A26" s="98" t="str">
        <f>EMPLOYEE_MASTER!A26</f>
        <v>LAO00023</v>
      </c>
      <c r="B26" s="98" t="str">
        <f>EMPLOYEE_MASTER!C26</f>
        <v>Phonesavanh</v>
      </c>
      <c r="C26" s="98" t="str">
        <f>EMPLOYEE_MASTER!D26</f>
        <v>Phongphichith</v>
      </c>
      <c r="D26" s="98" t="str">
        <f>EMPLOYEE_MASTER!T26</f>
        <v>Ministry of Natural Resources &amp; Environment (MoNRE)</v>
      </c>
      <c r="E26" s="98" t="str">
        <f>EMPLOYEE_MASTER!M26</f>
        <v>Section Chief</v>
      </c>
      <c r="F26" s="98" t="str">
        <f>EMPLOYEE_MASTER!Z26</f>
        <v>Technical</v>
      </c>
      <c r="G26" s="99">
        <f>EMPLOYEE_MASTER!P26</f>
        <v>4</v>
      </c>
      <c r="H26" s="99">
        <f>EMPLOYEE_MASTER!Q26</f>
        <v>12</v>
      </c>
      <c r="I26" s="100" t="str">
        <f t="shared" si="0"/>
        <v>G04-S12</v>
      </c>
      <c r="J26" s="100">
        <f>IFERROR(VLOOKUP(I26,LK_GradeStep!$C$4:$D$85,2,0),0)</f>
        <v>323</v>
      </c>
      <c r="K26" s="100">
        <f>IFERROR(VLOOKUP(I26,LK_GradeStep!$C$4:$E$85,3,0),10000)</f>
        <v>10000</v>
      </c>
      <c r="L26" s="100">
        <f t="shared" si="1"/>
        <v>3230000</v>
      </c>
      <c r="M26" s="101">
        <f>IFERROR(VLOOKUP(EMPLOYEE_MASTER!AQ26,LK_AllowanceRates!$A$5:$B$11,2,0),0)</f>
        <v>1500000</v>
      </c>
      <c r="N26" s="101">
        <f ca="1">IFERROR(IF(EMPLOYEE_MASTER!J26&lt;=5,  EMPLOYEE_MASTER!J26*LK_AllowanceRates!$B$12,IF(EMPLOYEE_MASTER!J26&lt;=15, EMPLOYEE_MASTER!J26*LK_AllowanceRates!$B$13,IF(EMPLOYEE_MASTER!J26&lt;=25, EMPLOYEE_MASTER!J26*LK_AllowanceRates!$B$14,EMPLOYEE_MASTER!J26*LK_AllowanceRates!$B$15))),0)</f>
        <v>180000</v>
      </c>
      <c r="O26" s="101">
        <f>IF(EMPLOYEE_MASTER!AS26="Teaching",L26*LK_AllowanceRates!$B$16,0)</f>
        <v>0</v>
      </c>
      <c r="P26" s="101">
        <f>IF(EMPLOYEE_MASTER!AS26="Medical",LK_AllowanceRates!$B$17,0)</f>
        <v>0</v>
      </c>
      <c r="Q26" s="101">
        <f>IF(EMPLOYEE_MASTER!AR26="Yes",LK_AllowanceRates!$B$18,0)</f>
        <v>0</v>
      </c>
      <c r="R26" s="101">
        <f>IF(EMPLOYEE_MASTER!AC26="Yes",LK_AllowanceRates!$B$19,0)</f>
        <v>0</v>
      </c>
      <c r="S26" s="101">
        <f>IF(EMPLOYEE_MASTER!AA26="Yes",L26*LK_AllowanceRates!$B$20,0)</f>
        <v>0</v>
      </c>
      <c r="T26" s="101">
        <f>IF(EMPLOYEE_MASTER!AB26="Yes",LK_AllowanceRates!$B$21,0)</f>
        <v>0</v>
      </c>
      <c r="U26" s="101">
        <f>IF(EMPLOYEE_MASTER!P26&gt;=6,LK_AllowanceRates!$B$22,0)</f>
        <v>0</v>
      </c>
      <c r="V26" s="101">
        <f>IF(EMPLOYEE_MASTER!AO26="Yes",LK_AllowanceRates!$B$23,0)</f>
        <v>200000</v>
      </c>
      <c r="W26" s="101">
        <f>EMPLOYEE_MASTER!AP26*LK_AllowanceRates!$B$24</f>
        <v>400000</v>
      </c>
      <c r="X26" s="101">
        <v>0</v>
      </c>
      <c r="Y26" s="102">
        <v>0</v>
      </c>
      <c r="Z26" s="102">
        <v>0</v>
      </c>
      <c r="AA26" s="102">
        <v>0</v>
      </c>
      <c r="AB26" s="103">
        <f t="shared" ca="1" si="2"/>
        <v>2280000</v>
      </c>
      <c r="AC26" s="104">
        <f t="shared" ca="1" si="3"/>
        <v>5510000</v>
      </c>
      <c r="AD26" s="105">
        <f>ROUND(L26*LK_AllowanceRates!$B$25/100,0)</f>
        <v>177650</v>
      </c>
      <c r="AE26" s="106">
        <f t="shared" ca="1" si="4"/>
        <v>5332350</v>
      </c>
      <c r="AF26" s="106">
        <f t="shared" ca="1" si="5"/>
        <v>218235</v>
      </c>
      <c r="AG26" s="107">
        <v>0</v>
      </c>
      <c r="AH26" s="107">
        <v>0</v>
      </c>
      <c r="AI26" s="108">
        <f t="shared" ca="1" si="6"/>
        <v>395885</v>
      </c>
      <c r="AJ26" s="109">
        <f t="shared" ca="1" si="7"/>
        <v>5114115</v>
      </c>
    </row>
    <row r="27" spans="1:36" ht="15" customHeight="1" x14ac:dyDescent="0.3">
      <c r="A27" s="98" t="str">
        <f>EMPLOYEE_MASTER!A27</f>
        <v>LAO00024</v>
      </c>
      <c r="B27" s="98" t="str">
        <f>EMPLOYEE_MASTER!C27</f>
        <v>Vongphet</v>
      </c>
      <c r="C27" s="98" t="str">
        <f>EMPLOYEE_MASTER!D27</f>
        <v>Manodham</v>
      </c>
      <c r="D27" s="98" t="str">
        <f>EMPLOYEE_MASTER!T27</f>
        <v>National Assembly (NA)</v>
      </c>
      <c r="E27" s="98" t="str">
        <f>EMPLOYEE_MASTER!M27</f>
        <v>Deputy Department Director</v>
      </c>
      <c r="F27" s="98" t="str">
        <f>EMPLOYEE_MASTER!Z27</f>
        <v>Administration</v>
      </c>
      <c r="G27" s="99">
        <f>EMPLOYEE_MASTER!P27</f>
        <v>5</v>
      </c>
      <c r="H27" s="99">
        <f>EMPLOYEE_MASTER!Q27</f>
        <v>9</v>
      </c>
      <c r="I27" s="100" t="str">
        <f t="shared" si="0"/>
        <v>G05-S09</v>
      </c>
      <c r="J27" s="100">
        <f>IFERROR(VLOOKUP(I27,LK_GradeStep!$C$4:$D$85,2,0),0)</f>
        <v>358</v>
      </c>
      <c r="K27" s="100">
        <f>IFERROR(VLOOKUP(I27,LK_GradeStep!$C$4:$E$85,3,0),10000)</f>
        <v>10000</v>
      </c>
      <c r="L27" s="100">
        <f t="shared" si="1"/>
        <v>3580000</v>
      </c>
      <c r="M27" s="101">
        <f>IFERROR(VLOOKUP(EMPLOYEE_MASTER!AQ27,LK_AllowanceRates!$A$5:$B$11,2,0),0)</f>
        <v>900000</v>
      </c>
      <c r="N27" s="101">
        <f ca="1">IFERROR(IF(EMPLOYEE_MASTER!J27&lt;=5,  EMPLOYEE_MASTER!J27*LK_AllowanceRates!$B$12,IF(EMPLOYEE_MASTER!J27&lt;=15, EMPLOYEE_MASTER!J27*LK_AllowanceRates!$B$13,IF(EMPLOYEE_MASTER!J27&lt;=25, EMPLOYEE_MASTER!J27*LK_AllowanceRates!$B$14,EMPLOYEE_MASTER!J27*LK_AllowanceRates!$B$15))),0)</f>
        <v>10000</v>
      </c>
      <c r="O27" s="101">
        <f>IF(EMPLOYEE_MASTER!AS27="Teaching",L27*LK_AllowanceRates!$B$16,0)</f>
        <v>0</v>
      </c>
      <c r="P27" s="101">
        <f>IF(EMPLOYEE_MASTER!AS27="Medical",LK_AllowanceRates!$B$17,0)</f>
        <v>0</v>
      </c>
      <c r="Q27" s="101">
        <f>IF(EMPLOYEE_MASTER!AR27="Yes",LK_AllowanceRates!$B$18,0)</f>
        <v>1000000</v>
      </c>
      <c r="R27" s="101">
        <f>IF(EMPLOYEE_MASTER!AC27="Yes",LK_AllowanceRates!$B$19,0)</f>
        <v>0</v>
      </c>
      <c r="S27" s="101">
        <f>IF(EMPLOYEE_MASTER!AA27="Yes",L27*LK_AllowanceRates!$B$20,0)</f>
        <v>0</v>
      </c>
      <c r="T27" s="101">
        <f>IF(EMPLOYEE_MASTER!AB27="Yes",LK_AllowanceRates!$B$21,0)</f>
        <v>0</v>
      </c>
      <c r="U27" s="101">
        <f>IF(EMPLOYEE_MASTER!P27&gt;=6,LK_AllowanceRates!$B$22,0)</f>
        <v>0</v>
      </c>
      <c r="V27" s="101">
        <f>IF(EMPLOYEE_MASTER!AO27="Yes",LK_AllowanceRates!$B$23,0)</f>
        <v>0</v>
      </c>
      <c r="W27" s="101">
        <f>EMPLOYEE_MASTER!AP27*LK_AllowanceRates!$B$24</f>
        <v>0</v>
      </c>
      <c r="X27" s="101">
        <v>0</v>
      </c>
      <c r="Y27" s="102">
        <v>0</v>
      </c>
      <c r="Z27" s="102">
        <v>0</v>
      </c>
      <c r="AA27" s="102">
        <v>0</v>
      </c>
      <c r="AB27" s="103">
        <f t="shared" ca="1" si="2"/>
        <v>1910000</v>
      </c>
      <c r="AC27" s="104">
        <f t="shared" ca="1" si="3"/>
        <v>5490000</v>
      </c>
      <c r="AD27" s="105">
        <f>ROUND(L27*LK_AllowanceRates!$B$25/100,0)</f>
        <v>196900</v>
      </c>
      <c r="AE27" s="106">
        <f t="shared" ca="1" si="4"/>
        <v>5293100</v>
      </c>
      <c r="AF27" s="106">
        <f t="shared" ca="1" si="5"/>
        <v>214310</v>
      </c>
      <c r="AG27" s="107">
        <v>0</v>
      </c>
      <c r="AH27" s="107">
        <v>0</v>
      </c>
      <c r="AI27" s="108">
        <f t="shared" ca="1" si="6"/>
        <v>411210</v>
      </c>
      <c r="AJ27" s="109">
        <f t="shared" ca="1" si="7"/>
        <v>5078790</v>
      </c>
    </row>
    <row r="28" spans="1:36" ht="15" customHeight="1" x14ac:dyDescent="0.3">
      <c r="A28" s="98" t="str">
        <f>EMPLOYEE_MASTER!A28</f>
        <v>LAO00025</v>
      </c>
      <c r="B28" s="98" t="str">
        <f>EMPLOYEE_MASTER!C28</f>
        <v>Khamphay</v>
      </c>
      <c r="C28" s="98" t="str">
        <f>EMPLOYEE_MASTER!D28</f>
        <v>Soulinthong</v>
      </c>
      <c r="D28" s="98" t="str">
        <f>EMPLOYEE_MASTER!T28</f>
        <v>Ministry of Finance (MoF)</v>
      </c>
      <c r="E28" s="98" t="str">
        <f>EMPLOYEE_MASTER!M28</f>
        <v>Tax Officer</v>
      </c>
      <c r="F28" s="98" t="str">
        <f>EMPLOYEE_MASTER!Z28</f>
        <v>Finance</v>
      </c>
      <c r="G28" s="99">
        <f>EMPLOYEE_MASTER!P28</f>
        <v>3</v>
      </c>
      <c r="H28" s="99">
        <f>EMPLOYEE_MASTER!Q28</f>
        <v>1</v>
      </c>
      <c r="I28" s="100" t="str">
        <f t="shared" si="0"/>
        <v>G03-S01</v>
      </c>
      <c r="J28" s="100">
        <f>IFERROR(VLOOKUP(I28,LK_GradeStep!$C$4:$D$85,2,0),0)</f>
        <v>276</v>
      </c>
      <c r="K28" s="100">
        <f>IFERROR(VLOOKUP(I28,LK_GradeStep!$C$4:$E$85,3,0),10000)</f>
        <v>10000</v>
      </c>
      <c r="L28" s="100">
        <f t="shared" si="1"/>
        <v>2760000</v>
      </c>
      <c r="M28" s="101">
        <f>IFERROR(VLOOKUP(EMPLOYEE_MASTER!AQ28,LK_AllowanceRates!$A$5:$B$11,2,0),0)</f>
        <v>900000</v>
      </c>
      <c r="N28" s="101">
        <f ca="1">IFERROR(IF(EMPLOYEE_MASTER!J28&lt;=5,  EMPLOYEE_MASTER!J28*LK_AllowanceRates!$B$12,IF(EMPLOYEE_MASTER!J28&lt;=15, EMPLOYEE_MASTER!J28*LK_AllowanceRates!$B$13,IF(EMPLOYEE_MASTER!J28&lt;=25, EMPLOYEE_MASTER!J28*LK_AllowanceRates!$B$14,EMPLOYEE_MASTER!J28*LK_AllowanceRates!$B$15))),0)</f>
        <v>690000</v>
      </c>
      <c r="O28" s="101">
        <f>IF(EMPLOYEE_MASTER!AS28="Teaching",L28*LK_AllowanceRates!$B$16,0)</f>
        <v>0</v>
      </c>
      <c r="P28" s="101">
        <f>IF(EMPLOYEE_MASTER!AS28="Medical",LK_AllowanceRates!$B$17,0)</f>
        <v>0</v>
      </c>
      <c r="Q28" s="101">
        <f>IF(EMPLOYEE_MASTER!AR28="Yes",LK_AllowanceRates!$B$18,0)</f>
        <v>0</v>
      </c>
      <c r="R28" s="101">
        <f>IF(EMPLOYEE_MASTER!AC28="Yes",LK_AllowanceRates!$B$19,0)</f>
        <v>0</v>
      </c>
      <c r="S28" s="101">
        <f>IF(EMPLOYEE_MASTER!AA28="Yes",L28*LK_AllowanceRates!$B$20,0)</f>
        <v>0</v>
      </c>
      <c r="T28" s="101">
        <f>IF(EMPLOYEE_MASTER!AB28="Yes",LK_AllowanceRates!$B$21,0)</f>
        <v>0</v>
      </c>
      <c r="U28" s="101">
        <f>IF(EMPLOYEE_MASTER!P28&gt;=6,LK_AllowanceRates!$B$22,0)</f>
        <v>0</v>
      </c>
      <c r="V28" s="101">
        <f>IF(EMPLOYEE_MASTER!AO28="Yes",LK_AllowanceRates!$B$23,0)</f>
        <v>200000</v>
      </c>
      <c r="W28" s="101">
        <f>EMPLOYEE_MASTER!AP28*LK_AllowanceRates!$B$24</f>
        <v>400000</v>
      </c>
      <c r="X28" s="101">
        <v>0</v>
      </c>
      <c r="Y28" s="102">
        <v>0</v>
      </c>
      <c r="Z28" s="102">
        <v>0</v>
      </c>
      <c r="AA28" s="102">
        <v>0</v>
      </c>
      <c r="AB28" s="103">
        <f t="shared" ca="1" si="2"/>
        <v>2190000</v>
      </c>
      <c r="AC28" s="104">
        <f t="shared" ca="1" si="3"/>
        <v>4950000</v>
      </c>
      <c r="AD28" s="105">
        <f>ROUND(L28*LK_AllowanceRates!$B$25/100,0)</f>
        <v>151800</v>
      </c>
      <c r="AE28" s="106">
        <f t="shared" ca="1" si="4"/>
        <v>4798200</v>
      </c>
      <c r="AF28" s="106">
        <f t="shared" ca="1" si="5"/>
        <v>174910</v>
      </c>
      <c r="AG28" s="107">
        <v>0</v>
      </c>
      <c r="AH28" s="107">
        <v>0</v>
      </c>
      <c r="AI28" s="108">
        <f t="shared" ca="1" si="6"/>
        <v>326710</v>
      </c>
      <c r="AJ28" s="109">
        <f t="shared" ca="1" si="7"/>
        <v>4623290</v>
      </c>
    </row>
    <row r="29" spans="1:36" ht="15" customHeight="1" x14ac:dyDescent="0.3">
      <c r="A29" s="98" t="str">
        <f>EMPLOYEE_MASTER!A29</f>
        <v>LAO00026</v>
      </c>
      <c r="B29" s="98" t="str">
        <f>EMPLOYEE_MASTER!C29</f>
        <v>Bounthavy</v>
      </c>
      <c r="C29" s="98" t="str">
        <f>EMPLOYEE_MASTER!D29</f>
        <v>Xaysomboun</v>
      </c>
      <c r="D29" s="98" t="str">
        <f>EMPLOYEE_MASTER!T29</f>
        <v>Luang Prabang Province Administration</v>
      </c>
      <c r="E29" s="98" t="str">
        <f>EMPLOYEE_MASTER!M29</f>
        <v>Senior Officer</v>
      </c>
      <c r="F29" s="98" t="str">
        <f>EMPLOYEE_MASTER!Z29</f>
        <v>Administration</v>
      </c>
      <c r="G29" s="99">
        <f>EMPLOYEE_MASTER!P29</f>
        <v>5</v>
      </c>
      <c r="H29" s="99">
        <f>EMPLOYEE_MASTER!Q29</f>
        <v>1</v>
      </c>
      <c r="I29" s="100" t="str">
        <f t="shared" si="0"/>
        <v>G05-S01</v>
      </c>
      <c r="J29" s="100">
        <f>IFERROR(VLOOKUP(I29,LK_GradeStep!$C$4:$D$85,2,0),0)</f>
        <v>308</v>
      </c>
      <c r="K29" s="100">
        <f>IFERROR(VLOOKUP(I29,LK_GradeStep!$C$4:$E$85,3,0),10000)</f>
        <v>10000</v>
      </c>
      <c r="L29" s="100">
        <f t="shared" si="1"/>
        <v>3080000</v>
      </c>
      <c r="M29" s="101">
        <f>IFERROR(VLOOKUP(EMPLOYEE_MASTER!AQ29,LK_AllowanceRates!$A$5:$B$11,2,0),0)</f>
        <v>900000</v>
      </c>
      <c r="N29" s="101">
        <f ca="1">IFERROR(IF(EMPLOYEE_MASTER!J29&lt;=5,  EMPLOYEE_MASTER!J29*LK_AllowanceRates!$B$12,IF(EMPLOYEE_MASTER!J29&lt;=15, EMPLOYEE_MASTER!J29*LK_AllowanceRates!$B$13,IF(EMPLOYEE_MASTER!J29&lt;=25, EMPLOYEE_MASTER!J29*LK_AllowanceRates!$B$14,EMPLOYEE_MASTER!J29*LK_AllowanceRates!$B$15))),0)</f>
        <v>1040000</v>
      </c>
      <c r="O29" s="101">
        <f>IF(EMPLOYEE_MASTER!AS29="Teaching",L29*LK_AllowanceRates!$B$16,0)</f>
        <v>0</v>
      </c>
      <c r="P29" s="101">
        <f>IF(EMPLOYEE_MASTER!AS29="Medical",LK_AllowanceRates!$B$17,0)</f>
        <v>0</v>
      </c>
      <c r="Q29" s="101">
        <f>IF(EMPLOYEE_MASTER!AR29="Yes",LK_AllowanceRates!$B$18,0)</f>
        <v>0</v>
      </c>
      <c r="R29" s="101">
        <f>IF(EMPLOYEE_MASTER!AC29="Yes",LK_AllowanceRates!$B$19,0)</f>
        <v>1000000</v>
      </c>
      <c r="S29" s="101">
        <f>IF(EMPLOYEE_MASTER!AA29="Yes",L29*LK_AllowanceRates!$B$20,0)</f>
        <v>770000</v>
      </c>
      <c r="T29" s="101">
        <f>IF(EMPLOYEE_MASTER!AB29="Yes",LK_AllowanceRates!$B$21,0)</f>
        <v>0</v>
      </c>
      <c r="U29" s="101">
        <f>IF(EMPLOYEE_MASTER!P29&gt;=6,LK_AllowanceRates!$B$22,0)</f>
        <v>0</v>
      </c>
      <c r="V29" s="101">
        <f>IF(EMPLOYEE_MASTER!AO29="Yes",LK_AllowanceRates!$B$23,0)</f>
        <v>0</v>
      </c>
      <c r="W29" s="101">
        <f>EMPLOYEE_MASTER!AP29*LK_AllowanceRates!$B$24</f>
        <v>0</v>
      </c>
      <c r="X29" s="101">
        <v>0</v>
      </c>
      <c r="Y29" s="102">
        <v>0</v>
      </c>
      <c r="Z29" s="102">
        <v>0</v>
      </c>
      <c r="AA29" s="102">
        <v>0</v>
      </c>
      <c r="AB29" s="103">
        <f t="shared" ca="1" si="2"/>
        <v>3710000</v>
      </c>
      <c r="AC29" s="104">
        <f t="shared" ca="1" si="3"/>
        <v>6790000</v>
      </c>
      <c r="AD29" s="105">
        <f>ROUND(L29*LK_AllowanceRates!$B$25/100,0)</f>
        <v>169400</v>
      </c>
      <c r="AE29" s="106">
        <f t="shared" ca="1" si="4"/>
        <v>6620600</v>
      </c>
      <c r="AF29" s="106">
        <f t="shared" ca="1" si="5"/>
        <v>347060</v>
      </c>
      <c r="AG29" s="107">
        <v>0</v>
      </c>
      <c r="AH29" s="107">
        <v>0</v>
      </c>
      <c r="AI29" s="108">
        <f t="shared" ca="1" si="6"/>
        <v>516460</v>
      </c>
      <c r="AJ29" s="109">
        <f t="shared" ca="1" si="7"/>
        <v>6273540</v>
      </c>
    </row>
    <row r="30" spans="1:36" ht="15" customHeight="1" x14ac:dyDescent="0.3">
      <c r="A30" s="98" t="str">
        <f>EMPLOYEE_MASTER!A30</f>
        <v>LAO00027</v>
      </c>
      <c r="B30" s="98" t="str">
        <f>EMPLOYEE_MASTER!C30</f>
        <v>Vilaysack</v>
      </c>
      <c r="C30" s="98" t="str">
        <f>EMPLOYEE_MASTER!D30</f>
        <v>Sisavath</v>
      </c>
      <c r="D30" s="98" t="str">
        <f>EMPLOYEE_MASTER!T30</f>
        <v>Ministry of Agriculture and Forestry (MoAF)</v>
      </c>
      <c r="E30" s="98" t="str">
        <f>EMPLOYEE_MASTER!M30</f>
        <v>Infrastructure Officer</v>
      </c>
      <c r="F30" s="98" t="str">
        <f>EMPLOYEE_MASTER!Z30</f>
        <v>Technical</v>
      </c>
      <c r="G30" s="99">
        <f>EMPLOYEE_MASTER!P30</f>
        <v>3</v>
      </c>
      <c r="H30" s="99">
        <f>EMPLOYEE_MASTER!Q30</f>
        <v>3</v>
      </c>
      <c r="I30" s="100" t="str">
        <f t="shared" si="0"/>
        <v>G03-S03</v>
      </c>
      <c r="J30" s="100">
        <f>IFERROR(VLOOKUP(I30,LK_GradeStep!$C$4:$D$85,2,0),0)</f>
        <v>278</v>
      </c>
      <c r="K30" s="100">
        <f>IFERROR(VLOOKUP(I30,LK_GradeStep!$C$4:$E$85,3,0),10000)</f>
        <v>10000</v>
      </c>
      <c r="L30" s="100">
        <f t="shared" si="1"/>
        <v>2780000</v>
      </c>
      <c r="M30" s="101">
        <f>IFERROR(VLOOKUP(EMPLOYEE_MASTER!AQ30,LK_AllowanceRates!$A$5:$B$11,2,0),0)</f>
        <v>900000</v>
      </c>
      <c r="N30" s="101">
        <f ca="1">IFERROR(IF(EMPLOYEE_MASTER!J30&lt;=5,  EMPLOYEE_MASTER!J30*LK_AllowanceRates!$B$12,IF(EMPLOYEE_MASTER!J30&lt;=15, EMPLOYEE_MASTER!J30*LK_AllowanceRates!$B$13,IF(EMPLOYEE_MASTER!J30&lt;=25, EMPLOYEE_MASTER!J30*LK_AllowanceRates!$B$14,EMPLOYEE_MASTER!J30*LK_AllowanceRates!$B$15))),0)</f>
        <v>120000</v>
      </c>
      <c r="O30" s="101">
        <f>IF(EMPLOYEE_MASTER!AS30="Teaching",L30*LK_AllowanceRates!$B$16,0)</f>
        <v>0</v>
      </c>
      <c r="P30" s="101">
        <f>IF(EMPLOYEE_MASTER!AS30="Medical",LK_AllowanceRates!$B$17,0)</f>
        <v>0</v>
      </c>
      <c r="Q30" s="101">
        <f>IF(EMPLOYEE_MASTER!AR30="Yes",LK_AllowanceRates!$B$18,0)</f>
        <v>0</v>
      </c>
      <c r="R30" s="101">
        <f>IF(EMPLOYEE_MASTER!AC30="Yes",LK_AllowanceRates!$B$19,0)</f>
        <v>1000000</v>
      </c>
      <c r="S30" s="101">
        <f>IF(EMPLOYEE_MASTER!AA30="Yes",L30*LK_AllowanceRates!$B$20,0)</f>
        <v>695000</v>
      </c>
      <c r="T30" s="101">
        <f>IF(EMPLOYEE_MASTER!AB30="Yes",LK_AllowanceRates!$B$21,0)</f>
        <v>0</v>
      </c>
      <c r="U30" s="101">
        <f>IF(EMPLOYEE_MASTER!P30&gt;=6,LK_AllowanceRates!$B$22,0)</f>
        <v>0</v>
      </c>
      <c r="V30" s="101">
        <f>IF(EMPLOYEE_MASTER!AO30="Yes",LK_AllowanceRates!$B$23,0)</f>
        <v>0</v>
      </c>
      <c r="W30" s="101">
        <f>EMPLOYEE_MASTER!AP30*LK_AllowanceRates!$B$24</f>
        <v>0</v>
      </c>
      <c r="X30" s="101">
        <v>0</v>
      </c>
      <c r="Y30" s="102">
        <v>0</v>
      </c>
      <c r="Z30" s="102">
        <v>0</v>
      </c>
      <c r="AA30" s="102">
        <v>0</v>
      </c>
      <c r="AB30" s="103">
        <f t="shared" ca="1" si="2"/>
        <v>2715000</v>
      </c>
      <c r="AC30" s="104">
        <f t="shared" ca="1" si="3"/>
        <v>5495000</v>
      </c>
      <c r="AD30" s="105">
        <f>ROUND(L30*LK_AllowanceRates!$B$25/100,0)</f>
        <v>152900</v>
      </c>
      <c r="AE30" s="106">
        <f t="shared" ca="1" si="4"/>
        <v>5342100</v>
      </c>
      <c r="AF30" s="106">
        <f t="shared" ca="1" si="5"/>
        <v>219210</v>
      </c>
      <c r="AG30" s="107">
        <v>0</v>
      </c>
      <c r="AH30" s="107">
        <v>0</v>
      </c>
      <c r="AI30" s="108">
        <f t="shared" ca="1" si="6"/>
        <v>372110</v>
      </c>
      <c r="AJ30" s="109">
        <f t="shared" ca="1" si="7"/>
        <v>5122890</v>
      </c>
    </row>
    <row r="31" spans="1:36" ht="15" customHeight="1" x14ac:dyDescent="0.3">
      <c r="A31" s="98" t="str">
        <f>EMPLOYEE_MASTER!A31</f>
        <v>LAO00028</v>
      </c>
      <c r="B31" s="98" t="str">
        <f>EMPLOYEE_MASTER!C31</f>
        <v>Nouphet</v>
      </c>
      <c r="C31" s="98" t="str">
        <f>EMPLOYEE_MASTER!D31</f>
        <v>Douangmany</v>
      </c>
      <c r="D31" s="98" t="str">
        <f>EMPLOYEE_MASTER!T31</f>
        <v>Ministry of Foreign Affairs (MFA)</v>
      </c>
      <c r="E31" s="98" t="str">
        <f>EMPLOYEE_MASTER!M31</f>
        <v>Deputy Chief of Mission</v>
      </c>
      <c r="F31" s="98" t="str">
        <f>EMPLOYEE_MASTER!Z31</f>
        <v>Diplomatic</v>
      </c>
      <c r="G31" s="99">
        <f>EMPLOYEE_MASTER!P31</f>
        <v>4</v>
      </c>
      <c r="H31" s="99">
        <f>EMPLOYEE_MASTER!Q31</f>
        <v>5</v>
      </c>
      <c r="I31" s="100" t="str">
        <f t="shared" si="0"/>
        <v>G04-S05</v>
      </c>
      <c r="J31" s="100">
        <f>IFERROR(VLOOKUP(I31,LK_GradeStep!$C$4:$D$85,2,0),0)</f>
        <v>294</v>
      </c>
      <c r="K31" s="100">
        <f>IFERROR(VLOOKUP(I31,LK_GradeStep!$C$4:$E$85,3,0),10000)</f>
        <v>10000</v>
      </c>
      <c r="L31" s="100">
        <f t="shared" si="1"/>
        <v>2940000</v>
      </c>
      <c r="M31" s="101">
        <f>IFERROR(VLOOKUP(EMPLOYEE_MASTER!AQ31,LK_AllowanceRates!$A$5:$B$11,2,0),0)</f>
        <v>900000</v>
      </c>
      <c r="N31" s="101">
        <f ca="1">IFERROR(IF(EMPLOYEE_MASTER!J31&lt;=5,  EMPLOYEE_MASTER!J31*LK_AllowanceRates!$B$12,IF(EMPLOYEE_MASTER!J31&lt;=15, EMPLOYEE_MASTER!J31*LK_AllowanceRates!$B$13,IF(EMPLOYEE_MASTER!J31&lt;=25, EMPLOYEE_MASTER!J31*LK_AllowanceRates!$B$14,EMPLOYEE_MASTER!J31*LK_AllowanceRates!$B$15))),0)</f>
        <v>510000</v>
      </c>
      <c r="O31" s="101">
        <f>IF(EMPLOYEE_MASTER!AS31="Teaching",L31*LK_AllowanceRates!$B$16,0)</f>
        <v>0</v>
      </c>
      <c r="P31" s="101">
        <f>IF(EMPLOYEE_MASTER!AS31="Medical",LK_AllowanceRates!$B$17,0)</f>
        <v>0</v>
      </c>
      <c r="Q31" s="101">
        <f>IF(EMPLOYEE_MASTER!AR31="Yes",LK_AllowanceRates!$B$18,0)</f>
        <v>0</v>
      </c>
      <c r="R31" s="101">
        <f>IF(EMPLOYEE_MASTER!AC31="Yes",LK_AllowanceRates!$B$19,0)</f>
        <v>0</v>
      </c>
      <c r="S31" s="101">
        <f>IF(EMPLOYEE_MASTER!AA31="Yes",L31*LK_AllowanceRates!$B$20,0)</f>
        <v>0</v>
      </c>
      <c r="T31" s="101">
        <f>IF(EMPLOYEE_MASTER!AB31="Yes",LK_AllowanceRates!$B$21,0)</f>
        <v>0</v>
      </c>
      <c r="U31" s="101">
        <f>IF(EMPLOYEE_MASTER!P31&gt;=6,LK_AllowanceRates!$B$22,0)</f>
        <v>0</v>
      </c>
      <c r="V31" s="101">
        <f>IF(EMPLOYEE_MASTER!AO31="Yes",LK_AllowanceRates!$B$23,0)</f>
        <v>0</v>
      </c>
      <c r="W31" s="101">
        <f>EMPLOYEE_MASTER!AP31*LK_AllowanceRates!$B$24</f>
        <v>0</v>
      </c>
      <c r="X31" s="101">
        <v>0</v>
      </c>
      <c r="Y31" s="102">
        <v>0</v>
      </c>
      <c r="Z31" s="102">
        <v>0</v>
      </c>
      <c r="AA31" s="102">
        <v>0</v>
      </c>
      <c r="AB31" s="103">
        <f t="shared" ca="1" si="2"/>
        <v>1410000</v>
      </c>
      <c r="AC31" s="104">
        <f t="shared" ca="1" si="3"/>
        <v>4350000</v>
      </c>
      <c r="AD31" s="105">
        <f>ROUND(L31*LK_AllowanceRates!$B$25/100,0)</f>
        <v>161700</v>
      </c>
      <c r="AE31" s="106">
        <f t="shared" ca="1" si="4"/>
        <v>4188300</v>
      </c>
      <c r="AF31" s="106">
        <f t="shared" ca="1" si="5"/>
        <v>144415</v>
      </c>
      <c r="AG31" s="107">
        <v>0</v>
      </c>
      <c r="AH31" s="107">
        <v>0</v>
      </c>
      <c r="AI31" s="108">
        <f t="shared" ca="1" si="6"/>
        <v>306115</v>
      </c>
      <c r="AJ31" s="109">
        <f t="shared" ca="1" si="7"/>
        <v>4043885</v>
      </c>
    </row>
    <row r="32" spans="1:36" ht="15" customHeight="1" x14ac:dyDescent="0.3">
      <c r="A32" s="98" t="str">
        <f>EMPLOYEE_MASTER!A32</f>
        <v>LAO00029</v>
      </c>
      <c r="B32" s="98" t="str">
        <f>EMPLOYEE_MASTER!C32</f>
        <v>Lattanaphone</v>
      </c>
      <c r="C32" s="98" t="str">
        <f>EMPLOYEE_MASTER!D32</f>
        <v>Vilayvong</v>
      </c>
      <c r="D32" s="98" t="str">
        <f>EMPLOYEE_MASTER!T32</f>
        <v>Ministry of Agriculture and Forestry (MoAF)</v>
      </c>
      <c r="E32" s="98" t="str">
        <f>EMPLOYEE_MASTER!M32</f>
        <v>Infrastructure Officer</v>
      </c>
      <c r="F32" s="98" t="str">
        <f>EMPLOYEE_MASTER!Z32</f>
        <v>Technical</v>
      </c>
      <c r="G32" s="99">
        <f>EMPLOYEE_MASTER!P32</f>
        <v>2</v>
      </c>
      <c r="H32" s="99">
        <f>EMPLOYEE_MASTER!Q32</f>
        <v>6</v>
      </c>
      <c r="I32" s="100" t="str">
        <f t="shared" si="0"/>
        <v>G02-S06</v>
      </c>
      <c r="J32" s="100">
        <f>IFERROR(VLOOKUP(I32,LK_GradeStep!$C$4:$D$85,2,0),0)</f>
        <v>273</v>
      </c>
      <c r="K32" s="100">
        <f>IFERROR(VLOOKUP(I32,LK_GradeStep!$C$4:$E$85,3,0),10000)</f>
        <v>10000</v>
      </c>
      <c r="L32" s="100">
        <f t="shared" si="1"/>
        <v>2730000</v>
      </c>
      <c r="M32" s="101">
        <f>IFERROR(VLOOKUP(EMPLOYEE_MASTER!AQ32,LK_AllowanceRates!$A$5:$B$11,2,0),0)</f>
        <v>900000</v>
      </c>
      <c r="N32" s="101">
        <f ca="1">IFERROR(IF(EMPLOYEE_MASTER!J32&lt;=5,  EMPLOYEE_MASTER!J32*LK_AllowanceRates!$B$12,IF(EMPLOYEE_MASTER!J32&lt;=15, EMPLOYEE_MASTER!J32*LK_AllowanceRates!$B$13,IF(EMPLOYEE_MASTER!J32&lt;=25, EMPLOYEE_MASTER!J32*LK_AllowanceRates!$B$14,EMPLOYEE_MASTER!J32*LK_AllowanceRates!$B$15))),0)</f>
        <v>20000</v>
      </c>
      <c r="O32" s="101">
        <f>IF(EMPLOYEE_MASTER!AS32="Teaching",L32*LK_AllowanceRates!$B$16,0)</f>
        <v>0</v>
      </c>
      <c r="P32" s="101">
        <f>IF(EMPLOYEE_MASTER!AS32="Medical",LK_AllowanceRates!$B$17,0)</f>
        <v>0</v>
      </c>
      <c r="Q32" s="101">
        <f>IF(EMPLOYEE_MASTER!AR32="Yes",LK_AllowanceRates!$B$18,0)</f>
        <v>0</v>
      </c>
      <c r="R32" s="101">
        <f>IF(EMPLOYEE_MASTER!AC32="Yes",LK_AllowanceRates!$B$19,0)</f>
        <v>0</v>
      </c>
      <c r="S32" s="101">
        <f>IF(EMPLOYEE_MASTER!AA32="Yes",L32*LK_AllowanceRates!$B$20,0)</f>
        <v>0</v>
      </c>
      <c r="T32" s="101">
        <f>IF(EMPLOYEE_MASTER!AB32="Yes",LK_AllowanceRates!$B$21,0)</f>
        <v>0</v>
      </c>
      <c r="U32" s="101">
        <f>IF(EMPLOYEE_MASTER!P32&gt;=6,LK_AllowanceRates!$B$22,0)</f>
        <v>0</v>
      </c>
      <c r="V32" s="101">
        <f>IF(EMPLOYEE_MASTER!AO32="Yes",LK_AllowanceRates!$B$23,0)</f>
        <v>200000</v>
      </c>
      <c r="W32" s="101">
        <f>EMPLOYEE_MASTER!AP32*LK_AllowanceRates!$B$24</f>
        <v>600000</v>
      </c>
      <c r="X32" s="101">
        <v>0</v>
      </c>
      <c r="Y32" s="102">
        <v>0</v>
      </c>
      <c r="Z32" s="102">
        <v>0</v>
      </c>
      <c r="AA32" s="102">
        <v>0</v>
      </c>
      <c r="AB32" s="103">
        <f t="shared" ca="1" si="2"/>
        <v>1720000</v>
      </c>
      <c r="AC32" s="104">
        <f t="shared" ca="1" si="3"/>
        <v>4450000</v>
      </c>
      <c r="AD32" s="105">
        <f>ROUND(L32*LK_AllowanceRates!$B$25/100,0)</f>
        <v>150150</v>
      </c>
      <c r="AE32" s="106">
        <f t="shared" ca="1" si="4"/>
        <v>4299850</v>
      </c>
      <c r="AF32" s="106">
        <f t="shared" ca="1" si="5"/>
        <v>149992.5</v>
      </c>
      <c r="AG32" s="107">
        <v>0</v>
      </c>
      <c r="AH32" s="107">
        <v>0</v>
      </c>
      <c r="AI32" s="108">
        <f t="shared" ca="1" si="6"/>
        <v>300142.5</v>
      </c>
      <c r="AJ32" s="109">
        <f t="shared" ca="1" si="7"/>
        <v>4149857.5</v>
      </c>
    </row>
    <row r="33" spans="1:36" ht="15" customHeight="1" x14ac:dyDescent="0.3">
      <c r="A33" s="98" t="str">
        <f>EMPLOYEE_MASTER!A33</f>
        <v>LAO00030</v>
      </c>
      <c r="B33" s="98" t="str">
        <f>EMPLOYEE_MASTER!C33</f>
        <v>Sounthone</v>
      </c>
      <c r="C33" s="98" t="str">
        <f>EMPLOYEE_MASTER!D33</f>
        <v>Phaymany</v>
      </c>
      <c r="D33" s="98" t="str">
        <f>EMPLOYEE_MASTER!T33</f>
        <v>Ministry of Public Works &amp; Transport (MPWT)</v>
      </c>
      <c r="E33" s="98" t="str">
        <f>EMPLOYEE_MASTER!M33</f>
        <v>Project Officer</v>
      </c>
      <c r="F33" s="98" t="str">
        <f>EMPLOYEE_MASTER!Z33</f>
        <v>Technical</v>
      </c>
      <c r="G33" s="99">
        <f>EMPLOYEE_MASTER!P33</f>
        <v>4</v>
      </c>
      <c r="H33" s="99">
        <f>EMPLOYEE_MASTER!Q33</f>
        <v>1</v>
      </c>
      <c r="I33" s="100" t="str">
        <f t="shared" si="0"/>
        <v>G04-S01</v>
      </c>
      <c r="J33" s="100">
        <f>IFERROR(VLOOKUP(I33,LK_GradeStep!$C$4:$D$85,2,0),0)</f>
        <v>286</v>
      </c>
      <c r="K33" s="100">
        <f>IFERROR(VLOOKUP(I33,LK_GradeStep!$C$4:$E$85,3,0),10000)</f>
        <v>10000</v>
      </c>
      <c r="L33" s="100">
        <f t="shared" si="1"/>
        <v>2860000</v>
      </c>
      <c r="M33" s="101">
        <f>IFERROR(VLOOKUP(EMPLOYEE_MASTER!AQ33,LK_AllowanceRates!$A$5:$B$11,2,0),0)</f>
        <v>900000</v>
      </c>
      <c r="N33" s="101">
        <f ca="1">IFERROR(IF(EMPLOYEE_MASTER!J33&lt;=5,  EMPLOYEE_MASTER!J33*LK_AllowanceRates!$B$12,IF(EMPLOYEE_MASTER!J33&lt;=15, EMPLOYEE_MASTER!J33*LK_AllowanceRates!$B$13,IF(EMPLOYEE_MASTER!J33&lt;=25, EMPLOYEE_MASTER!J33*LK_AllowanceRates!$B$14,EMPLOYEE_MASTER!J33*LK_AllowanceRates!$B$15))),0)</f>
        <v>30000</v>
      </c>
      <c r="O33" s="101">
        <f>IF(EMPLOYEE_MASTER!AS33="Teaching",L33*LK_AllowanceRates!$B$16,0)</f>
        <v>0</v>
      </c>
      <c r="P33" s="101">
        <f>IF(EMPLOYEE_MASTER!AS33="Medical",LK_AllowanceRates!$B$17,0)</f>
        <v>0</v>
      </c>
      <c r="Q33" s="101">
        <f>IF(EMPLOYEE_MASTER!AR33="Yes",LK_AllowanceRates!$B$18,0)</f>
        <v>0</v>
      </c>
      <c r="R33" s="101">
        <f>IF(EMPLOYEE_MASTER!AC33="Yes",LK_AllowanceRates!$B$19,0)</f>
        <v>0</v>
      </c>
      <c r="S33" s="101">
        <f>IF(EMPLOYEE_MASTER!AA33="Yes",L33*LK_AllowanceRates!$B$20,0)</f>
        <v>0</v>
      </c>
      <c r="T33" s="101">
        <f>IF(EMPLOYEE_MASTER!AB33="Yes",LK_AllowanceRates!$B$21,0)</f>
        <v>0</v>
      </c>
      <c r="U33" s="101">
        <f>IF(EMPLOYEE_MASTER!P33&gt;=6,LK_AllowanceRates!$B$22,0)</f>
        <v>0</v>
      </c>
      <c r="V33" s="101">
        <f>IF(EMPLOYEE_MASTER!AO33="Yes",LK_AllowanceRates!$B$23,0)</f>
        <v>200000</v>
      </c>
      <c r="W33" s="101">
        <f>EMPLOYEE_MASTER!AP33*LK_AllowanceRates!$B$24</f>
        <v>0</v>
      </c>
      <c r="X33" s="101">
        <v>0</v>
      </c>
      <c r="Y33" s="102">
        <v>0</v>
      </c>
      <c r="Z33" s="102">
        <v>0</v>
      </c>
      <c r="AA33" s="102">
        <v>0</v>
      </c>
      <c r="AB33" s="103">
        <f t="shared" ca="1" si="2"/>
        <v>1130000</v>
      </c>
      <c r="AC33" s="104">
        <f t="shared" ca="1" si="3"/>
        <v>3990000</v>
      </c>
      <c r="AD33" s="105">
        <f>ROUND(L33*LK_AllowanceRates!$B$25/100,0)</f>
        <v>157300</v>
      </c>
      <c r="AE33" s="106">
        <f t="shared" ca="1" si="4"/>
        <v>3832700</v>
      </c>
      <c r="AF33" s="106">
        <f t="shared" ca="1" si="5"/>
        <v>126635</v>
      </c>
      <c r="AG33" s="107">
        <v>0</v>
      </c>
      <c r="AH33" s="107">
        <v>0</v>
      </c>
      <c r="AI33" s="108">
        <f t="shared" ca="1" si="6"/>
        <v>283935</v>
      </c>
      <c r="AJ33" s="109">
        <f t="shared" ca="1" si="7"/>
        <v>3706065</v>
      </c>
    </row>
    <row r="34" spans="1:36" ht="15" customHeight="1" x14ac:dyDescent="0.3">
      <c r="A34" s="98" t="str">
        <f>EMPLOYEE_MASTER!A34</f>
        <v>LAO00031</v>
      </c>
      <c r="B34" s="98" t="str">
        <f>EMPLOYEE_MASTER!C34</f>
        <v>Keoviengkham</v>
      </c>
      <c r="C34" s="98" t="str">
        <f>EMPLOYEE_MASTER!D34</f>
        <v>Sengkhounmane</v>
      </c>
      <c r="D34" s="98" t="str">
        <f>EMPLOYEE_MASTER!T34</f>
        <v>Ministry of Education and Sports (MoES)</v>
      </c>
      <c r="E34" s="98" t="str">
        <f>EMPLOYEE_MASTER!M34</f>
        <v>School Principal</v>
      </c>
      <c r="F34" s="98" t="str">
        <f>EMPLOYEE_MASTER!Z34</f>
        <v>Teacher</v>
      </c>
      <c r="G34" s="99">
        <f>EMPLOYEE_MASTER!P34</f>
        <v>3</v>
      </c>
      <c r="H34" s="99">
        <f>EMPLOYEE_MASTER!Q34</f>
        <v>1</v>
      </c>
      <c r="I34" s="100" t="str">
        <f t="shared" si="0"/>
        <v>G03-S01</v>
      </c>
      <c r="J34" s="100">
        <f>IFERROR(VLOOKUP(I34,LK_GradeStep!$C$4:$D$85,2,0),0)</f>
        <v>276</v>
      </c>
      <c r="K34" s="100">
        <f>IFERROR(VLOOKUP(I34,LK_GradeStep!$C$4:$E$85,3,0),10000)</f>
        <v>10000</v>
      </c>
      <c r="L34" s="100">
        <f t="shared" si="1"/>
        <v>2760000</v>
      </c>
      <c r="M34" s="101">
        <f>IFERROR(VLOOKUP(EMPLOYEE_MASTER!AQ34,LK_AllowanceRates!$A$5:$B$11,2,0),0)</f>
        <v>900000</v>
      </c>
      <c r="N34" s="101">
        <f ca="1">IFERROR(IF(EMPLOYEE_MASTER!J34&lt;=5,  EMPLOYEE_MASTER!J34*LK_AllowanceRates!$B$12,IF(EMPLOYEE_MASTER!J34&lt;=15, EMPLOYEE_MASTER!J34*LK_AllowanceRates!$B$13,IF(EMPLOYEE_MASTER!J34&lt;=25, EMPLOYEE_MASTER!J34*LK_AllowanceRates!$B$14,EMPLOYEE_MASTER!J34*LK_AllowanceRates!$B$15))),0)</f>
        <v>1040000</v>
      </c>
      <c r="O34" s="101">
        <f>IF(EMPLOYEE_MASTER!AS34="Teaching",L34*LK_AllowanceRates!$B$16,0)</f>
        <v>552000</v>
      </c>
      <c r="P34" s="101">
        <f>IF(EMPLOYEE_MASTER!AS34="Medical",LK_AllowanceRates!$B$17,0)</f>
        <v>0</v>
      </c>
      <c r="Q34" s="101">
        <f>IF(EMPLOYEE_MASTER!AR34="Yes",LK_AllowanceRates!$B$18,0)</f>
        <v>0</v>
      </c>
      <c r="R34" s="101">
        <f>IF(EMPLOYEE_MASTER!AC34="Yes",LK_AllowanceRates!$B$19,0)</f>
        <v>0</v>
      </c>
      <c r="S34" s="101">
        <f>IF(EMPLOYEE_MASTER!AA34="Yes",L34*LK_AllowanceRates!$B$20,0)</f>
        <v>0</v>
      </c>
      <c r="T34" s="101">
        <f>IF(EMPLOYEE_MASTER!AB34="Yes",LK_AllowanceRates!$B$21,0)</f>
        <v>0</v>
      </c>
      <c r="U34" s="101">
        <f>IF(EMPLOYEE_MASTER!P34&gt;=6,LK_AllowanceRates!$B$22,0)</f>
        <v>0</v>
      </c>
      <c r="V34" s="101">
        <f>IF(EMPLOYEE_MASTER!AO34="Yes",LK_AllowanceRates!$B$23,0)</f>
        <v>200000</v>
      </c>
      <c r="W34" s="101">
        <f>EMPLOYEE_MASTER!AP34*LK_AllowanceRates!$B$24</f>
        <v>200000</v>
      </c>
      <c r="X34" s="101">
        <v>0</v>
      </c>
      <c r="Y34" s="102">
        <v>0</v>
      </c>
      <c r="Z34" s="102">
        <v>0</v>
      </c>
      <c r="AA34" s="102">
        <v>0</v>
      </c>
      <c r="AB34" s="103">
        <f t="shared" ca="1" si="2"/>
        <v>2892000</v>
      </c>
      <c r="AC34" s="104">
        <f t="shared" ca="1" si="3"/>
        <v>5652000</v>
      </c>
      <c r="AD34" s="105">
        <f>ROUND(L34*LK_AllowanceRates!$B$25/100,0)</f>
        <v>151800</v>
      </c>
      <c r="AE34" s="106">
        <f t="shared" ca="1" si="4"/>
        <v>5500200</v>
      </c>
      <c r="AF34" s="106">
        <f t="shared" ca="1" si="5"/>
        <v>235020</v>
      </c>
      <c r="AG34" s="107">
        <v>0</v>
      </c>
      <c r="AH34" s="107">
        <v>0</v>
      </c>
      <c r="AI34" s="108">
        <f t="shared" ca="1" si="6"/>
        <v>386820</v>
      </c>
      <c r="AJ34" s="109">
        <f t="shared" ca="1" si="7"/>
        <v>5265180</v>
      </c>
    </row>
    <row r="35" spans="1:36" ht="15" customHeight="1" x14ac:dyDescent="0.3">
      <c r="A35" s="98" t="str">
        <f>EMPLOYEE_MASTER!A35</f>
        <v>LAO00032</v>
      </c>
      <c r="B35" s="98" t="str">
        <f>EMPLOYEE_MASTER!C35</f>
        <v>Vilayphon</v>
      </c>
      <c r="C35" s="98" t="str">
        <f>EMPLOYEE_MASTER!D35</f>
        <v>Bouphanouvong</v>
      </c>
      <c r="D35" s="98" t="str">
        <f>EMPLOYEE_MASTER!T35</f>
        <v>Ministry of Education and Sports (MoES)</v>
      </c>
      <c r="E35" s="98" t="str">
        <f>EMPLOYEE_MASTER!M35</f>
        <v>Secondary School Teacher</v>
      </c>
      <c r="F35" s="98" t="str">
        <f>EMPLOYEE_MASTER!Z35</f>
        <v>Teacher</v>
      </c>
      <c r="G35" s="99">
        <f>EMPLOYEE_MASTER!P35</f>
        <v>3</v>
      </c>
      <c r="H35" s="99">
        <f>EMPLOYEE_MASTER!Q35</f>
        <v>1</v>
      </c>
      <c r="I35" s="100" t="str">
        <f t="shared" si="0"/>
        <v>G03-S01</v>
      </c>
      <c r="J35" s="100">
        <f>IFERROR(VLOOKUP(I35,LK_GradeStep!$C$4:$D$85,2,0),0)</f>
        <v>276</v>
      </c>
      <c r="K35" s="100">
        <f>IFERROR(VLOOKUP(I35,LK_GradeStep!$C$4:$E$85,3,0),10000)</f>
        <v>10000</v>
      </c>
      <c r="L35" s="100">
        <f t="shared" si="1"/>
        <v>2760000</v>
      </c>
      <c r="M35" s="101">
        <f>IFERROR(VLOOKUP(EMPLOYEE_MASTER!AQ35,LK_AllowanceRates!$A$5:$B$11,2,0),0)</f>
        <v>900000</v>
      </c>
      <c r="N35" s="101">
        <f ca="1">IFERROR(IF(EMPLOYEE_MASTER!J35&lt;=5,  EMPLOYEE_MASTER!J35*LK_AllowanceRates!$B$12,IF(EMPLOYEE_MASTER!J35&lt;=15, EMPLOYEE_MASTER!J35*LK_AllowanceRates!$B$13,IF(EMPLOYEE_MASTER!J35&lt;=25, EMPLOYEE_MASTER!J35*LK_AllowanceRates!$B$14,EMPLOYEE_MASTER!J35*LK_AllowanceRates!$B$15))),0)</f>
        <v>1080000</v>
      </c>
      <c r="O35" s="101">
        <f>IF(EMPLOYEE_MASTER!AS35="Teaching",L35*LK_AllowanceRates!$B$16,0)</f>
        <v>552000</v>
      </c>
      <c r="P35" s="101">
        <f>IF(EMPLOYEE_MASTER!AS35="Medical",LK_AllowanceRates!$B$17,0)</f>
        <v>0</v>
      </c>
      <c r="Q35" s="101">
        <f>IF(EMPLOYEE_MASTER!AR35="Yes",LK_AllowanceRates!$B$18,0)</f>
        <v>0</v>
      </c>
      <c r="R35" s="101">
        <f>IF(EMPLOYEE_MASTER!AC35="Yes",LK_AllowanceRates!$B$19,0)</f>
        <v>0</v>
      </c>
      <c r="S35" s="101">
        <f>IF(EMPLOYEE_MASTER!AA35="Yes",L35*LK_AllowanceRates!$B$20,0)</f>
        <v>0</v>
      </c>
      <c r="T35" s="101">
        <f>IF(EMPLOYEE_MASTER!AB35="Yes",LK_AllowanceRates!$B$21,0)</f>
        <v>0</v>
      </c>
      <c r="U35" s="101">
        <f>IF(EMPLOYEE_MASTER!P35&gt;=6,LK_AllowanceRates!$B$22,0)</f>
        <v>0</v>
      </c>
      <c r="V35" s="101">
        <f>IF(EMPLOYEE_MASTER!AO35="Yes",LK_AllowanceRates!$B$23,0)</f>
        <v>0</v>
      </c>
      <c r="W35" s="101">
        <f>EMPLOYEE_MASTER!AP35*LK_AllowanceRates!$B$24</f>
        <v>0</v>
      </c>
      <c r="X35" s="101">
        <v>0</v>
      </c>
      <c r="Y35" s="102">
        <v>0</v>
      </c>
      <c r="Z35" s="102">
        <v>0</v>
      </c>
      <c r="AA35" s="102">
        <v>0</v>
      </c>
      <c r="AB35" s="103">
        <f t="shared" ca="1" si="2"/>
        <v>2532000</v>
      </c>
      <c r="AC35" s="104">
        <f t="shared" ca="1" si="3"/>
        <v>5292000</v>
      </c>
      <c r="AD35" s="105">
        <f>ROUND(L35*LK_AllowanceRates!$B$25/100,0)</f>
        <v>151800</v>
      </c>
      <c r="AE35" s="106">
        <f t="shared" ca="1" si="4"/>
        <v>5140200</v>
      </c>
      <c r="AF35" s="106">
        <f t="shared" ca="1" si="5"/>
        <v>199020</v>
      </c>
      <c r="AG35" s="107">
        <v>0</v>
      </c>
      <c r="AH35" s="107">
        <v>0</v>
      </c>
      <c r="AI35" s="108">
        <f t="shared" ca="1" si="6"/>
        <v>350820</v>
      </c>
      <c r="AJ35" s="109">
        <f t="shared" ca="1" si="7"/>
        <v>4941180</v>
      </c>
    </row>
    <row r="36" spans="1:36" ht="15" customHeight="1" x14ac:dyDescent="0.3">
      <c r="A36" s="98" t="str">
        <f>EMPLOYEE_MASTER!A36</f>
        <v>LAO00033</v>
      </c>
      <c r="B36" s="98" t="str">
        <f>EMPLOYEE_MASTER!C36</f>
        <v>Sisamone</v>
      </c>
      <c r="C36" s="98" t="str">
        <f>EMPLOYEE_MASTER!D36</f>
        <v>Dalasane</v>
      </c>
      <c r="D36" s="98" t="str">
        <f>EMPLOYEE_MASTER!T36</f>
        <v>Ministry of Foreign Affairs (MFA)</v>
      </c>
      <c r="E36" s="98" t="str">
        <f>EMPLOYEE_MASTER!M36</f>
        <v>Foreign Affairs Officer</v>
      </c>
      <c r="F36" s="98" t="str">
        <f>EMPLOYEE_MASTER!Z36</f>
        <v>Diplomatic</v>
      </c>
      <c r="G36" s="99">
        <f>EMPLOYEE_MASTER!P36</f>
        <v>5</v>
      </c>
      <c r="H36" s="99">
        <f>EMPLOYEE_MASTER!Q36</f>
        <v>1</v>
      </c>
      <c r="I36" s="100" t="str">
        <f t="shared" si="0"/>
        <v>G05-S01</v>
      </c>
      <c r="J36" s="100">
        <f>IFERROR(VLOOKUP(I36,LK_GradeStep!$C$4:$D$85,2,0),0)</f>
        <v>308</v>
      </c>
      <c r="K36" s="100">
        <f>IFERROR(VLOOKUP(I36,LK_GradeStep!$C$4:$E$85,3,0),10000)</f>
        <v>10000</v>
      </c>
      <c r="L36" s="100">
        <f t="shared" si="1"/>
        <v>3080000</v>
      </c>
      <c r="M36" s="101">
        <f>IFERROR(VLOOKUP(EMPLOYEE_MASTER!AQ36,LK_AllowanceRates!$A$5:$B$11,2,0),0)</f>
        <v>900000</v>
      </c>
      <c r="N36" s="101">
        <f ca="1">IFERROR(IF(EMPLOYEE_MASTER!J36&lt;=5,  EMPLOYEE_MASTER!J36*LK_AllowanceRates!$B$12,IF(EMPLOYEE_MASTER!J36&lt;=15, EMPLOYEE_MASTER!J36*LK_AllowanceRates!$B$13,IF(EMPLOYEE_MASTER!J36&lt;=25, EMPLOYEE_MASTER!J36*LK_AllowanceRates!$B$14,EMPLOYEE_MASTER!J36*LK_AllowanceRates!$B$15))),0)</f>
        <v>220000</v>
      </c>
      <c r="O36" s="101">
        <f>IF(EMPLOYEE_MASTER!AS36="Teaching",L36*LK_AllowanceRates!$B$16,0)</f>
        <v>0</v>
      </c>
      <c r="P36" s="101">
        <f>IF(EMPLOYEE_MASTER!AS36="Medical",LK_AllowanceRates!$B$17,0)</f>
        <v>0</v>
      </c>
      <c r="Q36" s="101">
        <f>IF(EMPLOYEE_MASTER!AR36="Yes",LK_AllowanceRates!$B$18,0)</f>
        <v>0</v>
      </c>
      <c r="R36" s="101">
        <f>IF(EMPLOYEE_MASTER!AC36="Yes",LK_AllowanceRates!$B$19,0)</f>
        <v>0</v>
      </c>
      <c r="S36" s="101">
        <f>IF(EMPLOYEE_MASTER!AA36="Yes",L36*LK_AllowanceRates!$B$20,0)</f>
        <v>0</v>
      </c>
      <c r="T36" s="101">
        <f>IF(EMPLOYEE_MASTER!AB36="Yes",LK_AllowanceRates!$B$21,0)</f>
        <v>20240000</v>
      </c>
      <c r="U36" s="101">
        <f>IF(EMPLOYEE_MASTER!P36&gt;=6,LK_AllowanceRates!$B$22,0)</f>
        <v>0</v>
      </c>
      <c r="V36" s="101">
        <f>IF(EMPLOYEE_MASTER!AO36="Yes",LK_AllowanceRates!$B$23,0)</f>
        <v>200000</v>
      </c>
      <c r="W36" s="101">
        <f>EMPLOYEE_MASTER!AP36*LK_AllowanceRates!$B$24</f>
        <v>0</v>
      </c>
      <c r="X36" s="101">
        <v>0</v>
      </c>
      <c r="Y36" s="102">
        <v>0</v>
      </c>
      <c r="Z36" s="102">
        <v>0</v>
      </c>
      <c r="AA36" s="102">
        <v>0</v>
      </c>
      <c r="AB36" s="103">
        <f t="shared" ca="1" si="2"/>
        <v>21560000</v>
      </c>
      <c r="AC36" s="104">
        <f t="shared" ca="1" si="3"/>
        <v>24640000</v>
      </c>
      <c r="AD36" s="105">
        <f>ROUND(L36*LK_AllowanceRates!$B$25/100,0)</f>
        <v>169400</v>
      </c>
      <c r="AE36" s="106">
        <f t="shared" ca="1" si="4"/>
        <v>24470600</v>
      </c>
      <c r="AF36" s="106">
        <f t="shared" ca="1" si="5"/>
        <v>3079120</v>
      </c>
      <c r="AG36" s="107">
        <v>0</v>
      </c>
      <c r="AH36" s="107">
        <v>0</v>
      </c>
      <c r="AI36" s="108">
        <f t="shared" ca="1" si="6"/>
        <v>3248520</v>
      </c>
      <c r="AJ36" s="109">
        <f t="shared" ca="1" si="7"/>
        <v>21391480</v>
      </c>
    </row>
    <row r="37" spans="1:36" ht="15" customHeight="1" x14ac:dyDescent="0.3">
      <c r="A37" s="98" t="str">
        <f>EMPLOYEE_MASTER!A37</f>
        <v>LAO00034</v>
      </c>
      <c r="B37" s="98" t="str">
        <f>EMPLOYEE_MASTER!C37</f>
        <v>Sengdavanh</v>
      </c>
      <c r="C37" s="98" t="str">
        <f>EMPLOYEE_MASTER!D37</f>
        <v>Kheudkham</v>
      </c>
      <c r="D37" s="98" t="str">
        <f>EMPLOYEE_MASTER!T37</f>
        <v>Ministry of Health (MoH)</v>
      </c>
      <c r="E37" s="98" t="str">
        <f>EMPLOYEE_MASTER!M37</f>
        <v>Nurse</v>
      </c>
      <c r="F37" s="98" t="str">
        <f>EMPLOYEE_MASTER!Z37</f>
        <v>Medical</v>
      </c>
      <c r="G37" s="99">
        <f>EMPLOYEE_MASTER!P37</f>
        <v>2</v>
      </c>
      <c r="H37" s="99">
        <f>EMPLOYEE_MASTER!Q37</f>
        <v>3</v>
      </c>
      <c r="I37" s="100" t="str">
        <f t="shared" si="0"/>
        <v>G02-S03</v>
      </c>
      <c r="J37" s="100">
        <f>IFERROR(VLOOKUP(I37,LK_GradeStep!$C$4:$D$85,2,0),0)</f>
        <v>270</v>
      </c>
      <c r="K37" s="100">
        <f>IFERROR(VLOOKUP(I37,LK_GradeStep!$C$4:$E$85,3,0),10000)</f>
        <v>10000</v>
      </c>
      <c r="L37" s="100">
        <f t="shared" si="1"/>
        <v>2700000</v>
      </c>
      <c r="M37" s="101">
        <f>IFERROR(VLOOKUP(EMPLOYEE_MASTER!AQ37,LK_AllowanceRates!$A$5:$B$11,2,0),0)</f>
        <v>900000</v>
      </c>
      <c r="N37" s="101">
        <f ca="1">IFERROR(IF(EMPLOYEE_MASTER!J37&lt;=5,  EMPLOYEE_MASTER!J37*LK_AllowanceRates!$B$12,IF(EMPLOYEE_MASTER!J37&lt;=15, EMPLOYEE_MASTER!J37*LK_AllowanceRates!$B$13,IF(EMPLOYEE_MASTER!J37&lt;=25, EMPLOYEE_MASTER!J37*LK_AllowanceRates!$B$14,EMPLOYEE_MASTER!J37*LK_AllowanceRates!$B$15))),0)</f>
        <v>200000</v>
      </c>
      <c r="O37" s="101">
        <f>IF(EMPLOYEE_MASTER!AS37="Teaching",L37*LK_AllowanceRates!$B$16,0)</f>
        <v>0</v>
      </c>
      <c r="P37" s="101">
        <f>IF(EMPLOYEE_MASTER!AS37="Medical",LK_AllowanceRates!$B$17,0)</f>
        <v>500000</v>
      </c>
      <c r="Q37" s="101">
        <f>IF(EMPLOYEE_MASTER!AR37="Yes",LK_AllowanceRates!$B$18,0)</f>
        <v>0</v>
      </c>
      <c r="R37" s="101">
        <f>IF(EMPLOYEE_MASTER!AC37="Yes",LK_AllowanceRates!$B$19,0)</f>
        <v>0</v>
      </c>
      <c r="S37" s="101">
        <f>IF(EMPLOYEE_MASTER!AA37="Yes",L37*LK_AllowanceRates!$B$20,0)</f>
        <v>0</v>
      </c>
      <c r="T37" s="101">
        <f>IF(EMPLOYEE_MASTER!AB37="Yes",LK_AllowanceRates!$B$21,0)</f>
        <v>0</v>
      </c>
      <c r="U37" s="101">
        <f>IF(EMPLOYEE_MASTER!P37&gt;=6,LK_AllowanceRates!$B$22,0)</f>
        <v>0</v>
      </c>
      <c r="V37" s="101">
        <f>IF(EMPLOYEE_MASTER!AO37="Yes",LK_AllowanceRates!$B$23,0)</f>
        <v>200000</v>
      </c>
      <c r="W37" s="101">
        <f>EMPLOYEE_MASTER!AP37*LK_AllowanceRates!$B$24</f>
        <v>600000</v>
      </c>
      <c r="X37" s="101">
        <v>0</v>
      </c>
      <c r="Y37" s="102">
        <v>0</v>
      </c>
      <c r="Z37" s="102">
        <v>0</v>
      </c>
      <c r="AA37" s="102">
        <v>0</v>
      </c>
      <c r="AB37" s="103">
        <f t="shared" ca="1" si="2"/>
        <v>2400000</v>
      </c>
      <c r="AC37" s="104">
        <f t="shared" ca="1" si="3"/>
        <v>5100000</v>
      </c>
      <c r="AD37" s="105">
        <f>ROUND(L37*LK_AllowanceRates!$B$25/100,0)</f>
        <v>148500</v>
      </c>
      <c r="AE37" s="106">
        <f t="shared" ca="1" si="4"/>
        <v>4951500</v>
      </c>
      <c r="AF37" s="106">
        <f t="shared" ca="1" si="5"/>
        <v>182575</v>
      </c>
      <c r="AG37" s="107">
        <v>0</v>
      </c>
      <c r="AH37" s="107">
        <v>0</v>
      </c>
      <c r="AI37" s="108">
        <f t="shared" ca="1" si="6"/>
        <v>331075</v>
      </c>
      <c r="AJ37" s="109">
        <f t="shared" ca="1" si="7"/>
        <v>4768925</v>
      </c>
    </row>
    <row r="38" spans="1:36" ht="15" customHeight="1" x14ac:dyDescent="0.3">
      <c r="A38" s="98" t="str">
        <f>EMPLOYEE_MASTER!A38</f>
        <v>LAO00035</v>
      </c>
      <c r="B38" s="98" t="str">
        <f>EMPLOYEE_MASTER!C38</f>
        <v>Soudabout</v>
      </c>
      <c r="C38" s="98" t="str">
        <f>EMPLOYEE_MASTER!D38</f>
        <v>Sisoulath</v>
      </c>
      <c r="D38" s="98" t="str">
        <f>EMPLOYEE_MASTER!T38</f>
        <v>Ministry of Labour &amp; Social Welfare (MLSW)</v>
      </c>
      <c r="E38" s="98" t="str">
        <f>EMPLOYEE_MASTER!M38</f>
        <v>Administrative Officer</v>
      </c>
      <c r="F38" s="98" t="str">
        <f>EMPLOYEE_MASTER!Z38</f>
        <v>Administration</v>
      </c>
      <c r="G38" s="99">
        <f>EMPLOYEE_MASTER!P38</f>
        <v>2</v>
      </c>
      <c r="H38" s="99">
        <f>EMPLOYEE_MASTER!Q38</f>
        <v>6</v>
      </c>
      <c r="I38" s="100" t="str">
        <f t="shared" si="0"/>
        <v>G02-S06</v>
      </c>
      <c r="J38" s="100">
        <f>IFERROR(VLOOKUP(I38,LK_GradeStep!$C$4:$D$85,2,0),0)</f>
        <v>273</v>
      </c>
      <c r="K38" s="100">
        <f>IFERROR(VLOOKUP(I38,LK_GradeStep!$C$4:$E$85,3,0),10000)</f>
        <v>10000</v>
      </c>
      <c r="L38" s="100">
        <f t="shared" si="1"/>
        <v>2730000</v>
      </c>
      <c r="M38" s="101">
        <f>IFERROR(VLOOKUP(EMPLOYEE_MASTER!AQ38,LK_AllowanceRates!$A$5:$B$11,2,0),0)</f>
        <v>900000</v>
      </c>
      <c r="N38" s="101">
        <f ca="1">IFERROR(IF(EMPLOYEE_MASTER!J38&lt;=5,  EMPLOYEE_MASTER!J38*LK_AllowanceRates!$B$12,IF(EMPLOYEE_MASTER!J38&lt;=15, EMPLOYEE_MASTER!J38*LK_AllowanceRates!$B$13,IF(EMPLOYEE_MASTER!J38&lt;=25, EMPLOYEE_MASTER!J38*LK_AllowanceRates!$B$14,EMPLOYEE_MASTER!J38*LK_AllowanceRates!$B$15))),0)</f>
        <v>260000</v>
      </c>
      <c r="O38" s="101">
        <f>IF(EMPLOYEE_MASTER!AS38="Teaching",L38*LK_AllowanceRates!$B$16,0)</f>
        <v>0</v>
      </c>
      <c r="P38" s="101">
        <f>IF(EMPLOYEE_MASTER!AS38="Medical",LK_AllowanceRates!$B$17,0)</f>
        <v>0</v>
      </c>
      <c r="Q38" s="101">
        <f>IF(EMPLOYEE_MASTER!AR38="Yes",LK_AllowanceRates!$B$18,0)</f>
        <v>0</v>
      </c>
      <c r="R38" s="101">
        <f>IF(EMPLOYEE_MASTER!AC38="Yes",LK_AllowanceRates!$B$19,0)</f>
        <v>0</v>
      </c>
      <c r="S38" s="101">
        <f>IF(EMPLOYEE_MASTER!AA38="Yes",L38*LK_AllowanceRates!$B$20,0)</f>
        <v>0</v>
      </c>
      <c r="T38" s="101">
        <f>IF(EMPLOYEE_MASTER!AB38="Yes",LK_AllowanceRates!$B$21,0)</f>
        <v>0</v>
      </c>
      <c r="U38" s="101">
        <f>IF(EMPLOYEE_MASTER!P38&gt;=6,LK_AllowanceRates!$B$22,0)</f>
        <v>0</v>
      </c>
      <c r="V38" s="101">
        <f>IF(EMPLOYEE_MASTER!AO38="Yes",LK_AllowanceRates!$B$23,0)</f>
        <v>200000</v>
      </c>
      <c r="W38" s="101">
        <f>EMPLOYEE_MASTER!AP38*LK_AllowanceRates!$B$24</f>
        <v>200000</v>
      </c>
      <c r="X38" s="101">
        <v>0</v>
      </c>
      <c r="Y38" s="102">
        <v>0</v>
      </c>
      <c r="Z38" s="102">
        <v>0</v>
      </c>
      <c r="AA38" s="102">
        <v>0</v>
      </c>
      <c r="AB38" s="103">
        <f t="shared" ca="1" si="2"/>
        <v>1560000</v>
      </c>
      <c r="AC38" s="104">
        <f t="shared" ca="1" si="3"/>
        <v>4290000</v>
      </c>
      <c r="AD38" s="105">
        <f>ROUND(L38*LK_AllowanceRates!$B$25/100,0)</f>
        <v>150150</v>
      </c>
      <c r="AE38" s="106">
        <f t="shared" ca="1" si="4"/>
        <v>4139850</v>
      </c>
      <c r="AF38" s="106">
        <f t="shared" ca="1" si="5"/>
        <v>141992.5</v>
      </c>
      <c r="AG38" s="107">
        <v>0</v>
      </c>
      <c r="AH38" s="107">
        <v>0</v>
      </c>
      <c r="AI38" s="108">
        <f t="shared" ca="1" si="6"/>
        <v>292142.5</v>
      </c>
      <c r="AJ38" s="109">
        <f t="shared" ca="1" si="7"/>
        <v>3997857.5</v>
      </c>
    </row>
    <row r="39" spans="1:36" ht="15" customHeight="1" x14ac:dyDescent="0.3">
      <c r="A39" s="98" t="str">
        <f>EMPLOYEE_MASTER!A39</f>
        <v>LAO00036</v>
      </c>
      <c r="B39" s="98" t="str">
        <f>EMPLOYEE_MASTER!C39</f>
        <v>Boupha</v>
      </c>
      <c r="C39" s="98" t="str">
        <f>EMPLOYEE_MASTER!D39</f>
        <v>Phiaylack</v>
      </c>
      <c r="D39" s="98" t="str">
        <f>EMPLOYEE_MASTER!T39</f>
        <v>Ministry of Finance (MoF)</v>
      </c>
      <c r="E39" s="98" t="str">
        <f>EMPLOYEE_MASTER!M39</f>
        <v>Treasury Officer</v>
      </c>
      <c r="F39" s="98" t="str">
        <f>EMPLOYEE_MASTER!Z39</f>
        <v>Finance</v>
      </c>
      <c r="G39" s="99">
        <f>EMPLOYEE_MASTER!P39</f>
        <v>4</v>
      </c>
      <c r="H39" s="99">
        <f>EMPLOYEE_MASTER!Q39</f>
        <v>6</v>
      </c>
      <c r="I39" s="100" t="str">
        <f t="shared" si="0"/>
        <v>G04-S06</v>
      </c>
      <c r="J39" s="100">
        <f>IFERROR(VLOOKUP(I39,LK_GradeStep!$C$4:$D$85,2,0),0)</f>
        <v>296</v>
      </c>
      <c r="K39" s="100">
        <f>IFERROR(VLOOKUP(I39,LK_GradeStep!$C$4:$E$85,3,0),10000)</f>
        <v>10000</v>
      </c>
      <c r="L39" s="100">
        <f t="shared" si="1"/>
        <v>2960000</v>
      </c>
      <c r="M39" s="101">
        <f>IFERROR(VLOOKUP(EMPLOYEE_MASTER!AQ39,LK_AllowanceRates!$A$5:$B$11,2,0),0)</f>
        <v>900000</v>
      </c>
      <c r="N39" s="101">
        <f ca="1">IFERROR(IF(EMPLOYEE_MASTER!J39&lt;=5,  EMPLOYEE_MASTER!J39*LK_AllowanceRates!$B$12,IF(EMPLOYEE_MASTER!J39&lt;=15, EMPLOYEE_MASTER!J39*LK_AllowanceRates!$B$13,IF(EMPLOYEE_MASTER!J39&lt;=25, EMPLOYEE_MASTER!J39*LK_AllowanceRates!$B$14,EMPLOYEE_MASTER!J39*LK_AllowanceRates!$B$15))),0)</f>
        <v>570000</v>
      </c>
      <c r="O39" s="101">
        <f>IF(EMPLOYEE_MASTER!AS39="Teaching",L39*LK_AllowanceRates!$B$16,0)</f>
        <v>0</v>
      </c>
      <c r="P39" s="101">
        <f>IF(EMPLOYEE_MASTER!AS39="Medical",LK_AllowanceRates!$B$17,0)</f>
        <v>0</v>
      </c>
      <c r="Q39" s="101">
        <f>IF(EMPLOYEE_MASTER!AR39="Yes",LK_AllowanceRates!$B$18,0)</f>
        <v>0</v>
      </c>
      <c r="R39" s="101">
        <f>IF(EMPLOYEE_MASTER!AC39="Yes",LK_AllowanceRates!$B$19,0)</f>
        <v>1000000</v>
      </c>
      <c r="S39" s="101">
        <f>IF(EMPLOYEE_MASTER!AA39="Yes",L39*LK_AllowanceRates!$B$20,0)</f>
        <v>740000</v>
      </c>
      <c r="T39" s="101">
        <f>IF(EMPLOYEE_MASTER!AB39="Yes",LK_AllowanceRates!$B$21,0)</f>
        <v>0</v>
      </c>
      <c r="U39" s="101">
        <f>IF(EMPLOYEE_MASTER!P39&gt;=6,LK_AllowanceRates!$B$22,0)</f>
        <v>0</v>
      </c>
      <c r="V39" s="101">
        <f>IF(EMPLOYEE_MASTER!AO39="Yes",LK_AllowanceRates!$B$23,0)</f>
        <v>200000</v>
      </c>
      <c r="W39" s="101">
        <f>EMPLOYEE_MASTER!AP39*LK_AllowanceRates!$B$24</f>
        <v>600000</v>
      </c>
      <c r="X39" s="101">
        <v>0</v>
      </c>
      <c r="Y39" s="102">
        <v>0</v>
      </c>
      <c r="Z39" s="102">
        <v>0</v>
      </c>
      <c r="AA39" s="102">
        <v>0</v>
      </c>
      <c r="AB39" s="103">
        <f t="shared" ca="1" si="2"/>
        <v>4010000</v>
      </c>
      <c r="AC39" s="104">
        <f t="shared" ca="1" si="3"/>
        <v>6970000</v>
      </c>
      <c r="AD39" s="105">
        <f>ROUND(L39*LK_AllowanceRates!$B$25/100,0)</f>
        <v>162800</v>
      </c>
      <c r="AE39" s="106">
        <f t="shared" ca="1" si="4"/>
        <v>6807200</v>
      </c>
      <c r="AF39" s="106">
        <f t="shared" ca="1" si="5"/>
        <v>365720</v>
      </c>
      <c r="AG39" s="107">
        <v>0</v>
      </c>
      <c r="AH39" s="107">
        <v>0</v>
      </c>
      <c r="AI39" s="108">
        <f t="shared" ca="1" si="6"/>
        <v>528520</v>
      </c>
      <c r="AJ39" s="109">
        <f t="shared" ca="1" si="7"/>
        <v>6441480</v>
      </c>
    </row>
    <row r="40" spans="1:36" ht="15" customHeight="1" x14ac:dyDescent="0.3">
      <c r="A40" s="98" t="str">
        <f>EMPLOYEE_MASTER!A40</f>
        <v>LAO00037</v>
      </c>
      <c r="B40" s="98" t="str">
        <f>EMPLOYEE_MASTER!C40</f>
        <v>Sengmany</v>
      </c>
      <c r="C40" s="98" t="str">
        <f>EMPLOYEE_MASTER!D40</f>
        <v>Sisouvath</v>
      </c>
      <c r="D40" s="98" t="str">
        <f>EMPLOYEE_MASTER!T40</f>
        <v>Champasak Province Administration</v>
      </c>
      <c r="E40" s="98" t="str">
        <f>EMPLOYEE_MASTER!M40</f>
        <v>Section Chief</v>
      </c>
      <c r="F40" s="98" t="str">
        <f>EMPLOYEE_MASTER!Z40</f>
        <v>Administration</v>
      </c>
      <c r="G40" s="99">
        <f>EMPLOYEE_MASTER!P40</f>
        <v>5</v>
      </c>
      <c r="H40" s="99">
        <f>EMPLOYEE_MASTER!Q40</f>
        <v>1</v>
      </c>
      <c r="I40" s="100" t="str">
        <f t="shared" si="0"/>
        <v>G05-S01</v>
      </c>
      <c r="J40" s="100">
        <f>IFERROR(VLOOKUP(I40,LK_GradeStep!$C$4:$D$85,2,0),0)</f>
        <v>308</v>
      </c>
      <c r="K40" s="100">
        <f>IFERROR(VLOOKUP(I40,LK_GradeStep!$C$4:$E$85,3,0),10000)</f>
        <v>10000</v>
      </c>
      <c r="L40" s="100">
        <f t="shared" si="1"/>
        <v>3080000</v>
      </c>
      <c r="M40" s="101">
        <f>IFERROR(VLOOKUP(EMPLOYEE_MASTER!AQ40,LK_AllowanceRates!$A$5:$B$11,2,0),0)</f>
        <v>1500000</v>
      </c>
      <c r="N40" s="101">
        <f ca="1">IFERROR(IF(EMPLOYEE_MASTER!J40&lt;=5,  EMPLOYEE_MASTER!J40*LK_AllowanceRates!$B$12,IF(EMPLOYEE_MASTER!J40&lt;=15, EMPLOYEE_MASTER!J40*LK_AllowanceRates!$B$13,IF(EMPLOYEE_MASTER!J40&lt;=25, EMPLOYEE_MASTER!J40*LK_AllowanceRates!$B$14,EMPLOYEE_MASTER!J40*LK_AllowanceRates!$B$15))),0)</f>
        <v>480000</v>
      </c>
      <c r="O40" s="101">
        <f>IF(EMPLOYEE_MASTER!AS40="Teaching",L40*LK_AllowanceRates!$B$16,0)</f>
        <v>0</v>
      </c>
      <c r="P40" s="101">
        <f>IF(EMPLOYEE_MASTER!AS40="Medical",LK_AllowanceRates!$B$17,0)</f>
        <v>0</v>
      </c>
      <c r="Q40" s="101">
        <f>IF(EMPLOYEE_MASTER!AR40="Yes",LK_AllowanceRates!$B$18,0)</f>
        <v>0</v>
      </c>
      <c r="R40" s="101">
        <f>IF(EMPLOYEE_MASTER!AC40="Yes",LK_AllowanceRates!$B$19,0)</f>
        <v>0</v>
      </c>
      <c r="S40" s="101">
        <f>IF(EMPLOYEE_MASTER!AA40="Yes",L40*LK_AllowanceRates!$B$20,0)</f>
        <v>770000</v>
      </c>
      <c r="T40" s="101">
        <f>IF(EMPLOYEE_MASTER!AB40="Yes",LK_AllowanceRates!$B$21,0)</f>
        <v>0</v>
      </c>
      <c r="U40" s="101">
        <f>IF(EMPLOYEE_MASTER!P40&gt;=6,LK_AllowanceRates!$B$22,0)</f>
        <v>0</v>
      </c>
      <c r="V40" s="101">
        <f>IF(EMPLOYEE_MASTER!AO40="Yes",LK_AllowanceRates!$B$23,0)</f>
        <v>0</v>
      </c>
      <c r="W40" s="101">
        <f>EMPLOYEE_MASTER!AP40*LK_AllowanceRates!$B$24</f>
        <v>0</v>
      </c>
      <c r="X40" s="101">
        <v>0</v>
      </c>
      <c r="Y40" s="102">
        <v>0</v>
      </c>
      <c r="Z40" s="102">
        <v>0</v>
      </c>
      <c r="AA40" s="102">
        <v>0</v>
      </c>
      <c r="AB40" s="103">
        <f t="shared" ca="1" si="2"/>
        <v>2750000</v>
      </c>
      <c r="AC40" s="104">
        <f t="shared" ca="1" si="3"/>
        <v>5830000</v>
      </c>
      <c r="AD40" s="105">
        <f>ROUND(L40*LK_AllowanceRates!$B$25/100,0)</f>
        <v>169400</v>
      </c>
      <c r="AE40" s="106">
        <f t="shared" ca="1" si="4"/>
        <v>5660600</v>
      </c>
      <c r="AF40" s="106">
        <f t="shared" ca="1" si="5"/>
        <v>251060</v>
      </c>
      <c r="AG40" s="107">
        <v>0</v>
      </c>
      <c r="AH40" s="107">
        <v>0</v>
      </c>
      <c r="AI40" s="108">
        <f t="shared" ca="1" si="6"/>
        <v>420460</v>
      </c>
      <c r="AJ40" s="109">
        <f t="shared" ca="1" si="7"/>
        <v>5409540</v>
      </c>
    </row>
    <row r="41" spans="1:36" ht="15" customHeight="1" x14ac:dyDescent="0.3">
      <c r="A41" s="98" t="str">
        <f>EMPLOYEE_MASTER!A41</f>
        <v>LAO00038</v>
      </c>
      <c r="B41" s="98" t="str">
        <f>EMPLOYEE_MASTER!C41</f>
        <v>Vilaychith</v>
      </c>
      <c r="C41" s="98" t="str">
        <f>EMPLOYEE_MASTER!D41</f>
        <v>Vilayphitak</v>
      </c>
      <c r="D41" s="98" t="str">
        <f>EMPLOYEE_MASTER!T41</f>
        <v>Ministry of Health (MoH)</v>
      </c>
      <c r="E41" s="98" t="str">
        <f>EMPLOYEE_MASTER!M41</f>
        <v>Health Inspector</v>
      </c>
      <c r="F41" s="98" t="str">
        <f>EMPLOYEE_MASTER!Z41</f>
        <v>Medical</v>
      </c>
      <c r="G41" s="99">
        <f>EMPLOYEE_MASTER!P41</f>
        <v>2</v>
      </c>
      <c r="H41" s="99">
        <f>EMPLOYEE_MASTER!Q41</f>
        <v>1</v>
      </c>
      <c r="I41" s="100" t="str">
        <f t="shared" si="0"/>
        <v>G02-S01</v>
      </c>
      <c r="J41" s="100">
        <f>IFERROR(VLOOKUP(I41,LK_GradeStep!$C$4:$D$85,2,0),0)</f>
        <v>268</v>
      </c>
      <c r="K41" s="100">
        <f>IFERROR(VLOOKUP(I41,LK_GradeStep!$C$4:$E$85,3,0),10000)</f>
        <v>10000</v>
      </c>
      <c r="L41" s="100">
        <f t="shared" si="1"/>
        <v>2680000</v>
      </c>
      <c r="M41" s="101">
        <f>IFERROR(VLOOKUP(EMPLOYEE_MASTER!AQ41,LK_AllowanceRates!$A$5:$B$11,2,0),0)</f>
        <v>900000</v>
      </c>
      <c r="N41" s="101">
        <f ca="1">IFERROR(IF(EMPLOYEE_MASTER!J41&lt;=5,  EMPLOYEE_MASTER!J41*LK_AllowanceRates!$B$12,IF(EMPLOYEE_MASTER!J41&lt;=15, EMPLOYEE_MASTER!J41*LK_AllowanceRates!$B$13,IF(EMPLOYEE_MASTER!J41&lt;=25, EMPLOYEE_MASTER!J41*LK_AllowanceRates!$B$14,EMPLOYEE_MASTER!J41*LK_AllowanceRates!$B$15))),0)</f>
        <v>1320000</v>
      </c>
      <c r="O41" s="101">
        <f>IF(EMPLOYEE_MASTER!AS41="Teaching",L41*LK_AllowanceRates!$B$16,0)</f>
        <v>0</v>
      </c>
      <c r="P41" s="101">
        <f>IF(EMPLOYEE_MASTER!AS41="Medical",LK_AllowanceRates!$B$17,0)</f>
        <v>500000</v>
      </c>
      <c r="Q41" s="101">
        <f>IF(EMPLOYEE_MASTER!AR41="Yes",LK_AllowanceRates!$B$18,0)</f>
        <v>0</v>
      </c>
      <c r="R41" s="101">
        <f>IF(EMPLOYEE_MASTER!AC41="Yes",LK_AllowanceRates!$B$19,0)</f>
        <v>1000000</v>
      </c>
      <c r="S41" s="101">
        <f>IF(EMPLOYEE_MASTER!AA41="Yes",L41*LK_AllowanceRates!$B$20,0)</f>
        <v>670000</v>
      </c>
      <c r="T41" s="101">
        <f>IF(EMPLOYEE_MASTER!AB41="Yes",LK_AllowanceRates!$B$21,0)</f>
        <v>0</v>
      </c>
      <c r="U41" s="101">
        <f>IF(EMPLOYEE_MASTER!P41&gt;=6,LK_AllowanceRates!$B$22,0)</f>
        <v>0</v>
      </c>
      <c r="V41" s="101">
        <f>IF(EMPLOYEE_MASTER!AO41="Yes",LK_AllowanceRates!$B$23,0)</f>
        <v>200000</v>
      </c>
      <c r="W41" s="101">
        <f>EMPLOYEE_MASTER!AP41*LK_AllowanceRates!$B$24</f>
        <v>600000</v>
      </c>
      <c r="X41" s="101">
        <v>0</v>
      </c>
      <c r="Y41" s="102">
        <v>0</v>
      </c>
      <c r="Z41" s="102">
        <v>0</v>
      </c>
      <c r="AA41" s="102">
        <v>0</v>
      </c>
      <c r="AB41" s="103">
        <f t="shared" ca="1" si="2"/>
        <v>5190000</v>
      </c>
      <c r="AC41" s="104">
        <f t="shared" ca="1" si="3"/>
        <v>7870000</v>
      </c>
      <c r="AD41" s="105">
        <f>ROUND(L41*LK_AllowanceRates!$B$25/100,0)</f>
        <v>147400</v>
      </c>
      <c r="AE41" s="106">
        <f t="shared" ca="1" si="4"/>
        <v>7722600</v>
      </c>
      <c r="AF41" s="106">
        <f t="shared" ca="1" si="5"/>
        <v>457260</v>
      </c>
      <c r="AG41" s="107">
        <v>0</v>
      </c>
      <c r="AH41" s="107">
        <v>0</v>
      </c>
      <c r="AI41" s="108">
        <f t="shared" ca="1" si="6"/>
        <v>604660</v>
      </c>
      <c r="AJ41" s="109">
        <f t="shared" ca="1" si="7"/>
        <v>7265340</v>
      </c>
    </row>
    <row r="42" spans="1:36" ht="15" customHeight="1" x14ac:dyDescent="0.3">
      <c r="A42" s="98" t="str">
        <f>EMPLOYEE_MASTER!A42</f>
        <v>LAO00039</v>
      </c>
      <c r="B42" s="98" t="str">
        <f>EMPLOYEE_MASTER!C42</f>
        <v>Phoxay</v>
      </c>
      <c r="C42" s="98" t="str">
        <f>EMPLOYEE_MASTER!D42</f>
        <v>Douangmany</v>
      </c>
      <c r="D42" s="98" t="str">
        <f>EMPLOYEE_MASTER!T42</f>
        <v>Ministry of Foreign Affairs (MFA)</v>
      </c>
      <c r="E42" s="98" t="str">
        <f>EMPLOYEE_MASTER!M42</f>
        <v>First Secretary</v>
      </c>
      <c r="F42" s="98" t="str">
        <f>EMPLOYEE_MASTER!Z42</f>
        <v>Diplomatic</v>
      </c>
      <c r="G42" s="99">
        <f>EMPLOYEE_MASTER!P42</f>
        <v>4</v>
      </c>
      <c r="H42" s="99">
        <f>EMPLOYEE_MASTER!Q42</f>
        <v>1</v>
      </c>
      <c r="I42" s="100" t="str">
        <f t="shared" si="0"/>
        <v>G04-S01</v>
      </c>
      <c r="J42" s="100">
        <f>IFERROR(VLOOKUP(I42,LK_GradeStep!$C$4:$D$85,2,0),0)</f>
        <v>286</v>
      </c>
      <c r="K42" s="100">
        <f>IFERROR(VLOOKUP(I42,LK_GradeStep!$C$4:$E$85,3,0),10000)</f>
        <v>10000</v>
      </c>
      <c r="L42" s="100">
        <f t="shared" si="1"/>
        <v>2860000</v>
      </c>
      <c r="M42" s="101">
        <f>IFERROR(VLOOKUP(EMPLOYEE_MASTER!AQ42,LK_AllowanceRates!$A$5:$B$11,2,0),0)</f>
        <v>900000</v>
      </c>
      <c r="N42" s="101">
        <f ca="1">IFERROR(IF(EMPLOYEE_MASTER!J42&lt;=5,  EMPLOYEE_MASTER!J42*LK_AllowanceRates!$B$12,IF(EMPLOYEE_MASTER!J42&lt;=15, EMPLOYEE_MASTER!J42*LK_AllowanceRates!$B$13,IF(EMPLOYEE_MASTER!J42&lt;=25, EMPLOYEE_MASTER!J42*LK_AllowanceRates!$B$14,EMPLOYEE_MASTER!J42*LK_AllowanceRates!$B$15))),0)</f>
        <v>300000</v>
      </c>
      <c r="O42" s="101">
        <f>IF(EMPLOYEE_MASTER!AS42="Teaching",L42*LK_AllowanceRates!$B$16,0)</f>
        <v>0</v>
      </c>
      <c r="P42" s="101">
        <f>IF(EMPLOYEE_MASTER!AS42="Medical",LK_AllowanceRates!$B$17,0)</f>
        <v>0</v>
      </c>
      <c r="Q42" s="101">
        <f>IF(EMPLOYEE_MASTER!AR42="Yes",LK_AllowanceRates!$B$18,0)</f>
        <v>0</v>
      </c>
      <c r="R42" s="101">
        <f>IF(EMPLOYEE_MASTER!AC42="Yes",LK_AllowanceRates!$B$19,0)</f>
        <v>0</v>
      </c>
      <c r="S42" s="101">
        <f>IF(EMPLOYEE_MASTER!AA42="Yes",L42*LK_AllowanceRates!$B$20,0)</f>
        <v>0</v>
      </c>
      <c r="T42" s="101">
        <f>IF(EMPLOYEE_MASTER!AB42="Yes",LK_AllowanceRates!$B$21,0)</f>
        <v>20240000</v>
      </c>
      <c r="U42" s="101">
        <f>IF(EMPLOYEE_MASTER!P42&gt;=6,LK_AllowanceRates!$B$22,0)</f>
        <v>0</v>
      </c>
      <c r="V42" s="101">
        <f>IF(EMPLOYEE_MASTER!AO42="Yes",LK_AllowanceRates!$B$23,0)</f>
        <v>200000</v>
      </c>
      <c r="W42" s="101">
        <f>EMPLOYEE_MASTER!AP42*LK_AllowanceRates!$B$24</f>
        <v>400000</v>
      </c>
      <c r="X42" s="101">
        <v>0</v>
      </c>
      <c r="Y42" s="102">
        <v>0</v>
      </c>
      <c r="Z42" s="102">
        <v>0</v>
      </c>
      <c r="AA42" s="102">
        <v>0</v>
      </c>
      <c r="AB42" s="103">
        <f t="shared" ca="1" si="2"/>
        <v>22040000</v>
      </c>
      <c r="AC42" s="104">
        <f t="shared" ca="1" si="3"/>
        <v>24900000</v>
      </c>
      <c r="AD42" s="105">
        <f>ROUND(L42*LK_AllowanceRates!$B$25/100,0)</f>
        <v>157300</v>
      </c>
      <c r="AE42" s="106">
        <f t="shared" ca="1" si="4"/>
        <v>24742700</v>
      </c>
      <c r="AF42" s="106">
        <f t="shared" ca="1" si="5"/>
        <v>3133540</v>
      </c>
      <c r="AG42" s="107">
        <v>0</v>
      </c>
      <c r="AH42" s="107">
        <v>0</v>
      </c>
      <c r="AI42" s="108">
        <f t="shared" ca="1" si="6"/>
        <v>3290840</v>
      </c>
      <c r="AJ42" s="109">
        <f t="shared" ca="1" si="7"/>
        <v>21609160</v>
      </c>
    </row>
    <row r="43" spans="1:36" ht="15" customHeight="1" x14ac:dyDescent="0.3">
      <c r="A43" s="98" t="str">
        <f>EMPLOYEE_MASTER!A43</f>
        <v>LAO00040</v>
      </c>
      <c r="B43" s="98" t="str">
        <f>EMPLOYEE_MASTER!C43</f>
        <v>Sombath</v>
      </c>
      <c r="C43" s="98" t="str">
        <f>EMPLOYEE_MASTER!D43</f>
        <v>Phommasack</v>
      </c>
      <c r="D43" s="98" t="str">
        <f>EMPLOYEE_MASTER!T43</f>
        <v>Ministry of Education and Sports (MoES)</v>
      </c>
      <c r="E43" s="98" t="str">
        <f>EMPLOYEE_MASTER!M43</f>
        <v>Education Officer</v>
      </c>
      <c r="F43" s="98" t="str">
        <f>EMPLOYEE_MASTER!Z43</f>
        <v>Teacher</v>
      </c>
      <c r="G43" s="99">
        <f>EMPLOYEE_MASTER!P43</f>
        <v>3</v>
      </c>
      <c r="H43" s="99">
        <f>EMPLOYEE_MASTER!Q43</f>
        <v>11</v>
      </c>
      <c r="I43" s="100" t="str">
        <f t="shared" si="0"/>
        <v>G03-S11</v>
      </c>
      <c r="J43" s="100">
        <f>IFERROR(VLOOKUP(I43,LK_GradeStep!$C$4:$D$85,2,0),0)</f>
        <v>290</v>
      </c>
      <c r="K43" s="100">
        <f>IFERROR(VLOOKUP(I43,LK_GradeStep!$C$4:$E$85,3,0),10000)</f>
        <v>10000</v>
      </c>
      <c r="L43" s="100">
        <f t="shared" si="1"/>
        <v>2900000</v>
      </c>
      <c r="M43" s="101">
        <f>IFERROR(VLOOKUP(EMPLOYEE_MASTER!AQ43,LK_AllowanceRates!$A$5:$B$11,2,0),0)</f>
        <v>900000</v>
      </c>
      <c r="N43" s="101">
        <f ca="1">IFERROR(IF(EMPLOYEE_MASTER!J43&lt;=5,  EMPLOYEE_MASTER!J43*LK_AllowanceRates!$B$12,IF(EMPLOYEE_MASTER!J43&lt;=15, EMPLOYEE_MASTER!J43*LK_AllowanceRates!$B$13,IF(EMPLOYEE_MASTER!J43&lt;=25, EMPLOYEE_MASTER!J43*LK_AllowanceRates!$B$14,EMPLOYEE_MASTER!J43*LK_AllowanceRates!$B$15))),0)</f>
        <v>160000</v>
      </c>
      <c r="O43" s="101">
        <f>IF(EMPLOYEE_MASTER!AS43="Teaching",L43*LK_AllowanceRates!$B$16,0)</f>
        <v>580000</v>
      </c>
      <c r="P43" s="101">
        <f>IF(EMPLOYEE_MASTER!AS43="Medical",LK_AllowanceRates!$B$17,0)</f>
        <v>0</v>
      </c>
      <c r="Q43" s="101">
        <f>IF(EMPLOYEE_MASTER!AR43="Yes",LK_AllowanceRates!$B$18,0)</f>
        <v>0</v>
      </c>
      <c r="R43" s="101">
        <f>IF(EMPLOYEE_MASTER!AC43="Yes",LK_AllowanceRates!$B$19,0)</f>
        <v>0</v>
      </c>
      <c r="S43" s="101">
        <f>IF(EMPLOYEE_MASTER!AA43="Yes",L43*LK_AllowanceRates!$B$20,0)</f>
        <v>0</v>
      </c>
      <c r="T43" s="101">
        <f>IF(EMPLOYEE_MASTER!AB43="Yes",LK_AllowanceRates!$B$21,0)</f>
        <v>0</v>
      </c>
      <c r="U43" s="101">
        <f>IF(EMPLOYEE_MASTER!P43&gt;=6,LK_AllowanceRates!$B$22,0)</f>
        <v>0</v>
      </c>
      <c r="V43" s="101">
        <f>IF(EMPLOYEE_MASTER!AO43="Yes",LK_AllowanceRates!$B$23,0)</f>
        <v>0</v>
      </c>
      <c r="W43" s="101">
        <f>EMPLOYEE_MASTER!AP43*LK_AllowanceRates!$B$24</f>
        <v>0</v>
      </c>
      <c r="X43" s="101">
        <v>0</v>
      </c>
      <c r="Y43" s="102">
        <v>0</v>
      </c>
      <c r="Z43" s="102">
        <v>0</v>
      </c>
      <c r="AA43" s="102">
        <v>0</v>
      </c>
      <c r="AB43" s="103">
        <f t="shared" ca="1" si="2"/>
        <v>1640000</v>
      </c>
      <c r="AC43" s="104">
        <f t="shared" ca="1" si="3"/>
        <v>4540000</v>
      </c>
      <c r="AD43" s="105">
        <f>ROUND(L43*LK_AllowanceRates!$B$25/100,0)</f>
        <v>159500</v>
      </c>
      <c r="AE43" s="106">
        <f t="shared" ca="1" si="4"/>
        <v>4380500</v>
      </c>
      <c r="AF43" s="106">
        <f t="shared" ca="1" si="5"/>
        <v>154025</v>
      </c>
      <c r="AG43" s="107">
        <v>0</v>
      </c>
      <c r="AH43" s="107">
        <v>0</v>
      </c>
      <c r="AI43" s="108">
        <f t="shared" ca="1" si="6"/>
        <v>313525</v>
      </c>
      <c r="AJ43" s="109">
        <f t="shared" ca="1" si="7"/>
        <v>4226475</v>
      </c>
    </row>
    <row r="44" spans="1:36" ht="15" customHeight="1" x14ac:dyDescent="0.3">
      <c r="A44" s="98" t="str">
        <f>EMPLOYEE_MASTER!A44</f>
        <v>LAO00041</v>
      </c>
      <c r="B44" s="98" t="str">
        <f>EMPLOYEE_MASTER!C44</f>
        <v>Vilaysack</v>
      </c>
      <c r="C44" s="98" t="str">
        <f>EMPLOYEE_MASTER!D44</f>
        <v>Xaysomboun</v>
      </c>
      <c r="D44" s="98" t="str">
        <f>EMPLOYEE_MASTER!T44</f>
        <v>Ministry of Planning &amp; Investment (MPI)</v>
      </c>
      <c r="E44" s="98" t="str">
        <f>EMPLOYEE_MASTER!M44</f>
        <v>Division Chief</v>
      </c>
      <c r="F44" s="98" t="str">
        <f>EMPLOYEE_MASTER!Z44</f>
        <v>Administration</v>
      </c>
      <c r="G44" s="99">
        <f>EMPLOYEE_MASTER!P44</f>
        <v>4</v>
      </c>
      <c r="H44" s="99">
        <f>EMPLOYEE_MASTER!Q44</f>
        <v>1</v>
      </c>
      <c r="I44" s="100" t="str">
        <f t="shared" si="0"/>
        <v>G04-S01</v>
      </c>
      <c r="J44" s="100">
        <f>IFERROR(VLOOKUP(I44,LK_GradeStep!$C$4:$D$85,2,0),0)</f>
        <v>286</v>
      </c>
      <c r="K44" s="100">
        <f>IFERROR(VLOOKUP(I44,LK_GradeStep!$C$4:$E$85,3,0),10000)</f>
        <v>10000</v>
      </c>
      <c r="L44" s="100">
        <f t="shared" si="1"/>
        <v>2860000</v>
      </c>
      <c r="M44" s="101">
        <f>IFERROR(VLOOKUP(EMPLOYEE_MASTER!AQ44,LK_AllowanceRates!$A$5:$B$11,2,0),0)</f>
        <v>1900000</v>
      </c>
      <c r="N44" s="101">
        <f ca="1">IFERROR(IF(EMPLOYEE_MASTER!J44&lt;=5,  EMPLOYEE_MASTER!J44*LK_AllowanceRates!$B$12,IF(EMPLOYEE_MASTER!J44&lt;=15, EMPLOYEE_MASTER!J44*LK_AllowanceRates!$B$13,IF(EMPLOYEE_MASTER!J44&lt;=25, EMPLOYEE_MASTER!J44*LK_AllowanceRates!$B$14,EMPLOYEE_MASTER!J44*LK_AllowanceRates!$B$15))),0)</f>
        <v>1360000</v>
      </c>
      <c r="O44" s="101">
        <f>IF(EMPLOYEE_MASTER!AS44="Teaching",L44*LK_AllowanceRates!$B$16,0)</f>
        <v>0</v>
      </c>
      <c r="P44" s="101">
        <f>IF(EMPLOYEE_MASTER!AS44="Medical",LK_AllowanceRates!$B$17,0)</f>
        <v>0</v>
      </c>
      <c r="Q44" s="101">
        <f>IF(EMPLOYEE_MASTER!AR44="Yes",LK_AllowanceRates!$B$18,0)</f>
        <v>0</v>
      </c>
      <c r="R44" s="101">
        <f>IF(EMPLOYEE_MASTER!AC44="Yes",LK_AllowanceRates!$B$19,0)</f>
        <v>0</v>
      </c>
      <c r="S44" s="101">
        <f>IF(EMPLOYEE_MASTER!AA44="Yes",L44*LK_AllowanceRates!$B$20,0)</f>
        <v>715000</v>
      </c>
      <c r="T44" s="101">
        <f>IF(EMPLOYEE_MASTER!AB44="Yes",LK_AllowanceRates!$B$21,0)</f>
        <v>0</v>
      </c>
      <c r="U44" s="101">
        <f>IF(EMPLOYEE_MASTER!P44&gt;=6,LK_AllowanceRates!$B$22,0)</f>
        <v>0</v>
      </c>
      <c r="V44" s="101">
        <f>IF(EMPLOYEE_MASTER!AO44="Yes",LK_AllowanceRates!$B$23,0)</f>
        <v>200000</v>
      </c>
      <c r="W44" s="101">
        <f>EMPLOYEE_MASTER!AP44*LK_AllowanceRates!$B$24</f>
        <v>600000</v>
      </c>
      <c r="X44" s="101">
        <v>0</v>
      </c>
      <c r="Y44" s="102">
        <v>0</v>
      </c>
      <c r="Z44" s="102">
        <v>0</v>
      </c>
      <c r="AA44" s="102">
        <v>0</v>
      </c>
      <c r="AB44" s="103">
        <f t="shared" ca="1" si="2"/>
        <v>4775000</v>
      </c>
      <c r="AC44" s="104">
        <f t="shared" ca="1" si="3"/>
        <v>7635000</v>
      </c>
      <c r="AD44" s="105">
        <f>ROUND(L44*LK_AllowanceRates!$B$25/100,0)</f>
        <v>157300</v>
      </c>
      <c r="AE44" s="106">
        <f t="shared" ca="1" si="4"/>
        <v>7477700</v>
      </c>
      <c r="AF44" s="106">
        <f t="shared" ca="1" si="5"/>
        <v>432770</v>
      </c>
      <c r="AG44" s="107">
        <v>0</v>
      </c>
      <c r="AH44" s="107">
        <v>0</v>
      </c>
      <c r="AI44" s="108">
        <f t="shared" ca="1" si="6"/>
        <v>590070</v>
      </c>
      <c r="AJ44" s="109">
        <f t="shared" ca="1" si="7"/>
        <v>7044930</v>
      </c>
    </row>
    <row r="45" spans="1:36" ht="15" customHeight="1" x14ac:dyDescent="0.3">
      <c r="A45" s="98" t="str">
        <f>EMPLOYEE_MASTER!A45</f>
        <v>LAO00042</v>
      </c>
      <c r="B45" s="98" t="str">
        <f>EMPLOYEE_MASTER!C45</f>
        <v>Khamphone</v>
      </c>
      <c r="C45" s="98" t="str">
        <f>EMPLOYEE_MASTER!D45</f>
        <v>Manivong</v>
      </c>
      <c r="D45" s="98" t="str">
        <f>EMPLOYEE_MASTER!T45</f>
        <v>Ministry of Foreign Affairs (MFA)</v>
      </c>
      <c r="E45" s="98" t="str">
        <f>EMPLOYEE_MASTER!M45</f>
        <v>Counselor</v>
      </c>
      <c r="F45" s="98" t="str">
        <f>EMPLOYEE_MASTER!Z45</f>
        <v>Diplomatic</v>
      </c>
      <c r="G45" s="99">
        <f>EMPLOYEE_MASTER!P45</f>
        <v>5</v>
      </c>
      <c r="H45" s="99">
        <f>EMPLOYEE_MASTER!Q45</f>
        <v>1</v>
      </c>
      <c r="I45" s="100" t="str">
        <f t="shared" si="0"/>
        <v>G05-S01</v>
      </c>
      <c r="J45" s="100">
        <f>IFERROR(VLOOKUP(I45,LK_GradeStep!$C$4:$D$85,2,0),0)</f>
        <v>308</v>
      </c>
      <c r="K45" s="100">
        <f>IFERROR(VLOOKUP(I45,LK_GradeStep!$C$4:$E$85,3,0),10000)</f>
        <v>10000</v>
      </c>
      <c r="L45" s="100">
        <f t="shared" si="1"/>
        <v>3080000</v>
      </c>
      <c r="M45" s="101">
        <f>IFERROR(VLOOKUP(EMPLOYEE_MASTER!AQ45,LK_AllowanceRates!$A$5:$B$11,2,0),0)</f>
        <v>900000</v>
      </c>
      <c r="N45" s="101">
        <f ca="1">IFERROR(IF(EMPLOYEE_MASTER!J45&lt;=5,  EMPLOYEE_MASTER!J45*LK_AllowanceRates!$B$12,IF(EMPLOYEE_MASTER!J45&lt;=15, EMPLOYEE_MASTER!J45*LK_AllowanceRates!$B$13,IF(EMPLOYEE_MASTER!J45&lt;=25, EMPLOYEE_MASTER!J45*LK_AllowanceRates!$B$14,EMPLOYEE_MASTER!J45*LK_AllowanceRates!$B$15))),0)</f>
        <v>690000</v>
      </c>
      <c r="O45" s="101">
        <f>IF(EMPLOYEE_MASTER!AS45="Teaching",L45*LK_AllowanceRates!$B$16,0)</f>
        <v>0</v>
      </c>
      <c r="P45" s="101">
        <f>IF(EMPLOYEE_MASTER!AS45="Medical",LK_AllowanceRates!$B$17,0)</f>
        <v>0</v>
      </c>
      <c r="Q45" s="101">
        <f>IF(EMPLOYEE_MASTER!AR45="Yes",LK_AllowanceRates!$B$18,0)</f>
        <v>0</v>
      </c>
      <c r="R45" s="101">
        <f>IF(EMPLOYEE_MASTER!AC45="Yes",LK_AllowanceRates!$B$19,0)</f>
        <v>1000000</v>
      </c>
      <c r="S45" s="101">
        <f>IF(EMPLOYEE_MASTER!AA45="Yes",L45*LK_AllowanceRates!$B$20,0)</f>
        <v>770000</v>
      </c>
      <c r="T45" s="101">
        <f>IF(EMPLOYEE_MASTER!AB45="Yes",LK_AllowanceRates!$B$21,0)</f>
        <v>0</v>
      </c>
      <c r="U45" s="101">
        <f>IF(EMPLOYEE_MASTER!P45&gt;=6,LK_AllowanceRates!$B$22,0)</f>
        <v>0</v>
      </c>
      <c r="V45" s="101">
        <f>IF(EMPLOYEE_MASTER!AO45="Yes",LK_AllowanceRates!$B$23,0)</f>
        <v>200000</v>
      </c>
      <c r="W45" s="101">
        <f>EMPLOYEE_MASTER!AP45*LK_AllowanceRates!$B$24</f>
        <v>600000</v>
      </c>
      <c r="X45" s="101">
        <v>0</v>
      </c>
      <c r="Y45" s="102">
        <v>0</v>
      </c>
      <c r="Z45" s="102">
        <v>0</v>
      </c>
      <c r="AA45" s="102">
        <v>0</v>
      </c>
      <c r="AB45" s="103">
        <f t="shared" ca="1" si="2"/>
        <v>4160000</v>
      </c>
      <c r="AC45" s="104">
        <f t="shared" ca="1" si="3"/>
        <v>7240000</v>
      </c>
      <c r="AD45" s="105">
        <f>ROUND(L45*LK_AllowanceRates!$B$25/100,0)</f>
        <v>169400</v>
      </c>
      <c r="AE45" s="106">
        <f t="shared" ca="1" si="4"/>
        <v>7070600</v>
      </c>
      <c r="AF45" s="106">
        <f t="shared" ca="1" si="5"/>
        <v>392060</v>
      </c>
      <c r="AG45" s="107">
        <v>0</v>
      </c>
      <c r="AH45" s="107">
        <v>0</v>
      </c>
      <c r="AI45" s="108">
        <f t="shared" ca="1" si="6"/>
        <v>561460</v>
      </c>
      <c r="AJ45" s="109">
        <f t="shared" ca="1" si="7"/>
        <v>6678540</v>
      </c>
    </row>
    <row r="46" spans="1:36" ht="15" customHeight="1" x14ac:dyDescent="0.3">
      <c r="A46" s="98" t="str">
        <f>EMPLOYEE_MASTER!A46</f>
        <v>LAO00043</v>
      </c>
      <c r="B46" s="98" t="str">
        <f>EMPLOYEE_MASTER!C46</f>
        <v>Dalavanh</v>
      </c>
      <c r="C46" s="98" t="str">
        <f>EMPLOYEE_MASTER!D46</f>
        <v>Xayavong</v>
      </c>
      <c r="D46" s="98" t="str">
        <f>EMPLOYEE_MASTER!T46</f>
        <v>Ministry of Education and Sports (MoES)</v>
      </c>
      <c r="E46" s="98" t="str">
        <f>EMPLOYEE_MASTER!M46</f>
        <v>Associate Professor</v>
      </c>
      <c r="F46" s="98" t="str">
        <f>EMPLOYEE_MASTER!Z46</f>
        <v>Teacher</v>
      </c>
      <c r="G46" s="99">
        <f>EMPLOYEE_MASTER!P46</f>
        <v>5</v>
      </c>
      <c r="H46" s="99">
        <f>EMPLOYEE_MASTER!Q46</f>
        <v>15</v>
      </c>
      <c r="I46" s="100" t="str">
        <f t="shared" si="0"/>
        <v>G05-S15</v>
      </c>
      <c r="J46" s="100">
        <f>IFERROR(VLOOKUP(I46,LK_GradeStep!$C$4:$D$85,2,0),0)</f>
        <v>418</v>
      </c>
      <c r="K46" s="100">
        <f>IFERROR(VLOOKUP(I46,LK_GradeStep!$C$4:$E$85,3,0),10000)</f>
        <v>10000</v>
      </c>
      <c r="L46" s="100">
        <f t="shared" si="1"/>
        <v>4180000</v>
      </c>
      <c r="M46" s="101">
        <f>IFERROR(VLOOKUP(EMPLOYEE_MASTER!AQ46,LK_AllowanceRates!$A$5:$B$11,2,0),0)</f>
        <v>900000</v>
      </c>
      <c r="N46" s="101">
        <f ca="1">IFERROR(IF(EMPLOYEE_MASTER!J46&lt;=5,  EMPLOYEE_MASTER!J46*LK_AllowanceRates!$B$12,IF(EMPLOYEE_MASTER!J46&lt;=15, EMPLOYEE_MASTER!J46*LK_AllowanceRates!$B$13,IF(EMPLOYEE_MASTER!J46&lt;=25, EMPLOYEE_MASTER!J46*LK_AllowanceRates!$B$14,EMPLOYEE_MASTER!J46*LK_AllowanceRates!$B$15))),0)</f>
        <v>180000</v>
      </c>
      <c r="O46" s="101">
        <f>IF(EMPLOYEE_MASTER!AS46="Teaching",L46*LK_AllowanceRates!$B$16,0)</f>
        <v>836000</v>
      </c>
      <c r="P46" s="101">
        <f>IF(EMPLOYEE_MASTER!AS46="Medical",LK_AllowanceRates!$B$17,0)</f>
        <v>0</v>
      </c>
      <c r="Q46" s="101">
        <f>IF(EMPLOYEE_MASTER!AR46="Yes",LK_AllowanceRates!$B$18,0)</f>
        <v>0</v>
      </c>
      <c r="R46" s="101">
        <f>IF(EMPLOYEE_MASTER!AC46="Yes",LK_AllowanceRates!$B$19,0)</f>
        <v>1000000</v>
      </c>
      <c r="S46" s="101">
        <f>IF(EMPLOYEE_MASTER!AA46="Yes",L46*LK_AllowanceRates!$B$20,0)</f>
        <v>0</v>
      </c>
      <c r="T46" s="101">
        <f>IF(EMPLOYEE_MASTER!AB46="Yes",LK_AllowanceRates!$B$21,0)</f>
        <v>0</v>
      </c>
      <c r="U46" s="101">
        <f>IF(EMPLOYEE_MASTER!P46&gt;=6,LK_AllowanceRates!$B$22,0)</f>
        <v>0</v>
      </c>
      <c r="V46" s="101">
        <f>IF(EMPLOYEE_MASTER!AO46="Yes",LK_AllowanceRates!$B$23,0)</f>
        <v>200000</v>
      </c>
      <c r="W46" s="101">
        <f>EMPLOYEE_MASTER!AP46*LK_AllowanceRates!$B$24</f>
        <v>200000</v>
      </c>
      <c r="X46" s="101">
        <v>0</v>
      </c>
      <c r="Y46" s="102">
        <v>0</v>
      </c>
      <c r="Z46" s="102">
        <v>0</v>
      </c>
      <c r="AA46" s="102">
        <v>0</v>
      </c>
      <c r="AB46" s="103">
        <f t="shared" ca="1" si="2"/>
        <v>3316000</v>
      </c>
      <c r="AC46" s="104">
        <f t="shared" ca="1" si="3"/>
        <v>7496000</v>
      </c>
      <c r="AD46" s="105">
        <f>ROUND(L46*LK_AllowanceRates!$B$25/100,0)</f>
        <v>229900</v>
      </c>
      <c r="AE46" s="106">
        <f t="shared" ca="1" si="4"/>
        <v>7266100</v>
      </c>
      <c r="AF46" s="106">
        <f t="shared" ca="1" si="5"/>
        <v>411610</v>
      </c>
      <c r="AG46" s="107">
        <v>0</v>
      </c>
      <c r="AH46" s="107">
        <v>0</v>
      </c>
      <c r="AI46" s="108">
        <f t="shared" ca="1" si="6"/>
        <v>641510</v>
      </c>
      <c r="AJ46" s="109">
        <f t="shared" ca="1" si="7"/>
        <v>6854490</v>
      </c>
    </row>
    <row r="47" spans="1:36" ht="15" customHeight="1" x14ac:dyDescent="0.3">
      <c r="A47" s="98" t="str">
        <f>EMPLOYEE_MASTER!A47</f>
        <v>LAO00044</v>
      </c>
      <c r="B47" s="98" t="str">
        <f>EMPLOYEE_MASTER!C47</f>
        <v>Keovilay</v>
      </c>
      <c r="C47" s="98" t="str">
        <f>EMPLOYEE_MASTER!D47</f>
        <v>Phonemany</v>
      </c>
      <c r="D47" s="98" t="str">
        <f>EMPLOYEE_MASTER!T47</f>
        <v>Ministry of Home Affairs (MoHA)</v>
      </c>
      <c r="E47" s="98" t="str">
        <f>EMPLOYEE_MASTER!M47</f>
        <v>Officer</v>
      </c>
      <c r="F47" s="98" t="str">
        <f>EMPLOYEE_MASTER!Z47</f>
        <v>Administration</v>
      </c>
      <c r="G47" s="99">
        <f>EMPLOYEE_MASTER!P47</f>
        <v>3</v>
      </c>
      <c r="H47" s="99">
        <f>EMPLOYEE_MASTER!Q47</f>
        <v>1</v>
      </c>
      <c r="I47" s="100" t="str">
        <f t="shared" si="0"/>
        <v>G03-S01</v>
      </c>
      <c r="J47" s="100">
        <f>IFERROR(VLOOKUP(I47,LK_GradeStep!$C$4:$D$85,2,0),0)</f>
        <v>276</v>
      </c>
      <c r="K47" s="100">
        <f>IFERROR(VLOOKUP(I47,LK_GradeStep!$C$4:$E$85,3,0),10000)</f>
        <v>10000</v>
      </c>
      <c r="L47" s="100">
        <f t="shared" si="1"/>
        <v>2760000</v>
      </c>
      <c r="M47" s="101">
        <f>IFERROR(VLOOKUP(EMPLOYEE_MASTER!AQ47,LK_AllowanceRates!$A$5:$B$11,2,0),0)</f>
        <v>900000</v>
      </c>
      <c r="N47" s="101">
        <f ca="1">IFERROR(IF(EMPLOYEE_MASTER!J47&lt;=5,  EMPLOYEE_MASTER!J47*LK_AllowanceRates!$B$12,IF(EMPLOYEE_MASTER!J47&lt;=15, EMPLOYEE_MASTER!J47*LK_AllowanceRates!$B$13,IF(EMPLOYEE_MASTER!J47&lt;=25, EMPLOYEE_MASTER!J47*LK_AllowanceRates!$B$14,EMPLOYEE_MASTER!J47*LK_AllowanceRates!$B$15))),0)</f>
        <v>120000</v>
      </c>
      <c r="O47" s="101">
        <f>IF(EMPLOYEE_MASTER!AS47="Teaching",L47*LK_AllowanceRates!$B$16,0)</f>
        <v>0</v>
      </c>
      <c r="P47" s="101">
        <f>IF(EMPLOYEE_MASTER!AS47="Medical",LK_AllowanceRates!$B$17,0)</f>
        <v>0</v>
      </c>
      <c r="Q47" s="101">
        <f>IF(EMPLOYEE_MASTER!AR47="Yes",LK_AllowanceRates!$B$18,0)</f>
        <v>0</v>
      </c>
      <c r="R47" s="101">
        <f>IF(EMPLOYEE_MASTER!AC47="Yes",LK_AllowanceRates!$B$19,0)</f>
        <v>1000000</v>
      </c>
      <c r="S47" s="101">
        <f>IF(EMPLOYEE_MASTER!AA47="Yes",L47*LK_AllowanceRates!$B$20,0)</f>
        <v>690000</v>
      </c>
      <c r="T47" s="101">
        <f>IF(EMPLOYEE_MASTER!AB47="Yes",LK_AllowanceRates!$B$21,0)</f>
        <v>0</v>
      </c>
      <c r="U47" s="101">
        <f>IF(EMPLOYEE_MASTER!P47&gt;=6,LK_AllowanceRates!$B$22,0)</f>
        <v>0</v>
      </c>
      <c r="V47" s="101">
        <f>IF(EMPLOYEE_MASTER!AO47="Yes",LK_AllowanceRates!$B$23,0)</f>
        <v>200000</v>
      </c>
      <c r="W47" s="101">
        <f>EMPLOYEE_MASTER!AP47*LK_AllowanceRates!$B$24</f>
        <v>0</v>
      </c>
      <c r="X47" s="101">
        <v>0</v>
      </c>
      <c r="Y47" s="102">
        <v>0</v>
      </c>
      <c r="Z47" s="102">
        <v>0</v>
      </c>
      <c r="AA47" s="102">
        <v>0</v>
      </c>
      <c r="AB47" s="103">
        <f t="shared" ca="1" si="2"/>
        <v>2910000</v>
      </c>
      <c r="AC47" s="104">
        <f t="shared" ca="1" si="3"/>
        <v>5670000</v>
      </c>
      <c r="AD47" s="105">
        <f>ROUND(L47*LK_AllowanceRates!$B$25/100,0)</f>
        <v>151800</v>
      </c>
      <c r="AE47" s="106">
        <f t="shared" ca="1" si="4"/>
        <v>5518200</v>
      </c>
      <c r="AF47" s="106">
        <f t="shared" ca="1" si="5"/>
        <v>236820</v>
      </c>
      <c r="AG47" s="107">
        <v>0</v>
      </c>
      <c r="AH47" s="107">
        <v>0</v>
      </c>
      <c r="AI47" s="108">
        <f t="shared" ca="1" si="6"/>
        <v>388620</v>
      </c>
      <c r="AJ47" s="109">
        <f t="shared" ca="1" si="7"/>
        <v>5281380</v>
      </c>
    </row>
    <row r="48" spans="1:36" ht="15" customHeight="1" x14ac:dyDescent="0.3">
      <c r="A48" s="98" t="str">
        <f>EMPLOYEE_MASTER!A48</f>
        <v>LAO00045</v>
      </c>
      <c r="B48" s="98" t="str">
        <f>EMPLOYEE_MASTER!C48</f>
        <v>Keovilay</v>
      </c>
      <c r="C48" s="98" t="str">
        <f>EMPLOYEE_MASTER!D48</f>
        <v>Phiaylack</v>
      </c>
      <c r="D48" s="98" t="str">
        <f>EMPLOYEE_MASTER!T48</f>
        <v>National Assembly (NA)</v>
      </c>
      <c r="E48" s="98" t="str">
        <f>EMPLOYEE_MASTER!M48</f>
        <v>Deputy Department Director</v>
      </c>
      <c r="F48" s="98" t="str">
        <f>EMPLOYEE_MASTER!Z48</f>
        <v>Administration</v>
      </c>
      <c r="G48" s="99">
        <f>EMPLOYEE_MASTER!P48</f>
        <v>5</v>
      </c>
      <c r="H48" s="99">
        <f>EMPLOYEE_MASTER!Q48</f>
        <v>1</v>
      </c>
      <c r="I48" s="100" t="str">
        <f t="shared" si="0"/>
        <v>G05-S01</v>
      </c>
      <c r="J48" s="100">
        <f>IFERROR(VLOOKUP(I48,LK_GradeStep!$C$4:$D$85,2,0),0)</f>
        <v>308</v>
      </c>
      <c r="K48" s="100">
        <f>IFERROR(VLOOKUP(I48,LK_GradeStep!$C$4:$E$85,3,0),10000)</f>
        <v>10000</v>
      </c>
      <c r="L48" s="100">
        <f t="shared" si="1"/>
        <v>3080000</v>
      </c>
      <c r="M48" s="101">
        <f>IFERROR(VLOOKUP(EMPLOYEE_MASTER!AQ48,LK_AllowanceRates!$A$5:$B$11,2,0),0)</f>
        <v>900000</v>
      </c>
      <c r="N48" s="101">
        <f ca="1">IFERROR(IF(EMPLOYEE_MASTER!J48&lt;=5,  EMPLOYEE_MASTER!J48*LK_AllowanceRates!$B$12,IF(EMPLOYEE_MASTER!J48&lt;=15, EMPLOYEE_MASTER!J48*LK_AllowanceRates!$B$13,IF(EMPLOYEE_MASTER!J48&lt;=25, EMPLOYEE_MASTER!J48*LK_AllowanceRates!$B$14,EMPLOYEE_MASTER!J48*LK_AllowanceRates!$B$15))),0)</f>
        <v>1440000</v>
      </c>
      <c r="O48" s="101">
        <f>IF(EMPLOYEE_MASTER!AS48="Teaching",L48*LK_AllowanceRates!$B$16,0)</f>
        <v>0</v>
      </c>
      <c r="P48" s="101">
        <f>IF(EMPLOYEE_MASTER!AS48="Medical",LK_AllowanceRates!$B$17,0)</f>
        <v>0</v>
      </c>
      <c r="Q48" s="101">
        <f>IF(EMPLOYEE_MASTER!AR48="Yes",LK_AllowanceRates!$B$18,0)</f>
        <v>1000000</v>
      </c>
      <c r="R48" s="101">
        <f>IF(EMPLOYEE_MASTER!AC48="Yes",LK_AllowanceRates!$B$19,0)</f>
        <v>0</v>
      </c>
      <c r="S48" s="101">
        <f>IF(EMPLOYEE_MASTER!AA48="Yes",L48*LK_AllowanceRates!$B$20,0)</f>
        <v>0</v>
      </c>
      <c r="T48" s="101">
        <f>IF(EMPLOYEE_MASTER!AB48="Yes",LK_AllowanceRates!$B$21,0)</f>
        <v>0</v>
      </c>
      <c r="U48" s="101">
        <f>IF(EMPLOYEE_MASTER!P48&gt;=6,LK_AllowanceRates!$B$22,0)</f>
        <v>0</v>
      </c>
      <c r="V48" s="101">
        <f>IF(EMPLOYEE_MASTER!AO48="Yes",LK_AllowanceRates!$B$23,0)</f>
        <v>0</v>
      </c>
      <c r="W48" s="101">
        <f>EMPLOYEE_MASTER!AP48*LK_AllowanceRates!$B$24</f>
        <v>0</v>
      </c>
      <c r="X48" s="101">
        <v>0</v>
      </c>
      <c r="Y48" s="102">
        <v>0</v>
      </c>
      <c r="Z48" s="102">
        <v>0</v>
      </c>
      <c r="AA48" s="102">
        <v>0</v>
      </c>
      <c r="AB48" s="103">
        <f t="shared" ca="1" si="2"/>
        <v>3340000</v>
      </c>
      <c r="AC48" s="104">
        <f t="shared" ca="1" si="3"/>
        <v>6420000</v>
      </c>
      <c r="AD48" s="105">
        <f>ROUND(L48*LK_AllowanceRates!$B$25/100,0)</f>
        <v>169400</v>
      </c>
      <c r="AE48" s="106">
        <f t="shared" ca="1" si="4"/>
        <v>6250600</v>
      </c>
      <c r="AF48" s="106">
        <f t="shared" ca="1" si="5"/>
        <v>310060</v>
      </c>
      <c r="AG48" s="107">
        <v>0</v>
      </c>
      <c r="AH48" s="107">
        <v>0</v>
      </c>
      <c r="AI48" s="108">
        <f t="shared" ca="1" si="6"/>
        <v>479460</v>
      </c>
      <c r="AJ48" s="109">
        <f t="shared" ca="1" si="7"/>
        <v>5940540</v>
      </c>
    </row>
    <row r="49" spans="1:36" ht="15" customHeight="1" x14ac:dyDescent="0.3">
      <c r="A49" s="98" t="str">
        <f>EMPLOYEE_MASTER!A49</f>
        <v>LAO00046</v>
      </c>
      <c r="B49" s="98" t="str">
        <f>EMPLOYEE_MASTER!C49</f>
        <v>Bounthavy</v>
      </c>
      <c r="C49" s="98" t="str">
        <f>EMPLOYEE_MASTER!D49</f>
        <v>Bounphanixay</v>
      </c>
      <c r="D49" s="98" t="str">
        <f>EMPLOYEE_MASTER!T49</f>
        <v>Ministry of Education and Sports (MoES)</v>
      </c>
      <c r="E49" s="98" t="str">
        <f>EMPLOYEE_MASTER!M49</f>
        <v>Secondary School Teacher</v>
      </c>
      <c r="F49" s="98" t="str">
        <f>EMPLOYEE_MASTER!Z49</f>
        <v>Teacher</v>
      </c>
      <c r="G49" s="99">
        <f>EMPLOYEE_MASTER!P49</f>
        <v>4</v>
      </c>
      <c r="H49" s="99">
        <f>EMPLOYEE_MASTER!Q49</f>
        <v>8</v>
      </c>
      <c r="I49" s="100" t="str">
        <f t="shared" si="0"/>
        <v>G04-S08</v>
      </c>
      <c r="J49" s="100">
        <f>IFERROR(VLOOKUP(I49,LK_GradeStep!$C$4:$D$85,2,0),0)</f>
        <v>303</v>
      </c>
      <c r="K49" s="100">
        <f>IFERROR(VLOOKUP(I49,LK_GradeStep!$C$4:$E$85,3,0),10000)</f>
        <v>10000</v>
      </c>
      <c r="L49" s="100">
        <f t="shared" si="1"/>
        <v>3030000</v>
      </c>
      <c r="M49" s="101">
        <f>IFERROR(VLOOKUP(EMPLOYEE_MASTER!AQ49,LK_AllowanceRates!$A$5:$B$11,2,0),0)</f>
        <v>900000</v>
      </c>
      <c r="N49" s="101">
        <f ca="1">IFERROR(IF(EMPLOYEE_MASTER!J49&lt;=5,  EMPLOYEE_MASTER!J49*LK_AllowanceRates!$B$12,IF(EMPLOYEE_MASTER!J49&lt;=15, EMPLOYEE_MASTER!J49*LK_AllowanceRates!$B$13,IF(EMPLOYEE_MASTER!J49&lt;=25, EMPLOYEE_MASTER!J49*LK_AllowanceRates!$B$14,EMPLOYEE_MASTER!J49*LK_AllowanceRates!$B$15))),0)</f>
        <v>180000</v>
      </c>
      <c r="O49" s="101">
        <f>IF(EMPLOYEE_MASTER!AS49="Teaching",L49*LK_AllowanceRates!$B$16,0)</f>
        <v>606000</v>
      </c>
      <c r="P49" s="101">
        <f>IF(EMPLOYEE_MASTER!AS49="Medical",LK_AllowanceRates!$B$17,0)</f>
        <v>0</v>
      </c>
      <c r="Q49" s="101">
        <f>IF(EMPLOYEE_MASTER!AR49="Yes",LK_AllowanceRates!$B$18,0)</f>
        <v>0</v>
      </c>
      <c r="R49" s="101">
        <f>IF(EMPLOYEE_MASTER!AC49="Yes",LK_AllowanceRates!$B$19,0)</f>
        <v>0</v>
      </c>
      <c r="S49" s="101">
        <f>IF(EMPLOYEE_MASTER!AA49="Yes",L49*LK_AllowanceRates!$B$20,0)</f>
        <v>0</v>
      </c>
      <c r="T49" s="101">
        <f>IF(EMPLOYEE_MASTER!AB49="Yes",LK_AllowanceRates!$B$21,0)</f>
        <v>0</v>
      </c>
      <c r="U49" s="101">
        <f>IF(EMPLOYEE_MASTER!P49&gt;=6,LK_AllowanceRates!$B$22,0)</f>
        <v>0</v>
      </c>
      <c r="V49" s="101">
        <f>IF(EMPLOYEE_MASTER!AO49="Yes",LK_AllowanceRates!$B$23,0)</f>
        <v>200000</v>
      </c>
      <c r="W49" s="101">
        <f>EMPLOYEE_MASTER!AP49*LK_AllowanceRates!$B$24</f>
        <v>200000</v>
      </c>
      <c r="X49" s="101">
        <v>0</v>
      </c>
      <c r="Y49" s="102">
        <v>0</v>
      </c>
      <c r="Z49" s="102">
        <v>0</v>
      </c>
      <c r="AA49" s="102">
        <v>0</v>
      </c>
      <c r="AB49" s="103">
        <f t="shared" ca="1" si="2"/>
        <v>2086000</v>
      </c>
      <c r="AC49" s="104">
        <f t="shared" ca="1" si="3"/>
        <v>5116000</v>
      </c>
      <c r="AD49" s="105">
        <f>ROUND(L49*LK_AllowanceRates!$B$25/100,0)</f>
        <v>166650</v>
      </c>
      <c r="AE49" s="106">
        <f t="shared" ca="1" si="4"/>
        <v>4949350</v>
      </c>
      <c r="AF49" s="106">
        <f t="shared" ca="1" si="5"/>
        <v>182467.5</v>
      </c>
      <c r="AG49" s="107">
        <v>0</v>
      </c>
      <c r="AH49" s="107">
        <v>0</v>
      </c>
      <c r="AI49" s="108">
        <f t="shared" ca="1" si="6"/>
        <v>349117.5</v>
      </c>
      <c r="AJ49" s="109">
        <f t="shared" ca="1" si="7"/>
        <v>4766882.5</v>
      </c>
    </row>
    <row r="50" spans="1:36" ht="15" customHeight="1" x14ac:dyDescent="0.3">
      <c r="A50" s="98" t="str">
        <f>EMPLOYEE_MASTER!A50</f>
        <v>LAO00047</v>
      </c>
      <c r="B50" s="98" t="str">
        <f>EMPLOYEE_MASTER!C50</f>
        <v>Souphan</v>
      </c>
      <c r="C50" s="98" t="str">
        <f>EMPLOYEE_MASTER!D50</f>
        <v>Keokhamphanh</v>
      </c>
      <c r="D50" s="98" t="str">
        <f>EMPLOYEE_MASTER!T50</f>
        <v>Ministry of Education and Sports (MoES)</v>
      </c>
      <c r="E50" s="98" t="str">
        <f>EMPLOYEE_MASTER!M50</f>
        <v>Technical Vocational Trainer</v>
      </c>
      <c r="F50" s="98" t="str">
        <f>EMPLOYEE_MASTER!Z50</f>
        <v>Teacher</v>
      </c>
      <c r="G50" s="99">
        <f>EMPLOYEE_MASTER!P50</f>
        <v>3</v>
      </c>
      <c r="H50" s="99">
        <f>EMPLOYEE_MASTER!Q50</f>
        <v>1</v>
      </c>
      <c r="I50" s="100" t="str">
        <f t="shared" si="0"/>
        <v>G03-S01</v>
      </c>
      <c r="J50" s="100">
        <f>IFERROR(VLOOKUP(I50,LK_GradeStep!$C$4:$D$85,2,0),0)</f>
        <v>276</v>
      </c>
      <c r="K50" s="100">
        <f>IFERROR(VLOOKUP(I50,LK_GradeStep!$C$4:$E$85,3,0),10000)</f>
        <v>10000</v>
      </c>
      <c r="L50" s="100">
        <f t="shared" si="1"/>
        <v>2760000</v>
      </c>
      <c r="M50" s="101">
        <f>IFERROR(VLOOKUP(EMPLOYEE_MASTER!AQ50,LK_AllowanceRates!$A$5:$B$11,2,0),0)</f>
        <v>900000</v>
      </c>
      <c r="N50" s="101">
        <f ca="1">IFERROR(IF(EMPLOYEE_MASTER!J50&lt;=5,  EMPLOYEE_MASTER!J50*LK_AllowanceRates!$B$12,IF(EMPLOYEE_MASTER!J50&lt;=15, EMPLOYEE_MASTER!J50*LK_AllowanceRates!$B$13,IF(EMPLOYEE_MASTER!J50&lt;=25, EMPLOYEE_MASTER!J50*LK_AllowanceRates!$B$14,EMPLOYEE_MASTER!J50*LK_AllowanceRates!$B$15))),0)</f>
        <v>240000</v>
      </c>
      <c r="O50" s="101">
        <f>IF(EMPLOYEE_MASTER!AS50="Teaching",L50*LK_AllowanceRates!$B$16,0)</f>
        <v>552000</v>
      </c>
      <c r="P50" s="101">
        <f>IF(EMPLOYEE_MASTER!AS50="Medical",LK_AllowanceRates!$B$17,0)</f>
        <v>0</v>
      </c>
      <c r="Q50" s="101">
        <f>IF(EMPLOYEE_MASTER!AR50="Yes",LK_AllowanceRates!$B$18,0)</f>
        <v>0</v>
      </c>
      <c r="R50" s="101">
        <f>IF(EMPLOYEE_MASTER!AC50="Yes",LK_AllowanceRates!$B$19,0)</f>
        <v>1000000</v>
      </c>
      <c r="S50" s="101">
        <f>IF(EMPLOYEE_MASTER!AA50="Yes",L50*LK_AllowanceRates!$B$20,0)</f>
        <v>690000</v>
      </c>
      <c r="T50" s="101">
        <f>IF(EMPLOYEE_MASTER!AB50="Yes",LK_AllowanceRates!$B$21,0)</f>
        <v>0</v>
      </c>
      <c r="U50" s="101">
        <f>IF(EMPLOYEE_MASTER!P50&gt;=6,LK_AllowanceRates!$B$22,0)</f>
        <v>0</v>
      </c>
      <c r="V50" s="101">
        <f>IF(EMPLOYEE_MASTER!AO50="Yes",LK_AllowanceRates!$B$23,0)</f>
        <v>0</v>
      </c>
      <c r="W50" s="101">
        <f>EMPLOYEE_MASTER!AP50*LK_AllowanceRates!$B$24</f>
        <v>0</v>
      </c>
      <c r="X50" s="101">
        <v>0</v>
      </c>
      <c r="Y50" s="102">
        <v>0</v>
      </c>
      <c r="Z50" s="102">
        <v>0</v>
      </c>
      <c r="AA50" s="102">
        <v>0</v>
      </c>
      <c r="AB50" s="103">
        <f t="shared" ca="1" si="2"/>
        <v>3382000</v>
      </c>
      <c r="AC50" s="104">
        <f t="shared" ca="1" si="3"/>
        <v>6142000</v>
      </c>
      <c r="AD50" s="105">
        <f>ROUND(L50*LK_AllowanceRates!$B$25/100,0)</f>
        <v>151800</v>
      </c>
      <c r="AE50" s="106">
        <f t="shared" ca="1" si="4"/>
        <v>5990200</v>
      </c>
      <c r="AF50" s="106">
        <f t="shared" ca="1" si="5"/>
        <v>284020</v>
      </c>
      <c r="AG50" s="107">
        <v>0</v>
      </c>
      <c r="AH50" s="107">
        <v>0</v>
      </c>
      <c r="AI50" s="108">
        <f t="shared" ca="1" si="6"/>
        <v>435820</v>
      </c>
      <c r="AJ50" s="109">
        <f t="shared" ca="1" si="7"/>
        <v>5706180</v>
      </c>
    </row>
    <row r="51" spans="1:36" ht="15" customHeight="1" x14ac:dyDescent="0.3">
      <c r="A51" s="98" t="str">
        <f>EMPLOYEE_MASTER!A51</f>
        <v>LAO00048</v>
      </c>
      <c r="B51" s="98" t="str">
        <f>EMPLOYEE_MASTER!C51</f>
        <v>Dalavanh</v>
      </c>
      <c r="C51" s="98" t="str">
        <f>EMPLOYEE_MASTER!D51</f>
        <v>Phiaylack</v>
      </c>
      <c r="D51" s="98" t="str">
        <f>EMPLOYEE_MASTER!T51</f>
        <v>Ministry of Industry &amp; Commerce (MoIC)</v>
      </c>
      <c r="E51" s="98" t="str">
        <f>EMPLOYEE_MASTER!M51</f>
        <v>Department Director</v>
      </c>
      <c r="F51" s="98" t="str">
        <f>EMPLOYEE_MASTER!Z51</f>
        <v>Administration</v>
      </c>
      <c r="G51" s="99">
        <f>EMPLOYEE_MASTER!P51</f>
        <v>5</v>
      </c>
      <c r="H51" s="99">
        <f>EMPLOYEE_MASTER!Q51</f>
        <v>7</v>
      </c>
      <c r="I51" s="100" t="str">
        <f t="shared" si="0"/>
        <v>G05-S07</v>
      </c>
      <c r="J51" s="100">
        <f>IFERROR(VLOOKUP(I51,LK_GradeStep!$C$4:$D$85,2,0),0)</f>
        <v>338</v>
      </c>
      <c r="K51" s="100">
        <f>IFERROR(VLOOKUP(I51,LK_GradeStep!$C$4:$E$85,3,0),10000)</f>
        <v>10000</v>
      </c>
      <c r="L51" s="100">
        <f t="shared" si="1"/>
        <v>3380000</v>
      </c>
      <c r="M51" s="101">
        <f>IFERROR(VLOOKUP(EMPLOYEE_MASTER!AQ51,LK_AllowanceRates!$A$5:$B$11,2,0),0)</f>
        <v>2500000</v>
      </c>
      <c r="N51" s="101">
        <f ca="1">IFERROR(IF(EMPLOYEE_MASTER!J51&lt;=5,  EMPLOYEE_MASTER!J51*LK_AllowanceRates!$B$12,IF(EMPLOYEE_MASTER!J51&lt;=15, EMPLOYEE_MASTER!J51*LK_AllowanceRates!$B$13,IF(EMPLOYEE_MASTER!J51&lt;=25, EMPLOYEE_MASTER!J51*LK_AllowanceRates!$B$14,EMPLOYEE_MASTER!J51*LK_AllowanceRates!$B$15))),0)</f>
        <v>140000</v>
      </c>
      <c r="O51" s="101">
        <f>IF(EMPLOYEE_MASTER!AS51="Teaching",L51*LK_AllowanceRates!$B$16,0)</f>
        <v>0</v>
      </c>
      <c r="P51" s="101">
        <f>IF(EMPLOYEE_MASTER!AS51="Medical",LK_AllowanceRates!$B$17,0)</f>
        <v>0</v>
      </c>
      <c r="Q51" s="101">
        <f>IF(EMPLOYEE_MASTER!AR51="Yes",LK_AllowanceRates!$B$18,0)</f>
        <v>0</v>
      </c>
      <c r="R51" s="101">
        <f>IF(EMPLOYEE_MASTER!AC51="Yes",LK_AllowanceRates!$B$19,0)</f>
        <v>0</v>
      </c>
      <c r="S51" s="101">
        <f>IF(EMPLOYEE_MASTER!AA51="Yes",L51*LK_AllowanceRates!$B$20,0)</f>
        <v>0</v>
      </c>
      <c r="T51" s="101">
        <f>IF(EMPLOYEE_MASTER!AB51="Yes",LK_AllowanceRates!$B$21,0)</f>
        <v>0</v>
      </c>
      <c r="U51" s="101">
        <f>IF(EMPLOYEE_MASTER!P51&gt;=6,LK_AllowanceRates!$B$22,0)</f>
        <v>0</v>
      </c>
      <c r="V51" s="101">
        <f>IF(EMPLOYEE_MASTER!AO51="Yes",LK_AllowanceRates!$B$23,0)</f>
        <v>200000</v>
      </c>
      <c r="W51" s="101">
        <f>EMPLOYEE_MASTER!AP51*LK_AllowanceRates!$B$24</f>
        <v>400000</v>
      </c>
      <c r="X51" s="101">
        <v>0</v>
      </c>
      <c r="Y51" s="102">
        <v>0</v>
      </c>
      <c r="Z51" s="102">
        <v>0</v>
      </c>
      <c r="AA51" s="102">
        <v>0</v>
      </c>
      <c r="AB51" s="103">
        <f t="shared" ca="1" si="2"/>
        <v>3240000</v>
      </c>
      <c r="AC51" s="104">
        <f t="shared" ca="1" si="3"/>
        <v>6620000</v>
      </c>
      <c r="AD51" s="105">
        <f>ROUND(L51*LK_AllowanceRates!$B$25/100,0)</f>
        <v>185900</v>
      </c>
      <c r="AE51" s="106">
        <f t="shared" ca="1" si="4"/>
        <v>6434100</v>
      </c>
      <c r="AF51" s="106">
        <f t="shared" ca="1" si="5"/>
        <v>328410</v>
      </c>
      <c r="AG51" s="107">
        <v>0</v>
      </c>
      <c r="AH51" s="107">
        <v>0</v>
      </c>
      <c r="AI51" s="108">
        <f t="shared" ca="1" si="6"/>
        <v>514310</v>
      </c>
      <c r="AJ51" s="109">
        <f t="shared" ca="1" si="7"/>
        <v>6105690</v>
      </c>
    </row>
    <row r="52" spans="1:36" ht="15" customHeight="1" x14ac:dyDescent="0.3">
      <c r="A52" s="98" t="str">
        <f>EMPLOYEE_MASTER!A52</f>
        <v>LAO00049</v>
      </c>
      <c r="B52" s="98" t="str">
        <f>EMPLOYEE_MASTER!C52</f>
        <v>Thongsack</v>
      </c>
      <c r="C52" s="98" t="str">
        <f>EMPLOYEE_MASTER!D52</f>
        <v>Khonesavanh</v>
      </c>
      <c r="D52" s="98" t="str">
        <f>EMPLOYEE_MASTER!T52</f>
        <v>Ministry of Home Affairs (MoHA)</v>
      </c>
      <c r="E52" s="98" t="str">
        <f>EMPLOYEE_MASTER!M52</f>
        <v>Administrative Officer</v>
      </c>
      <c r="F52" s="98" t="str">
        <f>EMPLOYEE_MASTER!Z52</f>
        <v>Administration</v>
      </c>
      <c r="G52" s="99">
        <f>EMPLOYEE_MASTER!P52</f>
        <v>2</v>
      </c>
      <c r="H52" s="99">
        <f>EMPLOYEE_MASTER!Q52</f>
        <v>1</v>
      </c>
      <c r="I52" s="100" t="str">
        <f t="shared" si="0"/>
        <v>G02-S01</v>
      </c>
      <c r="J52" s="100">
        <f>IFERROR(VLOOKUP(I52,LK_GradeStep!$C$4:$D$85,2,0),0)</f>
        <v>268</v>
      </c>
      <c r="K52" s="100">
        <f>IFERROR(VLOOKUP(I52,LK_GradeStep!$C$4:$E$85,3,0),10000)</f>
        <v>10000</v>
      </c>
      <c r="L52" s="100">
        <f t="shared" si="1"/>
        <v>2680000</v>
      </c>
      <c r="M52" s="101">
        <f>IFERROR(VLOOKUP(EMPLOYEE_MASTER!AQ52,LK_AllowanceRates!$A$5:$B$11,2,0),0)</f>
        <v>900000</v>
      </c>
      <c r="N52" s="101">
        <f ca="1">IFERROR(IF(EMPLOYEE_MASTER!J52&lt;=5,  EMPLOYEE_MASTER!J52*LK_AllowanceRates!$B$12,IF(EMPLOYEE_MASTER!J52&lt;=15, EMPLOYEE_MASTER!J52*LK_AllowanceRates!$B$13,IF(EMPLOYEE_MASTER!J52&lt;=25, EMPLOYEE_MASTER!J52*LK_AllowanceRates!$B$14,EMPLOYEE_MASTER!J52*LK_AllowanceRates!$B$15))),0)</f>
        <v>300000</v>
      </c>
      <c r="O52" s="101">
        <f>IF(EMPLOYEE_MASTER!AS52="Teaching",L52*LK_AllowanceRates!$B$16,0)</f>
        <v>0</v>
      </c>
      <c r="P52" s="101">
        <f>IF(EMPLOYEE_MASTER!AS52="Medical",LK_AllowanceRates!$B$17,0)</f>
        <v>0</v>
      </c>
      <c r="Q52" s="101">
        <f>IF(EMPLOYEE_MASTER!AR52="Yes",LK_AllowanceRates!$B$18,0)</f>
        <v>0</v>
      </c>
      <c r="R52" s="101">
        <f>IF(EMPLOYEE_MASTER!AC52="Yes",LK_AllowanceRates!$B$19,0)</f>
        <v>0</v>
      </c>
      <c r="S52" s="101">
        <f>IF(EMPLOYEE_MASTER!AA52="Yes",L52*LK_AllowanceRates!$B$20,0)</f>
        <v>670000</v>
      </c>
      <c r="T52" s="101">
        <f>IF(EMPLOYEE_MASTER!AB52="Yes",LK_AllowanceRates!$B$21,0)</f>
        <v>0</v>
      </c>
      <c r="U52" s="101">
        <f>IF(EMPLOYEE_MASTER!P52&gt;=6,LK_AllowanceRates!$B$22,0)</f>
        <v>0</v>
      </c>
      <c r="V52" s="101">
        <f>IF(EMPLOYEE_MASTER!AO52="Yes",LK_AllowanceRates!$B$23,0)</f>
        <v>200000</v>
      </c>
      <c r="W52" s="101">
        <f>EMPLOYEE_MASTER!AP52*LK_AllowanceRates!$B$24</f>
        <v>0</v>
      </c>
      <c r="X52" s="101">
        <v>0</v>
      </c>
      <c r="Y52" s="102">
        <v>0</v>
      </c>
      <c r="Z52" s="102">
        <v>0</v>
      </c>
      <c r="AA52" s="102">
        <v>0</v>
      </c>
      <c r="AB52" s="103">
        <f t="shared" ca="1" si="2"/>
        <v>2070000</v>
      </c>
      <c r="AC52" s="104">
        <f t="shared" ca="1" si="3"/>
        <v>4750000</v>
      </c>
      <c r="AD52" s="105">
        <f>ROUND(L52*LK_AllowanceRates!$B$25/100,0)</f>
        <v>147400</v>
      </c>
      <c r="AE52" s="106">
        <f t="shared" ca="1" si="4"/>
        <v>4602600</v>
      </c>
      <c r="AF52" s="106">
        <f t="shared" ca="1" si="5"/>
        <v>165130</v>
      </c>
      <c r="AG52" s="107">
        <v>0</v>
      </c>
      <c r="AH52" s="107">
        <v>0</v>
      </c>
      <c r="AI52" s="108">
        <f t="shared" ca="1" si="6"/>
        <v>312530</v>
      </c>
      <c r="AJ52" s="109">
        <f t="shared" ca="1" si="7"/>
        <v>4437470</v>
      </c>
    </row>
    <row r="53" spans="1:36" ht="15" customHeight="1" x14ac:dyDescent="0.3">
      <c r="A53" s="98" t="str">
        <f>EMPLOYEE_MASTER!A53</f>
        <v>LAO00050</v>
      </c>
      <c r="B53" s="98" t="str">
        <f>EMPLOYEE_MASTER!C53</f>
        <v>Vannaphone</v>
      </c>
      <c r="C53" s="98" t="str">
        <f>EMPLOYEE_MASTER!D53</f>
        <v>Manodham</v>
      </c>
      <c r="D53" s="98" t="str">
        <f>EMPLOYEE_MASTER!T53</f>
        <v>Ministry of Education and Sports (MoES)</v>
      </c>
      <c r="E53" s="98" t="str">
        <f>EMPLOYEE_MASTER!M53</f>
        <v>Secondary School Teacher</v>
      </c>
      <c r="F53" s="98" t="str">
        <f>EMPLOYEE_MASTER!Z53</f>
        <v>Teacher</v>
      </c>
      <c r="G53" s="99">
        <f>EMPLOYEE_MASTER!P53</f>
        <v>3</v>
      </c>
      <c r="H53" s="99">
        <f>EMPLOYEE_MASTER!Q53</f>
        <v>1</v>
      </c>
      <c r="I53" s="100" t="str">
        <f t="shared" si="0"/>
        <v>G03-S01</v>
      </c>
      <c r="J53" s="100">
        <f>IFERROR(VLOOKUP(I53,LK_GradeStep!$C$4:$D$85,2,0),0)</f>
        <v>276</v>
      </c>
      <c r="K53" s="100">
        <f>IFERROR(VLOOKUP(I53,LK_GradeStep!$C$4:$E$85,3,0),10000)</f>
        <v>10000</v>
      </c>
      <c r="L53" s="100">
        <f t="shared" si="1"/>
        <v>2760000</v>
      </c>
      <c r="M53" s="101">
        <f>IFERROR(VLOOKUP(EMPLOYEE_MASTER!AQ53,LK_AllowanceRates!$A$5:$B$11,2,0),0)</f>
        <v>900000</v>
      </c>
      <c r="N53" s="101">
        <f ca="1">IFERROR(IF(EMPLOYEE_MASTER!J53&lt;=5,  EMPLOYEE_MASTER!J53*LK_AllowanceRates!$B$12,IF(EMPLOYEE_MASTER!J53&lt;=15, EMPLOYEE_MASTER!J53*LK_AllowanceRates!$B$13,IF(EMPLOYEE_MASTER!J53&lt;=25, EMPLOYEE_MASTER!J53*LK_AllowanceRates!$B$14,EMPLOYEE_MASTER!J53*LK_AllowanceRates!$B$15))),0)</f>
        <v>1120000</v>
      </c>
      <c r="O53" s="101">
        <f>IF(EMPLOYEE_MASTER!AS53="Teaching",L53*LK_AllowanceRates!$B$16,0)</f>
        <v>552000</v>
      </c>
      <c r="P53" s="101">
        <f>IF(EMPLOYEE_MASTER!AS53="Medical",LK_AllowanceRates!$B$17,0)</f>
        <v>0</v>
      </c>
      <c r="Q53" s="101">
        <f>IF(EMPLOYEE_MASTER!AR53="Yes",LK_AllowanceRates!$B$18,0)</f>
        <v>0</v>
      </c>
      <c r="R53" s="101">
        <f>IF(EMPLOYEE_MASTER!AC53="Yes",LK_AllowanceRates!$B$19,0)</f>
        <v>0</v>
      </c>
      <c r="S53" s="101">
        <f>IF(EMPLOYEE_MASTER!AA53="Yes",L53*LK_AllowanceRates!$B$20,0)</f>
        <v>0</v>
      </c>
      <c r="T53" s="101">
        <f>IF(EMPLOYEE_MASTER!AB53="Yes",LK_AllowanceRates!$B$21,0)</f>
        <v>0</v>
      </c>
      <c r="U53" s="101">
        <f>IF(EMPLOYEE_MASTER!P53&gt;=6,LK_AllowanceRates!$B$22,0)</f>
        <v>0</v>
      </c>
      <c r="V53" s="101">
        <f>IF(EMPLOYEE_MASTER!AO53="Yes",LK_AllowanceRates!$B$23,0)</f>
        <v>200000</v>
      </c>
      <c r="W53" s="101">
        <f>EMPLOYEE_MASTER!AP53*LK_AllowanceRates!$B$24</f>
        <v>600000</v>
      </c>
      <c r="X53" s="101">
        <v>0</v>
      </c>
      <c r="Y53" s="102">
        <v>0</v>
      </c>
      <c r="Z53" s="102">
        <v>0</v>
      </c>
      <c r="AA53" s="102">
        <v>0</v>
      </c>
      <c r="AB53" s="103">
        <f t="shared" ca="1" si="2"/>
        <v>3372000</v>
      </c>
      <c r="AC53" s="104">
        <f t="shared" ca="1" si="3"/>
        <v>6132000</v>
      </c>
      <c r="AD53" s="105">
        <f>ROUND(L53*LK_AllowanceRates!$B$25/100,0)</f>
        <v>151800</v>
      </c>
      <c r="AE53" s="106">
        <f t="shared" ca="1" si="4"/>
        <v>5980200</v>
      </c>
      <c r="AF53" s="106">
        <f t="shared" ca="1" si="5"/>
        <v>283020</v>
      </c>
      <c r="AG53" s="107">
        <v>0</v>
      </c>
      <c r="AH53" s="107">
        <v>0</v>
      </c>
      <c r="AI53" s="108">
        <f t="shared" ca="1" si="6"/>
        <v>434820</v>
      </c>
      <c r="AJ53" s="109">
        <f t="shared" ca="1" si="7"/>
        <v>5697180</v>
      </c>
    </row>
    <row r="54" spans="1:36" ht="15" customHeight="1" x14ac:dyDescent="0.3">
      <c r="A54" s="98" t="str">
        <f>EMPLOYEE_MASTER!A54</f>
        <v>LAO00051</v>
      </c>
      <c r="B54" s="98" t="str">
        <f>EMPLOYEE_MASTER!C54</f>
        <v>Phengkham</v>
      </c>
      <c r="C54" s="98" t="str">
        <f>EMPLOYEE_MASTER!D54</f>
        <v>Phomthong</v>
      </c>
      <c r="D54" s="98" t="str">
        <f>EMPLOYEE_MASTER!T54</f>
        <v>Ministry of Health (MoH)</v>
      </c>
      <c r="E54" s="98" t="str">
        <f>EMPLOYEE_MASTER!M54</f>
        <v>Hospital Director</v>
      </c>
      <c r="F54" s="98" t="str">
        <f>EMPLOYEE_MASTER!Z54</f>
        <v>Medical</v>
      </c>
      <c r="G54" s="99">
        <f>EMPLOYEE_MASTER!P54</f>
        <v>4</v>
      </c>
      <c r="H54" s="99">
        <f>EMPLOYEE_MASTER!Q54</f>
        <v>1</v>
      </c>
      <c r="I54" s="100" t="str">
        <f t="shared" si="0"/>
        <v>G04-S01</v>
      </c>
      <c r="J54" s="100">
        <f>IFERROR(VLOOKUP(I54,LK_GradeStep!$C$4:$D$85,2,0),0)</f>
        <v>286</v>
      </c>
      <c r="K54" s="100">
        <f>IFERROR(VLOOKUP(I54,LK_GradeStep!$C$4:$E$85,3,0),10000)</f>
        <v>10000</v>
      </c>
      <c r="L54" s="100">
        <f t="shared" si="1"/>
        <v>2860000</v>
      </c>
      <c r="M54" s="101">
        <f>IFERROR(VLOOKUP(EMPLOYEE_MASTER!AQ54,LK_AllowanceRates!$A$5:$B$11,2,0),0)</f>
        <v>2500000</v>
      </c>
      <c r="N54" s="101">
        <f ca="1">IFERROR(IF(EMPLOYEE_MASTER!J54&lt;=5,  EMPLOYEE_MASTER!J54*LK_AllowanceRates!$B$12,IF(EMPLOYEE_MASTER!J54&lt;=15, EMPLOYEE_MASTER!J54*LK_AllowanceRates!$B$13,IF(EMPLOYEE_MASTER!J54&lt;=25, EMPLOYEE_MASTER!J54*LK_AllowanceRates!$B$14,EMPLOYEE_MASTER!J54*LK_AllowanceRates!$B$15))),0)</f>
        <v>260000</v>
      </c>
      <c r="O54" s="101">
        <f>IF(EMPLOYEE_MASTER!AS54="Teaching",L54*LK_AllowanceRates!$B$16,0)</f>
        <v>0</v>
      </c>
      <c r="P54" s="101">
        <f>IF(EMPLOYEE_MASTER!AS54="Medical",LK_AllowanceRates!$B$17,0)</f>
        <v>500000</v>
      </c>
      <c r="Q54" s="101">
        <f>IF(EMPLOYEE_MASTER!AR54="Yes",LK_AllowanceRates!$B$18,0)</f>
        <v>0</v>
      </c>
      <c r="R54" s="101">
        <f>IF(EMPLOYEE_MASTER!AC54="Yes",LK_AllowanceRates!$B$19,0)</f>
        <v>1000000</v>
      </c>
      <c r="S54" s="101">
        <f>IF(EMPLOYEE_MASTER!AA54="Yes",L54*LK_AllowanceRates!$B$20,0)</f>
        <v>0</v>
      </c>
      <c r="T54" s="101">
        <f>IF(EMPLOYEE_MASTER!AB54="Yes",LK_AllowanceRates!$B$21,0)</f>
        <v>0</v>
      </c>
      <c r="U54" s="101">
        <f>IF(EMPLOYEE_MASTER!P54&gt;=6,LK_AllowanceRates!$B$22,0)</f>
        <v>0</v>
      </c>
      <c r="V54" s="101">
        <f>IF(EMPLOYEE_MASTER!AO54="Yes",LK_AllowanceRates!$B$23,0)</f>
        <v>0</v>
      </c>
      <c r="W54" s="101">
        <f>EMPLOYEE_MASTER!AP54*LK_AllowanceRates!$B$24</f>
        <v>0</v>
      </c>
      <c r="X54" s="101">
        <v>0</v>
      </c>
      <c r="Y54" s="102">
        <v>0</v>
      </c>
      <c r="Z54" s="102">
        <v>0</v>
      </c>
      <c r="AA54" s="102">
        <v>0</v>
      </c>
      <c r="AB54" s="103">
        <f t="shared" ca="1" si="2"/>
        <v>4260000</v>
      </c>
      <c r="AC54" s="104">
        <f t="shared" ca="1" si="3"/>
        <v>7120000</v>
      </c>
      <c r="AD54" s="105">
        <f>ROUND(L54*LK_AllowanceRates!$B$25/100,0)</f>
        <v>157300</v>
      </c>
      <c r="AE54" s="106">
        <f t="shared" ca="1" si="4"/>
        <v>6962700</v>
      </c>
      <c r="AF54" s="106">
        <f t="shared" ca="1" si="5"/>
        <v>381270</v>
      </c>
      <c r="AG54" s="107">
        <v>0</v>
      </c>
      <c r="AH54" s="107">
        <v>0</v>
      </c>
      <c r="AI54" s="108">
        <f t="shared" ca="1" si="6"/>
        <v>538570</v>
      </c>
      <c r="AJ54" s="109">
        <f t="shared" ca="1" si="7"/>
        <v>6581430</v>
      </c>
    </row>
    <row r="55" spans="1:36" ht="15" customHeight="1" x14ac:dyDescent="0.3">
      <c r="A55" s="98" t="str">
        <f>EMPLOYEE_MASTER!A55</f>
        <v>LAO00052</v>
      </c>
      <c r="B55" s="98" t="str">
        <f>EMPLOYEE_MASTER!C55</f>
        <v>Bounthong</v>
      </c>
      <c r="C55" s="98" t="str">
        <f>EMPLOYEE_MASTER!D55</f>
        <v>Soulinthong</v>
      </c>
      <c r="D55" s="98" t="str">
        <f>EMPLOYEE_MASTER!T55</f>
        <v>Ministry of Education and Sports (MoES)</v>
      </c>
      <c r="E55" s="98" t="str">
        <f>EMPLOYEE_MASTER!M55</f>
        <v>Technical Vocational Trainer</v>
      </c>
      <c r="F55" s="98" t="str">
        <f>EMPLOYEE_MASTER!Z55</f>
        <v>Teacher</v>
      </c>
      <c r="G55" s="99">
        <f>EMPLOYEE_MASTER!P55</f>
        <v>3</v>
      </c>
      <c r="H55" s="99">
        <f>EMPLOYEE_MASTER!Q55</f>
        <v>8</v>
      </c>
      <c r="I55" s="100" t="str">
        <f t="shared" si="0"/>
        <v>G03-S08</v>
      </c>
      <c r="J55" s="100">
        <f>IFERROR(VLOOKUP(I55,LK_GradeStep!$C$4:$D$85,2,0),0)</f>
        <v>284</v>
      </c>
      <c r="K55" s="100">
        <f>IFERROR(VLOOKUP(I55,LK_GradeStep!$C$4:$E$85,3,0),10000)</f>
        <v>10000</v>
      </c>
      <c r="L55" s="100">
        <f t="shared" si="1"/>
        <v>2840000</v>
      </c>
      <c r="M55" s="101">
        <f>IFERROR(VLOOKUP(EMPLOYEE_MASTER!AQ55,LK_AllowanceRates!$A$5:$B$11,2,0),0)</f>
        <v>900000</v>
      </c>
      <c r="N55" s="101">
        <f ca="1">IFERROR(IF(EMPLOYEE_MASTER!J55&lt;=5,  EMPLOYEE_MASTER!J55*LK_AllowanceRates!$B$12,IF(EMPLOYEE_MASTER!J55&lt;=15, EMPLOYEE_MASTER!J55*LK_AllowanceRates!$B$13,IF(EMPLOYEE_MASTER!J55&lt;=25, EMPLOYEE_MASTER!J55*LK_AllowanceRates!$B$14,EMPLOYEE_MASTER!J55*LK_AllowanceRates!$B$15))),0)</f>
        <v>660000</v>
      </c>
      <c r="O55" s="101">
        <f>IF(EMPLOYEE_MASTER!AS55="Teaching",L55*LK_AllowanceRates!$B$16,0)</f>
        <v>568000</v>
      </c>
      <c r="P55" s="101">
        <f>IF(EMPLOYEE_MASTER!AS55="Medical",LK_AllowanceRates!$B$17,0)</f>
        <v>0</v>
      </c>
      <c r="Q55" s="101">
        <f>IF(EMPLOYEE_MASTER!AR55="Yes",LK_AllowanceRates!$B$18,0)</f>
        <v>0</v>
      </c>
      <c r="R55" s="101">
        <f>IF(EMPLOYEE_MASTER!AC55="Yes",LK_AllowanceRates!$B$19,0)</f>
        <v>0</v>
      </c>
      <c r="S55" s="101">
        <f>IF(EMPLOYEE_MASTER!AA55="Yes",L55*LK_AllowanceRates!$B$20,0)</f>
        <v>710000</v>
      </c>
      <c r="T55" s="101">
        <f>IF(EMPLOYEE_MASTER!AB55="Yes",LK_AllowanceRates!$B$21,0)</f>
        <v>0</v>
      </c>
      <c r="U55" s="101">
        <f>IF(EMPLOYEE_MASTER!P55&gt;=6,LK_AllowanceRates!$B$22,0)</f>
        <v>0</v>
      </c>
      <c r="V55" s="101">
        <f>IF(EMPLOYEE_MASTER!AO55="Yes",LK_AllowanceRates!$B$23,0)</f>
        <v>200000</v>
      </c>
      <c r="W55" s="101">
        <f>EMPLOYEE_MASTER!AP55*LK_AllowanceRates!$B$24</f>
        <v>200000</v>
      </c>
      <c r="X55" s="101">
        <v>0</v>
      </c>
      <c r="Y55" s="102">
        <v>0</v>
      </c>
      <c r="Z55" s="102">
        <v>0</v>
      </c>
      <c r="AA55" s="102">
        <v>0</v>
      </c>
      <c r="AB55" s="103">
        <f t="shared" ca="1" si="2"/>
        <v>3238000</v>
      </c>
      <c r="AC55" s="104">
        <f t="shared" ca="1" si="3"/>
        <v>6078000</v>
      </c>
      <c r="AD55" s="105">
        <f>ROUND(L55*LK_AllowanceRates!$B$25/100,0)</f>
        <v>156200</v>
      </c>
      <c r="AE55" s="106">
        <f t="shared" ca="1" si="4"/>
        <v>5921800</v>
      </c>
      <c r="AF55" s="106">
        <f t="shared" ca="1" si="5"/>
        <v>277180</v>
      </c>
      <c r="AG55" s="107">
        <v>0</v>
      </c>
      <c r="AH55" s="107">
        <v>0</v>
      </c>
      <c r="AI55" s="108">
        <f t="shared" ca="1" si="6"/>
        <v>433380</v>
      </c>
      <c r="AJ55" s="109">
        <f t="shared" ca="1" si="7"/>
        <v>5644620</v>
      </c>
    </row>
    <row r="56" spans="1:36" ht="15" customHeight="1" x14ac:dyDescent="0.3">
      <c r="A56" s="98" t="str">
        <f>EMPLOYEE_MASTER!A56</f>
        <v>LAO00053</v>
      </c>
      <c r="B56" s="98" t="str">
        <f>EMPLOYEE_MASTER!C56</f>
        <v>Souphavanh</v>
      </c>
      <c r="C56" s="98" t="str">
        <f>EMPLOYEE_MASTER!D56</f>
        <v>Khambounheuang</v>
      </c>
      <c r="D56" s="98" t="str">
        <f>EMPLOYEE_MASTER!T56</f>
        <v>Champasak Province Administration</v>
      </c>
      <c r="E56" s="98" t="str">
        <f>EMPLOYEE_MASTER!M56</f>
        <v>Division Chief</v>
      </c>
      <c r="F56" s="98" t="str">
        <f>EMPLOYEE_MASTER!Z56</f>
        <v>Administration</v>
      </c>
      <c r="G56" s="99">
        <f>EMPLOYEE_MASTER!P56</f>
        <v>4</v>
      </c>
      <c r="H56" s="99">
        <f>EMPLOYEE_MASTER!Q56</f>
        <v>1</v>
      </c>
      <c r="I56" s="100" t="str">
        <f t="shared" si="0"/>
        <v>G04-S01</v>
      </c>
      <c r="J56" s="100">
        <f>IFERROR(VLOOKUP(I56,LK_GradeStep!$C$4:$D$85,2,0),0)</f>
        <v>286</v>
      </c>
      <c r="K56" s="100">
        <f>IFERROR(VLOOKUP(I56,LK_GradeStep!$C$4:$E$85,3,0),10000)</f>
        <v>10000</v>
      </c>
      <c r="L56" s="100">
        <f t="shared" si="1"/>
        <v>2860000</v>
      </c>
      <c r="M56" s="101">
        <f>IFERROR(VLOOKUP(EMPLOYEE_MASTER!AQ56,LK_AllowanceRates!$A$5:$B$11,2,0),0)</f>
        <v>1900000</v>
      </c>
      <c r="N56" s="101">
        <f ca="1">IFERROR(IF(EMPLOYEE_MASTER!J56&lt;=5,  EMPLOYEE_MASTER!J56*LK_AllowanceRates!$B$12,IF(EMPLOYEE_MASTER!J56&lt;=15, EMPLOYEE_MASTER!J56*LK_AllowanceRates!$B$13,IF(EMPLOYEE_MASTER!J56&lt;=25, EMPLOYEE_MASTER!J56*LK_AllowanceRates!$B$14,EMPLOYEE_MASTER!J56*LK_AllowanceRates!$B$15))),0)</f>
        <v>1400000</v>
      </c>
      <c r="O56" s="101">
        <f>IF(EMPLOYEE_MASTER!AS56="Teaching",L56*LK_AllowanceRates!$B$16,0)</f>
        <v>0</v>
      </c>
      <c r="P56" s="101">
        <f>IF(EMPLOYEE_MASTER!AS56="Medical",LK_AllowanceRates!$B$17,0)</f>
        <v>0</v>
      </c>
      <c r="Q56" s="101">
        <f>IF(EMPLOYEE_MASTER!AR56="Yes",LK_AllowanceRates!$B$18,0)</f>
        <v>0</v>
      </c>
      <c r="R56" s="101">
        <f>IF(EMPLOYEE_MASTER!AC56="Yes",LK_AllowanceRates!$B$19,0)</f>
        <v>0</v>
      </c>
      <c r="S56" s="101">
        <f>IF(EMPLOYEE_MASTER!AA56="Yes",L56*LK_AllowanceRates!$B$20,0)</f>
        <v>715000</v>
      </c>
      <c r="T56" s="101">
        <f>IF(EMPLOYEE_MASTER!AB56="Yes",LK_AllowanceRates!$B$21,0)</f>
        <v>0</v>
      </c>
      <c r="U56" s="101">
        <f>IF(EMPLOYEE_MASTER!P56&gt;=6,LK_AllowanceRates!$B$22,0)</f>
        <v>0</v>
      </c>
      <c r="V56" s="101">
        <f>IF(EMPLOYEE_MASTER!AO56="Yes",LK_AllowanceRates!$B$23,0)</f>
        <v>200000</v>
      </c>
      <c r="W56" s="101">
        <f>EMPLOYEE_MASTER!AP56*LK_AllowanceRates!$B$24</f>
        <v>0</v>
      </c>
      <c r="X56" s="101">
        <v>0</v>
      </c>
      <c r="Y56" s="102">
        <v>0</v>
      </c>
      <c r="Z56" s="102">
        <v>0</v>
      </c>
      <c r="AA56" s="102">
        <v>0</v>
      </c>
      <c r="AB56" s="103">
        <f t="shared" ca="1" si="2"/>
        <v>4215000</v>
      </c>
      <c r="AC56" s="104">
        <f t="shared" ca="1" si="3"/>
        <v>7075000</v>
      </c>
      <c r="AD56" s="105">
        <f>ROUND(L56*LK_AllowanceRates!$B$25/100,0)</f>
        <v>157300</v>
      </c>
      <c r="AE56" s="106">
        <f t="shared" ca="1" si="4"/>
        <v>6917700</v>
      </c>
      <c r="AF56" s="106">
        <f t="shared" ca="1" si="5"/>
        <v>376770</v>
      </c>
      <c r="AG56" s="107">
        <v>0</v>
      </c>
      <c r="AH56" s="107">
        <v>0</v>
      </c>
      <c r="AI56" s="108">
        <f t="shared" ca="1" si="6"/>
        <v>534070</v>
      </c>
      <c r="AJ56" s="109">
        <f t="shared" ca="1" si="7"/>
        <v>6540930</v>
      </c>
    </row>
    <row r="57" spans="1:36" ht="15" customHeight="1" x14ac:dyDescent="0.3">
      <c r="A57" s="98" t="str">
        <f>EMPLOYEE_MASTER!A57</f>
        <v>LAO00054</v>
      </c>
      <c r="B57" s="98" t="str">
        <f>EMPLOYEE_MASTER!C57</f>
        <v>Phonethip</v>
      </c>
      <c r="C57" s="98" t="str">
        <f>EMPLOYEE_MASTER!D57</f>
        <v>Phommachack</v>
      </c>
      <c r="D57" s="98" t="str">
        <f>EMPLOYEE_MASTER!T57</f>
        <v>Ministry of Natural Resources &amp; Environment (MoNRE)</v>
      </c>
      <c r="E57" s="98" t="str">
        <f>EMPLOYEE_MASTER!M57</f>
        <v>Survey Officer</v>
      </c>
      <c r="F57" s="98" t="str">
        <f>EMPLOYEE_MASTER!Z57</f>
        <v>Technical</v>
      </c>
      <c r="G57" s="99">
        <f>EMPLOYEE_MASTER!P57</f>
        <v>3</v>
      </c>
      <c r="H57" s="99">
        <f>EMPLOYEE_MASTER!Q57</f>
        <v>13</v>
      </c>
      <c r="I57" s="100" t="str">
        <f t="shared" si="0"/>
        <v>G03-S13</v>
      </c>
      <c r="J57" s="100">
        <f>IFERROR(VLOOKUP(I57,LK_GradeStep!$C$4:$D$85,2,0),0)</f>
        <v>294</v>
      </c>
      <c r="K57" s="100">
        <f>IFERROR(VLOOKUP(I57,LK_GradeStep!$C$4:$E$85,3,0),10000)</f>
        <v>10000</v>
      </c>
      <c r="L57" s="100">
        <f t="shared" si="1"/>
        <v>2940000</v>
      </c>
      <c r="M57" s="101">
        <f>IFERROR(VLOOKUP(EMPLOYEE_MASTER!AQ57,LK_AllowanceRates!$A$5:$B$11,2,0),0)</f>
        <v>900000</v>
      </c>
      <c r="N57" s="101">
        <f ca="1">IFERROR(IF(EMPLOYEE_MASTER!J57&lt;=5,  EMPLOYEE_MASTER!J57*LK_AllowanceRates!$B$12,IF(EMPLOYEE_MASTER!J57&lt;=15, EMPLOYEE_MASTER!J57*LK_AllowanceRates!$B$13,IF(EMPLOYEE_MASTER!J57&lt;=25, EMPLOYEE_MASTER!J57*LK_AllowanceRates!$B$14,EMPLOYEE_MASTER!J57*LK_AllowanceRates!$B$15))),0)</f>
        <v>40000</v>
      </c>
      <c r="O57" s="101">
        <f>IF(EMPLOYEE_MASTER!AS57="Teaching",L57*LK_AllowanceRates!$B$16,0)</f>
        <v>0</v>
      </c>
      <c r="P57" s="101">
        <f>IF(EMPLOYEE_MASTER!AS57="Medical",LK_AllowanceRates!$B$17,0)</f>
        <v>0</v>
      </c>
      <c r="Q57" s="101">
        <f>IF(EMPLOYEE_MASTER!AR57="Yes",LK_AllowanceRates!$B$18,0)</f>
        <v>0</v>
      </c>
      <c r="R57" s="101">
        <f>IF(EMPLOYEE_MASTER!AC57="Yes",LK_AllowanceRates!$B$19,0)</f>
        <v>1000000</v>
      </c>
      <c r="S57" s="101">
        <f>IF(EMPLOYEE_MASTER!AA57="Yes",L57*LK_AllowanceRates!$B$20,0)</f>
        <v>735000</v>
      </c>
      <c r="T57" s="101">
        <f>IF(EMPLOYEE_MASTER!AB57="Yes",LK_AllowanceRates!$B$21,0)</f>
        <v>0</v>
      </c>
      <c r="U57" s="101">
        <f>IF(EMPLOYEE_MASTER!P57&gt;=6,LK_AllowanceRates!$B$22,0)</f>
        <v>0</v>
      </c>
      <c r="V57" s="101">
        <f>IF(EMPLOYEE_MASTER!AO57="Yes",LK_AllowanceRates!$B$23,0)</f>
        <v>200000</v>
      </c>
      <c r="W57" s="101">
        <f>EMPLOYEE_MASTER!AP57*LK_AllowanceRates!$B$24</f>
        <v>400000</v>
      </c>
      <c r="X57" s="101">
        <v>0</v>
      </c>
      <c r="Y57" s="102">
        <v>0</v>
      </c>
      <c r="Z57" s="102">
        <v>0</v>
      </c>
      <c r="AA57" s="102">
        <v>0</v>
      </c>
      <c r="AB57" s="103">
        <f t="shared" ca="1" si="2"/>
        <v>3275000</v>
      </c>
      <c r="AC57" s="104">
        <f t="shared" ca="1" si="3"/>
        <v>6215000</v>
      </c>
      <c r="AD57" s="105">
        <f>ROUND(L57*LK_AllowanceRates!$B$25/100,0)</f>
        <v>161700</v>
      </c>
      <c r="AE57" s="106">
        <f t="shared" ca="1" si="4"/>
        <v>6053300</v>
      </c>
      <c r="AF57" s="106">
        <f t="shared" ca="1" si="5"/>
        <v>290330</v>
      </c>
      <c r="AG57" s="107">
        <v>0</v>
      </c>
      <c r="AH57" s="107">
        <v>0</v>
      </c>
      <c r="AI57" s="108">
        <f t="shared" ca="1" si="6"/>
        <v>452030</v>
      </c>
      <c r="AJ57" s="109">
        <f t="shared" ca="1" si="7"/>
        <v>5762970</v>
      </c>
    </row>
    <row r="58" spans="1:36" ht="15" customHeight="1" x14ac:dyDescent="0.3">
      <c r="A58" s="98" t="str">
        <f>EMPLOYEE_MASTER!A58</f>
        <v>LAO00055</v>
      </c>
      <c r="B58" s="98" t="str">
        <f>EMPLOYEE_MASTER!C58</f>
        <v>Santisouk</v>
      </c>
      <c r="C58" s="98" t="str">
        <f>EMPLOYEE_MASTER!D58</f>
        <v>Khounboulom</v>
      </c>
      <c r="D58" s="98" t="str">
        <f>EMPLOYEE_MASTER!T58</f>
        <v>Ministry of Health (MoH)</v>
      </c>
      <c r="E58" s="98" t="str">
        <f>EMPLOYEE_MASTER!M58</f>
        <v>Medical Technician</v>
      </c>
      <c r="F58" s="98" t="str">
        <f>EMPLOYEE_MASTER!Z58</f>
        <v>Medical</v>
      </c>
      <c r="G58" s="99">
        <f>EMPLOYEE_MASTER!P58</f>
        <v>2</v>
      </c>
      <c r="H58" s="99">
        <f>EMPLOYEE_MASTER!Q58</f>
        <v>5</v>
      </c>
      <c r="I58" s="100" t="str">
        <f t="shared" si="0"/>
        <v>G02-S05</v>
      </c>
      <c r="J58" s="100">
        <f>IFERROR(VLOOKUP(I58,LK_GradeStep!$C$4:$D$85,2,0),0)</f>
        <v>272</v>
      </c>
      <c r="K58" s="100">
        <f>IFERROR(VLOOKUP(I58,LK_GradeStep!$C$4:$E$85,3,0),10000)</f>
        <v>10000</v>
      </c>
      <c r="L58" s="100">
        <f t="shared" si="1"/>
        <v>2720000</v>
      </c>
      <c r="M58" s="101">
        <f>IFERROR(VLOOKUP(EMPLOYEE_MASTER!AQ58,LK_AllowanceRates!$A$5:$B$11,2,0),0)</f>
        <v>900000</v>
      </c>
      <c r="N58" s="101">
        <f ca="1">IFERROR(IF(EMPLOYEE_MASTER!J58&lt;=5,  EMPLOYEE_MASTER!J58*LK_AllowanceRates!$B$12,IF(EMPLOYEE_MASTER!J58&lt;=15, EMPLOYEE_MASTER!J58*LK_AllowanceRates!$B$13,IF(EMPLOYEE_MASTER!J58&lt;=25, EMPLOYEE_MASTER!J58*LK_AllowanceRates!$B$14,EMPLOYEE_MASTER!J58*LK_AllowanceRates!$B$15))),0)</f>
        <v>30000</v>
      </c>
      <c r="O58" s="101">
        <f>IF(EMPLOYEE_MASTER!AS58="Teaching",L58*LK_AllowanceRates!$B$16,0)</f>
        <v>0</v>
      </c>
      <c r="P58" s="101">
        <f>IF(EMPLOYEE_MASTER!AS58="Medical",LK_AllowanceRates!$B$17,0)</f>
        <v>500000</v>
      </c>
      <c r="Q58" s="101">
        <f>IF(EMPLOYEE_MASTER!AR58="Yes",LK_AllowanceRates!$B$18,0)</f>
        <v>0</v>
      </c>
      <c r="R58" s="101">
        <f>IF(EMPLOYEE_MASTER!AC58="Yes",LK_AllowanceRates!$B$19,0)</f>
        <v>0</v>
      </c>
      <c r="S58" s="101">
        <f>IF(EMPLOYEE_MASTER!AA58="Yes",L58*LK_AllowanceRates!$B$20,0)</f>
        <v>0</v>
      </c>
      <c r="T58" s="101">
        <f>IF(EMPLOYEE_MASTER!AB58="Yes",LK_AllowanceRates!$B$21,0)</f>
        <v>0</v>
      </c>
      <c r="U58" s="101">
        <f>IF(EMPLOYEE_MASTER!P58&gt;=6,LK_AllowanceRates!$B$22,0)</f>
        <v>0</v>
      </c>
      <c r="V58" s="101">
        <f>IF(EMPLOYEE_MASTER!AO58="Yes",LK_AllowanceRates!$B$23,0)</f>
        <v>0</v>
      </c>
      <c r="W58" s="101">
        <f>EMPLOYEE_MASTER!AP58*LK_AllowanceRates!$B$24</f>
        <v>0</v>
      </c>
      <c r="X58" s="101">
        <v>0</v>
      </c>
      <c r="Y58" s="102">
        <v>0</v>
      </c>
      <c r="Z58" s="102">
        <v>0</v>
      </c>
      <c r="AA58" s="102">
        <v>0</v>
      </c>
      <c r="AB58" s="103">
        <f t="shared" ca="1" si="2"/>
        <v>1430000</v>
      </c>
      <c r="AC58" s="104">
        <f t="shared" ca="1" si="3"/>
        <v>4150000</v>
      </c>
      <c r="AD58" s="105">
        <f>ROUND(L58*LK_AllowanceRates!$B$25/100,0)</f>
        <v>149600</v>
      </c>
      <c r="AE58" s="106">
        <f t="shared" ca="1" si="4"/>
        <v>4000400</v>
      </c>
      <c r="AF58" s="106">
        <f t="shared" ca="1" si="5"/>
        <v>135020</v>
      </c>
      <c r="AG58" s="107">
        <v>0</v>
      </c>
      <c r="AH58" s="107">
        <v>0</v>
      </c>
      <c r="AI58" s="108">
        <f t="shared" ca="1" si="6"/>
        <v>284620</v>
      </c>
      <c r="AJ58" s="109">
        <f t="shared" ca="1" si="7"/>
        <v>3865380</v>
      </c>
    </row>
    <row r="59" spans="1:36" ht="15" customHeight="1" x14ac:dyDescent="0.3">
      <c r="A59" s="98" t="str">
        <f>EMPLOYEE_MASTER!A59</f>
        <v>LAO00056</v>
      </c>
      <c r="B59" s="98" t="str">
        <f>EMPLOYEE_MASTER!C59</f>
        <v>Siphone</v>
      </c>
      <c r="C59" s="98" t="str">
        <f>EMPLOYEE_MASTER!D59</f>
        <v>Vongsack</v>
      </c>
      <c r="D59" s="98" t="str">
        <f>EMPLOYEE_MASTER!T59</f>
        <v>Ministry of Public Works &amp; Transport (MPWT)</v>
      </c>
      <c r="E59" s="98" t="str">
        <f>EMPLOYEE_MASTER!M59</f>
        <v>Engineer</v>
      </c>
      <c r="F59" s="98" t="str">
        <f>EMPLOYEE_MASTER!Z59</f>
        <v>Technical</v>
      </c>
      <c r="G59" s="99">
        <f>EMPLOYEE_MASTER!P59</f>
        <v>2</v>
      </c>
      <c r="H59" s="99">
        <f>EMPLOYEE_MASTER!Q59</f>
        <v>1</v>
      </c>
      <c r="I59" s="100" t="str">
        <f t="shared" si="0"/>
        <v>G02-S01</v>
      </c>
      <c r="J59" s="100">
        <f>IFERROR(VLOOKUP(I59,LK_GradeStep!$C$4:$D$85,2,0),0)</f>
        <v>268</v>
      </c>
      <c r="K59" s="100">
        <f>IFERROR(VLOOKUP(I59,LK_GradeStep!$C$4:$E$85,3,0),10000)</f>
        <v>10000</v>
      </c>
      <c r="L59" s="100">
        <f t="shared" si="1"/>
        <v>2680000</v>
      </c>
      <c r="M59" s="101">
        <f>IFERROR(VLOOKUP(EMPLOYEE_MASTER!AQ59,LK_AllowanceRates!$A$5:$B$11,2,0),0)</f>
        <v>900000</v>
      </c>
      <c r="N59" s="101">
        <f ca="1">IFERROR(IF(EMPLOYEE_MASTER!J59&lt;=5,  EMPLOYEE_MASTER!J59*LK_AllowanceRates!$B$12,IF(EMPLOYEE_MASTER!J59&lt;=15, EMPLOYEE_MASTER!J59*LK_AllowanceRates!$B$13,IF(EMPLOYEE_MASTER!J59&lt;=25, EMPLOYEE_MASTER!J59*LK_AllowanceRates!$B$14,EMPLOYEE_MASTER!J59*LK_AllowanceRates!$B$15))),0)</f>
        <v>1240000</v>
      </c>
      <c r="O59" s="101">
        <f>IF(EMPLOYEE_MASTER!AS59="Teaching",L59*LK_AllowanceRates!$B$16,0)</f>
        <v>0</v>
      </c>
      <c r="P59" s="101">
        <f>IF(EMPLOYEE_MASTER!AS59="Medical",LK_AllowanceRates!$B$17,0)</f>
        <v>0</v>
      </c>
      <c r="Q59" s="101">
        <f>IF(EMPLOYEE_MASTER!AR59="Yes",LK_AllowanceRates!$B$18,0)</f>
        <v>0</v>
      </c>
      <c r="R59" s="101">
        <f>IF(EMPLOYEE_MASTER!AC59="Yes",LK_AllowanceRates!$B$19,0)</f>
        <v>1000000</v>
      </c>
      <c r="S59" s="101">
        <f>IF(EMPLOYEE_MASTER!AA59="Yes",L59*LK_AllowanceRates!$B$20,0)</f>
        <v>670000</v>
      </c>
      <c r="T59" s="101">
        <f>IF(EMPLOYEE_MASTER!AB59="Yes",LK_AllowanceRates!$B$21,0)</f>
        <v>0</v>
      </c>
      <c r="U59" s="101">
        <f>IF(EMPLOYEE_MASTER!P59&gt;=6,LK_AllowanceRates!$B$22,0)</f>
        <v>0</v>
      </c>
      <c r="V59" s="101">
        <f>IF(EMPLOYEE_MASTER!AO59="Yes",LK_AllowanceRates!$B$23,0)</f>
        <v>0</v>
      </c>
      <c r="W59" s="101">
        <f>EMPLOYEE_MASTER!AP59*LK_AllowanceRates!$B$24</f>
        <v>0</v>
      </c>
      <c r="X59" s="101">
        <v>0</v>
      </c>
      <c r="Y59" s="102">
        <v>0</v>
      </c>
      <c r="Z59" s="102">
        <v>0</v>
      </c>
      <c r="AA59" s="102">
        <v>0</v>
      </c>
      <c r="AB59" s="103">
        <f t="shared" ca="1" si="2"/>
        <v>3810000</v>
      </c>
      <c r="AC59" s="104">
        <f t="shared" ca="1" si="3"/>
        <v>6490000</v>
      </c>
      <c r="AD59" s="105">
        <f>ROUND(L59*LK_AllowanceRates!$B$25/100,0)</f>
        <v>147400</v>
      </c>
      <c r="AE59" s="106">
        <f t="shared" ca="1" si="4"/>
        <v>6342600</v>
      </c>
      <c r="AF59" s="106">
        <f t="shared" ca="1" si="5"/>
        <v>319260</v>
      </c>
      <c r="AG59" s="107">
        <v>0</v>
      </c>
      <c r="AH59" s="107">
        <v>0</v>
      </c>
      <c r="AI59" s="108">
        <f t="shared" ca="1" si="6"/>
        <v>466660</v>
      </c>
      <c r="AJ59" s="109">
        <f t="shared" ca="1" si="7"/>
        <v>6023340</v>
      </c>
    </row>
    <row r="60" spans="1:36" ht="15" customHeight="1" x14ac:dyDescent="0.3">
      <c r="A60" s="98" t="str">
        <f>EMPLOYEE_MASTER!A60</f>
        <v>LAO00057</v>
      </c>
      <c r="B60" s="98" t="str">
        <f>EMPLOYEE_MASTER!C60</f>
        <v>Viengthong</v>
      </c>
      <c r="C60" s="98" t="str">
        <f>EMPLOYEE_MASTER!D60</f>
        <v>Sisouvath</v>
      </c>
      <c r="D60" s="98" t="str">
        <f>EMPLOYEE_MASTER!T60</f>
        <v>Ministry of Natural Resources &amp; Environment (MoNRE)</v>
      </c>
      <c r="E60" s="98" t="str">
        <f>EMPLOYEE_MASTER!M60</f>
        <v>Technical Specialist</v>
      </c>
      <c r="F60" s="98" t="str">
        <f>EMPLOYEE_MASTER!Z60</f>
        <v>Technical</v>
      </c>
      <c r="G60" s="99">
        <f>EMPLOYEE_MASTER!P60</f>
        <v>5</v>
      </c>
      <c r="H60" s="99">
        <f>EMPLOYEE_MASTER!Q60</f>
        <v>1</v>
      </c>
      <c r="I60" s="100" t="str">
        <f t="shared" si="0"/>
        <v>G05-S01</v>
      </c>
      <c r="J60" s="100">
        <f>IFERROR(VLOOKUP(I60,LK_GradeStep!$C$4:$D$85,2,0),0)</f>
        <v>308</v>
      </c>
      <c r="K60" s="100">
        <f>IFERROR(VLOOKUP(I60,LK_GradeStep!$C$4:$E$85,3,0),10000)</f>
        <v>10000</v>
      </c>
      <c r="L60" s="100">
        <f t="shared" si="1"/>
        <v>3080000</v>
      </c>
      <c r="M60" s="101">
        <f>IFERROR(VLOOKUP(EMPLOYEE_MASTER!AQ60,LK_AllowanceRates!$A$5:$B$11,2,0),0)</f>
        <v>900000</v>
      </c>
      <c r="N60" s="101">
        <f ca="1">IFERROR(IF(EMPLOYEE_MASTER!J60&lt;=5,  EMPLOYEE_MASTER!J60*LK_AllowanceRates!$B$12,IF(EMPLOYEE_MASTER!J60&lt;=15, EMPLOYEE_MASTER!J60*LK_AllowanceRates!$B$13,IF(EMPLOYEE_MASTER!J60&lt;=25, EMPLOYEE_MASTER!J60*LK_AllowanceRates!$B$14,EMPLOYEE_MASTER!J60*LK_AllowanceRates!$B$15))),0)</f>
        <v>180000</v>
      </c>
      <c r="O60" s="101">
        <f>IF(EMPLOYEE_MASTER!AS60="Teaching",L60*LK_AllowanceRates!$B$16,0)</f>
        <v>0</v>
      </c>
      <c r="P60" s="101">
        <f>IF(EMPLOYEE_MASTER!AS60="Medical",LK_AllowanceRates!$B$17,0)</f>
        <v>0</v>
      </c>
      <c r="Q60" s="101">
        <f>IF(EMPLOYEE_MASTER!AR60="Yes",LK_AllowanceRates!$B$18,0)</f>
        <v>0</v>
      </c>
      <c r="R60" s="101">
        <f>IF(EMPLOYEE_MASTER!AC60="Yes",LK_AllowanceRates!$B$19,0)</f>
        <v>1000000</v>
      </c>
      <c r="S60" s="101">
        <f>IF(EMPLOYEE_MASTER!AA60="Yes",L60*LK_AllowanceRates!$B$20,0)</f>
        <v>770000</v>
      </c>
      <c r="T60" s="101">
        <f>IF(EMPLOYEE_MASTER!AB60="Yes",LK_AllowanceRates!$B$21,0)</f>
        <v>0</v>
      </c>
      <c r="U60" s="101">
        <f>IF(EMPLOYEE_MASTER!P60&gt;=6,LK_AllowanceRates!$B$22,0)</f>
        <v>0</v>
      </c>
      <c r="V60" s="101">
        <f>IF(EMPLOYEE_MASTER!AO60="Yes",LK_AllowanceRates!$B$23,0)</f>
        <v>200000</v>
      </c>
      <c r="W60" s="101">
        <f>EMPLOYEE_MASTER!AP60*LK_AllowanceRates!$B$24</f>
        <v>600000</v>
      </c>
      <c r="X60" s="101">
        <v>0</v>
      </c>
      <c r="Y60" s="102">
        <v>0</v>
      </c>
      <c r="Z60" s="102">
        <v>0</v>
      </c>
      <c r="AA60" s="102">
        <v>0</v>
      </c>
      <c r="AB60" s="103">
        <f t="shared" ca="1" si="2"/>
        <v>3650000</v>
      </c>
      <c r="AC60" s="104">
        <f t="shared" ca="1" si="3"/>
        <v>6730000</v>
      </c>
      <c r="AD60" s="105">
        <f>ROUND(L60*LK_AllowanceRates!$B$25/100,0)</f>
        <v>169400</v>
      </c>
      <c r="AE60" s="106">
        <f t="shared" ca="1" si="4"/>
        <v>6560600</v>
      </c>
      <c r="AF60" s="106">
        <f t="shared" ca="1" si="5"/>
        <v>341060</v>
      </c>
      <c r="AG60" s="107">
        <v>0</v>
      </c>
      <c r="AH60" s="107">
        <v>0</v>
      </c>
      <c r="AI60" s="108">
        <f t="shared" ca="1" si="6"/>
        <v>510460</v>
      </c>
      <c r="AJ60" s="109">
        <f t="shared" ca="1" si="7"/>
        <v>6219540</v>
      </c>
    </row>
    <row r="61" spans="1:36" ht="15" customHeight="1" x14ac:dyDescent="0.3">
      <c r="A61" s="98" t="str">
        <f>EMPLOYEE_MASTER!A61</f>
        <v>LAO00058</v>
      </c>
      <c r="B61" s="98" t="str">
        <f>EMPLOYEE_MASTER!C61</f>
        <v>Bounthong</v>
      </c>
      <c r="C61" s="98" t="str">
        <f>EMPLOYEE_MASTER!D61</f>
        <v>Phongphichith</v>
      </c>
      <c r="D61" s="98" t="str">
        <f>EMPLOYEE_MASTER!T61</f>
        <v>Ministry of Education and Sports (MoES)</v>
      </c>
      <c r="E61" s="98" t="str">
        <f>EMPLOYEE_MASTER!M61</f>
        <v>University Lecturer</v>
      </c>
      <c r="F61" s="98" t="str">
        <f>EMPLOYEE_MASTER!Z61</f>
        <v>Teacher</v>
      </c>
      <c r="G61" s="99">
        <f>EMPLOYEE_MASTER!P61</f>
        <v>5</v>
      </c>
      <c r="H61" s="99">
        <f>EMPLOYEE_MASTER!Q61</f>
        <v>1</v>
      </c>
      <c r="I61" s="100" t="str">
        <f t="shared" si="0"/>
        <v>G05-S01</v>
      </c>
      <c r="J61" s="100">
        <f>IFERROR(VLOOKUP(I61,LK_GradeStep!$C$4:$D$85,2,0),0)</f>
        <v>308</v>
      </c>
      <c r="K61" s="100">
        <f>IFERROR(VLOOKUP(I61,LK_GradeStep!$C$4:$E$85,3,0),10000)</f>
        <v>10000</v>
      </c>
      <c r="L61" s="100">
        <f t="shared" si="1"/>
        <v>3080000</v>
      </c>
      <c r="M61" s="101">
        <f>IFERROR(VLOOKUP(EMPLOYEE_MASTER!AQ61,LK_AllowanceRates!$A$5:$B$11,2,0),0)</f>
        <v>900000</v>
      </c>
      <c r="N61" s="101">
        <f ca="1">IFERROR(IF(EMPLOYEE_MASTER!J61&lt;=5,  EMPLOYEE_MASTER!J61*LK_AllowanceRates!$B$12,IF(EMPLOYEE_MASTER!J61&lt;=15, EMPLOYEE_MASTER!J61*LK_AllowanceRates!$B$13,IF(EMPLOYEE_MASTER!J61&lt;=25, EMPLOYEE_MASTER!J61*LK_AllowanceRates!$B$14,EMPLOYEE_MASTER!J61*LK_AllowanceRates!$B$15))),0)</f>
        <v>630000</v>
      </c>
      <c r="O61" s="101">
        <f>IF(EMPLOYEE_MASTER!AS61="Teaching",L61*LK_AllowanceRates!$B$16,0)</f>
        <v>616000</v>
      </c>
      <c r="P61" s="101">
        <f>IF(EMPLOYEE_MASTER!AS61="Medical",LK_AllowanceRates!$B$17,0)</f>
        <v>0</v>
      </c>
      <c r="Q61" s="101">
        <f>IF(EMPLOYEE_MASTER!AR61="Yes",LK_AllowanceRates!$B$18,0)</f>
        <v>0</v>
      </c>
      <c r="R61" s="101">
        <f>IF(EMPLOYEE_MASTER!AC61="Yes",LK_AllowanceRates!$B$19,0)</f>
        <v>0</v>
      </c>
      <c r="S61" s="101">
        <f>IF(EMPLOYEE_MASTER!AA61="Yes",L61*LK_AllowanceRates!$B$20,0)</f>
        <v>0</v>
      </c>
      <c r="T61" s="101">
        <f>IF(EMPLOYEE_MASTER!AB61="Yes",LK_AllowanceRates!$B$21,0)</f>
        <v>0</v>
      </c>
      <c r="U61" s="101">
        <f>IF(EMPLOYEE_MASTER!P61&gt;=6,LK_AllowanceRates!$B$22,0)</f>
        <v>0</v>
      </c>
      <c r="V61" s="101">
        <f>IF(EMPLOYEE_MASTER!AO61="Yes",LK_AllowanceRates!$B$23,0)</f>
        <v>0</v>
      </c>
      <c r="W61" s="101">
        <f>EMPLOYEE_MASTER!AP61*LK_AllowanceRates!$B$24</f>
        <v>0</v>
      </c>
      <c r="X61" s="101">
        <v>0</v>
      </c>
      <c r="Y61" s="102">
        <v>0</v>
      </c>
      <c r="Z61" s="102">
        <v>0</v>
      </c>
      <c r="AA61" s="102">
        <v>0</v>
      </c>
      <c r="AB61" s="103">
        <f t="shared" ca="1" si="2"/>
        <v>2146000</v>
      </c>
      <c r="AC61" s="104">
        <f t="shared" ca="1" si="3"/>
        <v>5226000</v>
      </c>
      <c r="AD61" s="105">
        <f>ROUND(L61*LK_AllowanceRates!$B$25/100,0)</f>
        <v>169400</v>
      </c>
      <c r="AE61" s="106">
        <f t="shared" ca="1" si="4"/>
        <v>5056600</v>
      </c>
      <c r="AF61" s="106">
        <f t="shared" ca="1" si="5"/>
        <v>190660</v>
      </c>
      <c r="AG61" s="107">
        <v>0</v>
      </c>
      <c r="AH61" s="107">
        <v>0</v>
      </c>
      <c r="AI61" s="108">
        <f t="shared" ca="1" si="6"/>
        <v>360060</v>
      </c>
      <c r="AJ61" s="109">
        <f t="shared" ca="1" si="7"/>
        <v>4865940</v>
      </c>
    </row>
    <row r="62" spans="1:36" ht="15" customHeight="1" x14ac:dyDescent="0.3">
      <c r="A62" s="98" t="str">
        <f>EMPLOYEE_MASTER!A62</f>
        <v>LAO00059</v>
      </c>
      <c r="B62" s="98" t="str">
        <f>EMPLOYEE_MASTER!C62</f>
        <v>Khanthavy</v>
      </c>
      <c r="C62" s="98" t="str">
        <f>EMPLOYEE_MASTER!D62</f>
        <v>Phonemany</v>
      </c>
      <c r="D62" s="98" t="str">
        <f>EMPLOYEE_MASTER!T62</f>
        <v>Ministry of Education and Sports (MoES)</v>
      </c>
      <c r="E62" s="98" t="str">
        <f>EMPLOYEE_MASTER!M62</f>
        <v>Deputy Principal</v>
      </c>
      <c r="F62" s="98" t="str">
        <f>EMPLOYEE_MASTER!Z62</f>
        <v>Teacher</v>
      </c>
      <c r="G62" s="99">
        <f>EMPLOYEE_MASTER!P62</f>
        <v>4</v>
      </c>
      <c r="H62" s="99">
        <f>EMPLOYEE_MASTER!Q62</f>
        <v>9</v>
      </c>
      <c r="I62" s="100" t="str">
        <f t="shared" si="0"/>
        <v>G04-S09</v>
      </c>
      <c r="J62" s="100">
        <f>IFERROR(VLOOKUP(I62,LK_GradeStep!$C$4:$D$85,2,0),0)</f>
        <v>308</v>
      </c>
      <c r="K62" s="100">
        <f>IFERROR(VLOOKUP(I62,LK_GradeStep!$C$4:$E$85,3,0),10000)</f>
        <v>10000</v>
      </c>
      <c r="L62" s="100">
        <f t="shared" si="1"/>
        <v>3080000</v>
      </c>
      <c r="M62" s="101">
        <f>IFERROR(VLOOKUP(EMPLOYEE_MASTER!AQ62,LK_AllowanceRates!$A$5:$B$11,2,0),0)</f>
        <v>900000</v>
      </c>
      <c r="N62" s="101">
        <f ca="1">IFERROR(IF(EMPLOYEE_MASTER!J62&lt;=5,  EMPLOYEE_MASTER!J62*LK_AllowanceRates!$B$12,IF(EMPLOYEE_MASTER!J62&lt;=15, EMPLOYEE_MASTER!J62*LK_AllowanceRates!$B$13,IF(EMPLOYEE_MASTER!J62&lt;=25, EMPLOYEE_MASTER!J62*LK_AllowanceRates!$B$14,EMPLOYEE_MASTER!J62*LK_AllowanceRates!$B$15))),0)</f>
        <v>180000</v>
      </c>
      <c r="O62" s="101">
        <f>IF(EMPLOYEE_MASTER!AS62="Teaching",L62*LK_AllowanceRates!$B$16,0)</f>
        <v>616000</v>
      </c>
      <c r="P62" s="101">
        <f>IF(EMPLOYEE_MASTER!AS62="Medical",LK_AllowanceRates!$B$17,0)</f>
        <v>0</v>
      </c>
      <c r="Q62" s="101">
        <f>IF(EMPLOYEE_MASTER!AR62="Yes",LK_AllowanceRates!$B$18,0)</f>
        <v>0</v>
      </c>
      <c r="R62" s="101">
        <f>IF(EMPLOYEE_MASTER!AC62="Yes",LK_AllowanceRates!$B$19,0)</f>
        <v>0</v>
      </c>
      <c r="S62" s="101">
        <f>IF(EMPLOYEE_MASTER!AA62="Yes",L62*LK_AllowanceRates!$B$20,0)</f>
        <v>0</v>
      </c>
      <c r="T62" s="101">
        <f>IF(EMPLOYEE_MASTER!AB62="Yes",LK_AllowanceRates!$B$21,0)</f>
        <v>0</v>
      </c>
      <c r="U62" s="101">
        <f>IF(EMPLOYEE_MASTER!P62&gt;=6,LK_AllowanceRates!$B$22,0)</f>
        <v>0</v>
      </c>
      <c r="V62" s="101">
        <f>IF(EMPLOYEE_MASTER!AO62="Yes",LK_AllowanceRates!$B$23,0)</f>
        <v>200000</v>
      </c>
      <c r="W62" s="101">
        <f>EMPLOYEE_MASTER!AP62*LK_AllowanceRates!$B$24</f>
        <v>600000</v>
      </c>
      <c r="X62" s="101">
        <v>0</v>
      </c>
      <c r="Y62" s="102">
        <v>0</v>
      </c>
      <c r="Z62" s="102">
        <v>0</v>
      </c>
      <c r="AA62" s="102">
        <v>0</v>
      </c>
      <c r="AB62" s="103">
        <f t="shared" ca="1" si="2"/>
        <v>2496000</v>
      </c>
      <c r="AC62" s="104">
        <f t="shared" ca="1" si="3"/>
        <v>5576000</v>
      </c>
      <c r="AD62" s="105">
        <f>ROUND(L62*LK_AllowanceRates!$B$25/100,0)</f>
        <v>169400</v>
      </c>
      <c r="AE62" s="106">
        <f t="shared" ca="1" si="4"/>
        <v>5406600</v>
      </c>
      <c r="AF62" s="106">
        <f t="shared" ca="1" si="5"/>
        <v>225660</v>
      </c>
      <c r="AG62" s="107">
        <v>0</v>
      </c>
      <c r="AH62" s="107">
        <v>0</v>
      </c>
      <c r="AI62" s="108">
        <f t="shared" ca="1" si="6"/>
        <v>395060</v>
      </c>
      <c r="AJ62" s="109">
        <f t="shared" ca="1" si="7"/>
        <v>5180940</v>
      </c>
    </row>
    <row r="63" spans="1:36" ht="15" customHeight="1" x14ac:dyDescent="0.3">
      <c r="A63" s="98" t="str">
        <f>EMPLOYEE_MASTER!A63</f>
        <v>LAO00060</v>
      </c>
      <c r="B63" s="98" t="str">
        <f>EMPLOYEE_MASTER!C63</f>
        <v>Vannaphone</v>
      </c>
      <c r="C63" s="98" t="str">
        <f>EMPLOYEE_MASTER!D63</f>
        <v>Manodham</v>
      </c>
      <c r="D63" s="98" t="str">
        <f>EMPLOYEE_MASTER!T63</f>
        <v>Ministry of Planning &amp; Investment (MPI)</v>
      </c>
      <c r="E63" s="98" t="str">
        <f>EMPLOYEE_MASTER!M63</f>
        <v>Department Director</v>
      </c>
      <c r="F63" s="98" t="str">
        <f>EMPLOYEE_MASTER!Z63</f>
        <v>Administration</v>
      </c>
      <c r="G63" s="99">
        <f>EMPLOYEE_MASTER!P63</f>
        <v>5</v>
      </c>
      <c r="H63" s="99">
        <f>EMPLOYEE_MASTER!Q63</f>
        <v>6</v>
      </c>
      <c r="I63" s="100" t="str">
        <f t="shared" si="0"/>
        <v>G05-S06</v>
      </c>
      <c r="J63" s="100">
        <f>IFERROR(VLOOKUP(I63,LK_GradeStep!$C$4:$D$85,2,0),0)</f>
        <v>333</v>
      </c>
      <c r="K63" s="100">
        <f>IFERROR(VLOOKUP(I63,LK_GradeStep!$C$4:$E$85,3,0),10000)</f>
        <v>10000</v>
      </c>
      <c r="L63" s="100">
        <f t="shared" si="1"/>
        <v>3330000</v>
      </c>
      <c r="M63" s="101">
        <f>IFERROR(VLOOKUP(EMPLOYEE_MASTER!AQ63,LK_AllowanceRates!$A$5:$B$11,2,0),0)</f>
        <v>2500000</v>
      </c>
      <c r="N63" s="101">
        <f ca="1">IFERROR(IF(EMPLOYEE_MASTER!J63&lt;=5,  EMPLOYEE_MASTER!J63*LK_AllowanceRates!$B$12,IF(EMPLOYEE_MASTER!J63&lt;=15, EMPLOYEE_MASTER!J63*LK_AllowanceRates!$B$13,IF(EMPLOYEE_MASTER!J63&lt;=25, EMPLOYEE_MASTER!J63*LK_AllowanceRates!$B$14,EMPLOYEE_MASTER!J63*LK_AllowanceRates!$B$15))),0)</f>
        <v>630000</v>
      </c>
      <c r="O63" s="101">
        <f>IF(EMPLOYEE_MASTER!AS63="Teaching",L63*LK_AllowanceRates!$B$16,0)</f>
        <v>0</v>
      </c>
      <c r="P63" s="101">
        <f>IF(EMPLOYEE_MASTER!AS63="Medical",LK_AllowanceRates!$B$17,0)</f>
        <v>0</v>
      </c>
      <c r="Q63" s="101">
        <f>IF(EMPLOYEE_MASTER!AR63="Yes",LK_AllowanceRates!$B$18,0)</f>
        <v>0</v>
      </c>
      <c r="R63" s="101">
        <f>IF(EMPLOYEE_MASTER!AC63="Yes",LK_AllowanceRates!$B$19,0)</f>
        <v>1000000</v>
      </c>
      <c r="S63" s="101">
        <f>IF(EMPLOYEE_MASTER!AA63="Yes",L63*LK_AllowanceRates!$B$20,0)</f>
        <v>832500</v>
      </c>
      <c r="T63" s="101">
        <f>IF(EMPLOYEE_MASTER!AB63="Yes",LK_AllowanceRates!$B$21,0)</f>
        <v>0</v>
      </c>
      <c r="U63" s="101">
        <f>IF(EMPLOYEE_MASTER!P63&gt;=6,LK_AllowanceRates!$B$22,0)</f>
        <v>0</v>
      </c>
      <c r="V63" s="101">
        <f>IF(EMPLOYEE_MASTER!AO63="Yes",LK_AllowanceRates!$B$23,0)</f>
        <v>200000</v>
      </c>
      <c r="W63" s="101">
        <f>EMPLOYEE_MASTER!AP63*LK_AllowanceRates!$B$24</f>
        <v>400000</v>
      </c>
      <c r="X63" s="101">
        <v>0</v>
      </c>
      <c r="Y63" s="102">
        <v>0</v>
      </c>
      <c r="Z63" s="102">
        <v>0</v>
      </c>
      <c r="AA63" s="102">
        <v>0</v>
      </c>
      <c r="AB63" s="103">
        <f t="shared" ca="1" si="2"/>
        <v>5562500</v>
      </c>
      <c r="AC63" s="104">
        <f t="shared" ca="1" si="3"/>
        <v>8892500</v>
      </c>
      <c r="AD63" s="105">
        <f>ROUND(L63*LK_AllowanceRates!$B$25/100,0)</f>
        <v>183150</v>
      </c>
      <c r="AE63" s="106">
        <f t="shared" ca="1" si="4"/>
        <v>8709350</v>
      </c>
      <c r="AF63" s="106">
        <f t="shared" ca="1" si="5"/>
        <v>555935</v>
      </c>
      <c r="AG63" s="107">
        <v>0</v>
      </c>
      <c r="AH63" s="107">
        <v>0</v>
      </c>
      <c r="AI63" s="108">
        <f t="shared" ca="1" si="6"/>
        <v>739085</v>
      </c>
      <c r="AJ63" s="109">
        <f t="shared" ca="1" si="7"/>
        <v>8153415</v>
      </c>
    </row>
    <row r="64" spans="1:36" ht="15" customHeight="1" x14ac:dyDescent="0.3">
      <c r="A64" s="98" t="str">
        <f>EMPLOYEE_MASTER!A64</f>
        <v>LAO00061</v>
      </c>
      <c r="B64" s="98" t="str">
        <f>EMPLOYEE_MASTER!C64</f>
        <v>Santisouk</v>
      </c>
      <c r="C64" s="98" t="str">
        <f>EMPLOYEE_MASTER!D64</f>
        <v>Kheudkham</v>
      </c>
      <c r="D64" s="98" t="str">
        <f>EMPLOYEE_MASTER!T64</f>
        <v>Ministry of Home Affairs (MoHA)</v>
      </c>
      <c r="E64" s="98" t="str">
        <f>EMPLOYEE_MASTER!M64</f>
        <v>Clerk</v>
      </c>
      <c r="F64" s="98" t="str">
        <f>EMPLOYEE_MASTER!Z64</f>
        <v>Administration</v>
      </c>
      <c r="G64" s="99">
        <f>EMPLOYEE_MASTER!P64</f>
        <v>3</v>
      </c>
      <c r="H64" s="99">
        <f>EMPLOYEE_MASTER!Q64</f>
        <v>4</v>
      </c>
      <c r="I64" s="100" t="str">
        <f t="shared" si="0"/>
        <v>G03-S04</v>
      </c>
      <c r="J64" s="100">
        <f>IFERROR(VLOOKUP(I64,LK_GradeStep!$C$4:$D$85,2,0),0)</f>
        <v>279</v>
      </c>
      <c r="K64" s="100">
        <f>IFERROR(VLOOKUP(I64,LK_GradeStep!$C$4:$E$85,3,0),10000)</f>
        <v>10000</v>
      </c>
      <c r="L64" s="100">
        <f t="shared" si="1"/>
        <v>2790000</v>
      </c>
      <c r="M64" s="101">
        <f>IFERROR(VLOOKUP(EMPLOYEE_MASTER!AQ64,LK_AllowanceRates!$A$5:$B$11,2,0),0)</f>
        <v>900000</v>
      </c>
      <c r="N64" s="101">
        <f ca="1">IFERROR(IF(EMPLOYEE_MASTER!J64&lt;=5,  EMPLOYEE_MASTER!J64*LK_AllowanceRates!$B$12,IF(EMPLOYEE_MASTER!J64&lt;=15, EMPLOYEE_MASTER!J64*LK_AllowanceRates!$B$13,IF(EMPLOYEE_MASTER!J64&lt;=25, EMPLOYEE_MASTER!J64*LK_AllowanceRates!$B$14,EMPLOYEE_MASTER!J64*LK_AllowanceRates!$B$15))),0)</f>
        <v>690000</v>
      </c>
      <c r="O64" s="101">
        <f>IF(EMPLOYEE_MASTER!AS64="Teaching",L64*LK_AllowanceRates!$B$16,0)</f>
        <v>0</v>
      </c>
      <c r="P64" s="101">
        <f>IF(EMPLOYEE_MASTER!AS64="Medical",LK_AllowanceRates!$B$17,0)</f>
        <v>0</v>
      </c>
      <c r="Q64" s="101">
        <f>IF(EMPLOYEE_MASTER!AR64="Yes",LK_AllowanceRates!$B$18,0)</f>
        <v>0</v>
      </c>
      <c r="R64" s="101">
        <f>IF(EMPLOYEE_MASTER!AC64="Yes",LK_AllowanceRates!$B$19,0)</f>
        <v>0</v>
      </c>
      <c r="S64" s="101">
        <f>IF(EMPLOYEE_MASTER!AA64="Yes",L64*LK_AllowanceRates!$B$20,0)</f>
        <v>697500</v>
      </c>
      <c r="T64" s="101">
        <f>IF(EMPLOYEE_MASTER!AB64="Yes",LK_AllowanceRates!$B$21,0)</f>
        <v>0</v>
      </c>
      <c r="U64" s="101">
        <f>IF(EMPLOYEE_MASTER!P64&gt;=6,LK_AllowanceRates!$B$22,0)</f>
        <v>0</v>
      </c>
      <c r="V64" s="101">
        <f>IF(EMPLOYEE_MASTER!AO64="Yes",LK_AllowanceRates!$B$23,0)</f>
        <v>200000</v>
      </c>
      <c r="W64" s="101">
        <f>EMPLOYEE_MASTER!AP64*LK_AllowanceRates!$B$24</f>
        <v>200000</v>
      </c>
      <c r="X64" s="101">
        <v>0</v>
      </c>
      <c r="Y64" s="102">
        <v>0</v>
      </c>
      <c r="Z64" s="102">
        <v>0</v>
      </c>
      <c r="AA64" s="102">
        <v>0</v>
      </c>
      <c r="AB64" s="103">
        <f t="shared" ca="1" si="2"/>
        <v>2687500</v>
      </c>
      <c r="AC64" s="104">
        <f t="shared" ca="1" si="3"/>
        <v>5477500</v>
      </c>
      <c r="AD64" s="105">
        <f>ROUND(L64*LK_AllowanceRates!$B$25/100,0)</f>
        <v>153450</v>
      </c>
      <c r="AE64" s="106">
        <f t="shared" ca="1" si="4"/>
        <v>5324050</v>
      </c>
      <c r="AF64" s="106">
        <f t="shared" ca="1" si="5"/>
        <v>217405</v>
      </c>
      <c r="AG64" s="107">
        <v>0</v>
      </c>
      <c r="AH64" s="107">
        <v>0</v>
      </c>
      <c r="AI64" s="108">
        <f t="shared" ca="1" si="6"/>
        <v>370855</v>
      </c>
      <c r="AJ64" s="109">
        <f t="shared" ca="1" si="7"/>
        <v>5106645</v>
      </c>
    </row>
    <row r="65" spans="1:36" ht="15" customHeight="1" x14ac:dyDescent="0.3">
      <c r="A65" s="98" t="str">
        <f>EMPLOYEE_MASTER!A65</f>
        <v>LAO00062</v>
      </c>
      <c r="B65" s="98" t="str">
        <f>EMPLOYEE_MASTER!C65</f>
        <v>Khamphay</v>
      </c>
      <c r="C65" s="98" t="str">
        <f>EMPLOYEE_MASTER!D65</f>
        <v>Vongphachanh</v>
      </c>
      <c r="D65" s="98" t="str">
        <f>EMPLOYEE_MASTER!T65</f>
        <v>Ministry of Planning &amp; Investment (MPI)</v>
      </c>
      <c r="E65" s="98" t="str">
        <f>EMPLOYEE_MASTER!M65</f>
        <v>Senior Administrative Officer</v>
      </c>
      <c r="F65" s="98" t="str">
        <f>EMPLOYEE_MASTER!Z65</f>
        <v>Administration</v>
      </c>
      <c r="G65" s="99">
        <f>EMPLOYEE_MASTER!P65</f>
        <v>5</v>
      </c>
      <c r="H65" s="99">
        <f>EMPLOYEE_MASTER!Q65</f>
        <v>1</v>
      </c>
      <c r="I65" s="100" t="str">
        <f t="shared" si="0"/>
        <v>G05-S01</v>
      </c>
      <c r="J65" s="100">
        <f>IFERROR(VLOOKUP(I65,LK_GradeStep!$C$4:$D$85,2,0),0)</f>
        <v>308</v>
      </c>
      <c r="K65" s="100">
        <f>IFERROR(VLOOKUP(I65,LK_GradeStep!$C$4:$E$85,3,0),10000)</f>
        <v>10000</v>
      </c>
      <c r="L65" s="100">
        <f t="shared" si="1"/>
        <v>3080000</v>
      </c>
      <c r="M65" s="101">
        <f>IFERROR(VLOOKUP(EMPLOYEE_MASTER!AQ65,LK_AllowanceRates!$A$5:$B$11,2,0),0)</f>
        <v>900000</v>
      </c>
      <c r="N65" s="101">
        <f ca="1">IFERROR(IF(EMPLOYEE_MASTER!J65&lt;=5,  EMPLOYEE_MASTER!J65*LK_AllowanceRates!$B$12,IF(EMPLOYEE_MASTER!J65&lt;=15, EMPLOYEE_MASTER!J65*LK_AllowanceRates!$B$13,IF(EMPLOYEE_MASTER!J65&lt;=25, EMPLOYEE_MASTER!J65*LK_AllowanceRates!$B$14,EMPLOYEE_MASTER!J65*LK_AllowanceRates!$B$15))),0)</f>
        <v>1240000</v>
      </c>
      <c r="O65" s="101">
        <f>IF(EMPLOYEE_MASTER!AS65="Teaching",L65*LK_AllowanceRates!$B$16,0)</f>
        <v>0</v>
      </c>
      <c r="P65" s="101">
        <f>IF(EMPLOYEE_MASTER!AS65="Medical",LK_AllowanceRates!$B$17,0)</f>
        <v>0</v>
      </c>
      <c r="Q65" s="101">
        <f>IF(EMPLOYEE_MASTER!AR65="Yes",LK_AllowanceRates!$B$18,0)</f>
        <v>0</v>
      </c>
      <c r="R65" s="101">
        <f>IF(EMPLOYEE_MASTER!AC65="Yes",LK_AllowanceRates!$B$19,0)</f>
        <v>0</v>
      </c>
      <c r="S65" s="101">
        <f>IF(EMPLOYEE_MASTER!AA65="Yes",L65*LK_AllowanceRates!$B$20,0)</f>
        <v>0</v>
      </c>
      <c r="T65" s="101">
        <f>IF(EMPLOYEE_MASTER!AB65="Yes",LK_AllowanceRates!$B$21,0)</f>
        <v>0</v>
      </c>
      <c r="U65" s="101">
        <f>IF(EMPLOYEE_MASTER!P65&gt;=6,LK_AllowanceRates!$B$22,0)</f>
        <v>0</v>
      </c>
      <c r="V65" s="101">
        <f>IF(EMPLOYEE_MASTER!AO65="Yes",LK_AllowanceRates!$B$23,0)</f>
        <v>200000</v>
      </c>
      <c r="W65" s="101">
        <f>EMPLOYEE_MASTER!AP65*LK_AllowanceRates!$B$24</f>
        <v>400000</v>
      </c>
      <c r="X65" s="101">
        <v>0</v>
      </c>
      <c r="Y65" s="102">
        <v>0</v>
      </c>
      <c r="Z65" s="102">
        <v>0</v>
      </c>
      <c r="AA65" s="102">
        <v>0</v>
      </c>
      <c r="AB65" s="103">
        <f t="shared" ca="1" si="2"/>
        <v>2740000</v>
      </c>
      <c r="AC65" s="104">
        <f t="shared" ca="1" si="3"/>
        <v>5820000</v>
      </c>
      <c r="AD65" s="105">
        <f>ROUND(L65*LK_AllowanceRates!$B$25/100,0)</f>
        <v>169400</v>
      </c>
      <c r="AE65" s="106">
        <f t="shared" ca="1" si="4"/>
        <v>5650600</v>
      </c>
      <c r="AF65" s="106">
        <f t="shared" ca="1" si="5"/>
        <v>250060</v>
      </c>
      <c r="AG65" s="107">
        <v>0</v>
      </c>
      <c r="AH65" s="107">
        <v>0</v>
      </c>
      <c r="AI65" s="108">
        <f t="shared" ca="1" si="6"/>
        <v>419460</v>
      </c>
      <c r="AJ65" s="109">
        <f t="shared" ca="1" si="7"/>
        <v>5400540</v>
      </c>
    </row>
    <row r="66" spans="1:36" ht="15" customHeight="1" x14ac:dyDescent="0.3">
      <c r="A66" s="98" t="str">
        <f>EMPLOYEE_MASTER!A66</f>
        <v>LAO00063</v>
      </c>
      <c r="B66" s="98" t="str">
        <f>EMPLOYEE_MASTER!C66</f>
        <v>Bounthon</v>
      </c>
      <c r="C66" s="98" t="str">
        <f>EMPLOYEE_MASTER!D66</f>
        <v>Chanthavong</v>
      </c>
      <c r="D66" s="98" t="str">
        <f>EMPLOYEE_MASTER!T66</f>
        <v>Ministry of Health (MoH)</v>
      </c>
      <c r="E66" s="98" t="str">
        <f>EMPLOYEE_MASTER!M66</f>
        <v>Public Health Officer</v>
      </c>
      <c r="F66" s="98" t="str">
        <f>EMPLOYEE_MASTER!Z66</f>
        <v>Medical</v>
      </c>
      <c r="G66" s="99">
        <f>EMPLOYEE_MASTER!P66</f>
        <v>3</v>
      </c>
      <c r="H66" s="99">
        <f>EMPLOYEE_MASTER!Q66</f>
        <v>1</v>
      </c>
      <c r="I66" s="100" t="str">
        <f t="shared" si="0"/>
        <v>G03-S01</v>
      </c>
      <c r="J66" s="100">
        <f>IFERROR(VLOOKUP(I66,LK_GradeStep!$C$4:$D$85,2,0),0)</f>
        <v>276</v>
      </c>
      <c r="K66" s="100">
        <f>IFERROR(VLOOKUP(I66,LK_GradeStep!$C$4:$E$85,3,0),10000)</f>
        <v>10000</v>
      </c>
      <c r="L66" s="100">
        <f t="shared" si="1"/>
        <v>2760000</v>
      </c>
      <c r="M66" s="101">
        <f>IFERROR(VLOOKUP(EMPLOYEE_MASTER!AQ66,LK_AllowanceRates!$A$5:$B$11,2,0),0)</f>
        <v>900000</v>
      </c>
      <c r="N66" s="101">
        <f ca="1">IFERROR(IF(EMPLOYEE_MASTER!J66&lt;=5,  EMPLOYEE_MASTER!J66*LK_AllowanceRates!$B$12,IF(EMPLOYEE_MASTER!J66&lt;=15, EMPLOYEE_MASTER!J66*LK_AllowanceRates!$B$13,IF(EMPLOYEE_MASTER!J66&lt;=25, EMPLOYEE_MASTER!J66*LK_AllowanceRates!$B$14,EMPLOYEE_MASTER!J66*LK_AllowanceRates!$B$15))),0)</f>
        <v>570000</v>
      </c>
      <c r="O66" s="101">
        <f>IF(EMPLOYEE_MASTER!AS66="Teaching",L66*LK_AllowanceRates!$B$16,0)</f>
        <v>0</v>
      </c>
      <c r="P66" s="101">
        <f>IF(EMPLOYEE_MASTER!AS66="Medical",LK_AllowanceRates!$B$17,0)</f>
        <v>500000</v>
      </c>
      <c r="Q66" s="101">
        <f>IF(EMPLOYEE_MASTER!AR66="Yes",LK_AllowanceRates!$B$18,0)</f>
        <v>0</v>
      </c>
      <c r="R66" s="101">
        <f>IF(EMPLOYEE_MASTER!AC66="Yes",LK_AllowanceRates!$B$19,0)</f>
        <v>0</v>
      </c>
      <c r="S66" s="101">
        <f>IF(EMPLOYEE_MASTER!AA66="Yes",L66*LK_AllowanceRates!$B$20,0)</f>
        <v>0</v>
      </c>
      <c r="T66" s="101">
        <f>IF(EMPLOYEE_MASTER!AB66="Yes",LK_AllowanceRates!$B$21,0)</f>
        <v>0</v>
      </c>
      <c r="U66" s="101">
        <f>IF(EMPLOYEE_MASTER!P66&gt;=6,LK_AllowanceRates!$B$22,0)</f>
        <v>0</v>
      </c>
      <c r="V66" s="101">
        <f>IF(EMPLOYEE_MASTER!AO66="Yes",LK_AllowanceRates!$B$23,0)</f>
        <v>0</v>
      </c>
      <c r="W66" s="101">
        <f>EMPLOYEE_MASTER!AP66*LK_AllowanceRates!$B$24</f>
        <v>0</v>
      </c>
      <c r="X66" s="101">
        <v>0</v>
      </c>
      <c r="Y66" s="102">
        <v>0</v>
      </c>
      <c r="Z66" s="102">
        <v>0</v>
      </c>
      <c r="AA66" s="102">
        <v>0</v>
      </c>
      <c r="AB66" s="103">
        <f t="shared" ca="1" si="2"/>
        <v>1970000</v>
      </c>
      <c r="AC66" s="104">
        <f t="shared" ca="1" si="3"/>
        <v>4730000</v>
      </c>
      <c r="AD66" s="105">
        <f>ROUND(L66*LK_AllowanceRates!$B$25/100,0)</f>
        <v>151800</v>
      </c>
      <c r="AE66" s="106">
        <f t="shared" ca="1" si="4"/>
        <v>4578200</v>
      </c>
      <c r="AF66" s="106">
        <f t="shared" ca="1" si="5"/>
        <v>163910</v>
      </c>
      <c r="AG66" s="107">
        <v>0</v>
      </c>
      <c r="AH66" s="107">
        <v>0</v>
      </c>
      <c r="AI66" s="108">
        <f t="shared" ca="1" si="6"/>
        <v>315710</v>
      </c>
      <c r="AJ66" s="109">
        <f t="shared" ca="1" si="7"/>
        <v>4414290</v>
      </c>
    </row>
    <row r="67" spans="1:36" ht="15" customHeight="1" x14ac:dyDescent="0.3">
      <c r="A67" s="98" t="str">
        <f>EMPLOYEE_MASTER!A67</f>
        <v>LAO00064</v>
      </c>
      <c r="B67" s="98" t="str">
        <f>EMPLOYEE_MASTER!C67</f>
        <v>Somsak</v>
      </c>
      <c r="C67" s="98" t="str">
        <f>EMPLOYEE_MASTER!D67</f>
        <v>Keobounphan</v>
      </c>
      <c r="D67" s="98" t="str">
        <f>EMPLOYEE_MASTER!T67</f>
        <v>Ministry of Education and Sports (MoES)</v>
      </c>
      <c r="E67" s="98" t="str">
        <f>EMPLOYEE_MASTER!M67</f>
        <v>Associate Professor</v>
      </c>
      <c r="F67" s="98" t="str">
        <f>EMPLOYEE_MASTER!Z67</f>
        <v>Teacher</v>
      </c>
      <c r="G67" s="99">
        <f>EMPLOYEE_MASTER!P67</f>
        <v>5</v>
      </c>
      <c r="H67" s="99">
        <f>EMPLOYEE_MASTER!Q67</f>
        <v>1</v>
      </c>
      <c r="I67" s="100" t="str">
        <f t="shared" si="0"/>
        <v>G05-S01</v>
      </c>
      <c r="J67" s="100">
        <f>IFERROR(VLOOKUP(I67,LK_GradeStep!$C$4:$D$85,2,0),0)</f>
        <v>308</v>
      </c>
      <c r="K67" s="100">
        <f>IFERROR(VLOOKUP(I67,LK_GradeStep!$C$4:$E$85,3,0),10000)</f>
        <v>10000</v>
      </c>
      <c r="L67" s="100">
        <f t="shared" si="1"/>
        <v>3080000</v>
      </c>
      <c r="M67" s="101">
        <f>IFERROR(VLOOKUP(EMPLOYEE_MASTER!AQ67,LK_AllowanceRates!$A$5:$B$11,2,0),0)</f>
        <v>900000</v>
      </c>
      <c r="N67" s="101">
        <f ca="1">IFERROR(IF(EMPLOYEE_MASTER!J67&lt;=5,  EMPLOYEE_MASTER!J67*LK_AllowanceRates!$B$12,IF(EMPLOYEE_MASTER!J67&lt;=15, EMPLOYEE_MASTER!J67*LK_AllowanceRates!$B$13,IF(EMPLOYEE_MASTER!J67&lt;=25, EMPLOYEE_MASTER!J67*LK_AllowanceRates!$B$14,EMPLOYEE_MASTER!J67*LK_AllowanceRates!$B$15))),0)</f>
        <v>750000</v>
      </c>
      <c r="O67" s="101">
        <f>IF(EMPLOYEE_MASTER!AS67="Teaching",L67*LK_AllowanceRates!$B$16,0)</f>
        <v>616000</v>
      </c>
      <c r="P67" s="101">
        <f>IF(EMPLOYEE_MASTER!AS67="Medical",LK_AllowanceRates!$B$17,0)</f>
        <v>0</v>
      </c>
      <c r="Q67" s="101">
        <f>IF(EMPLOYEE_MASTER!AR67="Yes",LK_AllowanceRates!$B$18,0)</f>
        <v>0</v>
      </c>
      <c r="R67" s="101">
        <f>IF(EMPLOYEE_MASTER!AC67="Yes",LK_AllowanceRates!$B$19,0)</f>
        <v>0</v>
      </c>
      <c r="S67" s="101">
        <f>IF(EMPLOYEE_MASTER!AA67="Yes",L67*LK_AllowanceRates!$B$20,0)</f>
        <v>0</v>
      </c>
      <c r="T67" s="101">
        <f>IF(EMPLOYEE_MASTER!AB67="Yes",LK_AllowanceRates!$B$21,0)</f>
        <v>0</v>
      </c>
      <c r="U67" s="101">
        <f>IF(EMPLOYEE_MASTER!P67&gt;=6,LK_AllowanceRates!$B$22,0)</f>
        <v>0</v>
      </c>
      <c r="V67" s="101">
        <f>IF(EMPLOYEE_MASTER!AO67="Yes",LK_AllowanceRates!$B$23,0)</f>
        <v>0</v>
      </c>
      <c r="W67" s="101">
        <f>EMPLOYEE_MASTER!AP67*LK_AllowanceRates!$B$24</f>
        <v>0</v>
      </c>
      <c r="X67" s="101">
        <v>0</v>
      </c>
      <c r="Y67" s="102">
        <v>0</v>
      </c>
      <c r="Z67" s="102">
        <v>0</v>
      </c>
      <c r="AA67" s="102">
        <v>0</v>
      </c>
      <c r="AB67" s="103">
        <f t="shared" ca="1" si="2"/>
        <v>2266000</v>
      </c>
      <c r="AC67" s="104">
        <f t="shared" ca="1" si="3"/>
        <v>5346000</v>
      </c>
      <c r="AD67" s="105">
        <f>ROUND(L67*LK_AllowanceRates!$B$25/100,0)</f>
        <v>169400</v>
      </c>
      <c r="AE67" s="106">
        <f t="shared" ca="1" si="4"/>
        <v>5176600</v>
      </c>
      <c r="AF67" s="106">
        <f t="shared" ca="1" si="5"/>
        <v>202660</v>
      </c>
      <c r="AG67" s="107">
        <v>0</v>
      </c>
      <c r="AH67" s="107">
        <v>0</v>
      </c>
      <c r="AI67" s="108">
        <f t="shared" ca="1" si="6"/>
        <v>372060</v>
      </c>
      <c r="AJ67" s="109">
        <f t="shared" ca="1" si="7"/>
        <v>4973940</v>
      </c>
    </row>
    <row r="68" spans="1:36" ht="15" customHeight="1" x14ac:dyDescent="0.3">
      <c r="A68" s="98" t="str">
        <f>EMPLOYEE_MASTER!A68</f>
        <v>LAO00065</v>
      </c>
      <c r="B68" s="98" t="str">
        <f>EMPLOYEE_MASTER!C68</f>
        <v>Souphine</v>
      </c>
      <c r="C68" s="98" t="str">
        <f>EMPLOYEE_MASTER!D68</f>
        <v>Siphaseuth</v>
      </c>
      <c r="D68" s="98" t="str">
        <f>EMPLOYEE_MASTER!T68</f>
        <v>Ministry of Finance (MoF)</v>
      </c>
      <c r="E68" s="98" t="str">
        <f>EMPLOYEE_MASTER!M68</f>
        <v>Accountant</v>
      </c>
      <c r="F68" s="98" t="str">
        <f>EMPLOYEE_MASTER!Z68</f>
        <v>Finance</v>
      </c>
      <c r="G68" s="99">
        <f>EMPLOYEE_MASTER!P68</f>
        <v>2</v>
      </c>
      <c r="H68" s="99">
        <f>EMPLOYEE_MASTER!Q68</f>
        <v>1</v>
      </c>
      <c r="I68" s="100" t="str">
        <f t="shared" ref="I68:I131" si="8">"G"&amp;TEXT(G68,"00")&amp;"-S"&amp;TEXT(H68,"00")</f>
        <v>G02-S01</v>
      </c>
      <c r="J68" s="100">
        <f>IFERROR(VLOOKUP(I68,LK_GradeStep!$C$4:$D$85,2,0),0)</f>
        <v>268</v>
      </c>
      <c r="K68" s="100">
        <f>IFERROR(VLOOKUP(I68,LK_GradeStep!$C$4:$E$85,3,0),10000)</f>
        <v>10000</v>
      </c>
      <c r="L68" s="100">
        <f t="shared" ref="L68:L131" si="9">IFERROR(J68*K68,0)</f>
        <v>2680000</v>
      </c>
      <c r="M68" s="101">
        <f>IFERROR(VLOOKUP(EMPLOYEE_MASTER!AQ68,LK_AllowanceRates!$A$5:$B$11,2,0),0)</f>
        <v>900000</v>
      </c>
      <c r="N68" s="101">
        <f ca="1">IFERROR(IF(EMPLOYEE_MASTER!J68&lt;=5,  EMPLOYEE_MASTER!J68*LK_AllowanceRates!$B$12,IF(EMPLOYEE_MASTER!J68&lt;=15, EMPLOYEE_MASTER!J68*LK_AllowanceRates!$B$13,IF(EMPLOYEE_MASTER!J68&lt;=25, EMPLOYEE_MASTER!J68*LK_AllowanceRates!$B$14,EMPLOYEE_MASTER!J68*LK_AllowanceRates!$B$15))),0)</f>
        <v>1160000</v>
      </c>
      <c r="O68" s="101">
        <f>IF(EMPLOYEE_MASTER!AS68="Teaching",L68*LK_AllowanceRates!$B$16,0)</f>
        <v>0</v>
      </c>
      <c r="P68" s="101">
        <f>IF(EMPLOYEE_MASTER!AS68="Medical",LK_AllowanceRates!$B$17,0)</f>
        <v>0</v>
      </c>
      <c r="Q68" s="101">
        <f>IF(EMPLOYEE_MASTER!AR68="Yes",LK_AllowanceRates!$B$18,0)</f>
        <v>0</v>
      </c>
      <c r="R68" s="101">
        <f>IF(EMPLOYEE_MASTER!AC68="Yes",LK_AllowanceRates!$B$19,0)</f>
        <v>0</v>
      </c>
      <c r="S68" s="101">
        <f>IF(EMPLOYEE_MASTER!AA68="Yes",L68*LK_AllowanceRates!$B$20,0)</f>
        <v>0</v>
      </c>
      <c r="T68" s="101">
        <f>IF(EMPLOYEE_MASTER!AB68="Yes",LK_AllowanceRates!$B$21,0)</f>
        <v>0</v>
      </c>
      <c r="U68" s="101">
        <f>IF(EMPLOYEE_MASTER!P68&gt;=6,LK_AllowanceRates!$B$22,0)</f>
        <v>0</v>
      </c>
      <c r="V68" s="101">
        <f>IF(EMPLOYEE_MASTER!AO68="Yes",LK_AllowanceRates!$B$23,0)</f>
        <v>200000</v>
      </c>
      <c r="W68" s="101">
        <f>EMPLOYEE_MASTER!AP68*LK_AllowanceRates!$B$24</f>
        <v>200000</v>
      </c>
      <c r="X68" s="101">
        <v>0</v>
      </c>
      <c r="Y68" s="102">
        <v>0</v>
      </c>
      <c r="Z68" s="102">
        <v>0</v>
      </c>
      <c r="AA68" s="102">
        <v>0</v>
      </c>
      <c r="AB68" s="103">
        <f t="shared" ref="AB68:AB131" ca="1" si="10">SUM(M68:AA68)</f>
        <v>2460000</v>
      </c>
      <c r="AC68" s="104">
        <f t="shared" ref="AC68:AC131" ca="1" si="11">L68+AB68</f>
        <v>5140000</v>
      </c>
      <c r="AD68" s="105">
        <f>ROUND(L68*LK_AllowanceRates!$B$25/100,0)</f>
        <v>147400</v>
      </c>
      <c r="AE68" s="106">
        <f t="shared" ref="AE68:AE131" ca="1" si="12">IFERROR(AC68-AD68,0)</f>
        <v>4992600</v>
      </c>
      <c r="AF68" s="106">
        <f t="shared" ref="AF68:AF131" ca="1" si="13">IFERROR(IF(AE68&lt;=1300000,0,IF(AE68&lt;=5000000,(AE68-1300000)*0.05,IF(AE68&lt;=10000000,185000+(AE68-5000000)*0.1,IF(AE68&lt;=20000000,685000+(AE68-10000000)*0.15,IF(AE68&lt;=40000000,2185000+(AE68-20000000)*0.2,6185000+(AE68-40000000)*0.24))))),0)</f>
        <v>184630</v>
      </c>
      <c r="AG68" s="107">
        <v>0</v>
      </c>
      <c r="AH68" s="107">
        <v>0</v>
      </c>
      <c r="AI68" s="108">
        <f t="shared" ref="AI68:AI131" ca="1" si="14">AD68+AF68+AG68+AH68</f>
        <v>332030</v>
      </c>
      <c r="AJ68" s="109">
        <f t="shared" ref="AJ68:AJ131" ca="1" si="15">IFERROR(AC68-AI68,0)</f>
        <v>4807970</v>
      </c>
    </row>
    <row r="69" spans="1:36" ht="15" customHeight="1" x14ac:dyDescent="0.3">
      <c r="A69" s="98" t="str">
        <f>EMPLOYEE_MASTER!A69</f>
        <v>LAO00066</v>
      </c>
      <c r="B69" s="98" t="str">
        <f>EMPLOYEE_MASTER!C69</f>
        <v>Phonedeth</v>
      </c>
      <c r="C69" s="98" t="str">
        <f>EMPLOYEE_MASTER!D69</f>
        <v>Xayavong</v>
      </c>
      <c r="D69" s="98" t="str">
        <f>EMPLOYEE_MASTER!T69</f>
        <v>Ministry of Education and Sports (MoES)</v>
      </c>
      <c r="E69" s="98" t="str">
        <f>EMPLOYEE_MASTER!M69</f>
        <v>Deputy Principal</v>
      </c>
      <c r="F69" s="98" t="str">
        <f>EMPLOYEE_MASTER!Z69</f>
        <v>Teacher</v>
      </c>
      <c r="G69" s="99">
        <f>EMPLOYEE_MASTER!P69</f>
        <v>3</v>
      </c>
      <c r="H69" s="99">
        <f>EMPLOYEE_MASTER!Q69</f>
        <v>8</v>
      </c>
      <c r="I69" s="100" t="str">
        <f t="shared" si="8"/>
        <v>G03-S08</v>
      </c>
      <c r="J69" s="100">
        <f>IFERROR(VLOOKUP(I69,LK_GradeStep!$C$4:$D$85,2,0),0)</f>
        <v>284</v>
      </c>
      <c r="K69" s="100">
        <f>IFERROR(VLOOKUP(I69,LK_GradeStep!$C$4:$E$85,3,0),10000)</f>
        <v>10000</v>
      </c>
      <c r="L69" s="100">
        <f t="shared" si="9"/>
        <v>2840000</v>
      </c>
      <c r="M69" s="101">
        <f>IFERROR(VLOOKUP(EMPLOYEE_MASTER!AQ69,LK_AllowanceRates!$A$5:$B$11,2,0),0)</f>
        <v>900000</v>
      </c>
      <c r="N69" s="101">
        <f ca="1">IFERROR(IF(EMPLOYEE_MASTER!J69&lt;=5,  EMPLOYEE_MASTER!J69*LK_AllowanceRates!$B$12,IF(EMPLOYEE_MASTER!J69&lt;=15, EMPLOYEE_MASTER!J69*LK_AllowanceRates!$B$13,IF(EMPLOYEE_MASTER!J69&lt;=25, EMPLOYEE_MASTER!J69*LK_AllowanceRates!$B$14,EMPLOYEE_MASTER!J69*LK_AllowanceRates!$B$15))),0)</f>
        <v>720000</v>
      </c>
      <c r="O69" s="101">
        <f>IF(EMPLOYEE_MASTER!AS69="Teaching",L69*LK_AllowanceRates!$B$16,0)</f>
        <v>568000</v>
      </c>
      <c r="P69" s="101">
        <f>IF(EMPLOYEE_MASTER!AS69="Medical",LK_AllowanceRates!$B$17,0)</f>
        <v>0</v>
      </c>
      <c r="Q69" s="101">
        <f>IF(EMPLOYEE_MASTER!AR69="Yes",LK_AllowanceRates!$B$18,0)</f>
        <v>0</v>
      </c>
      <c r="R69" s="101">
        <f>IF(EMPLOYEE_MASTER!AC69="Yes",LK_AllowanceRates!$B$19,0)</f>
        <v>1000000</v>
      </c>
      <c r="S69" s="101">
        <f>IF(EMPLOYEE_MASTER!AA69="Yes",L69*LK_AllowanceRates!$B$20,0)</f>
        <v>710000</v>
      </c>
      <c r="T69" s="101">
        <f>IF(EMPLOYEE_MASTER!AB69="Yes",LK_AllowanceRates!$B$21,0)</f>
        <v>0</v>
      </c>
      <c r="U69" s="101">
        <f>IF(EMPLOYEE_MASTER!P69&gt;=6,LK_AllowanceRates!$B$22,0)</f>
        <v>0</v>
      </c>
      <c r="V69" s="101">
        <f>IF(EMPLOYEE_MASTER!AO69="Yes",LK_AllowanceRates!$B$23,0)</f>
        <v>200000</v>
      </c>
      <c r="W69" s="101">
        <f>EMPLOYEE_MASTER!AP69*LK_AllowanceRates!$B$24</f>
        <v>600000</v>
      </c>
      <c r="X69" s="101">
        <v>0</v>
      </c>
      <c r="Y69" s="102">
        <v>0</v>
      </c>
      <c r="Z69" s="102">
        <v>0</v>
      </c>
      <c r="AA69" s="102">
        <v>0</v>
      </c>
      <c r="AB69" s="103">
        <f t="shared" ca="1" si="10"/>
        <v>4698000</v>
      </c>
      <c r="AC69" s="104">
        <f t="shared" ca="1" si="11"/>
        <v>7538000</v>
      </c>
      <c r="AD69" s="105">
        <f>ROUND(L69*LK_AllowanceRates!$B$25/100,0)</f>
        <v>156200</v>
      </c>
      <c r="AE69" s="106">
        <f t="shared" ca="1" si="12"/>
        <v>7381800</v>
      </c>
      <c r="AF69" s="106">
        <f t="shared" ca="1" si="13"/>
        <v>423180</v>
      </c>
      <c r="AG69" s="107">
        <v>0</v>
      </c>
      <c r="AH69" s="107">
        <v>0</v>
      </c>
      <c r="AI69" s="108">
        <f t="shared" ca="1" si="14"/>
        <v>579380</v>
      </c>
      <c r="AJ69" s="109">
        <f t="shared" ca="1" si="15"/>
        <v>6958620</v>
      </c>
    </row>
    <row r="70" spans="1:36" ht="15" customHeight="1" x14ac:dyDescent="0.3">
      <c r="A70" s="98" t="str">
        <f>EMPLOYEE_MASTER!A70</f>
        <v>LAO00067</v>
      </c>
      <c r="B70" s="98" t="str">
        <f>EMPLOYEE_MASTER!C70</f>
        <v>Phonevilay</v>
      </c>
      <c r="C70" s="98" t="str">
        <f>EMPLOYEE_MASTER!D70</f>
        <v>Sisouvath</v>
      </c>
      <c r="D70" s="98" t="str">
        <f>EMPLOYEE_MASTER!T70</f>
        <v>Ministry of Natural Resources &amp; Environment (MoNRE)</v>
      </c>
      <c r="E70" s="98" t="str">
        <f>EMPLOYEE_MASTER!M70</f>
        <v>Project Officer</v>
      </c>
      <c r="F70" s="98" t="str">
        <f>EMPLOYEE_MASTER!Z70</f>
        <v>Technical</v>
      </c>
      <c r="G70" s="99">
        <f>EMPLOYEE_MASTER!P70</f>
        <v>4</v>
      </c>
      <c r="H70" s="99">
        <f>EMPLOYEE_MASTER!Q70</f>
        <v>1</v>
      </c>
      <c r="I70" s="100" t="str">
        <f t="shared" si="8"/>
        <v>G04-S01</v>
      </c>
      <c r="J70" s="100">
        <f>IFERROR(VLOOKUP(I70,LK_GradeStep!$C$4:$D$85,2,0),0)</f>
        <v>286</v>
      </c>
      <c r="K70" s="100">
        <f>IFERROR(VLOOKUP(I70,LK_GradeStep!$C$4:$E$85,3,0),10000)</f>
        <v>10000</v>
      </c>
      <c r="L70" s="100">
        <f t="shared" si="9"/>
        <v>2860000</v>
      </c>
      <c r="M70" s="101">
        <f>IFERROR(VLOOKUP(EMPLOYEE_MASTER!AQ70,LK_AllowanceRates!$A$5:$B$11,2,0),0)</f>
        <v>900000</v>
      </c>
      <c r="N70" s="101">
        <f ca="1">IFERROR(IF(EMPLOYEE_MASTER!J70&lt;=5,  EMPLOYEE_MASTER!J70*LK_AllowanceRates!$B$12,IF(EMPLOYEE_MASTER!J70&lt;=15, EMPLOYEE_MASTER!J70*LK_AllowanceRates!$B$13,IF(EMPLOYEE_MASTER!J70&lt;=25, EMPLOYEE_MASTER!J70*LK_AllowanceRates!$B$14,EMPLOYEE_MASTER!J70*LK_AllowanceRates!$B$15))),0)</f>
        <v>1400000</v>
      </c>
      <c r="O70" s="101">
        <f>IF(EMPLOYEE_MASTER!AS70="Teaching",L70*LK_AllowanceRates!$B$16,0)</f>
        <v>0</v>
      </c>
      <c r="P70" s="101">
        <f>IF(EMPLOYEE_MASTER!AS70="Medical",LK_AllowanceRates!$B$17,0)</f>
        <v>0</v>
      </c>
      <c r="Q70" s="101">
        <f>IF(EMPLOYEE_MASTER!AR70="Yes",LK_AllowanceRates!$B$18,0)</f>
        <v>0</v>
      </c>
      <c r="R70" s="101">
        <f>IF(EMPLOYEE_MASTER!AC70="Yes",LK_AllowanceRates!$B$19,0)</f>
        <v>0</v>
      </c>
      <c r="S70" s="101">
        <f>IF(EMPLOYEE_MASTER!AA70="Yes",L70*LK_AllowanceRates!$B$20,0)</f>
        <v>715000</v>
      </c>
      <c r="T70" s="101">
        <f>IF(EMPLOYEE_MASTER!AB70="Yes",LK_AllowanceRates!$B$21,0)</f>
        <v>0</v>
      </c>
      <c r="U70" s="101">
        <f>IF(EMPLOYEE_MASTER!P70&gt;=6,LK_AllowanceRates!$B$22,0)</f>
        <v>0</v>
      </c>
      <c r="V70" s="101">
        <f>IF(EMPLOYEE_MASTER!AO70="Yes",LK_AllowanceRates!$B$23,0)</f>
        <v>200000</v>
      </c>
      <c r="W70" s="101">
        <f>EMPLOYEE_MASTER!AP70*LK_AllowanceRates!$B$24</f>
        <v>0</v>
      </c>
      <c r="X70" s="101">
        <v>0</v>
      </c>
      <c r="Y70" s="102">
        <v>0</v>
      </c>
      <c r="Z70" s="102">
        <v>0</v>
      </c>
      <c r="AA70" s="102">
        <v>0</v>
      </c>
      <c r="AB70" s="103">
        <f t="shared" ca="1" si="10"/>
        <v>3215000</v>
      </c>
      <c r="AC70" s="104">
        <f t="shared" ca="1" si="11"/>
        <v>6075000</v>
      </c>
      <c r="AD70" s="105">
        <f>ROUND(L70*LK_AllowanceRates!$B$25/100,0)</f>
        <v>157300</v>
      </c>
      <c r="AE70" s="106">
        <f t="shared" ca="1" si="12"/>
        <v>5917700</v>
      </c>
      <c r="AF70" s="106">
        <f t="shared" ca="1" si="13"/>
        <v>276770</v>
      </c>
      <c r="AG70" s="107">
        <v>0</v>
      </c>
      <c r="AH70" s="107">
        <v>0</v>
      </c>
      <c r="AI70" s="108">
        <f t="shared" ca="1" si="14"/>
        <v>434070</v>
      </c>
      <c r="AJ70" s="109">
        <f t="shared" ca="1" si="15"/>
        <v>5640930</v>
      </c>
    </row>
    <row r="71" spans="1:36" ht="15" customHeight="1" x14ac:dyDescent="0.3">
      <c r="A71" s="98" t="str">
        <f>EMPLOYEE_MASTER!A71</f>
        <v>LAO00068</v>
      </c>
      <c r="B71" s="98" t="str">
        <f>EMPLOYEE_MASTER!C71</f>
        <v>Nongkham</v>
      </c>
      <c r="C71" s="98" t="str">
        <f>EMPLOYEE_MASTER!D71</f>
        <v>Manodham</v>
      </c>
      <c r="D71" s="98" t="str">
        <f>EMPLOYEE_MASTER!T71</f>
        <v>Ministry of Home Affairs (MoHA)</v>
      </c>
      <c r="E71" s="98" t="str">
        <f>EMPLOYEE_MASTER!M71</f>
        <v>Senior Administrative Officer</v>
      </c>
      <c r="F71" s="98" t="str">
        <f>EMPLOYEE_MASTER!Z71</f>
        <v>Administration</v>
      </c>
      <c r="G71" s="99">
        <f>EMPLOYEE_MASTER!P71</f>
        <v>4</v>
      </c>
      <c r="H71" s="99">
        <f>EMPLOYEE_MASTER!Q71</f>
        <v>9</v>
      </c>
      <c r="I71" s="100" t="str">
        <f t="shared" si="8"/>
        <v>G04-S09</v>
      </c>
      <c r="J71" s="100">
        <f>IFERROR(VLOOKUP(I71,LK_GradeStep!$C$4:$D$85,2,0),0)</f>
        <v>308</v>
      </c>
      <c r="K71" s="100">
        <f>IFERROR(VLOOKUP(I71,LK_GradeStep!$C$4:$E$85,3,0),10000)</f>
        <v>10000</v>
      </c>
      <c r="L71" s="100">
        <f t="shared" si="9"/>
        <v>3080000</v>
      </c>
      <c r="M71" s="101">
        <f>IFERROR(VLOOKUP(EMPLOYEE_MASTER!AQ71,LK_AllowanceRates!$A$5:$B$11,2,0),0)</f>
        <v>900000</v>
      </c>
      <c r="N71" s="101">
        <f ca="1">IFERROR(IF(EMPLOYEE_MASTER!J71&lt;=5,  EMPLOYEE_MASTER!J71*LK_AllowanceRates!$B$12,IF(EMPLOYEE_MASTER!J71&lt;=15, EMPLOYEE_MASTER!J71*LK_AllowanceRates!$B$13,IF(EMPLOYEE_MASTER!J71&lt;=25, EMPLOYEE_MASTER!J71*LK_AllowanceRates!$B$14,EMPLOYEE_MASTER!J71*LK_AllowanceRates!$B$15))),0)</f>
        <v>140000</v>
      </c>
      <c r="O71" s="101">
        <f>IF(EMPLOYEE_MASTER!AS71="Teaching",L71*LK_AllowanceRates!$B$16,0)</f>
        <v>0</v>
      </c>
      <c r="P71" s="101">
        <f>IF(EMPLOYEE_MASTER!AS71="Medical",LK_AllowanceRates!$B$17,0)</f>
        <v>0</v>
      </c>
      <c r="Q71" s="101">
        <f>IF(EMPLOYEE_MASTER!AR71="Yes",LK_AllowanceRates!$B$18,0)</f>
        <v>0</v>
      </c>
      <c r="R71" s="101">
        <f>IF(EMPLOYEE_MASTER!AC71="Yes",LK_AllowanceRates!$B$19,0)</f>
        <v>0</v>
      </c>
      <c r="S71" s="101">
        <f>IF(EMPLOYEE_MASTER!AA71="Yes",L71*LK_AllowanceRates!$B$20,0)</f>
        <v>770000</v>
      </c>
      <c r="T71" s="101">
        <f>IF(EMPLOYEE_MASTER!AB71="Yes",LK_AllowanceRates!$B$21,0)</f>
        <v>0</v>
      </c>
      <c r="U71" s="101">
        <f>IF(EMPLOYEE_MASTER!P71&gt;=6,LK_AllowanceRates!$B$22,0)</f>
        <v>0</v>
      </c>
      <c r="V71" s="101">
        <f>IF(EMPLOYEE_MASTER!AO71="Yes",LK_AllowanceRates!$B$23,0)</f>
        <v>0</v>
      </c>
      <c r="W71" s="101">
        <f>EMPLOYEE_MASTER!AP71*LK_AllowanceRates!$B$24</f>
        <v>0</v>
      </c>
      <c r="X71" s="101">
        <v>0</v>
      </c>
      <c r="Y71" s="102">
        <v>0</v>
      </c>
      <c r="Z71" s="102">
        <v>0</v>
      </c>
      <c r="AA71" s="102">
        <v>0</v>
      </c>
      <c r="AB71" s="103">
        <f t="shared" ca="1" si="10"/>
        <v>1810000</v>
      </c>
      <c r="AC71" s="104">
        <f t="shared" ca="1" si="11"/>
        <v>4890000</v>
      </c>
      <c r="AD71" s="105">
        <f>ROUND(L71*LK_AllowanceRates!$B$25/100,0)</f>
        <v>169400</v>
      </c>
      <c r="AE71" s="106">
        <f t="shared" ca="1" si="12"/>
        <v>4720600</v>
      </c>
      <c r="AF71" s="106">
        <f t="shared" ca="1" si="13"/>
        <v>171030</v>
      </c>
      <c r="AG71" s="107">
        <v>0</v>
      </c>
      <c r="AH71" s="107">
        <v>0</v>
      </c>
      <c r="AI71" s="108">
        <f t="shared" ca="1" si="14"/>
        <v>340430</v>
      </c>
      <c r="AJ71" s="109">
        <f t="shared" ca="1" si="15"/>
        <v>4549570</v>
      </c>
    </row>
    <row r="72" spans="1:36" ht="15" customHeight="1" x14ac:dyDescent="0.3">
      <c r="A72" s="98" t="str">
        <f>EMPLOYEE_MASTER!A72</f>
        <v>LAO00069</v>
      </c>
      <c r="B72" s="98" t="str">
        <f>EMPLOYEE_MASTER!C72</f>
        <v>Sounthone</v>
      </c>
      <c r="C72" s="98" t="str">
        <f>EMPLOYEE_MASTER!D72</f>
        <v>Xayavong</v>
      </c>
      <c r="D72" s="98" t="str">
        <f>EMPLOYEE_MASTER!T72</f>
        <v>Ministry of Planning &amp; Investment (MPI)</v>
      </c>
      <c r="E72" s="98" t="str">
        <f>EMPLOYEE_MASTER!M72</f>
        <v>Administrative Officer</v>
      </c>
      <c r="F72" s="98" t="str">
        <f>EMPLOYEE_MASTER!Z72</f>
        <v>Administration</v>
      </c>
      <c r="G72" s="99">
        <f>EMPLOYEE_MASTER!P72</f>
        <v>4</v>
      </c>
      <c r="H72" s="99">
        <f>EMPLOYEE_MASTER!Q72</f>
        <v>13</v>
      </c>
      <c r="I72" s="100" t="str">
        <f t="shared" si="8"/>
        <v>G04-S13</v>
      </c>
      <c r="J72" s="100">
        <f>IFERROR(VLOOKUP(I72,LK_GradeStep!$C$4:$D$85,2,0),0)</f>
        <v>328</v>
      </c>
      <c r="K72" s="100">
        <f>IFERROR(VLOOKUP(I72,LK_GradeStep!$C$4:$E$85,3,0),10000)</f>
        <v>10000</v>
      </c>
      <c r="L72" s="100">
        <f t="shared" si="9"/>
        <v>3280000</v>
      </c>
      <c r="M72" s="101">
        <f>IFERROR(VLOOKUP(EMPLOYEE_MASTER!AQ72,LK_AllowanceRates!$A$5:$B$11,2,0),0)</f>
        <v>900000</v>
      </c>
      <c r="N72" s="101">
        <f ca="1">IFERROR(IF(EMPLOYEE_MASTER!J72&lt;=5,  EMPLOYEE_MASTER!J72*LK_AllowanceRates!$B$12,IF(EMPLOYEE_MASTER!J72&lt;=15, EMPLOYEE_MASTER!J72*LK_AllowanceRates!$B$13,IF(EMPLOYEE_MASTER!J72&lt;=25, EMPLOYEE_MASTER!J72*LK_AllowanceRates!$B$14,EMPLOYEE_MASTER!J72*LK_AllowanceRates!$B$15))),0)</f>
        <v>10000</v>
      </c>
      <c r="O72" s="101">
        <f>IF(EMPLOYEE_MASTER!AS72="Teaching",L72*LK_AllowanceRates!$B$16,0)</f>
        <v>0</v>
      </c>
      <c r="P72" s="101">
        <f>IF(EMPLOYEE_MASTER!AS72="Medical",LK_AllowanceRates!$B$17,0)</f>
        <v>0</v>
      </c>
      <c r="Q72" s="101">
        <f>IF(EMPLOYEE_MASTER!AR72="Yes",LK_AllowanceRates!$B$18,0)</f>
        <v>0</v>
      </c>
      <c r="R72" s="101">
        <f>IF(EMPLOYEE_MASTER!AC72="Yes",LK_AllowanceRates!$B$19,0)</f>
        <v>1000000</v>
      </c>
      <c r="S72" s="101">
        <f>IF(EMPLOYEE_MASTER!AA72="Yes",L72*LK_AllowanceRates!$B$20,0)</f>
        <v>820000</v>
      </c>
      <c r="T72" s="101">
        <f>IF(EMPLOYEE_MASTER!AB72="Yes",LK_AllowanceRates!$B$21,0)</f>
        <v>0</v>
      </c>
      <c r="U72" s="101">
        <f>IF(EMPLOYEE_MASTER!P72&gt;=6,LK_AllowanceRates!$B$22,0)</f>
        <v>0</v>
      </c>
      <c r="V72" s="101">
        <f>IF(EMPLOYEE_MASTER!AO72="Yes",LK_AllowanceRates!$B$23,0)</f>
        <v>200000</v>
      </c>
      <c r="W72" s="101">
        <f>EMPLOYEE_MASTER!AP72*LK_AllowanceRates!$B$24</f>
        <v>600000</v>
      </c>
      <c r="X72" s="101">
        <v>0</v>
      </c>
      <c r="Y72" s="102">
        <v>0</v>
      </c>
      <c r="Z72" s="102">
        <v>0</v>
      </c>
      <c r="AA72" s="102">
        <v>0</v>
      </c>
      <c r="AB72" s="103">
        <f t="shared" ca="1" si="10"/>
        <v>3530000</v>
      </c>
      <c r="AC72" s="104">
        <f t="shared" ca="1" si="11"/>
        <v>6810000</v>
      </c>
      <c r="AD72" s="105">
        <f>ROUND(L72*LK_AllowanceRates!$B$25/100,0)</f>
        <v>180400</v>
      </c>
      <c r="AE72" s="106">
        <f t="shared" ca="1" si="12"/>
        <v>6629600</v>
      </c>
      <c r="AF72" s="106">
        <f t="shared" ca="1" si="13"/>
        <v>347960</v>
      </c>
      <c r="AG72" s="107">
        <v>0</v>
      </c>
      <c r="AH72" s="107">
        <v>0</v>
      </c>
      <c r="AI72" s="108">
        <f t="shared" ca="1" si="14"/>
        <v>528360</v>
      </c>
      <c r="AJ72" s="109">
        <f t="shared" ca="1" si="15"/>
        <v>6281640</v>
      </c>
    </row>
    <row r="73" spans="1:36" ht="15" customHeight="1" x14ac:dyDescent="0.3">
      <c r="A73" s="98" t="str">
        <f>EMPLOYEE_MASTER!A73</f>
        <v>LAO00070</v>
      </c>
      <c r="B73" s="98" t="str">
        <f>EMPLOYEE_MASTER!C73</f>
        <v>Lattanaphone</v>
      </c>
      <c r="C73" s="98" t="str">
        <f>EMPLOYEE_MASTER!D73</f>
        <v>Phaymany</v>
      </c>
      <c r="D73" s="98" t="str">
        <f>EMPLOYEE_MASTER!T73</f>
        <v>Luang Prabang Province Administration</v>
      </c>
      <c r="E73" s="98" t="str">
        <f>EMPLOYEE_MASTER!M73</f>
        <v>Deputy Director</v>
      </c>
      <c r="F73" s="98" t="str">
        <f>EMPLOYEE_MASTER!Z73</f>
        <v>Administration</v>
      </c>
      <c r="G73" s="99">
        <f>EMPLOYEE_MASTER!P73</f>
        <v>5</v>
      </c>
      <c r="H73" s="99">
        <f>EMPLOYEE_MASTER!Q73</f>
        <v>1</v>
      </c>
      <c r="I73" s="100" t="str">
        <f t="shared" si="8"/>
        <v>G05-S01</v>
      </c>
      <c r="J73" s="100">
        <f>IFERROR(VLOOKUP(I73,LK_GradeStep!$C$4:$D$85,2,0),0)</f>
        <v>308</v>
      </c>
      <c r="K73" s="100">
        <f>IFERROR(VLOOKUP(I73,LK_GradeStep!$C$4:$E$85,3,0),10000)</f>
        <v>10000</v>
      </c>
      <c r="L73" s="100">
        <f t="shared" si="9"/>
        <v>3080000</v>
      </c>
      <c r="M73" s="101">
        <f>IFERROR(VLOOKUP(EMPLOYEE_MASTER!AQ73,LK_AllowanceRates!$A$5:$B$11,2,0),0)</f>
        <v>2300000</v>
      </c>
      <c r="N73" s="101">
        <f ca="1">IFERROR(IF(EMPLOYEE_MASTER!J73&lt;=5,  EMPLOYEE_MASTER!J73*LK_AllowanceRates!$B$12,IF(EMPLOYEE_MASTER!J73&lt;=15, EMPLOYEE_MASTER!J73*LK_AllowanceRates!$B$13,IF(EMPLOYEE_MASTER!J73&lt;=25, EMPLOYEE_MASTER!J73*LK_AllowanceRates!$B$14,EMPLOYEE_MASTER!J73*LK_AllowanceRates!$B$15))),0)</f>
        <v>540000</v>
      </c>
      <c r="O73" s="101">
        <f>IF(EMPLOYEE_MASTER!AS73="Teaching",L73*LK_AllowanceRates!$B$16,0)</f>
        <v>0</v>
      </c>
      <c r="P73" s="101">
        <f>IF(EMPLOYEE_MASTER!AS73="Medical",LK_AllowanceRates!$B$17,0)</f>
        <v>0</v>
      </c>
      <c r="Q73" s="101">
        <f>IF(EMPLOYEE_MASTER!AR73="Yes",LK_AllowanceRates!$B$18,0)</f>
        <v>0</v>
      </c>
      <c r="R73" s="101">
        <f>IF(EMPLOYEE_MASTER!AC73="Yes",LK_AllowanceRates!$B$19,0)</f>
        <v>0</v>
      </c>
      <c r="S73" s="101">
        <f>IF(EMPLOYEE_MASTER!AA73="Yes",L73*LK_AllowanceRates!$B$20,0)</f>
        <v>0</v>
      </c>
      <c r="T73" s="101">
        <f>IF(EMPLOYEE_MASTER!AB73="Yes",LK_AllowanceRates!$B$21,0)</f>
        <v>0</v>
      </c>
      <c r="U73" s="101">
        <f>IF(EMPLOYEE_MASTER!P73&gt;=6,LK_AllowanceRates!$B$22,0)</f>
        <v>0</v>
      </c>
      <c r="V73" s="101">
        <f>IF(EMPLOYEE_MASTER!AO73="Yes",LK_AllowanceRates!$B$23,0)</f>
        <v>0</v>
      </c>
      <c r="W73" s="101">
        <f>EMPLOYEE_MASTER!AP73*LK_AllowanceRates!$B$24</f>
        <v>0</v>
      </c>
      <c r="X73" s="101">
        <v>0</v>
      </c>
      <c r="Y73" s="102">
        <v>0</v>
      </c>
      <c r="Z73" s="102">
        <v>0</v>
      </c>
      <c r="AA73" s="102">
        <v>0</v>
      </c>
      <c r="AB73" s="103">
        <f t="shared" ca="1" si="10"/>
        <v>2840000</v>
      </c>
      <c r="AC73" s="104">
        <f t="shared" ca="1" si="11"/>
        <v>5920000</v>
      </c>
      <c r="AD73" s="105">
        <f>ROUND(L73*LK_AllowanceRates!$B$25/100,0)</f>
        <v>169400</v>
      </c>
      <c r="AE73" s="106">
        <f t="shared" ca="1" si="12"/>
        <v>5750600</v>
      </c>
      <c r="AF73" s="106">
        <f t="shared" ca="1" si="13"/>
        <v>260060</v>
      </c>
      <c r="AG73" s="107">
        <v>0</v>
      </c>
      <c r="AH73" s="107">
        <v>0</v>
      </c>
      <c r="AI73" s="108">
        <f t="shared" ca="1" si="14"/>
        <v>429460</v>
      </c>
      <c r="AJ73" s="109">
        <f t="shared" ca="1" si="15"/>
        <v>5490540</v>
      </c>
    </row>
    <row r="74" spans="1:36" ht="15" customHeight="1" x14ac:dyDescent="0.3">
      <c r="A74" s="98" t="str">
        <f>EMPLOYEE_MASTER!A74</f>
        <v>LAO00071</v>
      </c>
      <c r="B74" s="98" t="str">
        <f>EMPLOYEE_MASTER!C74</f>
        <v>Khammany</v>
      </c>
      <c r="C74" s="98" t="str">
        <f>EMPLOYEE_MASTER!D74</f>
        <v>Vilayphitak</v>
      </c>
      <c r="D74" s="98" t="str">
        <f>EMPLOYEE_MASTER!T74</f>
        <v>Ministry of Education and Sports (MoES)</v>
      </c>
      <c r="E74" s="98" t="str">
        <f>EMPLOYEE_MASTER!M74</f>
        <v>Technical Vocational Trainer</v>
      </c>
      <c r="F74" s="98" t="str">
        <f>EMPLOYEE_MASTER!Z74</f>
        <v>Teacher</v>
      </c>
      <c r="G74" s="99">
        <f>EMPLOYEE_MASTER!P74</f>
        <v>2</v>
      </c>
      <c r="H74" s="99">
        <f>EMPLOYEE_MASTER!Q74</f>
        <v>8</v>
      </c>
      <c r="I74" s="100" t="str">
        <f t="shared" si="8"/>
        <v>G02-S08</v>
      </c>
      <c r="J74" s="100">
        <f>IFERROR(VLOOKUP(I74,LK_GradeStep!$C$4:$D$85,2,0),0)</f>
        <v>275</v>
      </c>
      <c r="K74" s="100">
        <f>IFERROR(VLOOKUP(I74,LK_GradeStep!$C$4:$E$85,3,0),10000)</f>
        <v>10000</v>
      </c>
      <c r="L74" s="100">
        <f t="shared" si="9"/>
        <v>2750000</v>
      </c>
      <c r="M74" s="101">
        <f>IFERROR(VLOOKUP(EMPLOYEE_MASTER!AQ74,LK_AllowanceRates!$A$5:$B$11,2,0),0)</f>
        <v>900000</v>
      </c>
      <c r="N74" s="101">
        <f ca="1">IFERROR(IF(EMPLOYEE_MASTER!J74&lt;=5,  EMPLOYEE_MASTER!J74*LK_AllowanceRates!$B$12,IF(EMPLOYEE_MASTER!J74&lt;=15, EMPLOYEE_MASTER!J74*LK_AllowanceRates!$B$13,IF(EMPLOYEE_MASTER!J74&lt;=25, EMPLOYEE_MASTER!J74*LK_AllowanceRates!$B$14,EMPLOYEE_MASTER!J74*LK_AllowanceRates!$B$15))),0)</f>
        <v>1040000</v>
      </c>
      <c r="O74" s="101">
        <f>IF(EMPLOYEE_MASTER!AS74="Teaching",L74*LK_AllowanceRates!$B$16,0)</f>
        <v>550000</v>
      </c>
      <c r="P74" s="101">
        <f>IF(EMPLOYEE_MASTER!AS74="Medical",LK_AllowanceRates!$B$17,0)</f>
        <v>0</v>
      </c>
      <c r="Q74" s="101">
        <f>IF(EMPLOYEE_MASTER!AR74="Yes",LK_AllowanceRates!$B$18,0)</f>
        <v>0</v>
      </c>
      <c r="R74" s="101">
        <f>IF(EMPLOYEE_MASTER!AC74="Yes",LK_AllowanceRates!$B$19,0)</f>
        <v>1000000</v>
      </c>
      <c r="S74" s="101">
        <f>IF(EMPLOYEE_MASTER!AA74="Yes",L74*LK_AllowanceRates!$B$20,0)</f>
        <v>687500</v>
      </c>
      <c r="T74" s="101">
        <f>IF(EMPLOYEE_MASTER!AB74="Yes",LK_AllowanceRates!$B$21,0)</f>
        <v>0</v>
      </c>
      <c r="U74" s="101">
        <f>IF(EMPLOYEE_MASTER!P74&gt;=6,LK_AllowanceRates!$B$22,0)</f>
        <v>0</v>
      </c>
      <c r="V74" s="101">
        <f>IF(EMPLOYEE_MASTER!AO74="Yes",LK_AllowanceRates!$B$23,0)</f>
        <v>0</v>
      </c>
      <c r="W74" s="101">
        <f>EMPLOYEE_MASTER!AP74*LK_AllowanceRates!$B$24</f>
        <v>0</v>
      </c>
      <c r="X74" s="101">
        <v>0</v>
      </c>
      <c r="Y74" s="102">
        <v>0</v>
      </c>
      <c r="Z74" s="102">
        <v>0</v>
      </c>
      <c r="AA74" s="102">
        <v>0</v>
      </c>
      <c r="AB74" s="103">
        <f t="shared" ca="1" si="10"/>
        <v>4177500</v>
      </c>
      <c r="AC74" s="104">
        <f t="shared" ca="1" si="11"/>
        <v>6927500</v>
      </c>
      <c r="AD74" s="105">
        <f>ROUND(L74*LK_AllowanceRates!$B$25/100,0)</f>
        <v>151250</v>
      </c>
      <c r="AE74" s="106">
        <f t="shared" ca="1" si="12"/>
        <v>6776250</v>
      </c>
      <c r="AF74" s="106">
        <f t="shared" ca="1" si="13"/>
        <v>362625</v>
      </c>
      <c r="AG74" s="107">
        <v>0</v>
      </c>
      <c r="AH74" s="107">
        <v>0</v>
      </c>
      <c r="AI74" s="108">
        <f t="shared" ca="1" si="14"/>
        <v>513875</v>
      </c>
      <c r="AJ74" s="109">
        <f t="shared" ca="1" si="15"/>
        <v>6413625</v>
      </c>
    </row>
    <row r="75" spans="1:36" ht="15" customHeight="1" x14ac:dyDescent="0.3">
      <c r="A75" s="98" t="str">
        <f>EMPLOYEE_MASTER!A75</f>
        <v>LAO00072</v>
      </c>
      <c r="B75" s="98" t="str">
        <f>EMPLOYEE_MASTER!C75</f>
        <v>Souvanny</v>
      </c>
      <c r="C75" s="98" t="str">
        <f>EMPLOYEE_MASTER!D75</f>
        <v>Soulisack</v>
      </c>
      <c r="D75" s="98" t="str">
        <f>EMPLOYEE_MASTER!T75</f>
        <v>Luang Prabang Province Administration</v>
      </c>
      <c r="E75" s="98" t="str">
        <f>EMPLOYEE_MASTER!M75</f>
        <v>Division Chief</v>
      </c>
      <c r="F75" s="98" t="str">
        <f>EMPLOYEE_MASTER!Z75</f>
        <v>Administration</v>
      </c>
      <c r="G75" s="99">
        <f>EMPLOYEE_MASTER!P75</f>
        <v>4</v>
      </c>
      <c r="H75" s="99">
        <f>EMPLOYEE_MASTER!Q75</f>
        <v>2</v>
      </c>
      <c r="I75" s="100" t="str">
        <f t="shared" si="8"/>
        <v>G04-S02</v>
      </c>
      <c r="J75" s="100">
        <f>IFERROR(VLOOKUP(I75,LK_GradeStep!$C$4:$D$85,2,0),0)</f>
        <v>288</v>
      </c>
      <c r="K75" s="100">
        <f>IFERROR(VLOOKUP(I75,LK_GradeStep!$C$4:$E$85,3,0),10000)</f>
        <v>10000</v>
      </c>
      <c r="L75" s="100">
        <f t="shared" si="9"/>
        <v>2880000</v>
      </c>
      <c r="M75" s="101">
        <f>IFERROR(VLOOKUP(EMPLOYEE_MASTER!AQ75,LK_AllowanceRates!$A$5:$B$11,2,0),0)</f>
        <v>1900000</v>
      </c>
      <c r="N75" s="101">
        <f ca="1">IFERROR(IF(EMPLOYEE_MASTER!J75&lt;=5,  EMPLOYEE_MASTER!J75*LK_AllowanceRates!$B$12,IF(EMPLOYEE_MASTER!J75&lt;=15, EMPLOYEE_MASTER!J75*LK_AllowanceRates!$B$13,IF(EMPLOYEE_MASTER!J75&lt;=25, EMPLOYEE_MASTER!J75*LK_AllowanceRates!$B$14,EMPLOYEE_MASTER!J75*LK_AllowanceRates!$B$15))),0)</f>
        <v>240000</v>
      </c>
      <c r="O75" s="101">
        <f>IF(EMPLOYEE_MASTER!AS75="Teaching",L75*LK_AllowanceRates!$B$16,0)</f>
        <v>0</v>
      </c>
      <c r="P75" s="101">
        <f>IF(EMPLOYEE_MASTER!AS75="Medical",LK_AllowanceRates!$B$17,0)</f>
        <v>0</v>
      </c>
      <c r="Q75" s="101">
        <f>IF(EMPLOYEE_MASTER!AR75="Yes",LK_AllowanceRates!$B$18,0)</f>
        <v>0</v>
      </c>
      <c r="R75" s="101">
        <f>IF(EMPLOYEE_MASTER!AC75="Yes",LK_AllowanceRates!$B$19,0)</f>
        <v>0</v>
      </c>
      <c r="S75" s="101">
        <f>IF(EMPLOYEE_MASTER!AA75="Yes",L75*LK_AllowanceRates!$B$20,0)</f>
        <v>720000</v>
      </c>
      <c r="T75" s="101">
        <f>IF(EMPLOYEE_MASTER!AB75="Yes",LK_AllowanceRates!$B$21,0)</f>
        <v>0</v>
      </c>
      <c r="U75" s="101">
        <f>IF(EMPLOYEE_MASTER!P75&gt;=6,LK_AllowanceRates!$B$22,0)</f>
        <v>0</v>
      </c>
      <c r="V75" s="101">
        <f>IF(EMPLOYEE_MASTER!AO75="Yes",LK_AllowanceRates!$B$23,0)</f>
        <v>200000</v>
      </c>
      <c r="W75" s="101">
        <f>EMPLOYEE_MASTER!AP75*LK_AllowanceRates!$B$24</f>
        <v>400000</v>
      </c>
      <c r="X75" s="101">
        <v>0</v>
      </c>
      <c r="Y75" s="102">
        <v>0</v>
      </c>
      <c r="Z75" s="102">
        <v>0</v>
      </c>
      <c r="AA75" s="102">
        <v>0</v>
      </c>
      <c r="AB75" s="103">
        <f t="shared" ca="1" si="10"/>
        <v>3460000</v>
      </c>
      <c r="AC75" s="104">
        <f t="shared" ca="1" si="11"/>
        <v>6340000</v>
      </c>
      <c r="AD75" s="105">
        <f>ROUND(L75*LK_AllowanceRates!$B$25/100,0)</f>
        <v>158400</v>
      </c>
      <c r="AE75" s="106">
        <f t="shared" ca="1" si="12"/>
        <v>6181600</v>
      </c>
      <c r="AF75" s="106">
        <f t="shared" ca="1" si="13"/>
        <v>303160</v>
      </c>
      <c r="AG75" s="107">
        <v>0</v>
      </c>
      <c r="AH75" s="107">
        <v>0</v>
      </c>
      <c r="AI75" s="108">
        <f t="shared" ca="1" si="14"/>
        <v>461560</v>
      </c>
      <c r="AJ75" s="109">
        <f t="shared" ca="1" si="15"/>
        <v>5878440</v>
      </c>
    </row>
    <row r="76" spans="1:36" ht="15" customHeight="1" x14ac:dyDescent="0.3">
      <c r="A76" s="98" t="str">
        <f>EMPLOYEE_MASTER!A76</f>
        <v>LAO00073</v>
      </c>
      <c r="B76" s="98" t="str">
        <f>EMPLOYEE_MASTER!C76</f>
        <v>Bounkhong</v>
      </c>
      <c r="C76" s="98" t="str">
        <f>EMPLOYEE_MASTER!D76</f>
        <v>Phetsamone</v>
      </c>
      <c r="D76" s="98" t="str">
        <f>EMPLOYEE_MASTER!T76</f>
        <v>Ministry of Natural Resources &amp; Environment (MoNRE)</v>
      </c>
      <c r="E76" s="98" t="str">
        <f>EMPLOYEE_MASTER!M76</f>
        <v>Environmental Officer</v>
      </c>
      <c r="F76" s="98" t="str">
        <f>EMPLOYEE_MASTER!Z76</f>
        <v>Technical</v>
      </c>
      <c r="G76" s="99">
        <f>EMPLOYEE_MASTER!P76</f>
        <v>3</v>
      </c>
      <c r="H76" s="99">
        <f>EMPLOYEE_MASTER!Q76</f>
        <v>13</v>
      </c>
      <c r="I76" s="100" t="str">
        <f t="shared" si="8"/>
        <v>G03-S13</v>
      </c>
      <c r="J76" s="100">
        <f>IFERROR(VLOOKUP(I76,LK_GradeStep!$C$4:$D$85,2,0),0)</f>
        <v>294</v>
      </c>
      <c r="K76" s="100">
        <f>IFERROR(VLOOKUP(I76,LK_GradeStep!$C$4:$E$85,3,0),10000)</f>
        <v>10000</v>
      </c>
      <c r="L76" s="100">
        <f t="shared" si="9"/>
        <v>2940000</v>
      </c>
      <c r="M76" s="101">
        <f>IFERROR(VLOOKUP(EMPLOYEE_MASTER!AQ76,LK_AllowanceRates!$A$5:$B$11,2,0),0)</f>
        <v>900000</v>
      </c>
      <c r="N76" s="101">
        <f ca="1">IFERROR(IF(EMPLOYEE_MASTER!J76&lt;=5,  EMPLOYEE_MASTER!J76*LK_AllowanceRates!$B$12,IF(EMPLOYEE_MASTER!J76&lt;=15, EMPLOYEE_MASTER!J76*LK_AllowanceRates!$B$13,IF(EMPLOYEE_MASTER!J76&lt;=25, EMPLOYEE_MASTER!J76*LK_AllowanceRates!$B$14,EMPLOYEE_MASTER!J76*LK_AllowanceRates!$B$15))),0)</f>
        <v>20000</v>
      </c>
      <c r="O76" s="101">
        <f>IF(EMPLOYEE_MASTER!AS76="Teaching",L76*LK_AllowanceRates!$B$16,0)</f>
        <v>0</v>
      </c>
      <c r="P76" s="101">
        <f>IF(EMPLOYEE_MASTER!AS76="Medical",LK_AllowanceRates!$B$17,0)</f>
        <v>0</v>
      </c>
      <c r="Q76" s="101">
        <f>IF(EMPLOYEE_MASTER!AR76="Yes",LK_AllowanceRates!$B$18,0)</f>
        <v>0</v>
      </c>
      <c r="R76" s="101">
        <f>IF(EMPLOYEE_MASTER!AC76="Yes",LK_AllowanceRates!$B$19,0)</f>
        <v>1000000</v>
      </c>
      <c r="S76" s="101">
        <f>IF(EMPLOYEE_MASTER!AA76="Yes",L76*LK_AllowanceRates!$B$20,0)</f>
        <v>735000</v>
      </c>
      <c r="T76" s="101">
        <f>IF(EMPLOYEE_MASTER!AB76="Yes",LK_AllowanceRates!$B$21,0)</f>
        <v>0</v>
      </c>
      <c r="U76" s="101">
        <f>IF(EMPLOYEE_MASTER!P76&gt;=6,LK_AllowanceRates!$B$22,0)</f>
        <v>0</v>
      </c>
      <c r="V76" s="101">
        <f>IF(EMPLOYEE_MASTER!AO76="Yes",LK_AllowanceRates!$B$23,0)</f>
        <v>200000</v>
      </c>
      <c r="W76" s="101">
        <f>EMPLOYEE_MASTER!AP76*LK_AllowanceRates!$B$24</f>
        <v>400000</v>
      </c>
      <c r="X76" s="101">
        <v>0</v>
      </c>
      <c r="Y76" s="102">
        <v>0</v>
      </c>
      <c r="Z76" s="102">
        <v>0</v>
      </c>
      <c r="AA76" s="102">
        <v>0</v>
      </c>
      <c r="AB76" s="103">
        <f t="shared" ca="1" si="10"/>
        <v>3255000</v>
      </c>
      <c r="AC76" s="104">
        <f t="shared" ca="1" si="11"/>
        <v>6195000</v>
      </c>
      <c r="AD76" s="105">
        <f>ROUND(L76*LK_AllowanceRates!$B$25/100,0)</f>
        <v>161700</v>
      </c>
      <c r="AE76" s="106">
        <f t="shared" ca="1" si="12"/>
        <v>6033300</v>
      </c>
      <c r="AF76" s="106">
        <f t="shared" ca="1" si="13"/>
        <v>288330</v>
      </c>
      <c r="AG76" s="107">
        <v>0</v>
      </c>
      <c r="AH76" s="107">
        <v>0</v>
      </c>
      <c r="AI76" s="108">
        <f t="shared" ca="1" si="14"/>
        <v>450030</v>
      </c>
      <c r="AJ76" s="109">
        <f t="shared" ca="1" si="15"/>
        <v>5744970</v>
      </c>
    </row>
    <row r="77" spans="1:36" ht="15" customHeight="1" x14ac:dyDescent="0.3">
      <c r="A77" s="98" t="str">
        <f>EMPLOYEE_MASTER!A77</f>
        <v>LAO00074</v>
      </c>
      <c r="B77" s="98" t="str">
        <f>EMPLOYEE_MASTER!C77</f>
        <v>Sounthone</v>
      </c>
      <c r="C77" s="98" t="str">
        <f>EMPLOYEE_MASTER!D77</f>
        <v>Bounphanixay</v>
      </c>
      <c r="D77" s="98" t="str">
        <f>EMPLOYEE_MASTER!T77</f>
        <v>Ministry of Justice (MoJ)</v>
      </c>
      <c r="E77" s="98" t="str">
        <f>EMPLOYEE_MASTER!M77</f>
        <v>Senior Legal Officer</v>
      </c>
      <c r="F77" s="98" t="str">
        <f>EMPLOYEE_MASTER!Z77</f>
        <v>Legal</v>
      </c>
      <c r="G77" s="99">
        <f>EMPLOYEE_MASTER!P77</f>
        <v>5</v>
      </c>
      <c r="H77" s="99">
        <f>EMPLOYEE_MASTER!Q77</f>
        <v>1</v>
      </c>
      <c r="I77" s="100" t="str">
        <f t="shared" si="8"/>
        <v>G05-S01</v>
      </c>
      <c r="J77" s="100">
        <f>IFERROR(VLOOKUP(I77,LK_GradeStep!$C$4:$D$85,2,0),0)</f>
        <v>308</v>
      </c>
      <c r="K77" s="100">
        <f>IFERROR(VLOOKUP(I77,LK_GradeStep!$C$4:$E$85,3,0),10000)</f>
        <v>10000</v>
      </c>
      <c r="L77" s="100">
        <f t="shared" si="9"/>
        <v>3080000</v>
      </c>
      <c r="M77" s="101">
        <f>IFERROR(VLOOKUP(EMPLOYEE_MASTER!AQ77,LK_AllowanceRates!$A$5:$B$11,2,0),0)</f>
        <v>900000</v>
      </c>
      <c r="N77" s="101">
        <f ca="1">IFERROR(IF(EMPLOYEE_MASTER!J77&lt;=5,  EMPLOYEE_MASTER!J77*LK_AllowanceRates!$B$12,IF(EMPLOYEE_MASTER!J77&lt;=15, EMPLOYEE_MASTER!J77*LK_AllowanceRates!$B$13,IF(EMPLOYEE_MASTER!J77&lt;=25, EMPLOYEE_MASTER!J77*LK_AllowanceRates!$B$14,EMPLOYEE_MASTER!J77*LK_AllowanceRates!$B$15))),0)</f>
        <v>1360000</v>
      </c>
      <c r="O77" s="101">
        <f>IF(EMPLOYEE_MASTER!AS77="Teaching",L77*LK_AllowanceRates!$B$16,0)</f>
        <v>0</v>
      </c>
      <c r="P77" s="101">
        <f>IF(EMPLOYEE_MASTER!AS77="Medical",LK_AllowanceRates!$B$17,0)</f>
        <v>0</v>
      </c>
      <c r="Q77" s="101">
        <f>IF(EMPLOYEE_MASTER!AR77="Yes",LK_AllowanceRates!$B$18,0)</f>
        <v>0</v>
      </c>
      <c r="R77" s="101">
        <f>IF(EMPLOYEE_MASTER!AC77="Yes",LK_AllowanceRates!$B$19,0)</f>
        <v>0</v>
      </c>
      <c r="S77" s="101">
        <f>IF(EMPLOYEE_MASTER!AA77="Yes",L77*LK_AllowanceRates!$B$20,0)</f>
        <v>770000</v>
      </c>
      <c r="T77" s="101">
        <f>IF(EMPLOYEE_MASTER!AB77="Yes",LK_AllowanceRates!$B$21,0)</f>
        <v>0</v>
      </c>
      <c r="U77" s="101">
        <f>IF(EMPLOYEE_MASTER!P77&gt;=6,LK_AllowanceRates!$B$22,0)</f>
        <v>0</v>
      </c>
      <c r="V77" s="101">
        <f>IF(EMPLOYEE_MASTER!AO77="Yes",LK_AllowanceRates!$B$23,0)</f>
        <v>0</v>
      </c>
      <c r="W77" s="101">
        <f>EMPLOYEE_MASTER!AP77*LK_AllowanceRates!$B$24</f>
        <v>0</v>
      </c>
      <c r="X77" s="101">
        <v>0</v>
      </c>
      <c r="Y77" s="102">
        <v>0</v>
      </c>
      <c r="Z77" s="102">
        <v>0</v>
      </c>
      <c r="AA77" s="102">
        <v>0</v>
      </c>
      <c r="AB77" s="103">
        <f t="shared" ca="1" si="10"/>
        <v>3030000</v>
      </c>
      <c r="AC77" s="104">
        <f t="shared" ca="1" si="11"/>
        <v>6110000</v>
      </c>
      <c r="AD77" s="105">
        <f>ROUND(L77*LK_AllowanceRates!$B$25/100,0)</f>
        <v>169400</v>
      </c>
      <c r="AE77" s="106">
        <f t="shared" ca="1" si="12"/>
        <v>5940600</v>
      </c>
      <c r="AF77" s="106">
        <f t="shared" ca="1" si="13"/>
        <v>279060</v>
      </c>
      <c r="AG77" s="107">
        <v>0</v>
      </c>
      <c r="AH77" s="107">
        <v>0</v>
      </c>
      <c r="AI77" s="108">
        <f t="shared" ca="1" si="14"/>
        <v>448460</v>
      </c>
      <c r="AJ77" s="109">
        <f t="shared" ca="1" si="15"/>
        <v>5661540</v>
      </c>
    </row>
    <row r="78" spans="1:36" ht="15" customHeight="1" x14ac:dyDescent="0.3">
      <c r="A78" s="98" t="str">
        <f>EMPLOYEE_MASTER!A78</f>
        <v>LAO00075</v>
      </c>
      <c r="B78" s="98" t="str">
        <f>EMPLOYEE_MASTER!C78</f>
        <v>Bouakham</v>
      </c>
      <c r="C78" s="98" t="str">
        <f>EMPLOYEE_MASTER!D78</f>
        <v>Phommavong</v>
      </c>
      <c r="D78" s="98" t="str">
        <f>EMPLOYEE_MASTER!T78</f>
        <v>Vientiane Capital Administration</v>
      </c>
      <c r="E78" s="98" t="str">
        <f>EMPLOYEE_MASTER!M78</f>
        <v>Clerk</v>
      </c>
      <c r="F78" s="98" t="str">
        <f>EMPLOYEE_MASTER!Z78</f>
        <v>Administration</v>
      </c>
      <c r="G78" s="99">
        <f>EMPLOYEE_MASTER!P78</f>
        <v>3</v>
      </c>
      <c r="H78" s="99">
        <f>EMPLOYEE_MASTER!Q78</f>
        <v>2</v>
      </c>
      <c r="I78" s="100" t="str">
        <f t="shared" si="8"/>
        <v>G03-S02</v>
      </c>
      <c r="J78" s="100">
        <f>IFERROR(VLOOKUP(I78,LK_GradeStep!$C$4:$D$85,2,0),0)</f>
        <v>277</v>
      </c>
      <c r="K78" s="100">
        <f>IFERROR(VLOOKUP(I78,LK_GradeStep!$C$4:$E$85,3,0),10000)</f>
        <v>10000</v>
      </c>
      <c r="L78" s="100">
        <f t="shared" si="9"/>
        <v>2770000</v>
      </c>
      <c r="M78" s="101">
        <f>IFERROR(VLOOKUP(EMPLOYEE_MASTER!AQ78,LK_AllowanceRates!$A$5:$B$11,2,0),0)</f>
        <v>900000</v>
      </c>
      <c r="N78" s="101">
        <f ca="1">IFERROR(IF(EMPLOYEE_MASTER!J78&lt;=5,  EMPLOYEE_MASTER!J78*LK_AllowanceRates!$B$12,IF(EMPLOYEE_MASTER!J78&lt;=15, EMPLOYEE_MASTER!J78*LK_AllowanceRates!$B$13,IF(EMPLOYEE_MASTER!J78&lt;=25, EMPLOYEE_MASTER!J78*LK_AllowanceRates!$B$14,EMPLOYEE_MASTER!J78*LK_AllowanceRates!$B$15))),0)</f>
        <v>10000</v>
      </c>
      <c r="O78" s="101">
        <f>IF(EMPLOYEE_MASTER!AS78="Teaching",L78*LK_AllowanceRates!$B$16,0)</f>
        <v>0</v>
      </c>
      <c r="P78" s="101">
        <f>IF(EMPLOYEE_MASTER!AS78="Medical",LK_AllowanceRates!$B$17,0)</f>
        <v>0</v>
      </c>
      <c r="Q78" s="101">
        <f>IF(EMPLOYEE_MASTER!AR78="Yes",LK_AllowanceRates!$B$18,0)</f>
        <v>0</v>
      </c>
      <c r="R78" s="101">
        <f>IF(EMPLOYEE_MASTER!AC78="Yes",LK_AllowanceRates!$B$19,0)</f>
        <v>0</v>
      </c>
      <c r="S78" s="101">
        <f>IF(EMPLOYEE_MASTER!AA78="Yes",L78*LK_AllowanceRates!$B$20,0)</f>
        <v>0</v>
      </c>
      <c r="T78" s="101">
        <f>IF(EMPLOYEE_MASTER!AB78="Yes",LK_AllowanceRates!$B$21,0)</f>
        <v>0</v>
      </c>
      <c r="U78" s="101">
        <f>IF(EMPLOYEE_MASTER!P78&gt;=6,LK_AllowanceRates!$B$22,0)</f>
        <v>0</v>
      </c>
      <c r="V78" s="101">
        <f>IF(EMPLOYEE_MASTER!AO78="Yes",LK_AllowanceRates!$B$23,0)</f>
        <v>0</v>
      </c>
      <c r="W78" s="101">
        <f>EMPLOYEE_MASTER!AP78*LK_AllowanceRates!$B$24</f>
        <v>0</v>
      </c>
      <c r="X78" s="101">
        <v>0</v>
      </c>
      <c r="Y78" s="102">
        <v>0</v>
      </c>
      <c r="Z78" s="102">
        <v>0</v>
      </c>
      <c r="AA78" s="102">
        <v>0</v>
      </c>
      <c r="AB78" s="103">
        <f t="shared" ca="1" si="10"/>
        <v>910000</v>
      </c>
      <c r="AC78" s="104">
        <f t="shared" ca="1" si="11"/>
        <v>3680000</v>
      </c>
      <c r="AD78" s="105">
        <f>ROUND(L78*LK_AllowanceRates!$B$25/100,0)</f>
        <v>152350</v>
      </c>
      <c r="AE78" s="106">
        <f t="shared" ca="1" si="12"/>
        <v>3527650</v>
      </c>
      <c r="AF78" s="106">
        <f t="shared" ca="1" si="13"/>
        <v>111382.5</v>
      </c>
      <c r="AG78" s="107">
        <v>0</v>
      </c>
      <c r="AH78" s="107">
        <v>0</v>
      </c>
      <c r="AI78" s="108">
        <f t="shared" ca="1" si="14"/>
        <v>263732.5</v>
      </c>
      <c r="AJ78" s="109">
        <f t="shared" ca="1" si="15"/>
        <v>3416267.5</v>
      </c>
    </row>
    <row r="79" spans="1:36" ht="15" customHeight="1" x14ac:dyDescent="0.3">
      <c r="A79" s="98" t="str">
        <f>EMPLOYEE_MASTER!A79</f>
        <v>LAO00076</v>
      </c>
      <c r="B79" s="98" t="str">
        <f>EMPLOYEE_MASTER!C79</f>
        <v>Sidalay</v>
      </c>
      <c r="C79" s="98" t="str">
        <f>EMPLOYEE_MASTER!D79</f>
        <v>Phommasack</v>
      </c>
      <c r="D79" s="98" t="str">
        <f>EMPLOYEE_MASTER!T79</f>
        <v>Vientiane Capital Administration</v>
      </c>
      <c r="E79" s="98" t="str">
        <f>EMPLOYEE_MASTER!M79</f>
        <v>Senior Officer</v>
      </c>
      <c r="F79" s="98" t="str">
        <f>EMPLOYEE_MASTER!Z79</f>
        <v>Administration</v>
      </c>
      <c r="G79" s="99">
        <f>EMPLOYEE_MASTER!P79</f>
        <v>5</v>
      </c>
      <c r="H79" s="99">
        <f>EMPLOYEE_MASTER!Q79</f>
        <v>1</v>
      </c>
      <c r="I79" s="100" t="str">
        <f t="shared" si="8"/>
        <v>G05-S01</v>
      </c>
      <c r="J79" s="100">
        <f>IFERROR(VLOOKUP(I79,LK_GradeStep!$C$4:$D$85,2,0),0)</f>
        <v>308</v>
      </c>
      <c r="K79" s="100">
        <f>IFERROR(VLOOKUP(I79,LK_GradeStep!$C$4:$E$85,3,0),10000)</f>
        <v>10000</v>
      </c>
      <c r="L79" s="100">
        <f t="shared" si="9"/>
        <v>3080000</v>
      </c>
      <c r="M79" s="101">
        <f>IFERROR(VLOOKUP(EMPLOYEE_MASTER!AQ79,LK_AllowanceRates!$A$5:$B$11,2,0),0)</f>
        <v>900000</v>
      </c>
      <c r="N79" s="101">
        <f ca="1">IFERROR(IF(EMPLOYEE_MASTER!J79&lt;=5,  EMPLOYEE_MASTER!J79*LK_AllowanceRates!$B$12,IF(EMPLOYEE_MASTER!J79&lt;=15, EMPLOYEE_MASTER!J79*LK_AllowanceRates!$B$13,IF(EMPLOYEE_MASTER!J79&lt;=25, EMPLOYEE_MASTER!J79*LK_AllowanceRates!$B$14,EMPLOYEE_MASTER!J79*LK_AllowanceRates!$B$15))),0)</f>
        <v>280000</v>
      </c>
      <c r="O79" s="101">
        <f>IF(EMPLOYEE_MASTER!AS79="Teaching",L79*LK_AllowanceRates!$B$16,0)</f>
        <v>0</v>
      </c>
      <c r="P79" s="101">
        <f>IF(EMPLOYEE_MASTER!AS79="Medical",LK_AllowanceRates!$B$17,0)</f>
        <v>0</v>
      </c>
      <c r="Q79" s="101">
        <f>IF(EMPLOYEE_MASTER!AR79="Yes",LK_AllowanceRates!$B$18,0)</f>
        <v>0</v>
      </c>
      <c r="R79" s="101">
        <f>IF(EMPLOYEE_MASTER!AC79="Yes",LK_AllowanceRates!$B$19,0)</f>
        <v>0</v>
      </c>
      <c r="S79" s="101">
        <f>IF(EMPLOYEE_MASTER!AA79="Yes",L79*LK_AllowanceRates!$B$20,0)</f>
        <v>0</v>
      </c>
      <c r="T79" s="101">
        <f>IF(EMPLOYEE_MASTER!AB79="Yes",LK_AllowanceRates!$B$21,0)</f>
        <v>0</v>
      </c>
      <c r="U79" s="101">
        <f>IF(EMPLOYEE_MASTER!P79&gt;=6,LK_AllowanceRates!$B$22,0)</f>
        <v>0</v>
      </c>
      <c r="V79" s="101">
        <f>IF(EMPLOYEE_MASTER!AO79="Yes",LK_AllowanceRates!$B$23,0)</f>
        <v>200000</v>
      </c>
      <c r="W79" s="101">
        <f>EMPLOYEE_MASTER!AP79*LK_AllowanceRates!$B$24</f>
        <v>600000</v>
      </c>
      <c r="X79" s="101">
        <v>0</v>
      </c>
      <c r="Y79" s="102">
        <v>0</v>
      </c>
      <c r="Z79" s="102">
        <v>0</v>
      </c>
      <c r="AA79" s="102">
        <v>0</v>
      </c>
      <c r="AB79" s="103">
        <f t="shared" ca="1" si="10"/>
        <v>1980000</v>
      </c>
      <c r="AC79" s="104">
        <f t="shared" ca="1" si="11"/>
        <v>5060000</v>
      </c>
      <c r="AD79" s="105">
        <f>ROUND(L79*LK_AllowanceRates!$B$25/100,0)</f>
        <v>169400</v>
      </c>
      <c r="AE79" s="106">
        <f t="shared" ca="1" si="12"/>
        <v>4890600</v>
      </c>
      <c r="AF79" s="106">
        <f t="shared" ca="1" si="13"/>
        <v>179530</v>
      </c>
      <c r="AG79" s="107">
        <v>0</v>
      </c>
      <c r="AH79" s="107">
        <v>0</v>
      </c>
      <c r="AI79" s="108">
        <f t="shared" ca="1" si="14"/>
        <v>348930</v>
      </c>
      <c r="AJ79" s="109">
        <f t="shared" ca="1" si="15"/>
        <v>4711070</v>
      </c>
    </row>
    <row r="80" spans="1:36" ht="15" customHeight="1" x14ac:dyDescent="0.3">
      <c r="A80" s="98" t="str">
        <f>EMPLOYEE_MASTER!A80</f>
        <v>LAO00077</v>
      </c>
      <c r="B80" s="98" t="str">
        <f>EMPLOYEE_MASTER!C80</f>
        <v>Khammany</v>
      </c>
      <c r="C80" s="98" t="str">
        <f>EMPLOYEE_MASTER!D80</f>
        <v>Soulisack</v>
      </c>
      <c r="D80" s="98" t="str">
        <f>EMPLOYEE_MASTER!T80</f>
        <v>Ministry of Home Affairs (MoHA)</v>
      </c>
      <c r="E80" s="98" t="str">
        <f>EMPLOYEE_MASTER!M80</f>
        <v>Division Chief</v>
      </c>
      <c r="F80" s="98" t="str">
        <f>EMPLOYEE_MASTER!Z80</f>
        <v>Administration</v>
      </c>
      <c r="G80" s="99">
        <f>EMPLOYEE_MASTER!P80</f>
        <v>4</v>
      </c>
      <c r="H80" s="99">
        <f>EMPLOYEE_MASTER!Q80</f>
        <v>1</v>
      </c>
      <c r="I80" s="100" t="str">
        <f t="shared" si="8"/>
        <v>G04-S01</v>
      </c>
      <c r="J80" s="100">
        <f>IFERROR(VLOOKUP(I80,LK_GradeStep!$C$4:$D$85,2,0),0)</f>
        <v>286</v>
      </c>
      <c r="K80" s="100">
        <f>IFERROR(VLOOKUP(I80,LK_GradeStep!$C$4:$E$85,3,0),10000)</f>
        <v>10000</v>
      </c>
      <c r="L80" s="100">
        <f t="shared" si="9"/>
        <v>2860000</v>
      </c>
      <c r="M80" s="101">
        <f>IFERROR(VLOOKUP(EMPLOYEE_MASTER!AQ80,LK_AllowanceRates!$A$5:$B$11,2,0),0)</f>
        <v>1900000</v>
      </c>
      <c r="N80" s="101">
        <f ca="1">IFERROR(IF(EMPLOYEE_MASTER!J80&lt;=5,  EMPLOYEE_MASTER!J80*LK_AllowanceRates!$B$12,IF(EMPLOYEE_MASTER!J80&lt;=15, EMPLOYEE_MASTER!J80*LK_AllowanceRates!$B$13,IF(EMPLOYEE_MASTER!J80&lt;=25, EMPLOYEE_MASTER!J80*LK_AllowanceRates!$B$14,EMPLOYEE_MASTER!J80*LK_AllowanceRates!$B$15))),0)</f>
        <v>510000</v>
      </c>
      <c r="O80" s="101">
        <f>IF(EMPLOYEE_MASTER!AS80="Teaching",L80*LK_AllowanceRates!$B$16,0)</f>
        <v>0</v>
      </c>
      <c r="P80" s="101">
        <f>IF(EMPLOYEE_MASTER!AS80="Medical",LK_AllowanceRates!$B$17,0)</f>
        <v>0</v>
      </c>
      <c r="Q80" s="101">
        <f>IF(EMPLOYEE_MASTER!AR80="Yes",LK_AllowanceRates!$B$18,0)</f>
        <v>0</v>
      </c>
      <c r="R80" s="101">
        <f>IF(EMPLOYEE_MASTER!AC80="Yes",LK_AllowanceRates!$B$19,0)</f>
        <v>0</v>
      </c>
      <c r="S80" s="101">
        <f>IF(EMPLOYEE_MASTER!AA80="Yes",L80*LK_AllowanceRates!$B$20,0)</f>
        <v>0</v>
      </c>
      <c r="T80" s="101">
        <f>IF(EMPLOYEE_MASTER!AB80="Yes",LK_AllowanceRates!$B$21,0)</f>
        <v>0</v>
      </c>
      <c r="U80" s="101">
        <f>IF(EMPLOYEE_MASTER!P80&gt;=6,LK_AllowanceRates!$B$22,0)</f>
        <v>0</v>
      </c>
      <c r="V80" s="101">
        <f>IF(EMPLOYEE_MASTER!AO80="Yes",LK_AllowanceRates!$B$23,0)</f>
        <v>0</v>
      </c>
      <c r="W80" s="101">
        <f>EMPLOYEE_MASTER!AP80*LK_AllowanceRates!$B$24</f>
        <v>0</v>
      </c>
      <c r="X80" s="101">
        <v>0</v>
      </c>
      <c r="Y80" s="102">
        <v>0</v>
      </c>
      <c r="Z80" s="102">
        <v>0</v>
      </c>
      <c r="AA80" s="102">
        <v>0</v>
      </c>
      <c r="AB80" s="103">
        <f t="shared" ca="1" si="10"/>
        <v>2410000</v>
      </c>
      <c r="AC80" s="104">
        <f t="shared" ca="1" si="11"/>
        <v>5270000</v>
      </c>
      <c r="AD80" s="105">
        <f>ROUND(L80*LK_AllowanceRates!$B$25/100,0)</f>
        <v>157300</v>
      </c>
      <c r="AE80" s="106">
        <f t="shared" ca="1" si="12"/>
        <v>5112700</v>
      </c>
      <c r="AF80" s="106">
        <f t="shared" ca="1" si="13"/>
        <v>196270</v>
      </c>
      <c r="AG80" s="107">
        <v>0</v>
      </c>
      <c r="AH80" s="107">
        <v>0</v>
      </c>
      <c r="AI80" s="108">
        <f t="shared" ca="1" si="14"/>
        <v>353570</v>
      </c>
      <c r="AJ80" s="109">
        <f t="shared" ca="1" si="15"/>
        <v>4916430</v>
      </c>
    </row>
    <row r="81" spans="1:36" ht="15" customHeight="1" x14ac:dyDescent="0.3">
      <c r="A81" s="98" t="str">
        <f>EMPLOYEE_MASTER!A81</f>
        <v>LAO00078</v>
      </c>
      <c r="B81" s="98" t="str">
        <f>EMPLOYEE_MASTER!C81</f>
        <v>Keoviengkham</v>
      </c>
      <c r="C81" s="98" t="str">
        <f>EMPLOYEE_MASTER!D81</f>
        <v>Bounseng</v>
      </c>
      <c r="D81" s="98" t="str">
        <f>EMPLOYEE_MASTER!T81</f>
        <v>Ministry of Justice (MoJ)</v>
      </c>
      <c r="E81" s="98" t="str">
        <f>EMPLOYEE_MASTER!M81</f>
        <v>Senior Legal Advisor</v>
      </c>
      <c r="F81" s="98" t="str">
        <f>EMPLOYEE_MASTER!Z81</f>
        <v>Legal</v>
      </c>
      <c r="G81" s="99">
        <f>EMPLOYEE_MASTER!P81</f>
        <v>5</v>
      </c>
      <c r="H81" s="99">
        <f>EMPLOYEE_MASTER!Q81</f>
        <v>1</v>
      </c>
      <c r="I81" s="100" t="str">
        <f t="shared" si="8"/>
        <v>G05-S01</v>
      </c>
      <c r="J81" s="100">
        <f>IFERROR(VLOOKUP(I81,LK_GradeStep!$C$4:$D$85,2,0),0)</f>
        <v>308</v>
      </c>
      <c r="K81" s="100">
        <f>IFERROR(VLOOKUP(I81,LK_GradeStep!$C$4:$E$85,3,0),10000)</f>
        <v>10000</v>
      </c>
      <c r="L81" s="100">
        <f t="shared" si="9"/>
        <v>3080000</v>
      </c>
      <c r="M81" s="101">
        <f>IFERROR(VLOOKUP(EMPLOYEE_MASTER!AQ81,LK_AllowanceRates!$A$5:$B$11,2,0),0)</f>
        <v>900000</v>
      </c>
      <c r="N81" s="101">
        <f ca="1">IFERROR(IF(EMPLOYEE_MASTER!J81&lt;=5,  EMPLOYEE_MASTER!J81*LK_AllowanceRates!$B$12,IF(EMPLOYEE_MASTER!J81&lt;=15, EMPLOYEE_MASTER!J81*LK_AllowanceRates!$B$13,IF(EMPLOYEE_MASTER!J81&lt;=25, EMPLOYEE_MASTER!J81*LK_AllowanceRates!$B$14,EMPLOYEE_MASTER!J81*LK_AllowanceRates!$B$15))),0)</f>
        <v>120000</v>
      </c>
      <c r="O81" s="101">
        <f>IF(EMPLOYEE_MASTER!AS81="Teaching",L81*LK_AllowanceRates!$B$16,0)</f>
        <v>0</v>
      </c>
      <c r="P81" s="101">
        <f>IF(EMPLOYEE_MASTER!AS81="Medical",LK_AllowanceRates!$B$17,0)</f>
        <v>0</v>
      </c>
      <c r="Q81" s="101">
        <f>IF(EMPLOYEE_MASTER!AR81="Yes",LK_AllowanceRates!$B$18,0)</f>
        <v>0</v>
      </c>
      <c r="R81" s="101">
        <f>IF(EMPLOYEE_MASTER!AC81="Yes",LK_AllowanceRates!$B$19,0)</f>
        <v>1000000</v>
      </c>
      <c r="S81" s="101">
        <f>IF(EMPLOYEE_MASTER!AA81="Yes",L81*LK_AllowanceRates!$B$20,0)</f>
        <v>0</v>
      </c>
      <c r="T81" s="101">
        <f>IF(EMPLOYEE_MASTER!AB81="Yes",LK_AllowanceRates!$B$21,0)</f>
        <v>0</v>
      </c>
      <c r="U81" s="101">
        <f>IF(EMPLOYEE_MASTER!P81&gt;=6,LK_AllowanceRates!$B$22,0)</f>
        <v>0</v>
      </c>
      <c r="V81" s="101">
        <f>IF(EMPLOYEE_MASTER!AO81="Yes",LK_AllowanceRates!$B$23,0)</f>
        <v>200000</v>
      </c>
      <c r="W81" s="101">
        <f>EMPLOYEE_MASTER!AP81*LK_AllowanceRates!$B$24</f>
        <v>600000</v>
      </c>
      <c r="X81" s="101">
        <v>0</v>
      </c>
      <c r="Y81" s="102">
        <v>0</v>
      </c>
      <c r="Z81" s="102">
        <v>0</v>
      </c>
      <c r="AA81" s="102">
        <v>0</v>
      </c>
      <c r="AB81" s="103">
        <f t="shared" ca="1" si="10"/>
        <v>2820000</v>
      </c>
      <c r="AC81" s="104">
        <f t="shared" ca="1" si="11"/>
        <v>5900000</v>
      </c>
      <c r="AD81" s="105">
        <f>ROUND(L81*LK_AllowanceRates!$B$25/100,0)</f>
        <v>169400</v>
      </c>
      <c r="AE81" s="106">
        <f t="shared" ca="1" si="12"/>
        <v>5730600</v>
      </c>
      <c r="AF81" s="106">
        <f t="shared" ca="1" si="13"/>
        <v>258060</v>
      </c>
      <c r="AG81" s="107">
        <v>0</v>
      </c>
      <c r="AH81" s="107">
        <v>0</v>
      </c>
      <c r="AI81" s="108">
        <f t="shared" ca="1" si="14"/>
        <v>427460</v>
      </c>
      <c r="AJ81" s="109">
        <f t="shared" ca="1" si="15"/>
        <v>5472540</v>
      </c>
    </row>
    <row r="82" spans="1:36" ht="15" customHeight="1" x14ac:dyDescent="0.3">
      <c r="A82" s="98" t="str">
        <f>EMPLOYEE_MASTER!A82</f>
        <v>LAO00079</v>
      </c>
      <c r="B82" s="98" t="str">
        <f>EMPLOYEE_MASTER!C82</f>
        <v>Phengkham</v>
      </c>
      <c r="C82" s="98" t="str">
        <f>EMPLOYEE_MASTER!D82</f>
        <v>Khounkham</v>
      </c>
      <c r="D82" s="98" t="str">
        <f>EMPLOYEE_MASTER!T82</f>
        <v>Ministry of Public Works &amp; Transport (MPWT)</v>
      </c>
      <c r="E82" s="98" t="str">
        <f>EMPLOYEE_MASTER!M82</f>
        <v>Infrastructure Officer</v>
      </c>
      <c r="F82" s="98" t="str">
        <f>EMPLOYEE_MASTER!Z82</f>
        <v>Technical</v>
      </c>
      <c r="G82" s="99">
        <f>EMPLOYEE_MASTER!P82</f>
        <v>2</v>
      </c>
      <c r="H82" s="99">
        <f>EMPLOYEE_MASTER!Q82</f>
        <v>11</v>
      </c>
      <c r="I82" s="100" t="str">
        <f t="shared" si="8"/>
        <v>G02-S11</v>
      </c>
      <c r="J82" s="100">
        <f>IFERROR(VLOOKUP(I82,LK_GradeStep!$C$4:$D$85,2,0),0)</f>
        <v>278</v>
      </c>
      <c r="K82" s="100">
        <f>IFERROR(VLOOKUP(I82,LK_GradeStep!$C$4:$E$85,3,0),10000)</f>
        <v>10000</v>
      </c>
      <c r="L82" s="100">
        <f t="shared" si="9"/>
        <v>2780000</v>
      </c>
      <c r="M82" s="101">
        <f>IFERROR(VLOOKUP(EMPLOYEE_MASTER!AQ82,LK_AllowanceRates!$A$5:$B$11,2,0),0)</f>
        <v>900000</v>
      </c>
      <c r="N82" s="101">
        <f ca="1">IFERROR(IF(EMPLOYEE_MASTER!J82&lt;=5,  EMPLOYEE_MASTER!J82*LK_AllowanceRates!$B$12,IF(EMPLOYEE_MASTER!J82&lt;=15, EMPLOYEE_MASTER!J82*LK_AllowanceRates!$B$13,IF(EMPLOYEE_MASTER!J82&lt;=25, EMPLOYEE_MASTER!J82*LK_AllowanceRates!$B$14,EMPLOYEE_MASTER!J82*LK_AllowanceRates!$B$15))),0)</f>
        <v>180000</v>
      </c>
      <c r="O82" s="101">
        <f>IF(EMPLOYEE_MASTER!AS82="Teaching",L82*LK_AllowanceRates!$B$16,0)</f>
        <v>0</v>
      </c>
      <c r="P82" s="101">
        <f>IF(EMPLOYEE_MASTER!AS82="Medical",LK_AllowanceRates!$B$17,0)</f>
        <v>0</v>
      </c>
      <c r="Q82" s="101">
        <f>IF(EMPLOYEE_MASTER!AR82="Yes",LK_AllowanceRates!$B$18,0)</f>
        <v>0</v>
      </c>
      <c r="R82" s="101">
        <f>IF(EMPLOYEE_MASTER!AC82="Yes",LK_AllowanceRates!$B$19,0)</f>
        <v>0</v>
      </c>
      <c r="S82" s="101">
        <f>IF(EMPLOYEE_MASTER!AA82="Yes",L82*LK_AllowanceRates!$B$20,0)</f>
        <v>695000</v>
      </c>
      <c r="T82" s="101">
        <f>IF(EMPLOYEE_MASTER!AB82="Yes",LK_AllowanceRates!$B$21,0)</f>
        <v>0</v>
      </c>
      <c r="U82" s="101">
        <f>IF(EMPLOYEE_MASTER!P82&gt;=6,LK_AllowanceRates!$B$22,0)</f>
        <v>0</v>
      </c>
      <c r="V82" s="101">
        <f>IF(EMPLOYEE_MASTER!AO82="Yes",LK_AllowanceRates!$B$23,0)</f>
        <v>200000</v>
      </c>
      <c r="W82" s="101">
        <f>EMPLOYEE_MASTER!AP82*LK_AllowanceRates!$B$24</f>
        <v>200000</v>
      </c>
      <c r="X82" s="101">
        <v>0</v>
      </c>
      <c r="Y82" s="102">
        <v>0</v>
      </c>
      <c r="Z82" s="102">
        <v>0</v>
      </c>
      <c r="AA82" s="102">
        <v>0</v>
      </c>
      <c r="AB82" s="103">
        <f t="shared" ca="1" si="10"/>
        <v>2175000</v>
      </c>
      <c r="AC82" s="104">
        <f t="shared" ca="1" si="11"/>
        <v>4955000</v>
      </c>
      <c r="AD82" s="105">
        <f>ROUND(L82*LK_AllowanceRates!$B$25/100,0)</f>
        <v>152900</v>
      </c>
      <c r="AE82" s="106">
        <f t="shared" ca="1" si="12"/>
        <v>4802100</v>
      </c>
      <c r="AF82" s="106">
        <f t="shared" ca="1" si="13"/>
        <v>175105</v>
      </c>
      <c r="AG82" s="107">
        <v>0</v>
      </c>
      <c r="AH82" s="107">
        <v>0</v>
      </c>
      <c r="AI82" s="108">
        <f t="shared" ca="1" si="14"/>
        <v>328005</v>
      </c>
      <c r="AJ82" s="109">
        <f t="shared" ca="1" si="15"/>
        <v>4626995</v>
      </c>
    </row>
    <row r="83" spans="1:36" ht="15" customHeight="1" x14ac:dyDescent="0.3">
      <c r="A83" s="98" t="str">
        <f>EMPLOYEE_MASTER!A83</f>
        <v>LAO00080</v>
      </c>
      <c r="B83" s="98" t="str">
        <f>EMPLOYEE_MASTER!C83</f>
        <v>Khamsing</v>
      </c>
      <c r="C83" s="98" t="str">
        <f>EMPLOYEE_MASTER!D83</f>
        <v>Southichack</v>
      </c>
      <c r="D83" s="98" t="str">
        <f>EMPLOYEE_MASTER!T83</f>
        <v>Ministry of Education and Sports (MoES)</v>
      </c>
      <c r="E83" s="98" t="str">
        <f>EMPLOYEE_MASTER!M83</f>
        <v>Education Officer</v>
      </c>
      <c r="F83" s="98" t="str">
        <f>EMPLOYEE_MASTER!Z83</f>
        <v>Teacher</v>
      </c>
      <c r="G83" s="99">
        <f>EMPLOYEE_MASTER!P83</f>
        <v>3</v>
      </c>
      <c r="H83" s="99">
        <f>EMPLOYEE_MASTER!Q83</f>
        <v>1</v>
      </c>
      <c r="I83" s="100" t="str">
        <f t="shared" si="8"/>
        <v>G03-S01</v>
      </c>
      <c r="J83" s="100">
        <f>IFERROR(VLOOKUP(I83,LK_GradeStep!$C$4:$D$85,2,0),0)</f>
        <v>276</v>
      </c>
      <c r="K83" s="100">
        <f>IFERROR(VLOOKUP(I83,LK_GradeStep!$C$4:$E$85,3,0),10000)</f>
        <v>10000</v>
      </c>
      <c r="L83" s="100">
        <f t="shared" si="9"/>
        <v>2760000</v>
      </c>
      <c r="M83" s="101">
        <f>IFERROR(VLOOKUP(EMPLOYEE_MASTER!AQ83,LK_AllowanceRates!$A$5:$B$11,2,0),0)</f>
        <v>900000</v>
      </c>
      <c r="N83" s="101">
        <f ca="1">IFERROR(IF(EMPLOYEE_MASTER!J83&lt;=5,  EMPLOYEE_MASTER!J83*LK_AllowanceRates!$B$12,IF(EMPLOYEE_MASTER!J83&lt;=15, EMPLOYEE_MASTER!J83*LK_AllowanceRates!$B$13,IF(EMPLOYEE_MASTER!J83&lt;=25, EMPLOYEE_MASTER!J83*LK_AllowanceRates!$B$14,EMPLOYEE_MASTER!J83*LK_AllowanceRates!$B$15))),0)</f>
        <v>540000</v>
      </c>
      <c r="O83" s="101">
        <f>IF(EMPLOYEE_MASTER!AS83="Teaching",L83*LK_AllowanceRates!$B$16,0)</f>
        <v>552000</v>
      </c>
      <c r="P83" s="101">
        <f>IF(EMPLOYEE_MASTER!AS83="Medical",LK_AllowanceRates!$B$17,0)</f>
        <v>0</v>
      </c>
      <c r="Q83" s="101">
        <f>IF(EMPLOYEE_MASTER!AR83="Yes",LK_AllowanceRates!$B$18,0)</f>
        <v>0</v>
      </c>
      <c r="R83" s="101">
        <f>IF(EMPLOYEE_MASTER!AC83="Yes",LK_AllowanceRates!$B$19,0)</f>
        <v>0</v>
      </c>
      <c r="S83" s="101">
        <f>IF(EMPLOYEE_MASTER!AA83="Yes",L83*LK_AllowanceRates!$B$20,0)</f>
        <v>690000</v>
      </c>
      <c r="T83" s="101">
        <f>IF(EMPLOYEE_MASTER!AB83="Yes",LK_AllowanceRates!$B$21,0)</f>
        <v>0</v>
      </c>
      <c r="U83" s="101">
        <f>IF(EMPLOYEE_MASTER!P83&gt;=6,LK_AllowanceRates!$B$22,0)</f>
        <v>0</v>
      </c>
      <c r="V83" s="101">
        <f>IF(EMPLOYEE_MASTER!AO83="Yes",LK_AllowanceRates!$B$23,0)</f>
        <v>200000</v>
      </c>
      <c r="W83" s="101">
        <f>EMPLOYEE_MASTER!AP83*LK_AllowanceRates!$B$24</f>
        <v>200000</v>
      </c>
      <c r="X83" s="101">
        <v>0</v>
      </c>
      <c r="Y83" s="102">
        <v>0</v>
      </c>
      <c r="Z83" s="102">
        <v>0</v>
      </c>
      <c r="AA83" s="102">
        <v>0</v>
      </c>
      <c r="AB83" s="103">
        <f t="shared" ca="1" si="10"/>
        <v>3082000</v>
      </c>
      <c r="AC83" s="104">
        <f t="shared" ca="1" si="11"/>
        <v>5842000</v>
      </c>
      <c r="AD83" s="105">
        <f>ROUND(L83*LK_AllowanceRates!$B$25/100,0)</f>
        <v>151800</v>
      </c>
      <c r="AE83" s="106">
        <f t="shared" ca="1" si="12"/>
        <v>5690200</v>
      </c>
      <c r="AF83" s="106">
        <f t="shared" ca="1" si="13"/>
        <v>254020</v>
      </c>
      <c r="AG83" s="107">
        <v>0</v>
      </c>
      <c r="AH83" s="107">
        <v>0</v>
      </c>
      <c r="AI83" s="108">
        <f t="shared" ca="1" si="14"/>
        <v>405820</v>
      </c>
      <c r="AJ83" s="109">
        <f t="shared" ca="1" si="15"/>
        <v>5436180</v>
      </c>
    </row>
    <row r="84" spans="1:36" ht="15" customHeight="1" x14ac:dyDescent="0.3">
      <c r="A84" s="98" t="str">
        <f>EMPLOYEE_MASTER!A84</f>
        <v>LAO00081</v>
      </c>
      <c r="B84" s="98" t="str">
        <f>EMPLOYEE_MASTER!C84</f>
        <v>Phonethip</v>
      </c>
      <c r="C84" s="98" t="str">
        <f>EMPLOYEE_MASTER!D84</f>
        <v>Khounkham</v>
      </c>
      <c r="D84" s="98" t="str">
        <f>EMPLOYEE_MASTER!T84</f>
        <v>Ministry of Finance (MoF)</v>
      </c>
      <c r="E84" s="98" t="str">
        <f>EMPLOYEE_MASTER!M84</f>
        <v>Tax Officer</v>
      </c>
      <c r="F84" s="98" t="str">
        <f>EMPLOYEE_MASTER!Z84</f>
        <v>Finance</v>
      </c>
      <c r="G84" s="99">
        <f>EMPLOYEE_MASTER!P84</f>
        <v>2</v>
      </c>
      <c r="H84" s="99">
        <f>EMPLOYEE_MASTER!Q84</f>
        <v>13</v>
      </c>
      <c r="I84" s="100" t="str">
        <f t="shared" si="8"/>
        <v>G02-S13</v>
      </c>
      <c r="J84" s="100">
        <f>IFERROR(VLOOKUP(I84,LK_GradeStep!$C$4:$D$85,2,0),0)</f>
        <v>280</v>
      </c>
      <c r="K84" s="100">
        <f>IFERROR(VLOOKUP(I84,LK_GradeStep!$C$4:$E$85,3,0),10000)</f>
        <v>10000</v>
      </c>
      <c r="L84" s="100">
        <f t="shared" si="9"/>
        <v>2800000</v>
      </c>
      <c r="M84" s="101">
        <f>IFERROR(VLOOKUP(EMPLOYEE_MASTER!AQ84,LK_AllowanceRates!$A$5:$B$11,2,0),0)</f>
        <v>900000</v>
      </c>
      <c r="N84" s="101">
        <f ca="1">IFERROR(IF(EMPLOYEE_MASTER!J84&lt;=5,  EMPLOYEE_MASTER!J84*LK_AllowanceRates!$B$12,IF(EMPLOYEE_MASTER!J84&lt;=15, EMPLOYEE_MASTER!J84*LK_AllowanceRates!$B$13,IF(EMPLOYEE_MASTER!J84&lt;=25, EMPLOYEE_MASTER!J84*LK_AllowanceRates!$B$14,EMPLOYEE_MASTER!J84*LK_AllowanceRates!$B$15))),0)</f>
        <v>240000</v>
      </c>
      <c r="O84" s="101">
        <f>IF(EMPLOYEE_MASTER!AS84="Teaching",L84*LK_AllowanceRates!$B$16,0)</f>
        <v>0</v>
      </c>
      <c r="P84" s="101">
        <f>IF(EMPLOYEE_MASTER!AS84="Medical",LK_AllowanceRates!$B$17,0)</f>
        <v>0</v>
      </c>
      <c r="Q84" s="101">
        <f>IF(EMPLOYEE_MASTER!AR84="Yes",LK_AllowanceRates!$B$18,0)</f>
        <v>0</v>
      </c>
      <c r="R84" s="101">
        <f>IF(EMPLOYEE_MASTER!AC84="Yes",LK_AllowanceRates!$B$19,0)</f>
        <v>1000000</v>
      </c>
      <c r="S84" s="101">
        <f>IF(EMPLOYEE_MASTER!AA84="Yes",L84*LK_AllowanceRates!$B$20,0)</f>
        <v>700000</v>
      </c>
      <c r="T84" s="101">
        <f>IF(EMPLOYEE_MASTER!AB84="Yes",LK_AllowanceRates!$B$21,0)</f>
        <v>0</v>
      </c>
      <c r="U84" s="101">
        <f>IF(EMPLOYEE_MASTER!P84&gt;=6,LK_AllowanceRates!$B$22,0)</f>
        <v>0</v>
      </c>
      <c r="V84" s="101">
        <f>IF(EMPLOYEE_MASTER!AO84="Yes",LK_AllowanceRates!$B$23,0)</f>
        <v>0</v>
      </c>
      <c r="W84" s="101">
        <f>EMPLOYEE_MASTER!AP84*LK_AllowanceRates!$B$24</f>
        <v>0</v>
      </c>
      <c r="X84" s="101">
        <v>0</v>
      </c>
      <c r="Y84" s="102">
        <v>0</v>
      </c>
      <c r="Z84" s="102">
        <v>0</v>
      </c>
      <c r="AA84" s="102">
        <v>0</v>
      </c>
      <c r="AB84" s="103">
        <f t="shared" ca="1" si="10"/>
        <v>2840000</v>
      </c>
      <c r="AC84" s="104">
        <f t="shared" ca="1" si="11"/>
        <v>5640000</v>
      </c>
      <c r="AD84" s="105">
        <f>ROUND(L84*LK_AllowanceRates!$B$25/100,0)</f>
        <v>154000</v>
      </c>
      <c r="AE84" s="106">
        <f t="shared" ca="1" si="12"/>
        <v>5486000</v>
      </c>
      <c r="AF84" s="106">
        <f t="shared" ca="1" si="13"/>
        <v>233600</v>
      </c>
      <c r="AG84" s="107">
        <v>0</v>
      </c>
      <c r="AH84" s="107">
        <v>0</v>
      </c>
      <c r="AI84" s="108">
        <f t="shared" ca="1" si="14"/>
        <v>387600</v>
      </c>
      <c r="AJ84" s="109">
        <f t="shared" ca="1" si="15"/>
        <v>5252400</v>
      </c>
    </row>
    <row r="85" spans="1:36" ht="15" customHeight="1" x14ac:dyDescent="0.3">
      <c r="A85" s="98" t="str">
        <f>EMPLOYEE_MASTER!A85</f>
        <v>LAO00082</v>
      </c>
      <c r="B85" s="98" t="str">
        <f>EMPLOYEE_MASTER!C85</f>
        <v>Chanthida</v>
      </c>
      <c r="C85" s="98" t="str">
        <f>EMPLOYEE_MASTER!D85</f>
        <v>Chanthavong</v>
      </c>
      <c r="D85" s="98" t="str">
        <f>EMPLOYEE_MASTER!T85</f>
        <v>Ministry of Finance (MoF)</v>
      </c>
      <c r="E85" s="98" t="str">
        <f>EMPLOYEE_MASTER!M85</f>
        <v>Senior Accountant</v>
      </c>
      <c r="F85" s="98" t="str">
        <f>EMPLOYEE_MASTER!Z85</f>
        <v>Finance</v>
      </c>
      <c r="G85" s="99">
        <f>EMPLOYEE_MASTER!P85</f>
        <v>5</v>
      </c>
      <c r="H85" s="99">
        <f>EMPLOYEE_MASTER!Q85</f>
        <v>1</v>
      </c>
      <c r="I85" s="100" t="str">
        <f t="shared" si="8"/>
        <v>G05-S01</v>
      </c>
      <c r="J85" s="100">
        <f>IFERROR(VLOOKUP(I85,LK_GradeStep!$C$4:$D$85,2,0),0)</f>
        <v>308</v>
      </c>
      <c r="K85" s="100">
        <f>IFERROR(VLOOKUP(I85,LK_GradeStep!$C$4:$E$85,3,0),10000)</f>
        <v>10000</v>
      </c>
      <c r="L85" s="100">
        <f t="shared" si="9"/>
        <v>3080000</v>
      </c>
      <c r="M85" s="101">
        <f>IFERROR(VLOOKUP(EMPLOYEE_MASTER!AQ85,LK_AllowanceRates!$A$5:$B$11,2,0),0)</f>
        <v>900000</v>
      </c>
      <c r="N85" s="101">
        <f ca="1">IFERROR(IF(EMPLOYEE_MASTER!J85&lt;=5,  EMPLOYEE_MASTER!J85*LK_AllowanceRates!$B$12,IF(EMPLOYEE_MASTER!J85&lt;=15, EMPLOYEE_MASTER!J85*LK_AllowanceRates!$B$13,IF(EMPLOYEE_MASTER!J85&lt;=25, EMPLOYEE_MASTER!J85*LK_AllowanceRates!$B$14,EMPLOYEE_MASTER!J85*LK_AllowanceRates!$B$15))),0)</f>
        <v>1440000</v>
      </c>
      <c r="O85" s="101">
        <f>IF(EMPLOYEE_MASTER!AS85="Teaching",L85*LK_AllowanceRates!$B$16,0)</f>
        <v>0</v>
      </c>
      <c r="P85" s="101">
        <f>IF(EMPLOYEE_MASTER!AS85="Medical",LK_AllowanceRates!$B$17,0)</f>
        <v>0</v>
      </c>
      <c r="Q85" s="101">
        <f>IF(EMPLOYEE_MASTER!AR85="Yes",LK_AllowanceRates!$B$18,0)</f>
        <v>0</v>
      </c>
      <c r="R85" s="101">
        <f>IF(EMPLOYEE_MASTER!AC85="Yes",LK_AllowanceRates!$B$19,0)</f>
        <v>1000000</v>
      </c>
      <c r="S85" s="101">
        <f>IF(EMPLOYEE_MASTER!AA85="Yes",L85*LK_AllowanceRates!$B$20,0)</f>
        <v>0</v>
      </c>
      <c r="T85" s="101">
        <f>IF(EMPLOYEE_MASTER!AB85="Yes",LK_AllowanceRates!$B$21,0)</f>
        <v>0</v>
      </c>
      <c r="U85" s="101">
        <f>IF(EMPLOYEE_MASTER!P85&gt;=6,LK_AllowanceRates!$B$22,0)</f>
        <v>0</v>
      </c>
      <c r="V85" s="101">
        <f>IF(EMPLOYEE_MASTER!AO85="Yes",LK_AllowanceRates!$B$23,0)</f>
        <v>0</v>
      </c>
      <c r="W85" s="101">
        <f>EMPLOYEE_MASTER!AP85*LK_AllowanceRates!$B$24</f>
        <v>0</v>
      </c>
      <c r="X85" s="101">
        <v>0</v>
      </c>
      <c r="Y85" s="102">
        <v>0</v>
      </c>
      <c r="Z85" s="102">
        <v>0</v>
      </c>
      <c r="AA85" s="102">
        <v>0</v>
      </c>
      <c r="AB85" s="103">
        <f t="shared" ca="1" si="10"/>
        <v>3340000</v>
      </c>
      <c r="AC85" s="104">
        <f t="shared" ca="1" si="11"/>
        <v>6420000</v>
      </c>
      <c r="AD85" s="105">
        <f>ROUND(L85*LK_AllowanceRates!$B$25/100,0)</f>
        <v>169400</v>
      </c>
      <c r="AE85" s="106">
        <f t="shared" ca="1" si="12"/>
        <v>6250600</v>
      </c>
      <c r="AF85" s="106">
        <f t="shared" ca="1" si="13"/>
        <v>310060</v>
      </c>
      <c r="AG85" s="107">
        <v>0</v>
      </c>
      <c r="AH85" s="107">
        <v>0</v>
      </c>
      <c r="AI85" s="108">
        <f t="shared" ca="1" si="14"/>
        <v>479460</v>
      </c>
      <c r="AJ85" s="109">
        <f t="shared" ca="1" si="15"/>
        <v>5940540</v>
      </c>
    </row>
    <row r="86" spans="1:36" ht="15" customHeight="1" x14ac:dyDescent="0.3">
      <c r="A86" s="98" t="str">
        <f>EMPLOYEE_MASTER!A86</f>
        <v>LAO00083</v>
      </c>
      <c r="B86" s="98" t="str">
        <f>EMPLOYEE_MASTER!C86</f>
        <v>Senglavanh</v>
      </c>
      <c r="C86" s="98" t="str">
        <f>EMPLOYEE_MASTER!D86</f>
        <v>Thammavong</v>
      </c>
      <c r="D86" s="98" t="str">
        <f>EMPLOYEE_MASTER!T86</f>
        <v>Champasak Province Administration</v>
      </c>
      <c r="E86" s="98" t="str">
        <f>EMPLOYEE_MASTER!M86</f>
        <v>Division Chief</v>
      </c>
      <c r="F86" s="98" t="str">
        <f>EMPLOYEE_MASTER!Z86</f>
        <v>Administration</v>
      </c>
      <c r="G86" s="99">
        <f>EMPLOYEE_MASTER!P86</f>
        <v>4</v>
      </c>
      <c r="H86" s="99">
        <f>EMPLOYEE_MASTER!Q86</f>
        <v>5</v>
      </c>
      <c r="I86" s="100" t="str">
        <f t="shared" si="8"/>
        <v>G04-S05</v>
      </c>
      <c r="J86" s="100">
        <f>IFERROR(VLOOKUP(I86,LK_GradeStep!$C$4:$D$85,2,0),0)</f>
        <v>294</v>
      </c>
      <c r="K86" s="100">
        <f>IFERROR(VLOOKUP(I86,LK_GradeStep!$C$4:$E$85,3,0),10000)</f>
        <v>10000</v>
      </c>
      <c r="L86" s="100">
        <f t="shared" si="9"/>
        <v>2940000</v>
      </c>
      <c r="M86" s="101">
        <f>IFERROR(VLOOKUP(EMPLOYEE_MASTER!AQ86,LK_AllowanceRates!$A$5:$B$11,2,0),0)</f>
        <v>1900000</v>
      </c>
      <c r="N86" s="101">
        <f ca="1">IFERROR(IF(EMPLOYEE_MASTER!J86&lt;=5,  EMPLOYEE_MASTER!J86*LK_AllowanceRates!$B$12,IF(EMPLOYEE_MASTER!J86&lt;=15, EMPLOYEE_MASTER!J86*LK_AllowanceRates!$B$13,IF(EMPLOYEE_MASTER!J86&lt;=25, EMPLOYEE_MASTER!J86*LK_AllowanceRates!$B$14,EMPLOYEE_MASTER!J86*LK_AllowanceRates!$B$15))),0)</f>
        <v>180000</v>
      </c>
      <c r="O86" s="101">
        <f>IF(EMPLOYEE_MASTER!AS86="Teaching",L86*LK_AllowanceRates!$B$16,0)</f>
        <v>0</v>
      </c>
      <c r="P86" s="101">
        <f>IF(EMPLOYEE_MASTER!AS86="Medical",LK_AllowanceRates!$B$17,0)</f>
        <v>0</v>
      </c>
      <c r="Q86" s="101">
        <f>IF(EMPLOYEE_MASTER!AR86="Yes",LK_AllowanceRates!$B$18,0)</f>
        <v>0</v>
      </c>
      <c r="R86" s="101">
        <f>IF(EMPLOYEE_MASTER!AC86="Yes",LK_AllowanceRates!$B$19,0)</f>
        <v>0</v>
      </c>
      <c r="S86" s="101">
        <f>IF(EMPLOYEE_MASTER!AA86="Yes",L86*LK_AllowanceRates!$B$20,0)</f>
        <v>0</v>
      </c>
      <c r="T86" s="101">
        <f>IF(EMPLOYEE_MASTER!AB86="Yes",LK_AllowanceRates!$B$21,0)</f>
        <v>0</v>
      </c>
      <c r="U86" s="101">
        <f>IF(EMPLOYEE_MASTER!P86&gt;=6,LK_AllowanceRates!$B$22,0)</f>
        <v>0</v>
      </c>
      <c r="V86" s="101">
        <f>IF(EMPLOYEE_MASTER!AO86="Yes",LK_AllowanceRates!$B$23,0)</f>
        <v>200000</v>
      </c>
      <c r="W86" s="101">
        <f>EMPLOYEE_MASTER!AP86*LK_AllowanceRates!$B$24</f>
        <v>400000</v>
      </c>
      <c r="X86" s="101">
        <v>0</v>
      </c>
      <c r="Y86" s="102">
        <v>0</v>
      </c>
      <c r="Z86" s="102">
        <v>0</v>
      </c>
      <c r="AA86" s="102">
        <v>0</v>
      </c>
      <c r="AB86" s="103">
        <f t="shared" ca="1" si="10"/>
        <v>2680000</v>
      </c>
      <c r="AC86" s="104">
        <f t="shared" ca="1" si="11"/>
        <v>5620000</v>
      </c>
      <c r="AD86" s="105">
        <f>ROUND(L86*LK_AllowanceRates!$B$25/100,0)</f>
        <v>161700</v>
      </c>
      <c r="AE86" s="106">
        <f t="shared" ca="1" si="12"/>
        <v>5458300</v>
      </c>
      <c r="AF86" s="106">
        <f t="shared" ca="1" si="13"/>
        <v>230830</v>
      </c>
      <c r="AG86" s="107">
        <v>0</v>
      </c>
      <c r="AH86" s="107">
        <v>0</v>
      </c>
      <c r="AI86" s="108">
        <f t="shared" ca="1" si="14"/>
        <v>392530</v>
      </c>
      <c r="AJ86" s="109">
        <f t="shared" ca="1" si="15"/>
        <v>5227470</v>
      </c>
    </row>
    <row r="87" spans="1:36" ht="15" customHeight="1" x14ac:dyDescent="0.3">
      <c r="A87" s="98" t="str">
        <f>EMPLOYEE_MASTER!A87</f>
        <v>LAO00084</v>
      </c>
      <c r="B87" s="98" t="str">
        <f>EMPLOYEE_MASTER!C87</f>
        <v>Khammoune</v>
      </c>
      <c r="C87" s="98" t="str">
        <f>EMPLOYEE_MASTER!D87</f>
        <v>Douangmany</v>
      </c>
      <c r="D87" s="98" t="str">
        <f>EMPLOYEE_MASTER!T87</f>
        <v>Ministry of Agriculture and Forestry (MoAF)</v>
      </c>
      <c r="E87" s="98" t="str">
        <f>EMPLOYEE_MASTER!M87</f>
        <v>Senior Engineer</v>
      </c>
      <c r="F87" s="98" t="str">
        <f>EMPLOYEE_MASTER!Z87</f>
        <v>Technical</v>
      </c>
      <c r="G87" s="99">
        <f>EMPLOYEE_MASTER!P87</f>
        <v>5</v>
      </c>
      <c r="H87" s="99">
        <f>EMPLOYEE_MASTER!Q87</f>
        <v>1</v>
      </c>
      <c r="I87" s="100" t="str">
        <f t="shared" si="8"/>
        <v>G05-S01</v>
      </c>
      <c r="J87" s="100">
        <f>IFERROR(VLOOKUP(I87,LK_GradeStep!$C$4:$D$85,2,0),0)</f>
        <v>308</v>
      </c>
      <c r="K87" s="100">
        <f>IFERROR(VLOOKUP(I87,LK_GradeStep!$C$4:$E$85,3,0),10000)</f>
        <v>10000</v>
      </c>
      <c r="L87" s="100">
        <f t="shared" si="9"/>
        <v>3080000</v>
      </c>
      <c r="M87" s="101">
        <f>IFERROR(VLOOKUP(EMPLOYEE_MASTER!AQ87,LK_AllowanceRates!$A$5:$B$11,2,0),0)</f>
        <v>900000</v>
      </c>
      <c r="N87" s="101">
        <f ca="1">IFERROR(IF(EMPLOYEE_MASTER!J87&lt;=5,  EMPLOYEE_MASTER!J87*LK_AllowanceRates!$B$12,IF(EMPLOYEE_MASTER!J87&lt;=15, EMPLOYEE_MASTER!J87*LK_AllowanceRates!$B$13,IF(EMPLOYEE_MASTER!J87&lt;=25, EMPLOYEE_MASTER!J87*LK_AllowanceRates!$B$14,EMPLOYEE_MASTER!J87*LK_AllowanceRates!$B$15))),0)</f>
        <v>1280000</v>
      </c>
      <c r="O87" s="101">
        <f>IF(EMPLOYEE_MASTER!AS87="Teaching",L87*LK_AllowanceRates!$B$16,0)</f>
        <v>0</v>
      </c>
      <c r="P87" s="101">
        <f>IF(EMPLOYEE_MASTER!AS87="Medical",LK_AllowanceRates!$B$17,0)</f>
        <v>0</v>
      </c>
      <c r="Q87" s="101">
        <f>IF(EMPLOYEE_MASTER!AR87="Yes",LK_AllowanceRates!$B$18,0)</f>
        <v>0</v>
      </c>
      <c r="R87" s="101">
        <f>IF(EMPLOYEE_MASTER!AC87="Yes",LK_AllowanceRates!$B$19,0)</f>
        <v>0</v>
      </c>
      <c r="S87" s="101">
        <f>IF(EMPLOYEE_MASTER!AA87="Yes",L87*LK_AllowanceRates!$B$20,0)</f>
        <v>770000</v>
      </c>
      <c r="T87" s="101">
        <f>IF(EMPLOYEE_MASTER!AB87="Yes",LK_AllowanceRates!$B$21,0)</f>
        <v>0</v>
      </c>
      <c r="U87" s="101">
        <f>IF(EMPLOYEE_MASTER!P87&gt;=6,LK_AllowanceRates!$B$22,0)</f>
        <v>0</v>
      </c>
      <c r="V87" s="101">
        <f>IF(EMPLOYEE_MASTER!AO87="Yes",LK_AllowanceRates!$B$23,0)</f>
        <v>0</v>
      </c>
      <c r="W87" s="101">
        <f>EMPLOYEE_MASTER!AP87*LK_AllowanceRates!$B$24</f>
        <v>0</v>
      </c>
      <c r="X87" s="101">
        <v>0</v>
      </c>
      <c r="Y87" s="102">
        <v>0</v>
      </c>
      <c r="Z87" s="102">
        <v>0</v>
      </c>
      <c r="AA87" s="102">
        <v>0</v>
      </c>
      <c r="AB87" s="103">
        <f t="shared" ca="1" si="10"/>
        <v>2950000</v>
      </c>
      <c r="AC87" s="104">
        <f t="shared" ca="1" si="11"/>
        <v>6030000</v>
      </c>
      <c r="AD87" s="105">
        <f>ROUND(L87*LK_AllowanceRates!$B$25/100,0)</f>
        <v>169400</v>
      </c>
      <c r="AE87" s="106">
        <f t="shared" ca="1" si="12"/>
        <v>5860600</v>
      </c>
      <c r="AF87" s="106">
        <f t="shared" ca="1" si="13"/>
        <v>271060</v>
      </c>
      <c r="AG87" s="107">
        <v>0</v>
      </c>
      <c r="AH87" s="107">
        <v>0</v>
      </c>
      <c r="AI87" s="108">
        <f t="shared" ca="1" si="14"/>
        <v>440460</v>
      </c>
      <c r="AJ87" s="109">
        <f t="shared" ca="1" si="15"/>
        <v>5589540</v>
      </c>
    </row>
    <row r="88" spans="1:36" ht="15" customHeight="1" x14ac:dyDescent="0.3">
      <c r="A88" s="98" t="str">
        <f>EMPLOYEE_MASTER!A88</f>
        <v>LAO00085</v>
      </c>
      <c r="B88" s="98" t="str">
        <f>EMPLOYEE_MASTER!C88</f>
        <v>Khamsing</v>
      </c>
      <c r="C88" s="98" t="str">
        <f>EMPLOYEE_MASTER!D88</f>
        <v>Vilayphitak</v>
      </c>
      <c r="D88" s="98" t="str">
        <f>EMPLOYEE_MASTER!T88</f>
        <v>National Assembly (NA)</v>
      </c>
      <c r="E88" s="98" t="str">
        <f>EMPLOYEE_MASTER!M88</f>
        <v>Officer</v>
      </c>
      <c r="F88" s="98" t="str">
        <f>EMPLOYEE_MASTER!Z88</f>
        <v>Administration</v>
      </c>
      <c r="G88" s="99">
        <f>EMPLOYEE_MASTER!P88</f>
        <v>2</v>
      </c>
      <c r="H88" s="99">
        <f>EMPLOYEE_MASTER!Q88</f>
        <v>5</v>
      </c>
      <c r="I88" s="100" t="str">
        <f t="shared" si="8"/>
        <v>G02-S05</v>
      </c>
      <c r="J88" s="100">
        <f>IFERROR(VLOOKUP(I88,LK_GradeStep!$C$4:$D$85,2,0),0)</f>
        <v>272</v>
      </c>
      <c r="K88" s="100">
        <f>IFERROR(VLOOKUP(I88,LK_GradeStep!$C$4:$E$85,3,0),10000)</f>
        <v>10000</v>
      </c>
      <c r="L88" s="100">
        <f t="shared" si="9"/>
        <v>2720000</v>
      </c>
      <c r="M88" s="101">
        <f>IFERROR(VLOOKUP(EMPLOYEE_MASTER!AQ88,LK_AllowanceRates!$A$5:$B$11,2,0),0)</f>
        <v>900000</v>
      </c>
      <c r="N88" s="101">
        <f ca="1">IFERROR(IF(EMPLOYEE_MASTER!J88&lt;=5,  EMPLOYEE_MASTER!J88*LK_AllowanceRates!$B$12,IF(EMPLOYEE_MASTER!J88&lt;=15, EMPLOYEE_MASTER!J88*LK_AllowanceRates!$B$13,IF(EMPLOYEE_MASTER!J88&lt;=25, EMPLOYEE_MASTER!J88*LK_AllowanceRates!$B$14,EMPLOYEE_MASTER!J88*LK_AllowanceRates!$B$15))),0)</f>
        <v>1200000</v>
      </c>
      <c r="O88" s="101">
        <f>IF(EMPLOYEE_MASTER!AS88="Teaching",L88*LK_AllowanceRates!$B$16,0)</f>
        <v>0</v>
      </c>
      <c r="P88" s="101">
        <f>IF(EMPLOYEE_MASTER!AS88="Medical",LK_AllowanceRates!$B$17,0)</f>
        <v>0</v>
      </c>
      <c r="Q88" s="101">
        <f>IF(EMPLOYEE_MASTER!AR88="Yes",LK_AllowanceRates!$B$18,0)</f>
        <v>1000000</v>
      </c>
      <c r="R88" s="101">
        <f>IF(EMPLOYEE_MASTER!AC88="Yes",LK_AllowanceRates!$B$19,0)</f>
        <v>0</v>
      </c>
      <c r="S88" s="101">
        <f>IF(EMPLOYEE_MASTER!AA88="Yes",L88*LK_AllowanceRates!$B$20,0)</f>
        <v>0</v>
      </c>
      <c r="T88" s="101">
        <f>IF(EMPLOYEE_MASTER!AB88="Yes",LK_AllowanceRates!$B$21,0)</f>
        <v>0</v>
      </c>
      <c r="U88" s="101">
        <f>IF(EMPLOYEE_MASTER!P88&gt;=6,LK_AllowanceRates!$B$22,0)</f>
        <v>0</v>
      </c>
      <c r="V88" s="101">
        <f>IF(EMPLOYEE_MASTER!AO88="Yes",LK_AllowanceRates!$B$23,0)</f>
        <v>200000</v>
      </c>
      <c r="W88" s="101">
        <f>EMPLOYEE_MASTER!AP88*LK_AllowanceRates!$B$24</f>
        <v>0</v>
      </c>
      <c r="X88" s="101">
        <v>0</v>
      </c>
      <c r="Y88" s="102">
        <v>0</v>
      </c>
      <c r="Z88" s="102">
        <v>0</v>
      </c>
      <c r="AA88" s="102">
        <v>0</v>
      </c>
      <c r="AB88" s="103">
        <f t="shared" ca="1" si="10"/>
        <v>3300000</v>
      </c>
      <c r="AC88" s="104">
        <f t="shared" ca="1" si="11"/>
        <v>6020000</v>
      </c>
      <c r="AD88" s="105">
        <f>ROUND(L88*LK_AllowanceRates!$B$25/100,0)</f>
        <v>149600</v>
      </c>
      <c r="AE88" s="106">
        <f t="shared" ca="1" si="12"/>
        <v>5870400</v>
      </c>
      <c r="AF88" s="106">
        <f t="shared" ca="1" si="13"/>
        <v>272040</v>
      </c>
      <c r="AG88" s="107">
        <v>0</v>
      </c>
      <c r="AH88" s="107">
        <v>0</v>
      </c>
      <c r="AI88" s="108">
        <f t="shared" ca="1" si="14"/>
        <v>421640</v>
      </c>
      <c r="AJ88" s="109">
        <f t="shared" ca="1" si="15"/>
        <v>5598360</v>
      </c>
    </row>
    <row r="89" spans="1:36" ht="15" customHeight="1" x14ac:dyDescent="0.3">
      <c r="A89" s="98" t="str">
        <f>EMPLOYEE_MASTER!A89</f>
        <v>LAO00086</v>
      </c>
      <c r="B89" s="98" t="str">
        <f>EMPLOYEE_MASTER!C89</f>
        <v>Manyvone</v>
      </c>
      <c r="C89" s="98" t="str">
        <f>EMPLOYEE_MASTER!D89</f>
        <v>Vongphachanh</v>
      </c>
      <c r="D89" s="98" t="str">
        <f>EMPLOYEE_MASTER!T89</f>
        <v>Champasak Province Administration</v>
      </c>
      <c r="E89" s="98" t="str">
        <f>EMPLOYEE_MASTER!M89</f>
        <v>Department Director</v>
      </c>
      <c r="F89" s="98" t="str">
        <f>EMPLOYEE_MASTER!Z89</f>
        <v>Administration</v>
      </c>
      <c r="G89" s="99">
        <f>EMPLOYEE_MASTER!P89</f>
        <v>4</v>
      </c>
      <c r="H89" s="99">
        <f>EMPLOYEE_MASTER!Q89</f>
        <v>2</v>
      </c>
      <c r="I89" s="100" t="str">
        <f t="shared" si="8"/>
        <v>G04-S02</v>
      </c>
      <c r="J89" s="100">
        <f>IFERROR(VLOOKUP(I89,LK_GradeStep!$C$4:$D$85,2,0),0)</f>
        <v>288</v>
      </c>
      <c r="K89" s="100">
        <f>IFERROR(VLOOKUP(I89,LK_GradeStep!$C$4:$E$85,3,0),10000)</f>
        <v>10000</v>
      </c>
      <c r="L89" s="100">
        <f t="shared" si="9"/>
        <v>2880000</v>
      </c>
      <c r="M89" s="101">
        <f>IFERROR(VLOOKUP(EMPLOYEE_MASTER!AQ89,LK_AllowanceRates!$A$5:$B$11,2,0),0)</f>
        <v>2500000</v>
      </c>
      <c r="N89" s="101">
        <f ca="1">IFERROR(IF(EMPLOYEE_MASTER!J89&lt;=5,  EMPLOYEE_MASTER!J89*LK_AllowanceRates!$B$12,IF(EMPLOYEE_MASTER!J89&lt;=15, EMPLOYEE_MASTER!J89*LK_AllowanceRates!$B$13,IF(EMPLOYEE_MASTER!J89&lt;=25, EMPLOYEE_MASTER!J89*LK_AllowanceRates!$B$14,EMPLOYEE_MASTER!J89*LK_AllowanceRates!$B$15))),0)</f>
        <v>1040000</v>
      </c>
      <c r="O89" s="101">
        <f>IF(EMPLOYEE_MASTER!AS89="Teaching",L89*LK_AllowanceRates!$B$16,0)</f>
        <v>0</v>
      </c>
      <c r="P89" s="101">
        <f>IF(EMPLOYEE_MASTER!AS89="Medical",LK_AllowanceRates!$B$17,0)</f>
        <v>0</v>
      </c>
      <c r="Q89" s="101">
        <f>IF(EMPLOYEE_MASTER!AR89="Yes",LK_AllowanceRates!$B$18,0)</f>
        <v>0</v>
      </c>
      <c r="R89" s="101">
        <f>IF(EMPLOYEE_MASTER!AC89="Yes",LK_AllowanceRates!$B$19,0)</f>
        <v>0</v>
      </c>
      <c r="S89" s="101">
        <f>IF(EMPLOYEE_MASTER!AA89="Yes",L89*LK_AllowanceRates!$B$20,0)</f>
        <v>0</v>
      </c>
      <c r="T89" s="101">
        <f>IF(EMPLOYEE_MASTER!AB89="Yes",LK_AllowanceRates!$B$21,0)</f>
        <v>0</v>
      </c>
      <c r="U89" s="101">
        <f>IF(EMPLOYEE_MASTER!P89&gt;=6,LK_AllowanceRates!$B$22,0)</f>
        <v>0</v>
      </c>
      <c r="V89" s="101">
        <f>IF(EMPLOYEE_MASTER!AO89="Yes",LK_AllowanceRates!$B$23,0)</f>
        <v>200000</v>
      </c>
      <c r="W89" s="101">
        <f>EMPLOYEE_MASTER!AP89*LK_AllowanceRates!$B$24</f>
        <v>0</v>
      </c>
      <c r="X89" s="101">
        <v>0</v>
      </c>
      <c r="Y89" s="102">
        <v>0</v>
      </c>
      <c r="Z89" s="102">
        <v>0</v>
      </c>
      <c r="AA89" s="102">
        <v>0</v>
      </c>
      <c r="AB89" s="103">
        <f t="shared" ca="1" si="10"/>
        <v>3740000</v>
      </c>
      <c r="AC89" s="104">
        <f t="shared" ca="1" si="11"/>
        <v>6620000</v>
      </c>
      <c r="AD89" s="105">
        <f>ROUND(L89*LK_AllowanceRates!$B$25/100,0)</f>
        <v>158400</v>
      </c>
      <c r="AE89" s="106">
        <f t="shared" ca="1" si="12"/>
        <v>6461600</v>
      </c>
      <c r="AF89" s="106">
        <f t="shared" ca="1" si="13"/>
        <v>331160</v>
      </c>
      <c r="AG89" s="107">
        <v>0</v>
      </c>
      <c r="AH89" s="107">
        <v>0</v>
      </c>
      <c r="AI89" s="108">
        <f t="shared" ca="1" si="14"/>
        <v>489560</v>
      </c>
      <c r="AJ89" s="109">
        <f t="shared" ca="1" si="15"/>
        <v>6130440</v>
      </c>
    </row>
    <row r="90" spans="1:36" ht="15" customHeight="1" x14ac:dyDescent="0.3">
      <c r="A90" s="98" t="str">
        <f>EMPLOYEE_MASTER!A90</f>
        <v>LAO00087</v>
      </c>
      <c r="B90" s="98" t="str">
        <f>EMPLOYEE_MASTER!C90</f>
        <v>Khamsouk</v>
      </c>
      <c r="C90" s="98" t="str">
        <f>EMPLOYEE_MASTER!D90</f>
        <v>Manodham</v>
      </c>
      <c r="D90" s="98" t="str">
        <f>EMPLOYEE_MASTER!T90</f>
        <v>Ministry of Justice (MoJ)</v>
      </c>
      <c r="E90" s="98" t="str">
        <f>EMPLOYEE_MASTER!M90</f>
        <v>Legal Advisor</v>
      </c>
      <c r="F90" s="98" t="str">
        <f>EMPLOYEE_MASTER!Z90</f>
        <v>Legal</v>
      </c>
      <c r="G90" s="99">
        <f>EMPLOYEE_MASTER!P90</f>
        <v>4</v>
      </c>
      <c r="H90" s="99">
        <f>EMPLOYEE_MASTER!Q90</f>
        <v>1</v>
      </c>
      <c r="I90" s="100" t="str">
        <f t="shared" si="8"/>
        <v>G04-S01</v>
      </c>
      <c r="J90" s="100">
        <f>IFERROR(VLOOKUP(I90,LK_GradeStep!$C$4:$D$85,2,0),0)</f>
        <v>286</v>
      </c>
      <c r="K90" s="100">
        <f>IFERROR(VLOOKUP(I90,LK_GradeStep!$C$4:$E$85,3,0),10000)</f>
        <v>10000</v>
      </c>
      <c r="L90" s="100">
        <f t="shared" si="9"/>
        <v>2860000</v>
      </c>
      <c r="M90" s="101">
        <f>IFERROR(VLOOKUP(EMPLOYEE_MASTER!AQ90,LK_AllowanceRates!$A$5:$B$11,2,0),0)</f>
        <v>900000</v>
      </c>
      <c r="N90" s="101">
        <f ca="1">IFERROR(IF(EMPLOYEE_MASTER!J90&lt;=5,  EMPLOYEE_MASTER!J90*LK_AllowanceRates!$B$12,IF(EMPLOYEE_MASTER!J90&lt;=15, EMPLOYEE_MASTER!J90*LK_AllowanceRates!$B$13,IF(EMPLOYEE_MASTER!J90&lt;=25, EMPLOYEE_MASTER!J90*LK_AllowanceRates!$B$14,EMPLOYEE_MASTER!J90*LK_AllowanceRates!$B$15))),0)</f>
        <v>660000</v>
      </c>
      <c r="O90" s="101">
        <f>IF(EMPLOYEE_MASTER!AS90="Teaching",L90*LK_AllowanceRates!$B$16,0)</f>
        <v>0</v>
      </c>
      <c r="P90" s="101">
        <f>IF(EMPLOYEE_MASTER!AS90="Medical",LK_AllowanceRates!$B$17,0)</f>
        <v>0</v>
      </c>
      <c r="Q90" s="101">
        <f>IF(EMPLOYEE_MASTER!AR90="Yes",LK_AllowanceRates!$B$18,0)</f>
        <v>0</v>
      </c>
      <c r="R90" s="101">
        <f>IF(EMPLOYEE_MASTER!AC90="Yes",LK_AllowanceRates!$B$19,0)</f>
        <v>0</v>
      </c>
      <c r="S90" s="101">
        <f>IF(EMPLOYEE_MASTER!AA90="Yes",L90*LK_AllowanceRates!$B$20,0)</f>
        <v>0</v>
      </c>
      <c r="T90" s="101">
        <f>IF(EMPLOYEE_MASTER!AB90="Yes",LK_AllowanceRates!$B$21,0)</f>
        <v>0</v>
      </c>
      <c r="U90" s="101">
        <f>IF(EMPLOYEE_MASTER!P90&gt;=6,LK_AllowanceRates!$B$22,0)</f>
        <v>0</v>
      </c>
      <c r="V90" s="101">
        <f>IF(EMPLOYEE_MASTER!AO90="Yes",LK_AllowanceRates!$B$23,0)</f>
        <v>200000</v>
      </c>
      <c r="W90" s="101">
        <f>EMPLOYEE_MASTER!AP90*LK_AllowanceRates!$B$24</f>
        <v>0</v>
      </c>
      <c r="X90" s="101">
        <v>0</v>
      </c>
      <c r="Y90" s="102">
        <v>0</v>
      </c>
      <c r="Z90" s="102">
        <v>0</v>
      </c>
      <c r="AA90" s="102">
        <v>0</v>
      </c>
      <c r="AB90" s="103">
        <f t="shared" ca="1" si="10"/>
        <v>1760000</v>
      </c>
      <c r="AC90" s="104">
        <f t="shared" ca="1" si="11"/>
        <v>4620000</v>
      </c>
      <c r="AD90" s="105">
        <f>ROUND(L90*LK_AllowanceRates!$B$25/100,0)</f>
        <v>157300</v>
      </c>
      <c r="AE90" s="106">
        <f t="shared" ca="1" si="12"/>
        <v>4462700</v>
      </c>
      <c r="AF90" s="106">
        <f t="shared" ca="1" si="13"/>
        <v>158135</v>
      </c>
      <c r="AG90" s="107">
        <v>0</v>
      </c>
      <c r="AH90" s="107">
        <v>0</v>
      </c>
      <c r="AI90" s="108">
        <f t="shared" ca="1" si="14"/>
        <v>315435</v>
      </c>
      <c r="AJ90" s="109">
        <f t="shared" ca="1" si="15"/>
        <v>4304565</v>
      </c>
    </row>
    <row r="91" spans="1:36" ht="15" customHeight="1" x14ac:dyDescent="0.3">
      <c r="A91" s="98" t="str">
        <f>EMPLOYEE_MASTER!A91</f>
        <v>LAO00088</v>
      </c>
      <c r="B91" s="98" t="str">
        <f>EMPLOYEE_MASTER!C91</f>
        <v>Bounmy</v>
      </c>
      <c r="C91" s="98" t="str">
        <f>EMPLOYEE_MASTER!D91</f>
        <v>Thammavong</v>
      </c>
      <c r="D91" s="98" t="str">
        <f>EMPLOYEE_MASTER!T91</f>
        <v>Ministry of Education and Sports (MoES)</v>
      </c>
      <c r="E91" s="98" t="str">
        <f>EMPLOYEE_MASTER!M91</f>
        <v>Deputy Principal</v>
      </c>
      <c r="F91" s="98" t="str">
        <f>EMPLOYEE_MASTER!Z91</f>
        <v>Teacher</v>
      </c>
      <c r="G91" s="99">
        <f>EMPLOYEE_MASTER!P91</f>
        <v>4</v>
      </c>
      <c r="H91" s="99">
        <f>EMPLOYEE_MASTER!Q91</f>
        <v>1</v>
      </c>
      <c r="I91" s="100" t="str">
        <f t="shared" si="8"/>
        <v>G04-S01</v>
      </c>
      <c r="J91" s="100">
        <f>IFERROR(VLOOKUP(I91,LK_GradeStep!$C$4:$D$85,2,0),0)</f>
        <v>286</v>
      </c>
      <c r="K91" s="100">
        <f>IFERROR(VLOOKUP(I91,LK_GradeStep!$C$4:$E$85,3,0),10000)</f>
        <v>10000</v>
      </c>
      <c r="L91" s="100">
        <f t="shared" si="9"/>
        <v>2860000</v>
      </c>
      <c r="M91" s="101">
        <f>IFERROR(VLOOKUP(EMPLOYEE_MASTER!AQ91,LK_AllowanceRates!$A$5:$B$11,2,0),0)</f>
        <v>900000</v>
      </c>
      <c r="N91" s="101">
        <f ca="1">IFERROR(IF(EMPLOYEE_MASTER!J91&lt;=5,  EMPLOYEE_MASTER!J91*LK_AllowanceRates!$B$12,IF(EMPLOYEE_MASTER!J91&lt;=15, EMPLOYEE_MASTER!J91*LK_AllowanceRates!$B$13,IF(EMPLOYEE_MASTER!J91&lt;=25, EMPLOYEE_MASTER!J91*LK_AllowanceRates!$B$14,EMPLOYEE_MASTER!J91*LK_AllowanceRates!$B$15))),0)</f>
        <v>1440000</v>
      </c>
      <c r="O91" s="101">
        <f>IF(EMPLOYEE_MASTER!AS91="Teaching",L91*LK_AllowanceRates!$B$16,0)</f>
        <v>572000</v>
      </c>
      <c r="P91" s="101">
        <f>IF(EMPLOYEE_MASTER!AS91="Medical",LK_AllowanceRates!$B$17,0)</f>
        <v>0</v>
      </c>
      <c r="Q91" s="101">
        <f>IF(EMPLOYEE_MASTER!AR91="Yes",LK_AllowanceRates!$B$18,0)</f>
        <v>0</v>
      </c>
      <c r="R91" s="101">
        <f>IF(EMPLOYEE_MASTER!AC91="Yes",LK_AllowanceRates!$B$19,0)</f>
        <v>1000000</v>
      </c>
      <c r="S91" s="101">
        <f>IF(EMPLOYEE_MASTER!AA91="Yes",L91*LK_AllowanceRates!$B$20,0)</f>
        <v>715000</v>
      </c>
      <c r="T91" s="101">
        <f>IF(EMPLOYEE_MASTER!AB91="Yes",LK_AllowanceRates!$B$21,0)</f>
        <v>0</v>
      </c>
      <c r="U91" s="101">
        <f>IF(EMPLOYEE_MASTER!P91&gt;=6,LK_AllowanceRates!$B$22,0)</f>
        <v>0</v>
      </c>
      <c r="V91" s="101">
        <f>IF(EMPLOYEE_MASTER!AO91="Yes",LK_AllowanceRates!$B$23,0)</f>
        <v>200000</v>
      </c>
      <c r="W91" s="101">
        <f>EMPLOYEE_MASTER!AP91*LK_AllowanceRates!$B$24</f>
        <v>600000</v>
      </c>
      <c r="X91" s="101">
        <v>0</v>
      </c>
      <c r="Y91" s="102">
        <v>0</v>
      </c>
      <c r="Z91" s="102">
        <v>0</v>
      </c>
      <c r="AA91" s="102">
        <v>0</v>
      </c>
      <c r="AB91" s="103">
        <f t="shared" ca="1" si="10"/>
        <v>5427000</v>
      </c>
      <c r="AC91" s="104">
        <f t="shared" ca="1" si="11"/>
        <v>8287000</v>
      </c>
      <c r="AD91" s="105">
        <f>ROUND(L91*LK_AllowanceRates!$B$25/100,0)</f>
        <v>157300</v>
      </c>
      <c r="AE91" s="106">
        <f t="shared" ca="1" si="12"/>
        <v>8129700</v>
      </c>
      <c r="AF91" s="106">
        <f t="shared" ca="1" si="13"/>
        <v>497970</v>
      </c>
      <c r="AG91" s="107">
        <v>0</v>
      </c>
      <c r="AH91" s="107">
        <v>0</v>
      </c>
      <c r="AI91" s="108">
        <f t="shared" ca="1" si="14"/>
        <v>655270</v>
      </c>
      <c r="AJ91" s="109">
        <f t="shared" ca="1" si="15"/>
        <v>7631730</v>
      </c>
    </row>
    <row r="92" spans="1:36" ht="15" customHeight="1" x14ac:dyDescent="0.3">
      <c r="A92" s="98" t="str">
        <f>EMPLOYEE_MASTER!A92</f>
        <v>LAO00089</v>
      </c>
      <c r="B92" s="98" t="str">
        <f>EMPLOYEE_MASTER!C92</f>
        <v>Bounpone</v>
      </c>
      <c r="C92" s="98" t="str">
        <f>EMPLOYEE_MASTER!D92</f>
        <v>Vongkhamphanh</v>
      </c>
      <c r="D92" s="98" t="str">
        <f>EMPLOYEE_MASTER!T92</f>
        <v>Champasak Province Administration</v>
      </c>
      <c r="E92" s="98" t="str">
        <f>EMPLOYEE_MASTER!M92</f>
        <v>Division Chief</v>
      </c>
      <c r="F92" s="98" t="str">
        <f>EMPLOYEE_MASTER!Z92</f>
        <v>Administration</v>
      </c>
      <c r="G92" s="99">
        <f>EMPLOYEE_MASTER!P92</f>
        <v>4</v>
      </c>
      <c r="H92" s="99">
        <f>EMPLOYEE_MASTER!Q92</f>
        <v>3</v>
      </c>
      <c r="I92" s="100" t="str">
        <f t="shared" si="8"/>
        <v>G04-S03</v>
      </c>
      <c r="J92" s="100">
        <f>IFERROR(VLOOKUP(I92,LK_GradeStep!$C$4:$D$85,2,0),0)</f>
        <v>290</v>
      </c>
      <c r="K92" s="100">
        <f>IFERROR(VLOOKUP(I92,LK_GradeStep!$C$4:$E$85,3,0),10000)</f>
        <v>10000</v>
      </c>
      <c r="L92" s="100">
        <f t="shared" si="9"/>
        <v>2900000</v>
      </c>
      <c r="M92" s="101">
        <f>IFERROR(VLOOKUP(EMPLOYEE_MASTER!AQ92,LK_AllowanceRates!$A$5:$B$11,2,0),0)</f>
        <v>1900000</v>
      </c>
      <c r="N92" s="101">
        <f ca="1">IFERROR(IF(EMPLOYEE_MASTER!J92&lt;=5,  EMPLOYEE_MASTER!J92*LK_AllowanceRates!$B$12,IF(EMPLOYEE_MASTER!J92&lt;=15, EMPLOYEE_MASTER!J92*LK_AllowanceRates!$B$13,IF(EMPLOYEE_MASTER!J92&lt;=25, EMPLOYEE_MASTER!J92*LK_AllowanceRates!$B$14,EMPLOYEE_MASTER!J92*LK_AllowanceRates!$B$15))),0)</f>
        <v>280000</v>
      </c>
      <c r="O92" s="101">
        <f>IF(EMPLOYEE_MASTER!AS92="Teaching",L92*LK_AllowanceRates!$B$16,0)</f>
        <v>0</v>
      </c>
      <c r="P92" s="101">
        <f>IF(EMPLOYEE_MASTER!AS92="Medical",LK_AllowanceRates!$B$17,0)</f>
        <v>0</v>
      </c>
      <c r="Q92" s="101">
        <f>IF(EMPLOYEE_MASTER!AR92="Yes",LK_AllowanceRates!$B$18,0)</f>
        <v>0</v>
      </c>
      <c r="R92" s="101">
        <f>IF(EMPLOYEE_MASTER!AC92="Yes",LK_AllowanceRates!$B$19,0)</f>
        <v>0</v>
      </c>
      <c r="S92" s="101">
        <f>IF(EMPLOYEE_MASTER!AA92="Yes",L92*LK_AllowanceRates!$B$20,0)</f>
        <v>0</v>
      </c>
      <c r="T92" s="101">
        <f>IF(EMPLOYEE_MASTER!AB92="Yes",LK_AllowanceRates!$B$21,0)</f>
        <v>0</v>
      </c>
      <c r="U92" s="101">
        <f>IF(EMPLOYEE_MASTER!P92&gt;=6,LK_AllowanceRates!$B$22,0)</f>
        <v>0</v>
      </c>
      <c r="V92" s="101">
        <f>IF(EMPLOYEE_MASTER!AO92="Yes",LK_AllowanceRates!$B$23,0)</f>
        <v>200000</v>
      </c>
      <c r="W92" s="101">
        <f>EMPLOYEE_MASTER!AP92*LK_AllowanceRates!$B$24</f>
        <v>600000</v>
      </c>
      <c r="X92" s="101">
        <v>0</v>
      </c>
      <c r="Y92" s="102">
        <v>0</v>
      </c>
      <c r="Z92" s="102">
        <v>0</v>
      </c>
      <c r="AA92" s="102">
        <v>0</v>
      </c>
      <c r="AB92" s="103">
        <f t="shared" ca="1" si="10"/>
        <v>2980000</v>
      </c>
      <c r="AC92" s="104">
        <f t="shared" ca="1" si="11"/>
        <v>5880000</v>
      </c>
      <c r="AD92" s="105">
        <f>ROUND(L92*LK_AllowanceRates!$B$25/100,0)</f>
        <v>159500</v>
      </c>
      <c r="AE92" s="106">
        <f t="shared" ca="1" si="12"/>
        <v>5720500</v>
      </c>
      <c r="AF92" s="106">
        <f t="shared" ca="1" si="13"/>
        <v>257050</v>
      </c>
      <c r="AG92" s="107">
        <v>0</v>
      </c>
      <c r="AH92" s="107">
        <v>0</v>
      </c>
      <c r="AI92" s="108">
        <f t="shared" ca="1" si="14"/>
        <v>416550</v>
      </c>
      <c r="AJ92" s="109">
        <f t="shared" ca="1" si="15"/>
        <v>5463450</v>
      </c>
    </row>
    <row r="93" spans="1:36" ht="15" customHeight="1" x14ac:dyDescent="0.3">
      <c r="A93" s="98" t="str">
        <f>EMPLOYEE_MASTER!A93</f>
        <v>LAO00090</v>
      </c>
      <c r="B93" s="98" t="str">
        <f>EMPLOYEE_MASTER!C93</f>
        <v>Phongsavanh</v>
      </c>
      <c r="C93" s="98" t="str">
        <f>EMPLOYEE_MASTER!D93</f>
        <v>Sisavath</v>
      </c>
      <c r="D93" s="98" t="str">
        <f>EMPLOYEE_MASTER!T93</f>
        <v>Ministry of Health (MoH)</v>
      </c>
      <c r="E93" s="98" t="str">
        <f>EMPLOYEE_MASTER!M93</f>
        <v>Senior Doctor</v>
      </c>
      <c r="F93" s="98" t="str">
        <f>EMPLOYEE_MASTER!Z93</f>
        <v>Medical</v>
      </c>
      <c r="G93" s="99">
        <f>EMPLOYEE_MASTER!P93</f>
        <v>5</v>
      </c>
      <c r="H93" s="99">
        <f>EMPLOYEE_MASTER!Q93</f>
        <v>1</v>
      </c>
      <c r="I93" s="100" t="str">
        <f t="shared" si="8"/>
        <v>G05-S01</v>
      </c>
      <c r="J93" s="100">
        <f>IFERROR(VLOOKUP(I93,LK_GradeStep!$C$4:$D$85,2,0),0)</f>
        <v>308</v>
      </c>
      <c r="K93" s="100">
        <f>IFERROR(VLOOKUP(I93,LK_GradeStep!$C$4:$E$85,3,0),10000)</f>
        <v>10000</v>
      </c>
      <c r="L93" s="100">
        <f t="shared" si="9"/>
        <v>3080000</v>
      </c>
      <c r="M93" s="101">
        <f>IFERROR(VLOOKUP(EMPLOYEE_MASTER!AQ93,LK_AllowanceRates!$A$5:$B$11,2,0),0)</f>
        <v>900000</v>
      </c>
      <c r="N93" s="101">
        <f ca="1">IFERROR(IF(EMPLOYEE_MASTER!J93&lt;=5,  EMPLOYEE_MASTER!J93*LK_AllowanceRates!$B$12,IF(EMPLOYEE_MASTER!J93&lt;=15, EMPLOYEE_MASTER!J93*LK_AllowanceRates!$B$13,IF(EMPLOYEE_MASTER!J93&lt;=25, EMPLOYEE_MASTER!J93*LK_AllowanceRates!$B$14,EMPLOYEE_MASTER!J93*LK_AllowanceRates!$B$15))),0)</f>
        <v>1160000</v>
      </c>
      <c r="O93" s="101">
        <f>IF(EMPLOYEE_MASTER!AS93="Teaching",L93*LK_AllowanceRates!$B$16,0)</f>
        <v>0</v>
      </c>
      <c r="P93" s="101">
        <f>IF(EMPLOYEE_MASTER!AS93="Medical",LK_AllowanceRates!$B$17,0)</f>
        <v>500000</v>
      </c>
      <c r="Q93" s="101">
        <f>IF(EMPLOYEE_MASTER!AR93="Yes",LK_AllowanceRates!$B$18,0)</f>
        <v>0</v>
      </c>
      <c r="R93" s="101">
        <f>IF(EMPLOYEE_MASTER!AC93="Yes",LK_AllowanceRates!$B$19,0)</f>
        <v>1000000</v>
      </c>
      <c r="S93" s="101">
        <f>IF(EMPLOYEE_MASTER!AA93="Yes",L93*LK_AllowanceRates!$B$20,0)</f>
        <v>0</v>
      </c>
      <c r="T93" s="101">
        <f>IF(EMPLOYEE_MASTER!AB93="Yes",LK_AllowanceRates!$B$21,0)</f>
        <v>0</v>
      </c>
      <c r="U93" s="101">
        <f>IF(EMPLOYEE_MASTER!P93&gt;=6,LK_AllowanceRates!$B$22,0)</f>
        <v>0</v>
      </c>
      <c r="V93" s="101">
        <f>IF(EMPLOYEE_MASTER!AO93="Yes",LK_AllowanceRates!$B$23,0)</f>
        <v>200000</v>
      </c>
      <c r="W93" s="101">
        <f>EMPLOYEE_MASTER!AP93*LK_AllowanceRates!$B$24</f>
        <v>200000</v>
      </c>
      <c r="X93" s="101">
        <v>0</v>
      </c>
      <c r="Y93" s="102">
        <v>0</v>
      </c>
      <c r="Z93" s="102">
        <v>0</v>
      </c>
      <c r="AA93" s="102">
        <v>0</v>
      </c>
      <c r="AB93" s="103">
        <f t="shared" ca="1" si="10"/>
        <v>3960000</v>
      </c>
      <c r="AC93" s="104">
        <f t="shared" ca="1" si="11"/>
        <v>7040000</v>
      </c>
      <c r="AD93" s="105">
        <f>ROUND(L93*LK_AllowanceRates!$B$25/100,0)</f>
        <v>169400</v>
      </c>
      <c r="AE93" s="106">
        <f t="shared" ca="1" si="12"/>
        <v>6870600</v>
      </c>
      <c r="AF93" s="106">
        <f t="shared" ca="1" si="13"/>
        <v>372060</v>
      </c>
      <c r="AG93" s="107">
        <v>0</v>
      </c>
      <c r="AH93" s="107">
        <v>0</v>
      </c>
      <c r="AI93" s="108">
        <f t="shared" ca="1" si="14"/>
        <v>541460</v>
      </c>
      <c r="AJ93" s="109">
        <f t="shared" ca="1" si="15"/>
        <v>6498540</v>
      </c>
    </row>
    <row r="94" spans="1:36" ht="15" customHeight="1" x14ac:dyDescent="0.3">
      <c r="A94" s="98" t="str">
        <f>EMPLOYEE_MASTER!A94</f>
        <v>LAO00091</v>
      </c>
      <c r="B94" s="98" t="str">
        <f>EMPLOYEE_MASTER!C94</f>
        <v>Boupha</v>
      </c>
      <c r="C94" s="98" t="str">
        <f>EMPLOYEE_MASTER!D94</f>
        <v>Khounboulom</v>
      </c>
      <c r="D94" s="98" t="str">
        <f>EMPLOYEE_MASTER!T94</f>
        <v>Ministry of Health (MoH)</v>
      </c>
      <c r="E94" s="98" t="str">
        <f>EMPLOYEE_MASTER!M94</f>
        <v>Midwife</v>
      </c>
      <c r="F94" s="98" t="str">
        <f>EMPLOYEE_MASTER!Z94</f>
        <v>Medical</v>
      </c>
      <c r="G94" s="99">
        <f>EMPLOYEE_MASTER!P94</f>
        <v>2</v>
      </c>
      <c r="H94" s="99">
        <f>EMPLOYEE_MASTER!Q94</f>
        <v>1</v>
      </c>
      <c r="I94" s="100" t="str">
        <f t="shared" si="8"/>
        <v>G02-S01</v>
      </c>
      <c r="J94" s="100">
        <f>IFERROR(VLOOKUP(I94,LK_GradeStep!$C$4:$D$85,2,0),0)</f>
        <v>268</v>
      </c>
      <c r="K94" s="100">
        <f>IFERROR(VLOOKUP(I94,LK_GradeStep!$C$4:$E$85,3,0),10000)</f>
        <v>10000</v>
      </c>
      <c r="L94" s="100">
        <f t="shared" si="9"/>
        <v>2680000</v>
      </c>
      <c r="M94" s="101">
        <f>IFERROR(VLOOKUP(EMPLOYEE_MASTER!AQ94,LK_AllowanceRates!$A$5:$B$11,2,0),0)</f>
        <v>900000</v>
      </c>
      <c r="N94" s="101">
        <f ca="1">IFERROR(IF(EMPLOYEE_MASTER!J94&lt;=5,  EMPLOYEE_MASTER!J94*LK_AllowanceRates!$B$12,IF(EMPLOYEE_MASTER!J94&lt;=15, EMPLOYEE_MASTER!J94*LK_AllowanceRates!$B$13,IF(EMPLOYEE_MASTER!J94&lt;=25, EMPLOYEE_MASTER!J94*LK_AllowanceRates!$B$14,EMPLOYEE_MASTER!J94*LK_AllowanceRates!$B$15))),0)</f>
        <v>1080000</v>
      </c>
      <c r="O94" s="101">
        <f>IF(EMPLOYEE_MASTER!AS94="Teaching",L94*LK_AllowanceRates!$B$16,0)</f>
        <v>0</v>
      </c>
      <c r="P94" s="101">
        <f>IF(EMPLOYEE_MASTER!AS94="Medical",LK_AllowanceRates!$B$17,0)</f>
        <v>500000</v>
      </c>
      <c r="Q94" s="101">
        <f>IF(EMPLOYEE_MASTER!AR94="Yes",LK_AllowanceRates!$B$18,0)</f>
        <v>0</v>
      </c>
      <c r="R94" s="101">
        <f>IF(EMPLOYEE_MASTER!AC94="Yes",LK_AllowanceRates!$B$19,0)</f>
        <v>0</v>
      </c>
      <c r="S94" s="101">
        <f>IF(EMPLOYEE_MASTER!AA94="Yes",L94*LK_AllowanceRates!$B$20,0)</f>
        <v>670000</v>
      </c>
      <c r="T94" s="101">
        <f>IF(EMPLOYEE_MASTER!AB94="Yes",LK_AllowanceRates!$B$21,0)</f>
        <v>0</v>
      </c>
      <c r="U94" s="101">
        <f>IF(EMPLOYEE_MASTER!P94&gt;=6,LK_AllowanceRates!$B$22,0)</f>
        <v>0</v>
      </c>
      <c r="V94" s="101">
        <f>IF(EMPLOYEE_MASTER!AO94="Yes",LK_AllowanceRates!$B$23,0)</f>
        <v>200000</v>
      </c>
      <c r="W94" s="101">
        <f>EMPLOYEE_MASTER!AP94*LK_AllowanceRates!$B$24</f>
        <v>600000</v>
      </c>
      <c r="X94" s="101">
        <v>0</v>
      </c>
      <c r="Y94" s="102">
        <v>0</v>
      </c>
      <c r="Z94" s="102">
        <v>0</v>
      </c>
      <c r="AA94" s="102">
        <v>0</v>
      </c>
      <c r="AB94" s="103">
        <f t="shared" ca="1" si="10"/>
        <v>3950000</v>
      </c>
      <c r="AC94" s="104">
        <f t="shared" ca="1" si="11"/>
        <v>6630000</v>
      </c>
      <c r="AD94" s="105">
        <f>ROUND(L94*LK_AllowanceRates!$B$25/100,0)</f>
        <v>147400</v>
      </c>
      <c r="AE94" s="106">
        <f t="shared" ca="1" si="12"/>
        <v>6482600</v>
      </c>
      <c r="AF94" s="106">
        <f t="shared" ca="1" si="13"/>
        <v>333260</v>
      </c>
      <c r="AG94" s="107">
        <v>0</v>
      </c>
      <c r="AH94" s="107">
        <v>0</v>
      </c>
      <c r="AI94" s="108">
        <f t="shared" ca="1" si="14"/>
        <v>480660</v>
      </c>
      <c r="AJ94" s="109">
        <f t="shared" ca="1" si="15"/>
        <v>6149340</v>
      </c>
    </row>
    <row r="95" spans="1:36" ht="15" customHeight="1" x14ac:dyDescent="0.3">
      <c r="A95" s="98" t="str">
        <f>EMPLOYEE_MASTER!A95</f>
        <v>LAO00092</v>
      </c>
      <c r="B95" s="98" t="str">
        <f>EMPLOYEE_MASTER!C95</f>
        <v>Lattana</v>
      </c>
      <c r="C95" s="98" t="str">
        <f>EMPLOYEE_MASTER!D95</f>
        <v>Siphaseuth</v>
      </c>
      <c r="D95" s="98" t="str">
        <f>EMPLOYEE_MASTER!T95</f>
        <v>Ministry of Home Affairs (MoHA)</v>
      </c>
      <c r="E95" s="98" t="str">
        <f>EMPLOYEE_MASTER!M95</f>
        <v>Officer</v>
      </c>
      <c r="F95" s="98" t="str">
        <f>EMPLOYEE_MASTER!Z95</f>
        <v>Administration</v>
      </c>
      <c r="G95" s="99">
        <f>EMPLOYEE_MASTER!P95</f>
        <v>3</v>
      </c>
      <c r="H95" s="99">
        <f>EMPLOYEE_MASTER!Q95</f>
        <v>1</v>
      </c>
      <c r="I95" s="100" t="str">
        <f t="shared" si="8"/>
        <v>G03-S01</v>
      </c>
      <c r="J95" s="100">
        <f>IFERROR(VLOOKUP(I95,LK_GradeStep!$C$4:$D$85,2,0),0)</f>
        <v>276</v>
      </c>
      <c r="K95" s="100">
        <f>IFERROR(VLOOKUP(I95,LK_GradeStep!$C$4:$E$85,3,0),10000)</f>
        <v>10000</v>
      </c>
      <c r="L95" s="100">
        <f t="shared" si="9"/>
        <v>2760000</v>
      </c>
      <c r="M95" s="101">
        <f>IFERROR(VLOOKUP(EMPLOYEE_MASTER!AQ95,LK_AllowanceRates!$A$5:$B$11,2,0),0)</f>
        <v>900000</v>
      </c>
      <c r="N95" s="101">
        <f ca="1">IFERROR(IF(EMPLOYEE_MASTER!J95&lt;=5,  EMPLOYEE_MASTER!J95*LK_AllowanceRates!$B$12,IF(EMPLOYEE_MASTER!J95&lt;=15, EMPLOYEE_MASTER!J95*LK_AllowanceRates!$B$13,IF(EMPLOYEE_MASTER!J95&lt;=25, EMPLOYEE_MASTER!J95*LK_AllowanceRates!$B$14,EMPLOYEE_MASTER!J95*LK_AllowanceRates!$B$15))),0)</f>
        <v>50000</v>
      </c>
      <c r="O95" s="101">
        <f>IF(EMPLOYEE_MASTER!AS95="Teaching",L95*LK_AllowanceRates!$B$16,0)</f>
        <v>0</v>
      </c>
      <c r="P95" s="101">
        <f>IF(EMPLOYEE_MASTER!AS95="Medical",LK_AllowanceRates!$B$17,0)</f>
        <v>0</v>
      </c>
      <c r="Q95" s="101">
        <f>IF(EMPLOYEE_MASTER!AR95="Yes",LK_AllowanceRates!$B$18,0)</f>
        <v>0</v>
      </c>
      <c r="R95" s="101">
        <f>IF(EMPLOYEE_MASTER!AC95="Yes",LK_AllowanceRates!$B$19,0)</f>
        <v>0</v>
      </c>
      <c r="S95" s="101">
        <f>IF(EMPLOYEE_MASTER!AA95="Yes",L95*LK_AllowanceRates!$B$20,0)</f>
        <v>690000</v>
      </c>
      <c r="T95" s="101">
        <f>IF(EMPLOYEE_MASTER!AB95="Yes",LK_AllowanceRates!$B$21,0)</f>
        <v>0</v>
      </c>
      <c r="U95" s="101">
        <f>IF(EMPLOYEE_MASTER!P95&gt;=6,LK_AllowanceRates!$B$22,0)</f>
        <v>0</v>
      </c>
      <c r="V95" s="101">
        <f>IF(EMPLOYEE_MASTER!AO95="Yes",LK_AllowanceRates!$B$23,0)</f>
        <v>0</v>
      </c>
      <c r="W95" s="101">
        <f>EMPLOYEE_MASTER!AP95*LK_AllowanceRates!$B$24</f>
        <v>0</v>
      </c>
      <c r="X95" s="101">
        <v>0</v>
      </c>
      <c r="Y95" s="102">
        <v>0</v>
      </c>
      <c r="Z95" s="102">
        <v>0</v>
      </c>
      <c r="AA95" s="102">
        <v>0</v>
      </c>
      <c r="AB95" s="103">
        <f t="shared" ca="1" si="10"/>
        <v>1640000</v>
      </c>
      <c r="AC95" s="104">
        <f t="shared" ca="1" si="11"/>
        <v>4400000</v>
      </c>
      <c r="AD95" s="105">
        <f>ROUND(L95*LK_AllowanceRates!$B$25/100,0)</f>
        <v>151800</v>
      </c>
      <c r="AE95" s="106">
        <f t="shared" ca="1" si="12"/>
        <v>4248200</v>
      </c>
      <c r="AF95" s="106">
        <f t="shared" ca="1" si="13"/>
        <v>147410</v>
      </c>
      <c r="AG95" s="107">
        <v>0</v>
      </c>
      <c r="AH95" s="107">
        <v>0</v>
      </c>
      <c r="AI95" s="108">
        <f t="shared" ca="1" si="14"/>
        <v>299210</v>
      </c>
      <c r="AJ95" s="109">
        <f t="shared" ca="1" si="15"/>
        <v>4100790</v>
      </c>
    </row>
    <row r="96" spans="1:36" ht="15" customHeight="1" x14ac:dyDescent="0.3">
      <c r="A96" s="98" t="str">
        <f>EMPLOYEE_MASTER!A96</f>
        <v>LAO00093</v>
      </c>
      <c r="B96" s="98" t="str">
        <f>EMPLOYEE_MASTER!C96</f>
        <v>Senglavanh</v>
      </c>
      <c r="C96" s="98" t="str">
        <f>EMPLOYEE_MASTER!D96</f>
        <v>Xayavong</v>
      </c>
      <c r="D96" s="98" t="str">
        <f>EMPLOYEE_MASTER!T96</f>
        <v>Ministry of Labour &amp; Social Welfare (MLSW)</v>
      </c>
      <c r="E96" s="98" t="str">
        <f>EMPLOYEE_MASTER!M96</f>
        <v>Administrative Officer</v>
      </c>
      <c r="F96" s="98" t="str">
        <f>EMPLOYEE_MASTER!Z96</f>
        <v>Administration</v>
      </c>
      <c r="G96" s="99">
        <f>EMPLOYEE_MASTER!P96</f>
        <v>2</v>
      </c>
      <c r="H96" s="99">
        <f>EMPLOYEE_MASTER!Q96</f>
        <v>13</v>
      </c>
      <c r="I96" s="100" t="str">
        <f t="shared" si="8"/>
        <v>G02-S13</v>
      </c>
      <c r="J96" s="100">
        <f>IFERROR(VLOOKUP(I96,LK_GradeStep!$C$4:$D$85,2,0),0)</f>
        <v>280</v>
      </c>
      <c r="K96" s="100">
        <f>IFERROR(VLOOKUP(I96,LK_GradeStep!$C$4:$E$85,3,0),10000)</f>
        <v>10000</v>
      </c>
      <c r="L96" s="100">
        <f t="shared" si="9"/>
        <v>2800000</v>
      </c>
      <c r="M96" s="101">
        <f>IFERROR(VLOOKUP(EMPLOYEE_MASTER!AQ96,LK_AllowanceRates!$A$5:$B$11,2,0),0)</f>
        <v>900000</v>
      </c>
      <c r="N96" s="101">
        <f ca="1">IFERROR(IF(EMPLOYEE_MASTER!J96&lt;=5,  EMPLOYEE_MASTER!J96*LK_AllowanceRates!$B$12,IF(EMPLOYEE_MASTER!J96&lt;=15, EMPLOYEE_MASTER!J96*LK_AllowanceRates!$B$13,IF(EMPLOYEE_MASTER!J96&lt;=25, EMPLOYEE_MASTER!J96*LK_AllowanceRates!$B$14,EMPLOYEE_MASTER!J96*LK_AllowanceRates!$B$15))),0)</f>
        <v>20000</v>
      </c>
      <c r="O96" s="101">
        <f>IF(EMPLOYEE_MASTER!AS96="Teaching",L96*LK_AllowanceRates!$B$16,0)</f>
        <v>0</v>
      </c>
      <c r="P96" s="101">
        <f>IF(EMPLOYEE_MASTER!AS96="Medical",LK_AllowanceRates!$B$17,0)</f>
        <v>0</v>
      </c>
      <c r="Q96" s="101">
        <f>IF(EMPLOYEE_MASTER!AR96="Yes",LK_AllowanceRates!$B$18,0)</f>
        <v>0</v>
      </c>
      <c r="R96" s="101">
        <f>IF(EMPLOYEE_MASTER!AC96="Yes",LK_AllowanceRates!$B$19,0)</f>
        <v>0</v>
      </c>
      <c r="S96" s="101">
        <f>IF(EMPLOYEE_MASTER!AA96="Yes",L96*LK_AllowanceRates!$B$20,0)</f>
        <v>0</v>
      </c>
      <c r="T96" s="101">
        <f>IF(EMPLOYEE_MASTER!AB96="Yes",LK_AllowanceRates!$B$21,0)</f>
        <v>0</v>
      </c>
      <c r="U96" s="101">
        <f>IF(EMPLOYEE_MASTER!P96&gt;=6,LK_AllowanceRates!$B$22,0)</f>
        <v>0</v>
      </c>
      <c r="V96" s="101">
        <f>IF(EMPLOYEE_MASTER!AO96="Yes",LK_AllowanceRates!$B$23,0)</f>
        <v>0</v>
      </c>
      <c r="W96" s="101">
        <f>EMPLOYEE_MASTER!AP96*LK_AllowanceRates!$B$24</f>
        <v>0</v>
      </c>
      <c r="X96" s="101">
        <v>0</v>
      </c>
      <c r="Y96" s="102">
        <v>0</v>
      </c>
      <c r="Z96" s="102">
        <v>0</v>
      </c>
      <c r="AA96" s="102">
        <v>0</v>
      </c>
      <c r="AB96" s="103">
        <f t="shared" ca="1" si="10"/>
        <v>920000</v>
      </c>
      <c r="AC96" s="104">
        <f t="shared" ca="1" si="11"/>
        <v>3720000</v>
      </c>
      <c r="AD96" s="105">
        <f>ROUND(L96*LK_AllowanceRates!$B$25/100,0)</f>
        <v>154000</v>
      </c>
      <c r="AE96" s="106">
        <f t="shared" ca="1" si="12"/>
        <v>3566000</v>
      </c>
      <c r="AF96" s="106">
        <f t="shared" ca="1" si="13"/>
        <v>113300</v>
      </c>
      <c r="AG96" s="107">
        <v>0</v>
      </c>
      <c r="AH96" s="107">
        <v>0</v>
      </c>
      <c r="AI96" s="108">
        <f t="shared" ca="1" si="14"/>
        <v>267300</v>
      </c>
      <c r="AJ96" s="109">
        <f t="shared" ca="1" si="15"/>
        <v>3452700</v>
      </c>
    </row>
    <row r="97" spans="1:36" ht="15" customHeight="1" x14ac:dyDescent="0.3">
      <c r="A97" s="98" t="str">
        <f>EMPLOYEE_MASTER!A97</f>
        <v>LAO00094</v>
      </c>
      <c r="B97" s="98" t="str">
        <f>EMPLOYEE_MASTER!C97</f>
        <v>Chansamone</v>
      </c>
      <c r="C97" s="98" t="str">
        <f>EMPLOYEE_MASTER!D97</f>
        <v>Soulinthong</v>
      </c>
      <c r="D97" s="98" t="str">
        <f>EMPLOYEE_MASTER!T97</f>
        <v>Ministry of Public Works &amp; Transport (MPWT)</v>
      </c>
      <c r="E97" s="98" t="str">
        <f>EMPLOYEE_MASTER!M97</f>
        <v>Senior Engineer</v>
      </c>
      <c r="F97" s="98" t="str">
        <f>EMPLOYEE_MASTER!Z97</f>
        <v>Technical</v>
      </c>
      <c r="G97" s="99">
        <f>EMPLOYEE_MASTER!P97</f>
        <v>4</v>
      </c>
      <c r="H97" s="99">
        <f>EMPLOYEE_MASTER!Q97</f>
        <v>1</v>
      </c>
      <c r="I97" s="100" t="str">
        <f t="shared" si="8"/>
        <v>G04-S01</v>
      </c>
      <c r="J97" s="100">
        <f>IFERROR(VLOOKUP(I97,LK_GradeStep!$C$4:$D$85,2,0),0)</f>
        <v>286</v>
      </c>
      <c r="K97" s="100">
        <f>IFERROR(VLOOKUP(I97,LK_GradeStep!$C$4:$E$85,3,0),10000)</f>
        <v>10000</v>
      </c>
      <c r="L97" s="100">
        <f t="shared" si="9"/>
        <v>2860000</v>
      </c>
      <c r="M97" s="101">
        <f>IFERROR(VLOOKUP(EMPLOYEE_MASTER!AQ97,LK_AllowanceRates!$A$5:$B$11,2,0),0)</f>
        <v>900000</v>
      </c>
      <c r="N97" s="101">
        <f ca="1">IFERROR(IF(EMPLOYEE_MASTER!J97&lt;=5,  EMPLOYEE_MASTER!J97*LK_AllowanceRates!$B$12,IF(EMPLOYEE_MASTER!J97&lt;=15, EMPLOYEE_MASTER!J97*LK_AllowanceRates!$B$13,IF(EMPLOYEE_MASTER!J97&lt;=25, EMPLOYEE_MASTER!J97*LK_AllowanceRates!$B$14,EMPLOYEE_MASTER!J97*LK_AllowanceRates!$B$15))),0)</f>
        <v>1240000</v>
      </c>
      <c r="O97" s="101">
        <f>IF(EMPLOYEE_MASTER!AS97="Teaching",L97*LK_AllowanceRates!$B$16,0)</f>
        <v>0</v>
      </c>
      <c r="P97" s="101">
        <f>IF(EMPLOYEE_MASTER!AS97="Medical",LK_AllowanceRates!$B$17,0)</f>
        <v>0</v>
      </c>
      <c r="Q97" s="101">
        <f>IF(EMPLOYEE_MASTER!AR97="Yes",LK_AllowanceRates!$B$18,0)</f>
        <v>0</v>
      </c>
      <c r="R97" s="101">
        <f>IF(EMPLOYEE_MASTER!AC97="Yes",LK_AllowanceRates!$B$19,0)</f>
        <v>1000000</v>
      </c>
      <c r="S97" s="101">
        <f>IF(EMPLOYEE_MASTER!AA97="Yes",L97*LK_AllowanceRates!$B$20,0)</f>
        <v>715000</v>
      </c>
      <c r="T97" s="101">
        <f>IF(EMPLOYEE_MASTER!AB97="Yes",LK_AllowanceRates!$B$21,0)</f>
        <v>0</v>
      </c>
      <c r="U97" s="101">
        <f>IF(EMPLOYEE_MASTER!P97&gt;=6,LK_AllowanceRates!$B$22,0)</f>
        <v>0</v>
      </c>
      <c r="V97" s="101">
        <f>IF(EMPLOYEE_MASTER!AO97="Yes",LK_AllowanceRates!$B$23,0)</f>
        <v>200000</v>
      </c>
      <c r="W97" s="101">
        <f>EMPLOYEE_MASTER!AP97*LK_AllowanceRates!$B$24</f>
        <v>600000</v>
      </c>
      <c r="X97" s="101">
        <v>0</v>
      </c>
      <c r="Y97" s="102">
        <v>0</v>
      </c>
      <c r="Z97" s="102">
        <v>0</v>
      </c>
      <c r="AA97" s="102">
        <v>0</v>
      </c>
      <c r="AB97" s="103">
        <f t="shared" ca="1" si="10"/>
        <v>4655000</v>
      </c>
      <c r="AC97" s="104">
        <f t="shared" ca="1" si="11"/>
        <v>7515000</v>
      </c>
      <c r="AD97" s="105">
        <f>ROUND(L97*LK_AllowanceRates!$B$25/100,0)</f>
        <v>157300</v>
      </c>
      <c r="AE97" s="106">
        <f t="shared" ca="1" si="12"/>
        <v>7357700</v>
      </c>
      <c r="AF97" s="106">
        <f t="shared" ca="1" si="13"/>
        <v>420770</v>
      </c>
      <c r="AG97" s="107">
        <v>0</v>
      </c>
      <c r="AH97" s="107">
        <v>0</v>
      </c>
      <c r="AI97" s="108">
        <f t="shared" ca="1" si="14"/>
        <v>578070</v>
      </c>
      <c r="AJ97" s="109">
        <f t="shared" ca="1" si="15"/>
        <v>6936930</v>
      </c>
    </row>
    <row r="98" spans="1:36" ht="15" customHeight="1" x14ac:dyDescent="0.3">
      <c r="A98" s="98" t="str">
        <f>EMPLOYEE_MASTER!A98</f>
        <v>LAO00095</v>
      </c>
      <c r="B98" s="98" t="str">
        <f>EMPLOYEE_MASTER!C98</f>
        <v>Phonevilay</v>
      </c>
      <c r="C98" s="98" t="str">
        <f>EMPLOYEE_MASTER!D98</f>
        <v>Manodham</v>
      </c>
      <c r="D98" s="98" t="str">
        <f>EMPLOYEE_MASTER!T98</f>
        <v>Ministry of Home Affairs (MoHA)</v>
      </c>
      <c r="E98" s="98" t="str">
        <f>EMPLOYEE_MASTER!M98</f>
        <v>Department Director</v>
      </c>
      <c r="F98" s="98" t="str">
        <f>EMPLOYEE_MASTER!Z98</f>
        <v>Administration</v>
      </c>
      <c r="G98" s="99">
        <f>EMPLOYEE_MASTER!P98</f>
        <v>4</v>
      </c>
      <c r="H98" s="99">
        <f>EMPLOYEE_MASTER!Q98</f>
        <v>1</v>
      </c>
      <c r="I98" s="100" t="str">
        <f t="shared" si="8"/>
        <v>G04-S01</v>
      </c>
      <c r="J98" s="100">
        <f>IFERROR(VLOOKUP(I98,LK_GradeStep!$C$4:$D$85,2,0),0)</f>
        <v>286</v>
      </c>
      <c r="K98" s="100">
        <f>IFERROR(VLOOKUP(I98,LK_GradeStep!$C$4:$E$85,3,0),10000)</f>
        <v>10000</v>
      </c>
      <c r="L98" s="100">
        <f t="shared" si="9"/>
        <v>2860000</v>
      </c>
      <c r="M98" s="101">
        <f>IFERROR(VLOOKUP(EMPLOYEE_MASTER!AQ98,LK_AllowanceRates!$A$5:$B$11,2,0),0)</f>
        <v>2500000</v>
      </c>
      <c r="N98" s="101">
        <f ca="1">IFERROR(IF(EMPLOYEE_MASTER!J98&lt;=5,  EMPLOYEE_MASTER!J98*LK_AllowanceRates!$B$12,IF(EMPLOYEE_MASTER!J98&lt;=15, EMPLOYEE_MASTER!J98*LK_AllowanceRates!$B$13,IF(EMPLOYEE_MASTER!J98&lt;=25, EMPLOYEE_MASTER!J98*LK_AllowanceRates!$B$14,EMPLOYEE_MASTER!J98*LK_AllowanceRates!$B$15))),0)</f>
        <v>1480000</v>
      </c>
      <c r="O98" s="101">
        <f>IF(EMPLOYEE_MASTER!AS98="Teaching",L98*LK_AllowanceRates!$B$16,0)</f>
        <v>0</v>
      </c>
      <c r="P98" s="101">
        <f>IF(EMPLOYEE_MASTER!AS98="Medical",LK_AllowanceRates!$B$17,0)</f>
        <v>0</v>
      </c>
      <c r="Q98" s="101">
        <f>IF(EMPLOYEE_MASTER!AR98="Yes",LK_AllowanceRates!$B$18,0)</f>
        <v>0</v>
      </c>
      <c r="R98" s="101">
        <f>IF(EMPLOYEE_MASTER!AC98="Yes",LK_AllowanceRates!$B$19,0)</f>
        <v>1000000</v>
      </c>
      <c r="S98" s="101">
        <f>IF(EMPLOYEE_MASTER!AA98="Yes",L98*LK_AllowanceRates!$B$20,0)</f>
        <v>715000</v>
      </c>
      <c r="T98" s="101">
        <f>IF(EMPLOYEE_MASTER!AB98="Yes",LK_AllowanceRates!$B$21,0)</f>
        <v>0</v>
      </c>
      <c r="U98" s="101">
        <f>IF(EMPLOYEE_MASTER!P98&gt;=6,LK_AllowanceRates!$B$22,0)</f>
        <v>0</v>
      </c>
      <c r="V98" s="101">
        <f>IF(EMPLOYEE_MASTER!AO98="Yes",LK_AllowanceRates!$B$23,0)</f>
        <v>0</v>
      </c>
      <c r="W98" s="101">
        <f>EMPLOYEE_MASTER!AP98*LK_AllowanceRates!$B$24</f>
        <v>0</v>
      </c>
      <c r="X98" s="101">
        <v>0</v>
      </c>
      <c r="Y98" s="102">
        <v>0</v>
      </c>
      <c r="Z98" s="102">
        <v>0</v>
      </c>
      <c r="AA98" s="102">
        <v>0</v>
      </c>
      <c r="AB98" s="103">
        <f t="shared" ca="1" si="10"/>
        <v>5695000</v>
      </c>
      <c r="AC98" s="104">
        <f t="shared" ca="1" si="11"/>
        <v>8555000</v>
      </c>
      <c r="AD98" s="105">
        <f>ROUND(L98*LK_AllowanceRates!$B$25/100,0)</f>
        <v>157300</v>
      </c>
      <c r="AE98" s="106">
        <f t="shared" ca="1" si="12"/>
        <v>8397700</v>
      </c>
      <c r="AF98" s="106">
        <f t="shared" ca="1" si="13"/>
        <v>524770</v>
      </c>
      <c r="AG98" s="107">
        <v>0</v>
      </c>
      <c r="AH98" s="107">
        <v>0</v>
      </c>
      <c r="AI98" s="108">
        <f t="shared" ca="1" si="14"/>
        <v>682070</v>
      </c>
      <c r="AJ98" s="109">
        <f t="shared" ca="1" si="15"/>
        <v>7872930</v>
      </c>
    </row>
    <row r="99" spans="1:36" ht="15" customHeight="1" x14ac:dyDescent="0.3">
      <c r="A99" s="98" t="str">
        <f>EMPLOYEE_MASTER!A99</f>
        <v>LAO00096</v>
      </c>
      <c r="B99" s="98" t="str">
        <f>EMPLOYEE_MASTER!C99</f>
        <v>Phonevilay</v>
      </c>
      <c r="C99" s="98" t="str">
        <f>EMPLOYEE_MASTER!D99</f>
        <v>Phommachack</v>
      </c>
      <c r="D99" s="98" t="str">
        <f>EMPLOYEE_MASTER!T99</f>
        <v>Ministry of Education and Sports (MoES)</v>
      </c>
      <c r="E99" s="98" t="str">
        <f>EMPLOYEE_MASTER!M99</f>
        <v>Secondary School Teacher</v>
      </c>
      <c r="F99" s="98" t="str">
        <f>EMPLOYEE_MASTER!Z99</f>
        <v>Teacher</v>
      </c>
      <c r="G99" s="99">
        <f>EMPLOYEE_MASTER!P99</f>
        <v>2</v>
      </c>
      <c r="H99" s="99">
        <f>EMPLOYEE_MASTER!Q99</f>
        <v>12</v>
      </c>
      <c r="I99" s="100" t="str">
        <f t="shared" si="8"/>
        <v>G02-S12</v>
      </c>
      <c r="J99" s="100">
        <f>IFERROR(VLOOKUP(I99,LK_GradeStep!$C$4:$D$85,2,0),0)</f>
        <v>279</v>
      </c>
      <c r="K99" s="100">
        <f>IFERROR(VLOOKUP(I99,LK_GradeStep!$C$4:$E$85,3,0),10000)</f>
        <v>10000</v>
      </c>
      <c r="L99" s="100">
        <f t="shared" si="9"/>
        <v>2790000</v>
      </c>
      <c r="M99" s="101">
        <f>IFERROR(VLOOKUP(EMPLOYEE_MASTER!AQ99,LK_AllowanceRates!$A$5:$B$11,2,0),0)</f>
        <v>900000</v>
      </c>
      <c r="N99" s="101">
        <f ca="1">IFERROR(IF(EMPLOYEE_MASTER!J99&lt;=5,  EMPLOYEE_MASTER!J99*LK_AllowanceRates!$B$12,IF(EMPLOYEE_MASTER!J99&lt;=15, EMPLOYEE_MASTER!J99*LK_AllowanceRates!$B$13,IF(EMPLOYEE_MASTER!J99&lt;=25, EMPLOYEE_MASTER!J99*LK_AllowanceRates!$B$14,EMPLOYEE_MASTER!J99*LK_AllowanceRates!$B$15))),0)</f>
        <v>540000</v>
      </c>
      <c r="O99" s="101">
        <f>IF(EMPLOYEE_MASTER!AS99="Teaching",L99*LK_AllowanceRates!$B$16,0)</f>
        <v>558000</v>
      </c>
      <c r="P99" s="101">
        <f>IF(EMPLOYEE_MASTER!AS99="Medical",LK_AllowanceRates!$B$17,0)</f>
        <v>0</v>
      </c>
      <c r="Q99" s="101">
        <f>IF(EMPLOYEE_MASTER!AR99="Yes",LK_AllowanceRates!$B$18,0)</f>
        <v>0</v>
      </c>
      <c r="R99" s="101">
        <f>IF(EMPLOYEE_MASTER!AC99="Yes",LK_AllowanceRates!$B$19,0)</f>
        <v>1000000</v>
      </c>
      <c r="S99" s="101">
        <f>IF(EMPLOYEE_MASTER!AA99="Yes",L99*LK_AllowanceRates!$B$20,0)</f>
        <v>697500</v>
      </c>
      <c r="T99" s="101">
        <f>IF(EMPLOYEE_MASTER!AB99="Yes",LK_AllowanceRates!$B$21,0)</f>
        <v>0</v>
      </c>
      <c r="U99" s="101">
        <f>IF(EMPLOYEE_MASTER!P99&gt;=6,LK_AllowanceRates!$B$22,0)</f>
        <v>0</v>
      </c>
      <c r="V99" s="101">
        <f>IF(EMPLOYEE_MASTER!AO99="Yes",LK_AllowanceRates!$B$23,0)</f>
        <v>200000</v>
      </c>
      <c r="W99" s="101">
        <f>EMPLOYEE_MASTER!AP99*LK_AllowanceRates!$B$24</f>
        <v>200000</v>
      </c>
      <c r="X99" s="101">
        <v>0</v>
      </c>
      <c r="Y99" s="102">
        <v>0</v>
      </c>
      <c r="Z99" s="102">
        <v>0</v>
      </c>
      <c r="AA99" s="102">
        <v>0</v>
      </c>
      <c r="AB99" s="103">
        <f t="shared" ca="1" si="10"/>
        <v>4095500</v>
      </c>
      <c r="AC99" s="104">
        <f t="shared" ca="1" si="11"/>
        <v>6885500</v>
      </c>
      <c r="AD99" s="105">
        <f>ROUND(L99*LK_AllowanceRates!$B$25/100,0)</f>
        <v>153450</v>
      </c>
      <c r="AE99" s="106">
        <f t="shared" ca="1" si="12"/>
        <v>6732050</v>
      </c>
      <c r="AF99" s="106">
        <f t="shared" ca="1" si="13"/>
        <v>358205</v>
      </c>
      <c r="AG99" s="107">
        <v>0</v>
      </c>
      <c r="AH99" s="107">
        <v>0</v>
      </c>
      <c r="AI99" s="108">
        <f t="shared" ca="1" si="14"/>
        <v>511655</v>
      </c>
      <c r="AJ99" s="109">
        <f t="shared" ca="1" si="15"/>
        <v>6373845</v>
      </c>
    </row>
    <row r="100" spans="1:36" ht="15" customHeight="1" x14ac:dyDescent="0.3">
      <c r="A100" s="98" t="str">
        <f>EMPLOYEE_MASTER!A100</f>
        <v>LAO00097</v>
      </c>
      <c r="B100" s="98" t="str">
        <f>EMPLOYEE_MASTER!C100</f>
        <v>Phonevilay</v>
      </c>
      <c r="C100" s="98" t="str">
        <f>EMPLOYEE_MASTER!D100</f>
        <v>Manodham</v>
      </c>
      <c r="D100" s="98" t="str">
        <f>EMPLOYEE_MASTER!T100</f>
        <v>Ministry of Education and Sports (MoES)</v>
      </c>
      <c r="E100" s="98" t="str">
        <f>EMPLOYEE_MASTER!M100</f>
        <v>School Principal</v>
      </c>
      <c r="F100" s="98" t="str">
        <f>EMPLOYEE_MASTER!Z100</f>
        <v>Teacher</v>
      </c>
      <c r="G100" s="99">
        <f>EMPLOYEE_MASTER!P100</f>
        <v>3</v>
      </c>
      <c r="H100" s="99">
        <f>EMPLOYEE_MASTER!Q100</f>
        <v>13</v>
      </c>
      <c r="I100" s="100" t="str">
        <f t="shared" si="8"/>
        <v>G03-S13</v>
      </c>
      <c r="J100" s="100">
        <f>IFERROR(VLOOKUP(I100,LK_GradeStep!$C$4:$D$85,2,0),0)</f>
        <v>294</v>
      </c>
      <c r="K100" s="100">
        <f>IFERROR(VLOOKUP(I100,LK_GradeStep!$C$4:$E$85,3,0),10000)</f>
        <v>10000</v>
      </c>
      <c r="L100" s="100">
        <f t="shared" si="9"/>
        <v>2940000</v>
      </c>
      <c r="M100" s="101">
        <f>IFERROR(VLOOKUP(EMPLOYEE_MASTER!AQ100,LK_AllowanceRates!$A$5:$B$11,2,0),0)</f>
        <v>900000</v>
      </c>
      <c r="N100" s="101">
        <f ca="1">IFERROR(IF(EMPLOYEE_MASTER!J100&lt;=5,  EMPLOYEE_MASTER!J100*LK_AllowanceRates!$B$12,IF(EMPLOYEE_MASTER!J100&lt;=15, EMPLOYEE_MASTER!J100*LK_AllowanceRates!$B$13,IF(EMPLOYEE_MASTER!J100&lt;=25, EMPLOYEE_MASTER!J100*LK_AllowanceRates!$B$14,EMPLOYEE_MASTER!J100*LK_AllowanceRates!$B$15))),0)</f>
        <v>220000</v>
      </c>
      <c r="O100" s="101">
        <f>IF(EMPLOYEE_MASTER!AS100="Teaching",L100*LK_AllowanceRates!$B$16,0)</f>
        <v>588000</v>
      </c>
      <c r="P100" s="101">
        <f>IF(EMPLOYEE_MASTER!AS100="Medical",LK_AllowanceRates!$B$17,0)</f>
        <v>0</v>
      </c>
      <c r="Q100" s="101">
        <f>IF(EMPLOYEE_MASTER!AR100="Yes",LK_AllowanceRates!$B$18,0)</f>
        <v>0</v>
      </c>
      <c r="R100" s="101">
        <f>IF(EMPLOYEE_MASTER!AC100="Yes",LK_AllowanceRates!$B$19,0)</f>
        <v>0</v>
      </c>
      <c r="S100" s="101">
        <f>IF(EMPLOYEE_MASTER!AA100="Yes",L100*LK_AllowanceRates!$B$20,0)</f>
        <v>0</v>
      </c>
      <c r="T100" s="101">
        <f>IF(EMPLOYEE_MASTER!AB100="Yes",LK_AllowanceRates!$B$21,0)</f>
        <v>0</v>
      </c>
      <c r="U100" s="101">
        <f>IF(EMPLOYEE_MASTER!P100&gt;=6,LK_AllowanceRates!$B$22,0)</f>
        <v>0</v>
      </c>
      <c r="V100" s="101">
        <f>IF(EMPLOYEE_MASTER!AO100="Yes",LK_AllowanceRates!$B$23,0)</f>
        <v>0</v>
      </c>
      <c r="W100" s="101">
        <f>EMPLOYEE_MASTER!AP100*LK_AllowanceRates!$B$24</f>
        <v>0</v>
      </c>
      <c r="X100" s="101">
        <v>0</v>
      </c>
      <c r="Y100" s="102">
        <v>0</v>
      </c>
      <c r="Z100" s="102">
        <v>0</v>
      </c>
      <c r="AA100" s="102">
        <v>0</v>
      </c>
      <c r="AB100" s="103">
        <f t="shared" ca="1" si="10"/>
        <v>1708000</v>
      </c>
      <c r="AC100" s="104">
        <f t="shared" ca="1" si="11"/>
        <v>4648000</v>
      </c>
      <c r="AD100" s="105">
        <f>ROUND(L100*LK_AllowanceRates!$B$25/100,0)</f>
        <v>161700</v>
      </c>
      <c r="AE100" s="106">
        <f t="shared" ca="1" si="12"/>
        <v>4486300</v>
      </c>
      <c r="AF100" s="106">
        <f t="shared" ca="1" si="13"/>
        <v>159315</v>
      </c>
      <c r="AG100" s="107">
        <v>0</v>
      </c>
      <c r="AH100" s="107">
        <v>0</v>
      </c>
      <c r="AI100" s="108">
        <f t="shared" ca="1" si="14"/>
        <v>321015</v>
      </c>
      <c r="AJ100" s="109">
        <f t="shared" ca="1" si="15"/>
        <v>4326985</v>
      </c>
    </row>
    <row r="101" spans="1:36" ht="15" customHeight="1" x14ac:dyDescent="0.3">
      <c r="A101" s="98" t="str">
        <f>EMPLOYEE_MASTER!A101</f>
        <v>LAO00098</v>
      </c>
      <c r="B101" s="98" t="str">
        <f>EMPLOYEE_MASTER!C101</f>
        <v>Thongsavanh</v>
      </c>
      <c r="C101" s="98" t="str">
        <f>EMPLOYEE_MASTER!D101</f>
        <v>Phommasack</v>
      </c>
      <c r="D101" s="98" t="str">
        <f>EMPLOYEE_MASTER!T101</f>
        <v>Vientiane Capital Administration</v>
      </c>
      <c r="E101" s="98" t="str">
        <f>EMPLOYEE_MASTER!M101</f>
        <v>Senior Administrative Officer</v>
      </c>
      <c r="F101" s="98" t="str">
        <f>EMPLOYEE_MASTER!Z101</f>
        <v>Administration</v>
      </c>
      <c r="G101" s="99">
        <f>EMPLOYEE_MASTER!P101</f>
        <v>4</v>
      </c>
      <c r="H101" s="99">
        <f>EMPLOYEE_MASTER!Q101</f>
        <v>1</v>
      </c>
      <c r="I101" s="100" t="str">
        <f t="shared" si="8"/>
        <v>G04-S01</v>
      </c>
      <c r="J101" s="100">
        <f>IFERROR(VLOOKUP(I101,LK_GradeStep!$C$4:$D$85,2,0),0)</f>
        <v>286</v>
      </c>
      <c r="K101" s="100">
        <f>IFERROR(VLOOKUP(I101,LK_GradeStep!$C$4:$E$85,3,0),10000)</f>
        <v>10000</v>
      </c>
      <c r="L101" s="100">
        <f t="shared" si="9"/>
        <v>2860000</v>
      </c>
      <c r="M101" s="101">
        <f>IFERROR(VLOOKUP(EMPLOYEE_MASTER!AQ101,LK_AllowanceRates!$A$5:$B$11,2,0),0)</f>
        <v>900000</v>
      </c>
      <c r="N101" s="101">
        <f ca="1">IFERROR(IF(EMPLOYEE_MASTER!J101&lt;=5,  EMPLOYEE_MASTER!J101*LK_AllowanceRates!$B$12,IF(EMPLOYEE_MASTER!J101&lt;=15, EMPLOYEE_MASTER!J101*LK_AllowanceRates!$B$13,IF(EMPLOYEE_MASTER!J101&lt;=25, EMPLOYEE_MASTER!J101*LK_AllowanceRates!$B$14,EMPLOYEE_MASTER!J101*LK_AllowanceRates!$B$15))),0)</f>
        <v>1360000</v>
      </c>
      <c r="O101" s="101">
        <f>IF(EMPLOYEE_MASTER!AS101="Teaching",L101*LK_AllowanceRates!$B$16,0)</f>
        <v>0</v>
      </c>
      <c r="P101" s="101">
        <f>IF(EMPLOYEE_MASTER!AS101="Medical",LK_AllowanceRates!$B$17,0)</f>
        <v>0</v>
      </c>
      <c r="Q101" s="101">
        <f>IF(EMPLOYEE_MASTER!AR101="Yes",LK_AllowanceRates!$B$18,0)</f>
        <v>0</v>
      </c>
      <c r="R101" s="101">
        <f>IF(EMPLOYEE_MASTER!AC101="Yes",LK_AllowanceRates!$B$19,0)</f>
        <v>0</v>
      </c>
      <c r="S101" s="101">
        <f>IF(EMPLOYEE_MASTER!AA101="Yes",L101*LK_AllowanceRates!$B$20,0)</f>
        <v>0</v>
      </c>
      <c r="T101" s="101">
        <f>IF(EMPLOYEE_MASTER!AB101="Yes",LK_AllowanceRates!$B$21,0)</f>
        <v>0</v>
      </c>
      <c r="U101" s="101">
        <f>IF(EMPLOYEE_MASTER!P101&gt;=6,LK_AllowanceRates!$B$22,0)</f>
        <v>0</v>
      </c>
      <c r="V101" s="101">
        <f>IF(EMPLOYEE_MASTER!AO101="Yes",LK_AllowanceRates!$B$23,0)</f>
        <v>0</v>
      </c>
      <c r="W101" s="101">
        <f>EMPLOYEE_MASTER!AP101*LK_AllowanceRates!$B$24</f>
        <v>0</v>
      </c>
      <c r="X101" s="101">
        <v>0</v>
      </c>
      <c r="Y101" s="102">
        <v>0</v>
      </c>
      <c r="Z101" s="102">
        <v>0</v>
      </c>
      <c r="AA101" s="102">
        <v>0</v>
      </c>
      <c r="AB101" s="103">
        <f t="shared" ca="1" si="10"/>
        <v>2260000</v>
      </c>
      <c r="AC101" s="104">
        <f t="shared" ca="1" si="11"/>
        <v>5120000</v>
      </c>
      <c r="AD101" s="105">
        <f>ROUND(L101*LK_AllowanceRates!$B$25/100,0)</f>
        <v>157300</v>
      </c>
      <c r="AE101" s="106">
        <f t="shared" ca="1" si="12"/>
        <v>4962700</v>
      </c>
      <c r="AF101" s="106">
        <f t="shared" ca="1" si="13"/>
        <v>183135</v>
      </c>
      <c r="AG101" s="107">
        <v>0</v>
      </c>
      <c r="AH101" s="107">
        <v>0</v>
      </c>
      <c r="AI101" s="108">
        <f t="shared" ca="1" si="14"/>
        <v>340435</v>
      </c>
      <c r="AJ101" s="109">
        <f t="shared" ca="1" si="15"/>
        <v>4779565</v>
      </c>
    </row>
    <row r="102" spans="1:36" ht="15" customHeight="1" x14ac:dyDescent="0.3">
      <c r="A102" s="98" t="str">
        <f>EMPLOYEE_MASTER!A102</f>
        <v>LAO00099</v>
      </c>
      <c r="B102" s="98" t="str">
        <f>EMPLOYEE_MASTER!C102</f>
        <v>Somsak</v>
      </c>
      <c r="C102" s="98" t="str">
        <f>EMPLOYEE_MASTER!D102</f>
        <v>Phomthong</v>
      </c>
      <c r="D102" s="98" t="str">
        <f>EMPLOYEE_MASTER!T102</f>
        <v>National Assembly (NA)</v>
      </c>
      <c r="E102" s="98" t="str">
        <f>EMPLOYEE_MASTER!M102</f>
        <v>Administrative Officer</v>
      </c>
      <c r="F102" s="98" t="str">
        <f>EMPLOYEE_MASTER!Z102</f>
        <v>Administration</v>
      </c>
      <c r="G102" s="99">
        <f>EMPLOYEE_MASTER!P102</f>
        <v>2</v>
      </c>
      <c r="H102" s="99">
        <f>EMPLOYEE_MASTER!Q102</f>
        <v>8</v>
      </c>
      <c r="I102" s="100" t="str">
        <f t="shared" si="8"/>
        <v>G02-S08</v>
      </c>
      <c r="J102" s="100">
        <f>IFERROR(VLOOKUP(I102,LK_GradeStep!$C$4:$D$85,2,0),0)</f>
        <v>275</v>
      </c>
      <c r="K102" s="100">
        <f>IFERROR(VLOOKUP(I102,LK_GradeStep!$C$4:$E$85,3,0),10000)</f>
        <v>10000</v>
      </c>
      <c r="L102" s="100">
        <f t="shared" si="9"/>
        <v>2750000</v>
      </c>
      <c r="M102" s="101">
        <f>IFERROR(VLOOKUP(EMPLOYEE_MASTER!AQ102,LK_AllowanceRates!$A$5:$B$11,2,0),0)</f>
        <v>900000</v>
      </c>
      <c r="N102" s="101">
        <f ca="1">IFERROR(IF(EMPLOYEE_MASTER!J102&lt;=5,  EMPLOYEE_MASTER!J102*LK_AllowanceRates!$B$12,IF(EMPLOYEE_MASTER!J102&lt;=15, EMPLOYEE_MASTER!J102*LK_AllowanceRates!$B$13,IF(EMPLOYEE_MASTER!J102&lt;=25, EMPLOYEE_MASTER!J102*LK_AllowanceRates!$B$14,EMPLOYEE_MASTER!J102*LK_AllowanceRates!$B$15))),0)</f>
        <v>660000</v>
      </c>
      <c r="O102" s="101">
        <f>IF(EMPLOYEE_MASTER!AS102="Teaching",L102*LK_AllowanceRates!$B$16,0)</f>
        <v>0</v>
      </c>
      <c r="P102" s="101">
        <f>IF(EMPLOYEE_MASTER!AS102="Medical",LK_AllowanceRates!$B$17,0)</f>
        <v>0</v>
      </c>
      <c r="Q102" s="101">
        <f>IF(EMPLOYEE_MASTER!AR102="Yes",LK_AllowanceRates!$B$18,0)</f>
        <v>1000000</v>
      </c>
      <c r="R102" s="101">
        <f>IF(EMPLOYEE_MASTER!AC102="Yes",LK_AllowanceRates!$B$19,0)</f>
        <v>0</v>
      </c>
      <c r="S102" s="101">
        <f>IF(EMPLOYEE_MASTER!AA102="Yes",L102*LK_AllowanceRates!$B$20,0)</f>
        <v>0</v>
      </c>
      <c r="T102" s="101">
        <f>IF(EMPLOYEE_MASTER!AB102="Yes",LK_AllowanceRates!$B$21,0)</f>
        <v>0</v>
      </c>
      <c r="U102" s="101">
        <f>IF(EMPLOYEE_MASTER!P102&gt;=6,LK_AllowanceRates!$B$22,0)</f>
        <v>0</v>
      </c>
      <c r="V102" s="101">
        <f>IF(EMPLOYEE_MASTER!AO102="Yes",LK_AllowanceRates!$B$23,0)</f>
        <v>0</v>
      </c>
      <c r="W102" s="101">
        <f>EMPLOYEE_MASTER!AP102*LK_AllowanceRates!$B$24</f>
        <v>0</v>
      </c>
      <c r="X102" s="101">
        <v>0</v>
      </c>
      <c r="Y102" s="102">
        <v>0</v>
      </c>
      <c r="Z102" s="102">
        <v>0</v>
      </c>
      <c r="AA102" s="102">
        <v>0</v>
      </c>
      <c r="AB102" s="103">
        <f t="shared" ca="1" si="10"/>
        <v>2560000</v>
      </c>
      <c r="AC102" s="104">
        <f t="shared" ca="1" si="11"/>
        <v>5310000</v>
      </c>
      <c r="AD102" s="105">
        <f>ROUND(L102*LK_AllowanceRates!$B$25/100,0)</f>
        <v>151250</v>
      </c>
      <c r="AE102" s="106">
        <f t="shared" ca="1" si="12"/>
        <v>5158750</v>
      </c>
      <c r="AF102" s="106">
        <f t="shared" ca="1" si="13"/>
        <v>200875</v>
      </c>
      <c r="AG102" s="107">
        <v>0</v>
      </c>
      <c r="AH102" s="107">
        <v>0</v>
      </c>
      <c r="AI102" s="108">
        <f t="shared" ca="1" si="14"/>
        <v>352125</v>
      </c>
      <c r="AJ102" s="109">
        <f t="shared" ca="1" si="15"/>
        <v>4957875</v>
      </c>
    </row>
    <row r="103" spans="1:36" ht="15" customHeight="1" x14ac:dyDescent="0.3">
      <c r="A103" s="98" t="str">
        <f>EMPLOYEE_MASTER!A103</f>
        <v>LAO00100</v>
      </c>
      <c r="B103" s="98" t="str">
        <f>EMPLOYEE_MASTER!C103</f>
        <v>Phonsavanh</v>
      </c>
      <c r="C103" s="98" t="str">
        <f>EMPLOYEE_MASTER!D103</f>
        <v>Kheudkham</v>
      </c>
      <c r="D103" s="98" t="str">
        <f>EMPLOYEE_MASTER!T103</f>
        <v>Ministry of Education and Sports (MoES)</v>
      </c>
      <c r="E103" s="98" t="str">
        <f>EMPLOYEE_MASTER!M103</f>
        <v>Secondary School Teacher</v>
      </c>
      <c r="F103" s="98" t="str">
        <f>EMPLOYEE_MASTER!Z103</f>
        <v>Teacher</v>
      </c>
      <c r="G103" s="99">
        <f>EMPLOYEE_MASTER!P103</f>
        <v>3</v>
      </c>
      <c r="H103" s="99">
        <f>EMPLOYEE_MASTER!Q103</f>
        <v>1</v>
      </c>
      <c r="I103" s="100" t="str">
        <f t="shared" si="8"/>
        <v>G03-S01</v>
      </c>
      <c r="J103" s="100">
        <f>IFERROR(VLOOKUP(I103,LK_GradeStep!$C$4:$D$85,2,0),0)</f>
        <v>276</v>
      </c>
      <c r="K103" s="100">
        <f>IFERROR(VLOOKUP(I103,LK_GradeStep!$C$4:$E$85,3,0),10000)</f>
        <v>10000</v>
      </c>
      <c r="L103" s="100">
        <f t="shared" si="9"/>
        <v>2760000</v>
      </c>
      <c r="M103" s="101">
        <f>IFERROR(VLOOKUP(EMPLOYEE_MASTER!AQ103,LK_AllowanceRates!$A$5:$B$11,2,0),0)</f>
        <v>900000</v>
      </c>
      <c r="N103" s="101">
        <f ca="1">IFERROR(IF(EMPLOYEE_MASTER!J103&lt;=5,  EMPLOYEE_MASTER!J103*LK_AllowanceRates!$B$12,IF(EMPLOYEE_MASTER!J103&lt;=15, EMPLOYEE_MASTER!J103*LK_AllowanceRates!$B$13,IF(EMPLOYEE_MASTER!J103&lt;=25, EMPLOYEE_MASTER!J103*LK_AllowanceRates!$B$14,EMPLOYEE_MASTER!J103*LK_AllowanceRates!$B$15))),0)</f>
        <v>1280000</v>
      </c>
      <c r="O103" s="101">
        <f>IF(EMPLOYEE_MASTER!AS103="Teaching",L103*LK_AllowanceRates!$B$16,0)</f>
        <v>552000</v>
      </c>
      <c r="P103" s="101">
        <f>IF(EMPLOYEE_MASTER!AS103="Medical",LK_AllowanceRates!$B$17,0)</f>
        <v>0</v>
      </c>
      <c r="Q103" s="101">
        <f>IF(EMPLOYEE_MASTER!AR103="Yes",LK_AllowanceRates!$B$18,0)</f>
        <v>0</v>
      </c>
      <c r="R103" s="101">
        <f>IF(EMPLOYEE_MASTER!AC103="Yes",LK_AllowanceRates!$B$19,0)</f>
        <v>1000000</v>
      </c>
      <c r="S103" s="101">
        <f>IF(EMPLOYEE_MASTER!AA103="Yes",L103*LK_AllowanceRates!$B$20,0)</f>
        <v>0</v>
      </c>
      <c r="T103" s="101">
        <f>IF(EMPLOYEE_MASTER!AB103="Yes",LK_AllowanceRates!$B$21,0)</f>
        <v>0</v>
      </c>
      <c r="U103" s="101">
        <f>IF(EMPLOYEE_MASTER!P103&gt;=6,LK_AllowanceRates!$B$22,0)</f>
        <v>0</v>
      </c>
      <c r="V103" s="101">
        <f>IF(EMPLOYEE_MASTER!AO103="Yes",LK_AllowanceRates!$B$23,0)</f>
        <v>0</v>
      </c>
      <c r="W103" s="101">
        <f>EMPLOYEE_MASTER!AP103*LK_AllowanceRates!$B$24</f>
        <v>0</v>
      </c>
      <c r="X103" s="101">
        <v>0</v>
      </c>
      <c r="Y103" s="102">
        <v>0</v>
      </c>
      <c r="Z103" s="102">
        <v>0</v>
      </c>
      <c r="AA103" s="102">
        <v>0</v>
      </c>
      <c r="AB103" s="103">
        <f t="shared" ca="1" si="10"/>
        <v>3732000</v>
      </c>
      <c r="AC103" s="104">
        <f t="shared" ca="1" si="11"/>
        <v>6492000</v>
      </c>
      <c r="AD103" s="105">
        <f>ROUND(L103*LK_AllowanceRates!$B$25/100,0)</f>
        <v>151800</v>
      </c>
      <c r="AE103" s="106">
        <f t="shared" ca="1" si="12"/>
        <v>6340200</v>
      </c>
      <c r="AF103" s="106">
        <f t="shared" ca="1" si="13"/>
        <v>319020</v>
      </c>
      <c r="AG103" s="107">
        <v>0</v>
      </c>
      <c r="AH103" s="107">
        <v>0</v>
      </c>
      <c r="AI103" s="108">
        <f t="shared" ca="1" si="14"/>
        <v>470820</v>
      </c>
      <c r="AJ103" s="109">
        <f t="shared" ca="1" si="15"/>
        <v>6021180</v>
      </c>
    </row>
    <row r="104" spans="1:36" ht="15" customHeight="1" x14ac:dyDescent="0.3">
      <c r="A104" s="98" t="str">
        <f>EMPLOYEE_MASTER!A104</f>
        <v>LAO00101</v>
      </c>
      <c r="B104" s="98" t="str">
        <f>EMPLOYEE_MASTER!C104</f>
        <v>Sengphet</v>
      </c>
      <c r="C104" s="98" t="str">
        <f>EMPLOYEE_MASTER!D104</f>
        <v>Sisavath</v>
      </c>
      <c r="D104" s="98" t="str">
        <f>EMPLOYEE_MASTER!T104</f>
        <v>Ministry of Foreign Affairs (MFA)</v>
      </c>
      <c r="E104" s="98" t="str">
        <f>EMPLOYEE_MASTER!M104</f>
        <v>Third Secretary</v>
      </c>
      <c r="F104" s="98" t="str">
        <f>EMPLOYEE_MASTER!Z104</f>
        <v>Diplomatic</v>
      </c>
      <c r="G104" s="99">
        <f>EMPLOYEE_MASTER!P104</f>
        <v>5</v>
      </c>
      <c r="H104" s="99">
        <f>EMPLOYEE_MASTER!Q104</f>
        <v>1</v>
      </c>
      <c r="I104" s="100" t="str">
        <f t="shared" si="8"/>
        <v>G05-S01</v>
      </c>
      <c r="J104" s="100">
        <f>IFERROR(VLOOKUP(I104,LK_GradeStep!$C$4:$D$85,2,0),0)</f>
        <v>308</v>
      </c>
      <c r="K104" s="100">
        <f>IFERROR(VLOOKUP(I104,LK_GradeStep!$C$4:$E$85,3,0),10000)</f>
        <v>10000</v>
      </c>
      <c r="L104" s="100">
        <f t="shared" si="9"/>
        <v>3080000</v>
      </c>
      <c r="M104" s="101">
        <f>IFERROR(VLOOKUP(EMPLOYEE_MASTER!AQ104,LK_AllowanceRates!$A$5:$B$11,2,0),0)</f>
        <v>900000</v>
      </c>
      <c r="N104" s="101">
        <f ca="1">IFERROR(IF(EMPLOYEE_MASTER!J104&lt;=5,  EMPLOYEE_MASTER!J104*LK_AllowanceRates!$B$12,IF(EMPLOYEE_MASTER!J104&lt;=15, EMPLOYEE_MASTER!J104*LK_AllowanceRates!$B$13,IF(EMPLOYEE_MASTER!J104&lt;=25, EMPLOYEE_MASTER!J104*LK_AllowanceRates!$B$14,EMPLOYEE_MASTER!J104*LK_AllowanceRates!$B$15))),0)</f>
        <v>1040000</v>
      </c>
      <c r="O104" s="101">
        <f>IF(EMPLOYEE_MASTER!AS104="Teaching",L104*LK_AllowanceRates!$B$16,0)</f>
        <v>0</v>
      </c>
      <c r="P104" s="101">
        <f>IF(EMPLOYEE_MASTER!AS104="Medical",LK_AllowanceRates!$B$17,0)</f>
        <v>0</v>
      </c>
      <c r="Q104" s="101">
        <f>IF(EMPLOYEE_MASTER!AR104="Yes",LK_AllowanceRates!$B$18,0)</f>
        <v>0</v>
      </c>
      <c r="R104" s="101">
        <f>IF(EMPLOYEE_MASTER!AC104="Yes",LK_AllowanceRates!$B$19,0)</f>
        <v>0</v>
      </c>
      <c r="S104" s="101">
        <f>IF(EMPLOYEE_MASTER!AA104="Yes",L104*LK_AllowanceRates!$B$20,0)</f>
        <v>0</v>
      </c>
      <c r="T104" s="101">
        <f>IF(EMPLOYEE_MASTER!AB104="Yes",LK_AllowanceRates!$B$21,0)</f>
        <v>20240000</v>
      </c>
      <c r="U104" s="101">
        <f>IF(EMPLOYEE_MASTER!P104&gt;=6,LK_AllowanceRates!$B$22,0)</f>
        <v>0</v>
      </c>
      <c r="V104" s="101">
        <f>IF(EMPLOYEE_MASTER!AO104="Yes",LK_AllowanceRates!$B$23,0)</f>
        <v>200000</v>
      </c>
      <c r="W104" s="101">
        <f>EMPLOYEE_MASTER!AP104*LK_AllowanceRates!$B$24</f>
        <v>600000</v>
      </c>
      <c r="X104" s="101">
        <v>0</v>
      </c>
      <c r="Y104" s="102">
        <v>0</v>
      </c>
      <c r="Z104" s="102">
        <v>0</v>
      </c>
      <c r="AA104" s="102">
        <v>0</v>
      </c>
      <c r="AB104" s="103">
        <f t="shared" ca="1" si="10"/>
        <v>22980000</v>
      </c>
      <c r="AC104" s="104">
        <f t="shared" ca="1" si="11"/>
        <v>26060000</v>
      </c>
      <c r="AD104" s="105">
        <f>ROUND(L104*LK_AllowanceRates!$B$25/100,0)</f>
        <v>169400</v>
      </c>
      <c r="AE104" s="106">
        <f t="shared" ca="1" si="12"/>
        <v>25890600</v>
      </c>
      <c r="AF104" s="106">
        <f t="shared" ca="1" si="13"/>
        <v>3363120</v>
      </c>
      <c r="AG104" s="107">
        <v>0</v>
      </c>
      <c r="AH104" s="107">
        <v>0</v>
      </c>
      <c r="AI104" s="108">
        <f t="shared" ca="1" si="14"/>
        <v>3532520</v>
      </c>
      <c r="AJ104" s="109">
        <f t="shared" ca="1" si="15"/>
        <v>22527480</v>
      </c>
    </row>
    <row r="105" spans="1:36" ht="15" customHeight="1" x14ac:dyDescent="0.3">
      <c r="A105" s="98" t="str">
        <f>EMPLOYEE_MASTER!A105</f>
        <v>LAO00102</v>
      </c>
      <c r="B105" s="98" t="str">
        <f>EMPLOYEE_MASTER!C105</f>
        <v>Nouphet</v>
      </c>
      <c r="C105" s="98" t="str">
        <f>EMPLOYEE_MASTER!D105</f>
        <v>Khamphilavong</v>
      </c>
      <c r="D105" s="98" t="str">
        <f>EMPLOYEE_MASTER!T105</f>
        <v>Ministry of Planning &amp; Investment (MPI)</v>
      </c>
      <c r="E105" s="98" t="str">
        <f>EMPLOYEE_MASTER!M105</f>
        <v>Deputy Department Director</v>
      </c>
      <c r="F105" s="98" t="str">
        <f>EMPLOYEE_MASTER!Z105</f>
        <v>Administration</v>
      </c>
      <c r="G105" s="99">
        <f>EMPLOYEE_MASTER!P105</f>
        <v>5</v>
      </c>
      <c r="H105" s="99">
        <f>EMPLOYEE_MASTER!Q105</f>
        <v>1</v>
      </c>
      <c r="I105" s="100" t="str">
        <f t="shared" si="8"/>
        <v>G05-S01</v>
      </c>
      <c r="J105" s="100">
        <f>IFERROR(VLOOKUP(I105,LK_GradeStep!$C$4:$D$85,2,0),0)</f>
        <v>308</v>
      </c>
      <c r="K105" s="100">
        <f>IFERROR(VLOOKUP(I105,LK_GradeStep!$C$4:$E$85,3,0),10000)</f>
        <v>10000</v>
      </c>
      <c r="L105" s="100">
        <f t="shared" si="9"/>
        <v>3080000</v>
      </c>
      <c r="M105" s="101">
        <f>IFERROR(VLOOKUP(EMPLOYEE_MASTER!AQ105,LK_AllowanceRates!$A$5:$B$11,2,0),0)</f>
        <v>900000</v>
      </c>
      <c r="N105" s="101">
        <f ca="1">IFERROR(IF(EMPLOYEE_MASTER!J105&lt;=5,  EMPLOYEE_MASTER!J105*LK_AllowanceRates!$B$12,IF(EMPLOYEE_MASTER!J105&lt;=15, EMPLOYEE_MASTER!J105*LK_AllowanceRates!$B$13,IF(EMPLOYEE_MASTER!J105&lt;=25, EMPLOYEE_MASTER!J105*LK_AllowanceRates!$B$14,EMPLOYEE_MASTER!J105*LK_AllowanceRates!$B$15))),0)</f>
        <v>1160000</v>
      </c>
      <c r="O105" s="101">
        <f>IF(EMPLOYEE_MASTER!AS105="Teaching",L105*LK_AllowanceRates!$B$16,0)</f>
        <v>0</v>
      </c>
      <c r="P105" s="101">
        <f>IF(EMPLOYEE_MASTER!AS105="Medical",LK_AllowanceRates!$B$17,0)</f>
        <v>0</v>
      </c>
      <c r="Q105" s="101">
        <f>IF(EMPLOYEE_MASTER!AR105="Yes",LK_AllowanceRates!$B$18,0)</f>
        <v>0</v>
      </c>
      <c r="R105" s="101">
        <f>IF(EMPLOYEE_MASTER!AC105="Yes",LK_AllowanceRates!$B$19,0)</f>
        <v>1000000</v>
      </c>
      <c r="S105" s="101">
        <f>IF(EMPLOYEE_MASTER!AA105="Yes",L105*LK_AllowanceRates!$B$20,0)</f>
        <v>770000</v>
      </c>
      <c r="T105" s="101">
        <f>IF(EMPLOYEE_MASTER!AB105="Yes",LK_AllowanceRates!$B$21,0)</f>
        <v>0</v>
      </c>
      <c r="U105" s="101">
        <f>IF(EMPLOYEE_MASTER!P105&gt;=6,LK_AllowanceRates!$B$22,0)</f>
        <v>0</v>
      </c>
      <c r="V105" s="101">
        <f>IF(EMPLOYEE_MASTER!AO105="Yes",LK_AllowanceRates!$B$23,0)</f>
        <v>200000</v>
      </c>
      <c r="W105" s="101">
        <f>EMPLOYEE_MASTER!AP105*LK_AllowanceRates!$B$24</f>
        <v>600000</v>
      </c>
      <c r="X105" s="101">
        <v>0</v>
      </c>
      <c r="Y105" s="102">
        <v>0</v>
      </c>
      <c r="Z105" s="102">
        <v>0</v>
      </c>
      <c r="AA105" s="102">
        <v>0</v>
      </c>
      <c r="AB105" s="103">
        <f t="shared" ca="1" si="10"/>
        <v>4630000</v>
      </c>
      <c r="AC105" s="104">
        <f t="shared" ca="1" si="11"/>
        <v>7710000</v>
      </c>
      <c r="AD105" s="105">
        <f>ROUND(L105*LK_AllowanceRates!$B$25/100,0)</f>
        <v>169400</v>
      </c>
      <c r="AE105" s="106">
        <f t="shared" ca="1" si="12"/>
        <v>7540600</v>
      </c>
      <c r="AF105" s="106">
        <f t="shared" ca="1" si="13"/>
        <v>439060</v>
      </c>
      <c r="AG105" s="107">
        <v>0</v>
      </c>
      <c r="AH105" s="107">
        <v>0</v>
      </c>
      <c r="AI105" s="108">
        <f t="shared" ca="1" si="14"/>
        <v>608460</v>
      </c>
      <c r="AJ105" s="109">
        <f t="shared" ca="1" si="15"/>
        <v>7101540</v>
      </c>
    </row>
    <row r="106" spans="1:36" ht="15" customHeight="1" x14ac:dyDescent="0.3">
      <c r="A106" s="98" t="str">
        <f>EMPLOYEE_MASTER!A106</f>
        <v>LAO00103</v>
      </c>
      <c r="B106" s="98" t="str">
        <f>EMPLOYEE_MASTER!C106</f>
        <v>Bounthon</v>
      </c>
      <c r="C106" s="98" t="str">
        <f>EMPLOYEE_MASTER!D106</f>
        <v>Thammavong</v>
      </c>
      <c r="D106" s="98" t="str">
        <f>EMPLOYEE_MASTER!T106</f>
        <v>Ministry of Foreign Affairs (MFA)</v>
      </c>
      <c r="E106" s="98" t="str">
        <f>EMPLOYEE_MASTER!M106</f>
        <v>Second Secretary</v>
      </c>
      <c r="F106" s="98" t="str">
        <f>EMPLOYEE_MASTER!Z106</f>
        <v>Diplomatic</v>
      </c>
      <c r="G106" s="99">
        <f>EMPLOYEE_MASTER!P106</f>
        <v>5</v>
      </c>
      <c r="H106" s="99">
        <f>EMPLOYEE_MASTER!Q106</f>
        <v>1</v>
      </c>
      <c r="I106" s="100" t="str">
        <f t="shared" si="8"/>
        <v>G05-S01</v>
      </c>
      <c r="J106" s="100">
        <f>IFERROR(VLOOKUP(I106,LK_GradeStep!$C$4:$D$85,2,0),0)</f>
        <v>308</v>
      </c>
      <c r="K106" s="100">
        <f>IFERROR(VLOOKUP(I106,LK_GradeStep!$C$4:$E$85,3,0),10000)</f>
        <v>10000</v>
      </c>
      <c r="L106" s="100">
        <f t="shared" si="9"/>
        <v>3080000</v>
      </c>
      <c r="M106" s="101">
        <f>IFERROR(VLOOKUP(EMPLOYEE_MASTER!AQ106,LK_AllowanceRates!$A$5:$B$11,2,0),0)</f>
        <v>900000</v>
      </c>
      <c r="N106" s="101">
        <f ca="1">IFERROR(IF(EMPLOYEE_MASTER!J106&lt;=5,  EMPLOYEE_MASTER!J106*LK_AllowanceRates!$B$12,IF(EMPLOYEE_MASTER!J106&lt;=15, EMPLOYEE_MASTER!J106*LK_AllowanceRates!$B$13,IF(EMPLOYEE_MASTER!J106&lt;=25, EMPLOYEE_MASTER!J106*LK_AllowanceRates!$B$14,EMPLOYEE_MASTER!J106*LK_AllowanceRates!$B$15))),0)</f>
        <v>20000</v>
      </c>
      <c r="O106" s="101">
        <f>IF(EMPLOYEE_MASTER!AS106="Teaching",L106*LK_AllowanceRates!$B$16,0)</f>
        <v>0</v>
      </c>
      <c r="P106" s="101">
        <f>IF(EMPLOYEE_MASTER!AS106="Medical",LK_AllowanceRates!$B$17,0)</f>
        <v>0</v>
      </c>
      <c r="Q106" s="101">
        <f>IF(EMPLOYEE_MASTER!AR106="Yes",LK_AllowanceRates!$B$18,0)</f>
        <v>0</v>
      </c>
      <c r="R106" s="101">
        <f>IF(EMPLOYEE_MASTER!AC106="Yes",LK_AllowanceRates!$B$19,0)</f>
        <v>0</v>
      </c>
      <c r="S106" s="101">
        <f>IF(EMPLOYEE_MASTER!AA106="Yes",L106*LK_AllowanceRates!$B$20,0)</f>
        <v>770000</v>
      </c>
      <c r="T106" s="101">
        <f>IF(EMPLOYEE_MASTER!AB106="Yes",LK_AllowanceRates!$B$21,0)</f>
        <v>0</v>
      </c>
      <c r="U106" s="101">
        <f>IF(EMPLOYEE_MASTER!P106&gt;=6,LK_AllowanceRates!$B$22,0)</f>
        <v>0</v>
      </c>
      <c r="V106" s="101">
        <f>IF(EMPLOYEE_MASTER!AO106="Yes",LK_AllowanceRates!$B$23,0)</f>
        <v>0</v>
      </c>
      <c r="W106" s="101">
        <f>EMPLOYEE_MASTER!AP106*LK_AllowanceRates!$B$24</f>
        <v>0</v>
      </c>
      <c r="X106" s="101">
        <v>0</v>
      </c>
      <c r="Y106" s="102">
        <v>0</v>
      </c>
      <c r="Z106" s="102">
        <v>0</v>
      </c>
      <c r="AA106" s="102">
        <v>0</v>
      </c>
      <c r="AB106" s="103">
        <f t="shared" ca="1" si="10"/>
        <v>1690000</v>
      </c>
      <c r="AC106" s="104">
        <f t="shared" ca="1" si="11"/>
        <v>4770000</v>
      </c>
      <c r="AD106" s="105">
        <f>ROUND(L106*LK_AllowanceRates!$B$25/100,0)</f>
        <v>169400</v>
      </c>
      <c r="AE106" s="106">
        <f t="shared" ca="1" si="12"/>
        <v>4600600</v>
      </c>
      <c r="AF106" s="106">
        <f t="shared" ca="1" si="13"/>
        <v>165030</v>
      </c>
      <c r="AG106" s="107">
        <v>0</v>
      </c>
      <c r="AH106" s="107">
        <v>0</v>
      </c>
      <c r="AI106" s="108">
        <f t="shared" ca="1" si="14"/>
        <v>334430</v>
      </c>
      <c r="AJ106" s="109">
        <f t="shared" ca="1" si="15"/>
        <v>4435570</v>
      </c>
    </row>
    <row r="107" spans="1:36" ht="15" customHeight="1" x14ac:dyDescent="0.3">
      <c r="A107" s="98" t="str">
        <f>EMPLOYEE_MASTER!A107</f>
        <v>LAO00104</v>
      </c>
      <c r="B107" s="98" t="str">
        <f>EMPLOYEE_MASTER!C107</f>
        <v>Lattana</v>
      </c>
      <c r="C107" s="98" t="str">
        <f>EMPLOYEE_MASTER!D107</f>
        <v>Keobounphan</v>
      </c>
      <c r="D107" s="98" t="str">
        <f>EMPLOYEE_MASTER!T107</f>
        <v>Ministry of Planning &amp; Investment (MPI)</v>
      </c>
      <c r="E107" s="98" t="str">
        <f>EMPLOYEE_MASTER!M107</f>
        <v>Section Chief</v>
      </c>
      <c r="F107" s="98" t="str">
        <f>EMPLOYEE_MASTER!Z107</f>
        <v>Administration</v>
      </c>
      <c r="G107" s="99">
        <f>EMPLOYEE_MASTER!P107</f>
        <v>5</v>
      </c>
      <c r="H107" s="99">
        <f>EMPLOYEE_MASTER!Q107</f>
        <v>1</v>
      </c>
      <c r="I107" s="100" t="str">
        <f t="shared" si="8"/>
        <v>G05-S01</v>
      </c>
      <c r="J107" s="100">
        <f>IFERROR(VLOOKUP(I107,LK_GradeStep!$C$4:$D$85,2,0),0)</f>
        <v>308</v>
      </c>
      <c r="K107" s="100">
        <f>IFERROR(VLOOKUP(I107,LK_GradeStep!$C$4:$E$85,3,0),10000)</f>
        <v>10000</v>
      </c>
      <c r="L107" s="100">
        <f t="shared" si="9"/>
        <v>3080000</v>
      </c>
      <c r="M107" s="101">
        <f>IFERROR(VLOOKUP(EMPLOYEE_MASTER!AQ107,LK_AllowanceRates!$A$5:$B$11,2,0),0)</f>
        <v>1500000</v>
      </c>
      <c r="N107" s="101">
        <f ca="1">IFERROR(IF(EMPLOYEE_MASTER!J107&lt;=5,  EMPLOYEE_MASTER!J107*LK_AllowanceRates!$B$12,IF(EMPLOYEE_MASTER!J107&lt;=15, EMPLOYEE_MASTER!J107*LK_AllowanceRates!$B$13,IF(EMPLOYEE_MASTER!J107&lt;=25, EMPLOYEE_MASTER!J107*LK_AllowanceRates!$B$14,EMPLOYEE_MASTER!J107*LK_AllowanceRates!$B$15))),0)</f>
        <v>300000</v>
      </c>
      <c r="O107" s="101">
        <f>IF(EMPLOYEE_MASTER!AS107="Teaching",L107*LK_AllowanceRates!$B$16,0)</f>
        <v>0</v>
      </c>
      <c r="P107" s="101">
        <f>IF(EMPLOYEE_MASTER!AS107="Medical",LK_AllowanceRates!$B$17,0)</f>
        <v>0</v>
      </c>
      <c r="Q107" s="101">
        <f>IF(EMPLOYEE_MASTER!AR107="Yes",LK_AllowanceRates!$B$18,0)</f>
        <v>0</v>
      </c>
      <c r="R107" s="101">
        <f>IF(EMPLOYEE_MASTER!AC107="Yes",LK_AllowanceRates!$B$19,0)</f>
        <v>0</v>
      </c>
      <c r="S107" s="101">
        <f>IF(EMPLOYEE_MASTER!AA107="Yes",L107*LK_AllowanceRates!$B$20,0)</f>
        <v>0</v>
      </c>
      <c r="T107" s="101">
        <f>IF(EMPLOYEE_MASTER!AB107="Yes",LK_AllowanceRates!$B$21,0)</f>
        <v>0</v>
      </c>
      <c r="U107" s="101">
        <f>IF(EMPLOYEE_MASTER!P107&gt;=6,LK_AllowanceRates!$B$22,0)</f>
        <v>0</v>
      </c>
      <c r="V107" s="101">
        <f>IF(EMPLOYEE_MASTER!AO107="Yes",LK_AllowanceRates!$B$23,0)</f>
        <v>200000</v>
      </c>
      <c r="W107" s="101">
        <f>EMPLOYEE_MASTER!AP107*LK_AllowanceRates!$B$24</f>
        <v>600000</v>
      </c>
      <c r="X107" s="101">
        <v>0</v>
      </c>
      <c r="Y107" s="102">
        <v>0</v>
      </c>
      <c r="Z107" s="102">
        <v>0</v>
      </c>
      <c r="AA107" s="102">
        <v>0</v>
      </c>
      <c r="AB107" s="103">
        <f t="shared" ca="1" si="10"/>
        <v>2600000</v>
      </c>
      <c r="AC107" s="104">
        <f t="shared" ca="1" si="11"/>
        <v>5680000</v>
      </c>
      <c r="AD107" s="105">
        <f>ROUND(L107*LK_AllowanceRates!$B$25/100,0)</f>
        <v>169400</v>
      </c>
      <c r="AE107" s="106">
        <f t="shared" ca="1" si="12"/>
        <v>5510600</v>
      </c>
      <c r="AF107" s="106">
        <f t="shared" ca="1" si="13"/>
        <v>236060</v>
      </c>
      <c r="AG107" s="107">
        <v>0</v>
      </c>
      <c r="AH107" s="107">
        <v>0</v>
      </c>
      <c r="AI107" s="108">
        <f t="shared" ca="1" si="14"/>
        <v>405460</v>
      </c>
      <c r="AJ107" s="109">
        <f t="shared" ca="1" si="15"/>
        <v>5274540</v>
      </c>
    </row>
    <row r="108" spans="1:36" ht="15" customHeight="1" x14ac:dyDescent="0.3">
      <c r="A108" s="98" t="str">
        <f>EMPLOYEE_MASTER!A108</f>
        <v>LAO00105</v>
      </c>
      <c r="B108" s="98" t="str">
        <f>EMPLOYEE_MASTER!C108</f>
        <v>Phonesavanh</v>
      </c>
      <c r="C108" s="98" t="str">
        <f>EMPLOYEE_MASTER!D108</f>
        <v>Phouthavong</v>
      </c>
      <c r="D108" s="98" t="str">
        <f>EMPLOYEE_MASTER!T108</f>
        <v>Ministry of Health (MoH)</v>
      </c>
      <c r="E108" s="98" t="str">
        <f>EMPLOYEE_MASTER!M108</f>
        <v>Laboratory Technician</v>
      </c>
      <c r="F108" s="98" t="str">
        <f>EMPLOYEE_MASTER!Z108</f>
        <v>Medical</v>
      </c>
      <c r="G108" s="99">
        <f>EMPLOYEE_MASTER!P108</f>
        <v>4</v>
      </c>
      <c r="H108" s="99">
        <f>EMPLOYEE_MASTER!Q108</f>
        <v>1</v>
      </c>
      <c r="I108" s="100" t="str">
        <f t="shared" si="8"/>
        <v>G04-S01</v>
      </c>
      <c r="J108" s="100">
        <f>IFERROR(VLOOKUP(I108,LK_GradeStep!$C$4:$D$85,2,0),0)</f>
        <v>286</v>
      </c>
      <c r="K108" s="100">
        <f>IFERROR(VLOOKUP(I108,LK_GradeStep!$C$4:$E$85,3,0),10000)</f>
        <v>10000</v>
      </c>
      <c r="L108" s="100">
        <f t="shared" si="9"/>
        <v>2860000</v>
      </c>
      <c r="M108" s="101">
        <f>IFERROR(VLOOKUP(EMPLOYEE_MASTER!AQ108,LK_AllowanceRates!$A$5:$B$11,2,0),0)</f>
        <v>900000</v>
      </c>
      <c r="N108" s="101">
        <f ca="1">IFERROR(IF(EMPLOYEE_MASTER!J108&lt;=5,  EMPLOYEE_MASTER!J108*LK_AllowanceRates!$B$12,IF(EMPLOYEE_MASTER!J108&lt;=15, EMPLOYEE_MASTER!J108*LK_AllowanceRates!$B$13,IF(EMPLOYEE_MASTER!J108&lt;=25, EMPLOYEE_MASTER!J108*LK_AllowanceRates!$B$14,EMPLOYEE_MASTER!J108*LK_AllowanceRates!$B$15))),0)</f>
        <v>260000</v>
      </c>
      <c r="O108" s="101">
        <f>IF(EMPLOYEE_MASTER!AS108="Teaching",L108*LK_AllowanceRates!$B$16,0)</f>
        <v>0</v>
      </c>
      <c r="P108" s="101">
        <f>IF(EMPLOYEE_MASTER!AS108="Medical",LK_AllowanceRates!$B$17,0)</f>
        <v>500000</v>
      </c>
      <c r="Q108" s="101">
        <f>IF(EMPLOYEE_MASTER!AR108="Yes",LK_AllowanceRates!$B$18,0)</f>
        <v>0</v>
      </c>
      <c r="R108" s="101">
        <f>IF(EMPLOYEE_MASTER!AC108="Yes",LK_AllowanceRates!$B$19,0)</f>
        <v>1000000</v>
      </c>
      <c r="S108" s="101">
        <f>IF(EMPLOYEE_MASTER!AA108="Yes",L108*LK_AllowanceRates!$B$20,0)</f>
        <v>0</v>
      </c>
      <c r="T108" s="101">
        <f>IF(EMPLOYEE_MASTER!AB108="Yes",LK_AllowanceRates!$B$21,0)</f>
        <v>0</v>
      </c>
      <c r="U108" s="101">
        <f>IF(EMPLOYEE_MASTER!P108&gt;=6,LK_AllowanceRates!$B$22,0)</f>
        <v>0</v>
      </c>
      <c r="V108" s="101">
        <f>IF(EMPLOYEE_MASTER!AO108="Yes",LK_AllowanceRates!$B$23,0)</f>
        <v>200000</v>
      </c>
      <c r="W108" s="101">
        <f>EMPLOYEE_MASTER!AP108*LK_AllowanceRates!$B$24</f>
        <v>200000</v>
      </c>
      <c r="X108" s="101">
        <v>0</v>
      </c>
      <c r="Y108" s="102">
        <v>0</v>
      </c>
      <c r="Z108" s="102">
        <v>0</v>
      </c>
      <c r="AA108" s="102">
        <v>0</v>
      </c>
      <c r="AB108" s="103">
        <f t="shared" ca="1" si="10"/>
        <v>3060000</v>
      </c>
      <c r="AC108" s="104">
        <f t="shared" ca="1" si="11"/>
        <v>5920000</v>
      </c>
      <c r="AD108" s="105">
        <f>ROUND(L108*LK_AllowanceRates!$B$25/100,0)</f>
        <v>157300</v>
      </c>
      <c r="AE108" s="106">
        <f t="shared" ca="1" si="12"/>
        <v>5762700</v>
      </c>
      <c r="AF108" s="106">
        <f t="shared" ca="1" si="13"/>
        <v>261270</v>
      </c>
      <c r="AG108" s="107">
        <v>0</v>
      </c>
      <c r="AH108" s="107">
        <v>0</v>
      </c>
      <c r="AI108" s="108">
        <f t="shared" ca="1" si="14"/>
        <v>418570</v>
      </c>
      <c r="AJ108" s="109">
        <f t="shared" ca="1" si="15"/>
        <v>5501430</v>
      </c>
    </row>
    <row r="109" spans="1:36" ht="15" customHeight="1" x14ac:dyDescent="0.3">
      <c r="A109" s="98" t="str">
        <f>EMPLOYEE_MASTER!A109</f>
        <v>LAO00106</v>
      </c>
      <c r="B109" s="98" t="str">
        <f>EMPLOYEE_MASTER!C109</f>
        <v>Soulivanh</v>
      </c>
      <c r="C109" s="98" t="str">
        <f>EMPLOYEE_MASTER!D109</f>
        <v>Phommavong</v>
      </c>
      <c r="D109" s="98" t="str">
        <f>EMPLOYEE_MASTER!T109</f>
        <v>Ministry of Industry &amp; Commerce (MoIC)</v>
      </c>
      <c r="E109" s="98" t="str">
        <f>EMPLOYEE_MASTER!M109</f>
        <v>Deputy Director</v>
      </c>
      <c r="F109" s="98" t="str">
        <f>EMPLOYEE_MASTER!Z109</f>
        <v>Administration</v>
      </c>
      <c r="G109" s="99">
        <f>EMPLOYEE_MASTER!P109</f>
        <v>4</v>
      </c>
      <c r="H109" s="99">
        <f>EMPLOYEE_MASTER!Q109</f>
        <v>1</v>
      </c>
      <c r="I109" s="100" t="str">
        <f t="shared" si="8"/>
        <v>G04-S01</v>
      </c>
      <c r="J109" s="100">
        <f>IFERROR(VLOOKUP(I109,LK_GradeStep!$C$4:$D$85,2,0),0)</f>
        <v>286</v>
      </c>
      <c r="K109" s="100">
        <f>IFERROR(VLOOKUP(I109,LK_GradeStep!$C$4:$E$85,3,0),10000)</f>
        <v>10000</v>
      </c>
      <c r="L109" s="100">
        <f t="shared" si="9"/>
        <v>2860000</v>
      </c>
      <c r="M109" s="101">
        <f>IFERROR(VLOOKUP(EMPLOYEE_MASTER!AQ109,LK_AllowanceRates!$A$5:$B$11,2,0),0)</f>
        <v>2300000</v>
      </c>
      <c r="N109" s="101">
        <f ca="1">IFERROR(IF(EMPLOYEE_MASTER!J109&lt;=5,  EMPLOYEE_MASTER!J109*LK_AllowanceRates!$B$12,IF(EMPLOYEE_MASTER!J109&lt;=15, EMPLOYEE_MASTER!J109*LK_AllowanceRates!$B$13,IF(EMPLOYEE_MASTER!J109&lt;=25, EMPLOYEE_MASTER!J109*LK_AllowanceRates!$B$14,EMPLOYEE_MASTER!J109*LK_AllowanceRates!$B$15))),0)</f>
        <v>750000</v>
      </c>
      <c r="O109" s="101">
        <f>IF(EMPLOYEE_MASTER!AS109="Teaching",L109*LK_AllowanceRates!$B$16,0)</f>
        <v>0</v>
      </c>
      <c r="P109" s="101">
        <f>IF(EMPLOYEE_MASTER!AS109="Medical",LK_AllowanceRates!$B$17,0)</f>
        <v>0</v>
      </c>
      <c r="Q109" s="101">
        <f>IF(EMPLOYEE_MASTER!AR109="Yes",LK_AllowanceRates!$B$18,0)</f>
        <v>0</v>
      </c>
      <c r="R109" s="101">
        <f>IF(EMPLOYEE_MASTER!AC109="Yes",LK_AllowanceRates!$B$19,0)</f>
        <v>0</v>
      </c>
      <c r="S109" s="101">
        <f>IF(EMPLOYEE_MASTER!AA109="Yes",L109*LK_AllowanceRates!$B$20,0)</f>
        <v>715000</v>
      </c>
      <c r="T109" s="101">
        <f>IF(EMPLOYEE_MASTER!AB109="Yes",LK_AllowanceRates!$B$21,0)</f>
        <v>0</v>
      </c>
      <c r="U109" s="101">
        <f>IF(EMPLOYEE_MASTER!P109&gt;=6,LK_AllowanceRates!$B$22,0)</f>
        <v>0</v>
      </c>
      <c r="V109" s="101">
        <f>IF(EMPLOYEE_MASTER!AO109="Yes",LK_AllowanceRates!$B$23,0)</f>
        <v>0</v>
      </c>
      <c r="W109" s="101">
        <f>EMPLOYEE_MASTER!AP109*LK_AllowanceRates!$B$24</f>
        <v>0</v>
      </c>
      <c r="X109" s="101">
        <v>0</v>
      </c>
      <c r="Y109" s="102">
        <v>0</v>
      </c>
      <c r="Z109" s="102">
        <v>0</v>
      </c>
      <c r="AA109" s="102">
        <v>0</v>
      </c>
      <c r="AB109" s="103">
        <f t="shared" ca="1" si="10"/>
        <v>3765000</v>
      </c>
      <c r="AC109" s="104">
        <f t="shared" ca="1" si="11"/>
        <v>6625000</v>
      </c>
      <c r="AD109" s="105">
        <f>ROUND(L109*LK_AllowanceRates!$B$25/100,0)</f>
        <v>157300</v>
      </c>
      <c r="AE109" s="106">
        <f t="shared" ca="1" si="12"/>
        <v>6467700</v>
      </c>
      <c r="AF109" s="106">
        <f t="shared" ca="1" si="13"/>
        <v>331770</v>
      </c>
      <c r="AG109" s="107">
        <v>0</v>
      </c>
      <c r="AH109" s="107">
        <v>0</v>
      </c>
      <c r="AI109" s="108">
        <f t="shared" ca="1" si="14"/>
        <v>489070</v>
      </c>
      <c r="AJ109" s="109">
        <f t="shared" ca="1" si="15"/>
        <v>6135930</v>
      </c>
    </row>
    <row r="110" spans="1:36" ht="15" customHeight="1" x14ac:dyDescent="0.3">
      <c r="A110" s="98" t="str">
        <f>EMPLOYEE_MASTER!A110</f>
        <v>LAO00107</v>
      </c>
      <c r="B110" s="98" t="str">
        <f>EMPLOYEE_MASTER!C110</f>
        <v>Visoune</v>
      </c>
      <c r="C110" s="98" t="str">
        <f>EMPLOYEE_MASTER!D110</f>
        <v>Keokhamphanh</v>
      </c>
      <c r="D110" s="98" t="str">
        <f>EMPLOYEE_MASTER!T110</f>
        <v>Ministry of Home Affairs (MoHA)</v>
      </c>
      <c r="E110" s="98" t="str">
        <f>EMPLOYEE_MASTER!M110</f>
        <v>Administrative Officer</v>
      </c>
      <c r="F110" s="98" t="str">
        <f>EMPLOYEE_MASTER!Z110</f>
        <v>Administration</v>
      </c>
      <c r="G110" s="99">
        <f>EMPLOYEE_MASTER!P110</f>
        <v>3</v>
      </c>
      <c r="H110" s="99">
        <f>EMPLOYEE_MASTER!Q110</f>
        <v>11</v>
      </c>
      <c r="I110" s="100" t="str">
        <f t="shared" si="8"/>
        <v>G03-S11</v>
      </c>
      <c r="J110" s="100">
        <f>IFERROR(VLOOKUP(I110,LK_GradeStep!$C$4:$D$85,2,0),0)</f>
        <v>290</v>
      </c>
      <c r="K110" s="100">
        <f>IFERROR(VLOOKUP(I110,LK_GradeStep!$C$4:$E$85,3,0),10000)</f>
        <v>10000</v>
      </c>
      <c r="L110" s="100">
        <f t="shared" si="9"/>
        <v>2900000</v>
      </c>
      <c r="M110" s="101">
        <f>IFERROR(VLOOKUP(EMPLOYEE_MASTER!AQ110,LK_AllowanceRates!$A$5:$B$11,2,0),0)</f>
        <v>900000</v>
      </c>
      <c r="N110" s="101">
        <f ca="1">IFERROR(IF(EMPLOYEE_MASTER!J110&lt;=5,  EMPLOYEE_MASTER!J110*LK_AllowanceRates!$B$12,IF(EMPLOYEE_MASTER!J110&lt;=15, EMPLOYEE_MASTER!J110*LK_AllowanceRates!$B$13,IF(EMPLOYEE_MASTER!J110&lt;=25, EMPLOYEE_MASTER!J110*LK_AllowanceRates!$B$14,EMPLOYEE_MASTER!J110*LK_AllowanceRates!$B$15))),0)</f>
        <v>220000</v>
      </c>
      <c r="O110" s="101">
        <f>IF(EMPLOYEE_MASTER!AS110="Teaching",L110*LK_AllowanceRates!$B$16,0)</f>
        <v>0</v>
      </c>
      <c r="P110" s="101">
        <f>IF(EMPLOYEE_MASTER!AS110="Medical",LK_AllowanceRates!$B$17,0)</f>
        <v>0</v>
      </c>
      <c r="Q110" s="101">
        <f>IF(EMPLOYEE_MASTER!AR110="Yes",LK_AllowanceRates!$B$18,0)</f>
        <v>0</v>
      </c>
      <c r="R110" s="101">
        <f>IF(EMPLOYEE_MASTER!AC110="Yes",LK_AllowanceRates!$B$19,0)</f>
        <v>0</v>
      </c>
      <c r="S110" s="101">
        <f>IF(EMPLOYEE_MASTER!AA110="Yes",L110*LK_AllowanceRates!$B$20,0)</f>
        <v>725000</v>
      </c>
      <c r="T110" s="101">
        <f>IF(EMPLOYEE_MASTER!AB110="Yes",LK_AllowanceRates!$B$21,0)</f>
        <v>0</v>
      </c>
      <c r="U110" s="101">
        <f>IF(EMPLOYEE_MASTER!P110&gt;=6,LK_AllowanceRates!$B$22,0)</f>
        <v>0</v>
      </c>
      <c r="V110" s="101">
        <f>IF(EMPLOYEE_MASTER!AO110="Yes",LK_AllowanceRates!$B$23,0)</f>
        <v>200000</v>
      </c>
      <c r="W110" s="101">
        <f>EMPLOYEE_MASTER!AP110*LK_AllowanceRates!$B$24</f>
        <v>600000</v>
      </c>
      <c r="X110" s="101">
        <v>0</v>
      </c>
      <c r="Y110" s="102">
        <v>0</v>
      </c>
      <c r="Z110" s="102">
        <v>0</v>
      </c>
      <c r="AA110" s="102">
        <v>0</v>
      </c>
      <c r="AB110" s="103">
        <f t="shared" ca="1" si="10"/>
        <v>2645000</v>
      </c>
      <c r="AC110" s="104">
        <f t="shared" ca="1" si="11"/>
        <v>5545000</v>
      </c>
      <c r="AD110" s="105">
        <f>ROUND(L110*LK_AllowanceRates!$B$25/100,0)</f>
        <v>159500</v>
      </c>
      <c r="AE110" s="106">
        <f t="shared" ca="1" si="12"/>
        <v>5385500</v>
      </c>
      <c r="AF110" s="106">
        <f t="shared" ca="1" si="13"/>
        <v>223550</v>
      </c>
      <c r="AG110" s="107">
        <v>0</v>
      </c>
      <c r="AH110" s="107">
        <v>0</v>
      </c>
      <c r="AI110" s="108">
        <f t="shared" ca="1" si="14"/>
        <v>383050</v>
      </c>
      <c r="AJ110" s="109">
        <f t="shared" ca="1" si="15"/>
        <v>5161950</v>
      </c>
    </row>
    <row r="111" spans="1:36" ht="15" customHeight="1" x14ac:dyDescent="0.3">
      <c r="A111" s="98" t="str">
        <f>EMPLOYEE_MASTER!A111</f>
        <v>LAO00108</v>
      </c>
      <c r="B111" s="98" t="str">
        <f>EMPLOYEE_MASTER!C111</f>
        <v>Viengthong</v>
      </c>
      <c r="C111" s="98" t="str">
        <f>EMPLOYEE_MASTER!D111</f>
        <v>Phomthong</v>
      </c>
      <c r="D111" s="98" t="str">
        <f>EMPLOYEE_MASTER!T111</f>
        <v>National Assembly (NA)</v>
      </c>
      <c r="E111" s="98" t="str">
        <f>EMPLOYEE_MASTER!M111</f>
        <v>Officer</v>
      </c>
      <c r="F111" s="98" t="str">
        <f>EMPLOYEE_MASTER!Z111</f>
        <v>Administration</v>
      </c>
      <c r="G111" s="99">
        <f>EMPLOYEE_MASTER!P111</f>
        <v>4</v>
      </c>
      <c r="H111" s="99">
        <f>EMPLOYEE_MASTER!Q111</f>
        <v>6</v>
      </c>
      <c r="I111" s="100" t="str">
        <f t="shared" si="8"/>
        <v>G04-S06</v>
      </c>
      <c r="J111" s="100">
        <f>IFERROR(VLOOKUP(I111,LK_GradeStep!$C$4:$D$85,2,0),0)</f>
        <v>296</v>
      </c>
      <c r="K111" s="100">
        <f>IFERROR(VLOOKUP(I111,LK_GradeStep!$C$4:$E$85,3,0),10000)</f>
        <v>10000</v>
      </c>
      <c r="L111" s="100">
        <f t="shared" si="9"/>
        <v>2960000</v>
      </c>
      <c r="M111" s="101">
        <f>IFERROR(VLOOKUP(EMPLOYEE_MASTER!AQ111,LK_AllowanceRates!$A$5:$B$11,2,0),0)</f>
        <v>900000</v>
      </c>
      <c r="N111" s="101">
        <f ca="1">IFERROR(IF(EMPLOYEE_MASTER!J111&lt;=5,  EMPLOYEE_MASTER!J111*LK_AllowanceRates!$B$12,IF(EMPLOYEE_MASTER!J111&lt;=15, EMPLOYEE_MASTER!J111*LK_AllowanceRates!$B$13,IF(EMPLOYEE_MASTER!J111&lt;=25, EMPLOYEE_MASTER!J111*LK_AllowanceRates!$B$14,EMPLOYEE_MASTER!J111*LK_AllowanceRates!$B$15))),0)</f>
        <v>660000</v>
      </c>
      <c r="O111" s="101">
        <f>IF(EMPLOYEE_MASTER!AS111="Teaching",L111*LK_AllowanceRates!$B$16,0)</f>
        <v>0</v>
      </c>
      <c r="P111" s="101">
        <f>IF(EMPLOYEE_MASTER!AS111="Medical",LK_AllowanceRates!$B$17,0)</f>
        <v>0</v>
      </c>
      <c r="Q111" s="101">
        <f>IF(EMPLOYEE_MASTER!AR111="Yes",LK_AllowanceRates!$B$18,0)</f>
        <v>1000000</v>
      </c>
      <c r="R111" s="101">
        <f>IF(EMPLOYEE_MASTER!AC111="Yes",LK_AllowanceRates!$B$19,0)</f>
        <v>0</v>
      </c>
      <c r="S111" s="101">
        <f>IF(EMPLOYEE_MASTER!AA111="Yes",L111*LK_AllowanceRates!$B$20,0)</f>
        <v>0</v>
      </c>
      <c r="T111" s="101">
        <f>IF(EMPLOYEE_MASTER!AB111="Yes",LK_AllowanceRates!$B$21,0)</f>
        <v>0</v>
      </c>
      <c r="U111" s="101">
        <f>IF(EMPLOYEE_MASTER!P111&gt;=6,LK_AllowanceRates!$B$22,0)</f>
        <v>0</v>
      </c>
      <c r="V111" s="101">
        <f>IF(EMPLOYEE_MASTER!AO111="Yes",LK_AllowanceRates!$B$23,0)</f>
        <v>200000</v>
      </c>
      <c r="W111" s="101">
        <f>EMPLOYEE_MASTER!AP111*LK_AllowanceRates!$B$24</f>
        <v>0</v>
      </c>
      <c r="X111" s="101">
        <v>0</v>
      </c>
      <c r="Y111" s="102">
        <v>0</v>
      </c>
      <c r="Z111" s="102">
        <v>0</v>
      </c>
      <c r="AA111" s="102">
        <v>0</v>
      </c>
      <c r="AB111" s="103">
        <f t="shared" ca="1" si="10"/>
        <v>2760000</v>
      </c>
      <c r="AC111" s="104">
        <f t="shared" ca="1" si="11"/>
        <v>5720000</v>
      </c>
      <c r="AD111" s="105">
        <f>ROUND(L111*LK_AllowanceRates!$B$25/100,0)</f>
        <v>162800</v>
      </c>
      <c r="AE111" s="106">
        <f t="shared" ca="1" si="12"/>
        <v>5557200</v>
      </c>
      <c r="AF111" s="106">
        <f t="shared" ca="1" si="13"/>
        <v>240720</v>
      </c>
      <c r="AG111" s="107">
        <v>0</v>
      </c>
      <c r="AH111" s="107">
        <v>0</v>
      </c>
      <c r="AI111" s="108">
        <f t="shared" ca="1" si="14"/>
        <v>403520</v>
      </c>
      <c r="AJ111" s="109">
        <f t="shared" ca="1" si="15"/>
        <v>5316480</v>
      </c>
    </row>
    <row r="112" spans="1:36" ht="15" customHeight="1" x14ac:dyDescent="0.3">
      <c r="A112" s="98" t="str">
        <f>EMPLOYEE_MASTER!A112</f>
        <v>LAO00109</v>
      </c>
      <c r="B112" s="98" t="str">
        <f>EMPLOYEE_MASTER!C112</f>
        <v>Thongsavanh</v>
      </c>
      <c r="C112" s="98" t="str">
        <f>EMPLOYEE_MASTER!D112</f>
        <v>Manivong</v>
      </c>
      <c r="D112" s="98" t="str">
        <f>EMPLOYEE_MASTER!T112</f>
        <v>Ministry of Education and Sports (MoES)</v>
      </c>
      <c r="E112" s="98" t="str">
        <f>EMPLOYEE_MASTER!M112</f>
        <v>Senior Lecturer</v>
      </c>
      <c r="F112" s="98" t="str">
        <f>EMPLOYEE_MASTER!Z112</f>
        <v>Teacher</v>
      </c>
      <c r="G112" s="99">
        <f>EMPLOYEE_MASTER!P112</f>
        <v>5</v>
      </c>
      <c r="H112" s="99">
        <f>EMPLOYEE_MASTER!Q112</f>
        <v>5</v>
      </c>
      <c r="I112" s="100" t="str">
        <f t="shared" si="8"/>
        <v>G05-S05</v>
      </c>
      <c r="J112" s="100">
        <f>IFERROR(VLOOKUP(I112,LK_GradeStep!$C$4:$D$85,2,0),0)</f>
        <v>328</v>
      </c>
      <c r="K112" s="100">
        <f>IFERROR(VLOOKUP(I112,LK_GradeStep!$C$4:$E$85,3,0),10000)</f>
        <v>10000</v>
      </c>
      <c r="L112" s="100">
        <f t="shared" si="9"/>
        <v>3280000</v>
      </c>
      <c r="M112" s="101">
        <f>IFERROR(VLOOKUP(EMPLOYEE_MASTER!AQ112,LK_AllowanceRates!$A$5:$B$11,2,0),0)</f>
        <v>900000</v>
      </c>
      <c r="N112" s="101">
        <f ca="1">IFERROR(IF(EMPLOYEE_MASTER!J112&lt;=5,  EMPLOYEE_MASTER!J112*LK_AllowanceRates!$B$12,IF(EMPLOYEE_MASTER!J112&lt;=15, EMPLOYEE_MASTER!J112*LK_AllowanceRates!$B$13,IF(EMPLOYEE_MASTER!J112&lt;=25, EMPLOYEE_MASTER!J112*LK_AllowanceRates!$B$14,EMPLOYEE_MASTER!J112*LK_AllowanceRates!$B$15))),0)</f>
        <v>240000</v>
      </c>
      <c r="O112" s="101">
        <f>IF(EMPLOYEE_MASTER!AS112="Teaching",L112*LK_AllowanceRates!$B$16,0)</f>
        <v>656000</v>
      </c>
      <c r="P112" s="101">
        <f>IF(EMPLOYEE_MASTER!AS112="Medical",LK_AllowanceRates!$B$17,0)</f>
        <v>0</v>
      </c>
      <c r="Q112" s="101">
        <f>IF(EMPLOYEE_MASTER!AR112="Yes",LK_AllowanceRates!$B$18,0)</f>
        <v>0</v>
      </c>
      <c r="R112" s="101">
        <f>IF(EMPLOYEE_MASTER!AC112="Yes",LK_AllowanceRates!$B$19,0)</f>
        <v>1000000</v>
      </c>
      <c r="S112" s="101">
        <f>IF(EMPLOYEE_MASTER!AA112="Yes",L112*LK_AllowanceRates!$B$20,0)</f>
        <v>0</v>
      </c>
      <c r="T112" s="101">
        <f>IF(EMPLOYEE_MASTER!AB112="Yes",LK_AllowanceRates!$B$21,0)</f>
        <v>0</v>
      </c>
      <c r="U112" s="101">
        <f>IF(EMPLOYEE_MASTER!P112&gt;=6,LK_AllowanceRates!$B$22,0)</f>
        <v>0</v>
      </c>
      <c r="V112" s="101">
        <f>IF(EMPLOYEE_MASTER!AO112="Yes",LK_AllowanceRates!$B$23,0)</f>
        <v>200000</v>
      </c>
      <c r="W112" s="101">
        <f>EMPLOYEE_MASTER!AP112*LK_AllowanceRates!$B$24</f>
        <v>600000</v>
      </c>
      <c r="X112" s="101">
        <v>0</v>
      </c>
      <c r="Y112" s="102">
        <v>0</v>
      </c>
      <c r="Z112" s="102">
        <v>0</v>
      </c>
      <c r="AA112" s="102">
        <v>0</v>
      </c>
      <c r="AB112" s="103">
        <f t="shared" ca="1" si="10"/>
        <v>3596000</v>
      </c>
      <c r="AC112" s="104">
        <f t="shared" ca="1" si="11"/>
        <v>6876000</v>
      </c>
      <c r="AD112" s="105">
        <f>ROUND(L112*LK_AllowanceRates!$B$25/100,0)</f>
        <v>180400</v>
      </c>
      <c r="AE112" s="106">
        <f t="shared" ca="1" si="12"/>
        <v>6695600</v>
      </c>
      <c r="AF112" s="106">
        <f t="shared" ca="1" si="13"/>
        <v>354560</v>
      </c>
      <c r="AG112" s="107">
        <v>0</v>
      </c>
      <c r="AH112" s="107">
        <v>0</v>
      </c>
      <c r="AI112" s="108">
        <f t="shared" ca="1" si="14"/>
        <v>534960</v>
      </c>
      <c r="AJ112" s="109">
        <f t="shared" ca="1" si="15"/>
        <v>6341040</v>
      </c>
    </row>
    <row r="113" spans="1:36" ht="15" customHeight="1" x14ac:dyDescent="0.3">
      <c r="A113" s="98" t="str">
        <f>EMPLOYEE_MASTER!A113</f>
        <v>LAO00110</v>
      </c>
      <c r="B113" s="98" t="str">
        <f>EMPLOYEE_MASTER!C113</f>
        <v>Sengmany</v>
      </c>
      <c r="C113" s="98" t="str">
        <f>EMPLOYEE_MASTER!D113</f>
        <v>Phonemany</v>
      </c>
      <c r="D113" s="98" t="str">
        <f>EMPLOYEE_MASTER!T113</f>
        <v>Ministry of Industry &amp; Commerce (MoIC)</v>
      </c>
      <c r="E113" s="98" t="str">
        <f>EMPLOYEE_MASTER!M113</f>
        <v>Section Chief</v>
      </c>
      <c r="F113" s="98" t="str">
        <f>EMPLOYEE_MASTER!Z113</f>
        <v>Administration</v>
      </c>
      <c r="G113" s="99">
        <f>EMPLOYEE_MASTER!P113</f>
        <v>4</v>
      </c>
      <c r="H113" s="99">
        <f>EMPLOYEE_MASTER!Q113</f>
        <v>1</v>
      </c>
      <c r="I113" s="100" t="str">
        <f t="shared" si="8"/>
        <v>G04-S01</v>
      </c>
      <c r="J113" s="100">
        <f>IFERROR(VLOOKUP(I113,LK_GradeStep!$C$4:$D$85,2,0),0)</f>
        <v>286</v>
      </c>
      <c r="K113" s="100">
        <f>IFERROR(VLOOKUP(I113,LK_GradeStep!$C$4:$E$85,3,0),10000)</f>
        <v>10000</v>
      </c>
      <c r="L113" s="100">
        <f t="shared" si="9"/>
        <v>2860000</v>
      </c>
      <c r="M113" s="101">
        <f>IFERROR(VLOOKUP(EMPLOYEE_MASTER!AQ113,LK_AllowanceRates!$A$5:$B$11,2,0),0)</f>
        <v>1500000</v>
      </c>
      <c r="N113" s="101">
        <f ca="1">IFERROR(IF(EMPLOYEE_MASTER!J113&lt;=5,  EMPLOYEE_MASTER!J113*LK_AllowanceRates!$B$12,IF(EMPLOYEE_MASTER!J113&lt;=15, EMPLOYEE_MASTER!J113*LK_AllowanceRates!$B$13,IF(EMPLOYEE_MASTER!J113&lt;=25, EMPLOYEE_MASTER!J113*LK_AllowanceRates!$B$14,EMPLOYEE_MASTER!J113*LK_AllowanceRates!$B$15))),0)</f>
        <v>630000</v>
      </c>
      <c r="O113" s="101">
        <f>IF(EMPLOYEE_MASTER!AS113="Teaching",L113*LK_AllowanceRates!$B$16,0)</f>
        <v>0</v>
      </c>
      <c r="P113" s="101">
        <f>IF(EMPLOYEE_MASTER!AS113="Medical",LK_AllowanceRates!$B$17,0)</f>
        <v>0</v>
      </c>
      <c r="Q113" s="101">
        <f>IF(EMPLOYEE_MASTER!AR113="Yes",LK_AllowanceRates!$B$18,0)</f>
        <v>0</v>
      </c>
      <c r="R113" s="101">
        <f>IF(EMPLOYEE_MASTER!AC113="Yes",LK_AllowanceRates!$B$19,0)</f>
        <v>0</v>
      </c>
      <c r="S113" s="101">
        <f>IF(EMPLOYEE_MASTER!AA113="Yes",L113*LK_AllowanceRates!$B$20,0)</f>
        <v>715000</v>
      </c>
      <c r="T113" s="101">
        <f>IF(EMPLOYEE_MASTER!AB113="Yes",LK_AllowanceRates!$B$21,0)</f>
        <v>0</v>
      </c>
      <c r="U113" s="101">
        <f>IF(EMPLOYEE_MASTER!P113&gt;=6,LK_AllowanceRates!$B$22,0)</f>
        <v>0</v>
      </c>
      <c r="V113" s="101">
        <f>IF(EMPLOYEE_MASTER!AO113="Yes",LK_AllowanceRates!$B$23,0)</f>
        <v>200000</v>
      </c>
      <c r="W113" s="101">
        <f>EMPLOYEE_MASTER!AP113*LK_AllowanceRates!$B$24</f>
        <v>600000</v>
      </c>
      <c r="X113" s="101">
        <v>0</v>
      </c>
      <c r="Y113" s="102">
        <v>0</v>
      </c>
      <c r="Z113" s="102">
        <v>0</v>
      </c>
      <c r="AA113" s="102">
        <v>0</v>
      </c>
      <c r="AB113" s="103">
        <f t="shared" ca="1" si="10"/>
        <v>3645000</v>
      </c>
      <c r="AC113" s="104">
        <f t="shared" ca="1" si="11"/>
        <v>6505000</v>
      </c>
      <c r="AD113" s="105">
        <f>ROUND(L113*LK_AllowanceRates!$B$25/100,0)</f>
        <v>157300</v>
      </c>
      <c r="AE113" s="106">
        <f t="shared" ca="1" si="12"/>
        <v>6347700</v>
      </c>
      <c r="AF113" s="106">
        <f t="shared" ca="1" si="13"/>
        <v>319770</v>
      </c>
      <c r="AG113" s="107">
        <v>0</v>
      </c>
      <c r="AH113" s="107">
        <v>0</v>
      </c>
      <c r="AI113" s="108">
        <f t="shared" ca="1" si="14"/>
        <v>477070</v>
      </c>
      <c r="AJ113" s="109">
        <f t="shared" ca="1" si="15"/>
        <v>6027930</v>
      </c>
    </row>
    <row r="114" spans="1:36" ht="15" customHeight="1" x14ac:dyDescent="0.3">
      <c r="A114" s="98" t="str">
        <f>EMPLOYEE_MASTER!A114</f>
        <v>LAO00111</v>
      </c>
      <c r="B114" s="98" t="str">
        <f>EMPLOYEE_MASTER!C114</f>
        <v>Phengkham</v>
      </c>
      <c r="C114" s="98" t="str">
        <f>EMPLOYEE_MASTER!D114</f>
        <v>Southichack</v>
      </c>
      <c r="D114" s="98" t="str">
        <f>EMPLOYEE_MASTER!T114</f>
        <v>Ministry of Health (MoH)</v>
      </c>
      <c r="E114" s="98" t="str">
        <f>EMPLOYEE_MASTER!M114</f>
        <v>Medical Technician</v>
      </c>
      <c r="F114" s="98" t="str">
        <f>EMPLOYEE_MASTER!Z114</f>
        <v>Medical</v>
      </c>
      <c r="G114" s="99">
        <f>EMPLOYEE_MASTER!P114</f>
        <v>4</v>
      </c>
      <c r="H114" s="99">
        <f>EMPLOYEE_MASTER!Q114</f>
        <v>1</v>
      </c>
      <c r="I114" s="100" t="str">
        <f t="shared" si="8"/>
        <v>G04-S01</v>
      </c>
      <c r="J114" s="100">
        <f>IFERROR(VLOOKUP(I114,LK_GradeStep!$C$4:$D$85,2,0),0)</f>
        <v>286</v>
      </c>
      <c r="K114" s="100">
        <f>IFERROR(VLOOKUP(I114,LK_GradeStep!$C$4:$E$85,3,0),10000)</f>
        <v>10000</v>
      </c>
      <c r="L114" s="100">
        <f t="shared" si="9"/>
        <v>2860000</v>
      </c>
      <c r="M114" s="101">
        <f>IFERROR(VLOOKUP(EMPLOYEE_MASTER!AQ114,LK_AllowanceRates!$A$5:$B$11,2,0),0)</f>
        <v>900000</v>
      </c>
      <c r="N114" s="101">
        <f ca="1">IFERROR(IF(EMPLOYEE_MASTER!J114&lt;=5,  EMPLOYEE_MASTER!J114*LK_AllowanceRates!$B$12,IF(EMPLOYEE_MASTER!J114&lt;=15, EMPLOYEE_MASTER!J114*LK_AllowanceRates!$B$13,IF(EMPLOYEE_MASTER!J114&lt;=25, EMPLOYEE_MASTER!J114*LK_AllowanceRates!$B$14,EMPLOYEE_MASTER!J114*LK_AllowanceRates!$B$15))),0)</f>
        <v>720000</v>
      </c>
      <c r="O114" s="101">
        <f>IF(EMPLOYEE_MASTER!AS114="Teaching",L114*LK_AllowanceRates!$B$16,0)</f>
        <v>0</v>
      </c>
      <c r="P114" s="101">
        <f>IF(EMPLOYEE_MASTER!AS114="Medical",LK_AllowanceRates!$B$17,0)</f>
        <v>500000</v>
      </c>
      <c r="Q114" s="101">
        <f>IF(EMPLOYEE_MASTER!AR114="Yes",LK_AllowanceRates!$B$18,0)</f>
        <v>0</v>
      </c>
      <c r="R114" s="101">
        <f>IF(EMPLOYEE_MASTER!AC114="Yes",LK_AllowanceRates!$B$19,0)</f>
        <v>0</v>
      </c>
      <c r="S114" s="101">
        <f>IF(EMPLOYEE_MASTER!AA114="Yes",L114*LK_AllowanceRates!$B$20,0)</f>
        <v>0</v>
      </c>
      <c r="T114" s="101">
        <f>IF(EMPLOYEE_MASTER!AB114="Yes",LK_AllowanceRates!$B$21,0)</f>
        <v>0</v>
      </c>
      <c r="U114" s="101">
        <f>IF(EMPLOYEE_MASTER!P114&gt;=6,LK_AllowanceRates!$B$22,0)</f>
        <v>0</v>
      </c>
      <c r="V114" s="101">
        <f>IF(EMPLOYEE_MASTER!AO114="Yes",LK_AllowanceRates!$B$23,0)</f>
        <v>200000</v>
      </c>
      <c r="W114" s="101">
        <f>EMPLOYEE_MASTER!AP114*LK_AllowanceRates!$B$24</f>
        <v>600000</v>
      </c>
      <c r="X114" s="101">
        <v>0</v>
      </c>
      <c r="Y114" s="102">
        <v>0</v>
      </c>
      <c r="Z114" s="102">
        <v>0</v>
      </c>
      <c r="AA114" s="102">
        <v>0</v>
      </c>
      <c r="AB114" s="103">
        <f t="shared" ca="1" si="10"/>
        <v>2920000</v>
      </c>
      <c r="AC114" s="104">
        <f t="shared" ca="1" si="11"/>
        <v>5780000</v>
      </c>
      <c r="AD114" s="105">
        <f>ROUND(L114*LK_AllowanceRates!$B$25/100,0)</f>
        <v>157300</v>
      </c>
      <c r="AE114" s="106">
        <f t="shared" ca="1" si="12"/>
        <v>5622700</v>
      </c>
      <c r="AF114" s="106">
        <f t="shared" ca="1" si="13"/>
        <v>247270</v>
      </c>
      <c r="AG114" s="107">
        <v>0</v>
      </c>
      <c r="AH114" s="107">
        <v>0</v>
      </c>
      <c r="AI114" s="108">
        <f t="shared" ca="1" si="14"/>
        <v>404570</v>
      </c>
      <c r="AJ114" s="109">
        <f t="shared" ca="1" si="15"/>
        <v>5375430</v>
      </c>
    </row>
    <row r="115" spans="1:36" ht="15" customHeight="1" x14ac:dyDescent="0.3">
      <c r="A115" s="98" t="str">
        <f>EMPLOYEE_MASTER!A115</f>
        <v>LAO00112</v>
      </c>
      <c r="B115" s="98" t="str">
        <f>EMPLOYEE_MASTER!C115</f>
        <v>Khankham</v>
      </c>
      <c r="C115" s="98" t="str">
        <f>EMPLOYEE_MASTER!D115</f>
        <v>Khambounheuang</v>
      </c>
      <c r="D115" s="98" t="str">
        <f>EMPLOYEE_MASTER!T115</f>
        <v>National Assembly (NA)</v>
      </c>
      <c r="E115" s="98" t="str">
        <f>EMPLOYEE_MASTER!M115</f>
        <v>Section Chief</v>
      </c>
      <c r="F115" s="98" t="str">
        <f>EMPLOYEE_MASTER!Z115</f>
        <v>Administration</v>
      </c>
      <c r="G115" s="99">
        <f>EMPLOYEE_MASTER!P115</f>
        <v>5</v>
      </c>
      <c r="H115" s="99">
        <f>EMPLOYEE_MASTER!Q115</f>
        <v>1</v>
      </c>
      <c r="I115" s="100" t="str">
        <f t="shared" si="8"/>
        <v>G05-S01</v>
      </c>
      <c r="J115" s="100">
        <f>IFERROR(VLOOKUP(I115,LK_GradeStep!$C$4:$D$85,2,0),0)</f>
        <v>308</v>
      </c>
      <c r="K115" s="100">
        <f>IFERROR(VLOOKUP(I115,LK_GradeStep!$C$4:$E$85,3,0),10000)</f>
        <v>10000</v>
      </c>
      <c r="L115" s="100">
        <f t="shared" si="9"/>
        <v>3080000</v>
      </c>
      <c r="M115" s="101">
        <f>IFERROR(VLOOKUP(EMPLOYEE_MASTER!AQ115,LK_AllowanceRates!$A$5:$B$11,2,0),0)</f>
        <v>1500000</v>
      </c>
      <c r="N115" s="101">
        <f ca="1">IFERROR(IF(EMPLOYEE_MASTER!J115&lt;=5,  EMPLOYEE_MASTER!J115*LK_AllowanceRates!$B$12,IF(EMPLOYEE_MASTER!J115&lt;=15, EMPLOYEE_MASTER!J115*LK_AllowanceRates!$B$13,IF(EMPLOYEE_MASTER!J115&lt;=25, EMPLOYEE_MASTER!J115*LK_AllowanceRates!$B$14,EMPLOYEE_MASTER!J115*LK_AllowanceRates!$B$15))),0)</f>
        <v>480000</v>
      </c>
      <c r="O115" s="101">
        <f>IF(EMPLOYEE_MASTER!AS115="Teaching",L115*LK_AllowanceRates!$B$16,0)</f>
        <v>0</v>
      </c>
      <c r="P115" s="101">
        <f>IF(EMPLOYEE_MASTER!AS115="Medical",LK_AllowanceRates!$B$17,0)</f>
        <v>0</v>
      </c>
      <c r="Q115" s="101">
        <f>IF(EMPLOYEE_MASTER!AR115="Yes",LK_AllowanceRates!$B$18,0)</f>
        <v>1000000</v>
      </c>
      <c r="R115" s="101">
        <f>IF(EMPLOYEE_MASTER!AC115="Yes",LK_AllowanceRates!$B$19,0)</f>
        <v>0</v>
      </c>
      <c r="S115" s="101">
        <f>IF(EMPLOYEE_MASTER!AA115="Yes",L115*LK_AllowanceRates!$B$20,0)</f>
        <v>0</v>
      </c>
      <c r="T115" s="101">
        <f>IF(EMPLOYEE_MASTER!AB115="Yes",LK_AllowanceRates!$B$21,0)</f>
        <v>0</v>
      </c>
      <c r="U115" s="101">
        <f>IF(EMPLOYEE_MASTER!P115&gt;=6,LK_AllowanceRates!$B$22,0)</f>
        <v>0</v>
      </c>
      <c r="V115" s="101">
        <f>IF(EMPLOYEE_MASTER!AO115="Yes",LK_AllowanceRates!$B$23,0)</f>
        <v>200000</v>
      </c>
      <c r="W115" s="101">
        <f>EMPLOYEE_MASTER!AP115*LK_AllowanceRates!$B$24</f>
        <v>600000</v>
      </c>
      <c r="X115" s="101">
        <v>0</v>
      </c>
      <c r="Y115" s="102">
        <v>0</v>
      </c>
      <c r="Z115" s="102">
        <v>0</v>
      </c>
      <c r="AA115" s="102">
        <v>0</v>
      </c>
      <c r="AB115" s="103">
        <f t="shared" ca="1" si="10"/>
        <v>3780000</v>
      </c>
      <c r="AC115" s="104">
        <f t="shared" ca="1" si="11"/>
        <v>6860000</v>
      </c>
      <c r="AD115" s="105">
        <f>ROUND(L115*LK_AllowanceRates!$B$25/100,0)</f>
        <v>169400</v>
      </c>
      <c r="AE115" s="106">
        <f t="shared" ca="1" si="12"/>
        <v>6690600</v>
      </c>
      <c r="AF115" s="106">
        <f t="shared" ca="1" si="13"/>
        <v>354060</v>
      </c>
      <c r="AG115" s="107">
        <v>0</v>
      </c>
      <c r="AH115" s="107">
        <v>0</v>
      </c>
      <c r="AI115" s="108">
        <f t="shared" ca="1" si="14"/>
        <v>523460</v>
      </c>
      <c r="AJ115" s="109">
        <f t="shared" ca="1" si="15"/>
        <v>6336540</v>
      </c>
    </row>
    <row r="116" spans="1:36" ht="15" customHeight="1" x14ac:dyDescent="0.3">
      <c r="A116" s="98" t="str">
        <f>EMPLOYEE_MASTER!A116</f>
        <v>LAO00113</v>
      </c>
      <c r="B116" s="98" t="str">
        <f>EMPLOYEE_MASTER!C116</f>
        <v>Souvanny</v>
      </c>
      <c r="C116" s="98" t="str">
        <f>EMPLOYEE_MASTER!D116</f>
        <v>Kheudkham</v>
      </c>
      <c r="D116" s="98" t="str">
        <f>EMPLOYEE_MASTER!T116</f>
        <v>Ministry of Health (MoH)</v>
      </c>
      <c r="E116" s="98" t="str">
        <f>EMPLOYEE_MASTER!M116</f>
        <v>Pharmacist</v>
      </c>
      <c r="F116" s="98" t="str">
        <f>EMPLOYEE_MASTER!Z116</f>
        <v>Medical</v>
      </c>
      <c r="G116" s="99">
        <f>EMPLOYEE_MASTER!P116</f>
        <v>3</v>
      </c>
      <c r="H116" s="99">
        <f>EMPLOYEE_MASTER!Q116</f>
        <v>3</v>
      </c>
      <c r="I116" s="100" t="str">
        <f t="shared" si="8"/>
        <v>G03-S03</v>
      </c>
      <c r="J116" s="100">
        <f>IFERROR(VLOOKUP(I116,LK_GradeStep!$C$4:$D$85,2,0),0)</f>
        <v>278</v>
      </c>
      <c r="K116" s="100">
        <f>IFERROR(VLOOKUP(I116,LK_GradeStep!$C$4:$E$85,3,0),10000)</f>
        <v>10000</v>
      </c>
      <c r="L116" s="100">
        <f t="shared" si="9"/>
        <v>2780000</v>
      </c>
      <c r="M116" s="101">
        <f>IFERROR(VLOOKUP(EMPLOYEE_MASTER!AQ116,LK_AllowanceRates!$A$5:$B$11,2,0),0)</f>
        <v>900000</v>
      </c>
      <c r="N116" s="101">
        <f ca="1">IFERROR(IF(EMPLOYEE_MASTER!J116&lt;=5,  EMPLOYEE_MASTER!J116*LK_AllowanceRates!$B$12,IF(EMPLOYEE_MASTER!J116&lt;=15, EMPLOYEE_MASTER!J116*LK_AllowanceRates!$B$13,IF(EMPLOYEE_MASTER!J116&lt;=25, EMPLOYEE_MASTER!J116*LK_AllowanceRates!$B$14,EMPLOYEE_MASTER!J116*LK_AllowanceRates!$B$15))),0)</f>
        <v>20000</v>
      </c>
      <c r="O116" s="101">
        <f>IF(EMPLOYEE_MASTER!AS116="Teaching",L116*LK_AllowanceRates!$B$16,0)</f>
        <v>0</v>
      </c>
      <c r="P116" s="101">
        <f>IF(EMPLOYEE_MASTER!AS116="Medical",LK_AllowanceRates!$B$17,0)</f>
        <v>500000</v>
      </c>
      <c r="Q116" s="101">
        <f>IF(EMPLOYEE_MASTER!AR116="Yes",LK_AllowanceRates!$B$18,0)</f>
        <v>0</v>
      </c>
      <c r="R116" s="101">
        <f>IF(EMPLOYEE_MASTER!AC116="Yes",LK_AllowanceRates!$B$19,0)</f>
        <v>0</v>
      </c>
      <c r="S116" s="101">
        <f>IF(EMPLOYEE_MASTER!AA116="Yes",L116*LK_AllowanceRates!$B$20,0)</f>
        <v>695000</v>
      </c>
      <c r="T116" s="101">
        <f>IF(EMPLOYEE_MASTER!AB116="Yes",LK_AllowanceRates!$B$21,0)</f>
        <v>0</v>
      </c>
      <c r="U116" s="101">
        <f>IF(EMPLOYEE_MASTER!P116&gt;=6,LK_AllowanceRates!$B$22,0)</f>
        <v>0</v>
      </c>
      <c r="V116" s="101">
        <f>IF(EMPLOYEE_MASTER!AO116="Yes",LK_AllowanceRates!$B$23,0)</f>
        <v>0</v>
      </c>
      <c r="W116" s="101">
        <f>EMPLOYEE_MASTER!AP116*LK_AllowanceRates!$B$24</f>
        <v>0</v>
      </c>
      <c r="X116" s="101">
        <v>0</v>
      </c>
      <c r="Y116" s="102">
        <v>0</v>
      </c>
      <c r="Z116" s="102">
        <v>0</v>
      </c>
      <c r="AA116" s="102">
        <v>0</v>
      </c>
      <c r="AB116" s="103">
        <f t="shared" ca="1" si="10"/>
        <v>2115000</v>
      </c>
      <c r="AC116" s="104">
        <f t="shared" ca="1" si="11"/>
        <v>4895000</v>
      </c>
      <c r="AD116" s="105">
        <f>ROUND(L116*LK_AllowanceRates!$B$25/100,0)</f>
        <v>152900</v>
      </c>
      <c r="AE116" s="106">
        <f t="shared" ca="1" si="12"/>
        <v>4742100</v>
      </c>
      <c r="AF116" s="106">
        <f t="shared" ca="1" si="13"/>
        <v>172105</v>
      </c>
      <c r="AG116" s="107">
        <v>0</v>
      </c>
      <c r="AH116" s="107">
        <v>0</v>
      </c>
      <c r="AI116" s="108">
        <f t="shared" ca="1" si="14"/>
        <v>325005</v>
      </c>
      <c r="AJ116" s="109">
        <f t="shared" ca="1" si="15"/>
        <v>4569995</v>
      </c>
    </row>
    <row r="117" spans="1:36" ht="15" customHeight="1" x14ac:dyDescent="0.3">
      <c r="A117" s="98" t="str">
        <f>EMPLOYEE_MASTER!A117</f>
        <v>LAO00114</v>
      </c>
      <c r="B117" s="98" t="str">
        <f>EMPLOYEE_MASTER!C117</f>
        <v>Sombath</v>
      </c>
      <c r="C117" s="98" t="str">
        <f>EMPLOYEE_MASTER!D117</f>
        <v>Soulisack</v>
      </c>
      <c r="D117" s="98" t="str">
        <f>EMPLOYEE_MASTER!T117</f>
        <v>Ministry of Education and Sports (MoES)</v>
      </c>
      <c r="E117" s="98" t="str">
        <f>EMPLOYEE_MASTER!M117</f>
        <v>School Principal</v>
      </c>
      <c r="F117" s="98" t="str">
        <f>EMPLOYEE_MASTER!Z117</f>
        <v>Teacher</v>
      </c>
      <c r="G117" s="99">
        <f>EMPLOYEE_MASTER!P117</f>
        <v>4</v>
      </c>
      <c r="H117" s="99">
        <f>EMPLOYEE_MASTER!Q117</f>
        <v>2</v>
      </c>
      <c r="I117" s="100" t="str">
        <f t="shared" si="8"/>
        <v>G04-S02</v>
      </c>
      <c r="J117" s="100">
        <f>IFERROR(VLOOKUP(I117,LK_GradeStep!$C$4:$D$85,2,0),0)</f>
        <v>288</v>
      </c>
      <c r="K117" s="100">
        <f>IFERROR(VLOOKUP(I117,LK_GradeStep!$C$4:$E$85,3,0),10000)</f>
        <v>10000</v>
      </c>
      <c r="L117" s="100">
        <f t="shared" si="9"/>
        <v>2880000</v>
      </c>
      <c r="M117" s="101">
        <f>IFERROR(VLOOKUP(EMPLOYEE_MASTER!AQ117,LK_AllowanceRates!$A$5:$B$11,2,0),0)</f>
        <v>900000</v>
      </c>
      <c r="N117" s="101">
        <f ca="1">IFERROR(IF(EMPLOYEE_MASTER!J117&lt;=5,  EMPLOYEE_MASTER!J117*LK_AllowanceRates!$B$12,IF(EMPLOYEE_MASTER!J117&lt;=15, EMPLOYEE_MASTER!J117*LK_AllowanceRates!$B$13,IF(EMPLOYEE_MASTER!J117&lt;=25, EMPLOYEE_MASTER!J117*LK_AllowanceRates!$B$14,EMPLOYEE_MASTER!J117*LK_AllowanceRates!$B$15))),0)</f>
        <v>1360000</v>
      </c>
      <c r="O117" s="101">
        <f>IF(EMPLOYEE_MASTER!AS117="Teaching",L117*LK_AllowanceRates!$B$16,0)</f>
        <v>576000</v>
      </c>
      <c r="P117" s="101">
        <f>IF(EMPLOYEE_MASTER!AS117="Medical",LK_AllowanceRates!$B$17,0)</f>
        <v>0</v>
      </c>
      <c r="Q117" s="101">
        <f>IF(EMPLOYEE_MASTER!AR117="Yes",LK_AllowanceRates!$B$18,0)</f>
        <v>0</v>
      </c>
      <c r="R117" s="101">
        <f>IF(EMPLOYEE_MASTER!AC117="Yes",LK_AllowanceRates!$B$19,0)</f>
        <v>0</v>
      </c>
      <c r="S117" s="101">
        <f>IF(EMPLOYEE_MASTER!AA117="Yes",L117*LK_AllowanceRates!$B$20,0)</f>
        <v>720000</v>
      </c>
      <c r="T117" s="101">
        <f>IF(EMPLOYEE_MASTER!AB117="Yes",LK_AllowanceRates!$B$21,0)</f>
        <v>0</v>
      </c>
      <c r="U117" s="101">
        <f>IF(EMPLOYEE_MASTER!P117&gt;=6,LK_AllowanceRates!$B$22,0)</f>
        <v>0</v>
      </c>
      <c r="V117" s="101">
        <f>IF(EMPLOYEE_MASTER!AO117="Yes",LK_AllowanceRates!$B$23,0)</f>
        <v>200000</v>
      </c>
      <c r="W117" s="101">
        <f>EMPLOYEE_MASTER!AP117*LK_AllowanceRates!$B$24</f>
        <v>0</v>
      </c>
      <c r="X117" s="101">
        <v>0</v>
      </c>
      <c r="Y117" s="102">
        <v>0</v>
      </c>
      <c r="Z117" s="102">
        <v>0</v>
      </c>
      <c r="AA117" s="102">
        <v>0</v>
      </c>
      <c r="AB117" s="103">
        <f t="shared" ca="1" si="10"/>
        <v>3756000</v>
      </c>
      <c r="AC117" s="104">
        <f t="shared" ca="1" si="11"/>
        <v>6636000</v>
      </c>
      <c r="AD117" s="105">
        <f>ROUND(L117*LK_AllowanceRates!$B$25/100,0)</f>
        <v>158400</v>
      </c>
      <c r="AE117" s="106">
        <f t="shared" ca="1" si="12"/>
        <v>6477600</v>
      </c>
      <c r="AF117" s="106">
        <f t="shared" ca="1" si="13"/>
        <v>332760</v>
      </c>
      <c r="AG117" s="107">
        <v>0</v>
      </c>
      <c r="AH117" s="107">
        <v>0</v>
      </c>
      <c r="AI117" s="108">
        <f t="shared" ca="1" si="14"/>
        <v>491160</v>
      </c>
      <c r="AJ117" s="109">
        <f t="shared" ca="1" si="15"/>
        <v>6144840</v>
      </c>
    </row>
    <row r="118" spans="1:36" ht="15" customHeight="1" x14ac:dyDescent="0.3">
      <c r="A118" s="98" t="str">
        <f>EMPLOYEE_MASTER!A118</f>
        <v>LAO00115</v>
      </c>
      <c r="B118" s="98" t="str">
        <f>EMPLOYEE_MASTER!C118</f>
        <v>Thongchanh</v>
      </c>
      <c r="C118" s="98" t="str">
        <f>EMPLOYEE_MASTER!D118</f>
        <v>Khambounheuang</v>
      </c>
      <c r="D118" s="98" t="str">
        <f>EMPLOYEE_MASTER!T118</f>
        <v>Ministry of Justice (MoJ)</v>
      </c>
      <c r="E118" s="98" t="str">
        <f>EMPLOYEE_MASTER!M118</f>
        <v>Legal Officer</v>
      </c>
      <c r="F118" s="98" t="str">
        <f>EMPLOYEE_MASTER!Z118</f>
        <v>Legal</v>
      </c>
      <c r="G118" s="99">
        <f>EMPLOYEE_MASTER!P118</f>
        <v>3</v>
      </c>
      <c r="H118" s="99">
        <f>EMPLOYEE_MASTER!Q118</f>
        <v>1</v>
      </c>
      <c r="I118" s="100" t="str">
        <f t="shared" si="8"/>
        <v>G03-S01</v>
      </c>
      <c r="J118" s="100">
        <f>IFERROR(VLOOKUP(I118,LK_GradeStep!$C$4:$D$85,2,0),0)</f>
        <v>276</v>
      </c>
      <c r="K118" s="100">
        <f>IFERROR(VLOOKUP(I118,LK_GradeStep!$C$4:$E$85,3,0),10000)</f>
        <v>10000</v>
      </c>
      <c r="L118" s="100">
        <f t="shared" si="9"/>
        <v>2760000</v>
      </c>
      <c r="M118" s="101">
        <f>IFERROR(VLOOKUP(EMPLOYEE_MASTER!AQ118,LK_AllowanceRates!$A$5:$B$11,2,0),0)</f>
        <v>900000</v>
      </c>
      <c r="N118" s="101">
        <f ca="1">IFERROR(IF(EMPLOYEE_MASTER!J118&lt;=5,  EMPLOYEE_MASTER!J118*LK_AllowanceRates!$B$12,IF(EMPLOYEE_MASTER!J118&lt;=15, EMPLOYEE_MASTER!J118*LK_AllowanceRates!$B$13,IF(EMPLOYEE_MASTER!J118&lt;=25, EMPLOYEE_MASTER!J118*LK_AllowanceRates!$B$14,EMPLOYEE_MASTER!J118*LK_AllowanceRates!$B$15))),0)</f>
        <v>570000</v>
      </c>
      <c r="O118" s="101">
        <f>IF(EMPLOYEE_MASTER!AS118="Teaching",L118*LK_AllowanceRates!$B$16,0)</f>
        <v>0</v>
      </c>
      <c r="P118" s="101">
        <f>IF(EMPLOYEE_MASTER!AS118="Medical",LK_AllowanceRates!$B$17,0)</f>
        <v>0</v>
      </c>
      <c r="Q118" s="101">
        <f>IF(EMPLOYEE_MASTER!AR118="Yes",LK_AllowanceRates!$B$18,0)</f>
        <v>0</v>
      </c>
      <c r="R118" s="101">
        <f>IF(EMPLOYEE_MASTER!AC118="Yes",LK_AllowanceRates!$B$19,0)</f>
        <v>1000000</v>
      </c>
      <c r="S118" s="101">
        <f>IF(EMPLOYEE_MASTER!AA118="Yes",L118*LK_AllowanceRates!$B$20,0)</f>
        <v>690000</v>
      </c>
      <c r="T118" s="101">
        <f>IF(EMPLOYEE_MASTER!AB118="Yes",LK_AllowanceRates!$B$21,0)</f>
        <v>0</v>
      </c>
      <c r="U118" s="101">
        <f>IF(EMPLOYEE_MASTER!P118&gt;=6,LK_AllowanceRates!$B$22,0)</f>
        <v>0</v>
      </c>
      <c r="V118" s="101">
        <f>IF(EMPLOYEE_MASTER!AO118="Yes",LK_AllowanceRates!$B$23,0)</f>
        <v>200000</v>
      </c>
      <c r="W118" s="101">
        <f>EMPLOYEE_MASTER!AP118*LK_AllowanceRates!$B$24</f>
        <v>600000</v>
      </c>
      <c r="X118" s="101">
        <v>0</v>
      </c>
      <c r="Y118" s="102">
        <v>0</v>
      </c>
      <c r="Z118" s="102">
        <v>0</v>
      </c>
      <c r="AA118" s="102">
        <v>0</v>
      </c>
      <c r="AB118" s="103">
        <f t="shared" ca="1" si="10"/>
        <v>3960000</v>
      </c>
      <c r="AC118" s="104">
        <f t="shared" ca="1" si="11"/>
        <v>6720000</v>
      </c>
      <c r="AD118" s="105">
        <f>ROUND(L118*LK_AllowanceRates!$B$25/100,0)</f>
        <v>151800</v>
      </c>
      <c r="AE118" s="106">
        <f t="shared" ca="1" si="12"/>
        <v>6568200</v>
      </c>
      <c r="AF118" s="106">
        <f t="shared" ca="1" si="13"/>
        <v>341820</v>
      </c>
      <c r="AG118" s="107">
        <v>0</v>
      </c>
      <c r="AH118" s="107">
        <v>0</v>
      </c>
      <c r="AI118" s="108">
        <f t="shared" ca="1" si="14"/>
        <v>493620</v>
      </c>
      <c r="AJ118" s="109">
        <f t="shared" ca="1" si="15"/>
        <v>6226380</v>
      </c>
    </row>
    <row r="119" spans="1:36" ht="15" customHeight="1" x14ac:dyDescent="0.3">
      <c r="A119" s="98" t="str">
        <f>EMPLOYEE_MASTER!A119</f>
        <v>LAO00116</v>
      </c>
      <c r="B119" s="98" t="str">
        <f>EMPLOYEE_MASTER!C119</f>
        <v>Bounthieng</v>
      </c>
      <c r="C119" s="98" t="str">
        <f>EMPLOYEE_MASTER!D119</f>
        <v>Bounphanixay</v>
      </c>
      <c r="D119" s="98" t="str">
        <f>EMPLOYEE_MASTER!T119</f>
        <v>Savannakhet Province Administration</v>
      </c>
      <c r="E119" s="98" t="str">
        <f>EMPLOYEE_MASTER!M119</f>
        <v>Deputy Department Director</v>
      </c>
      <c r="F119" s="98" t="str">
        <f>EMPLOYEE_MASTER!Z119</f>
        <v>Administration</v>
      </c>
      <c r="G119" s="99">
        <f>EMPLOYEE_MASTER!P119</f>
        <v>4</v>
      </c>
      <c r="H119" s="99">
        <f>EMPLOYEE_MASTER!Q119</f>
        <v>13</v>
      </c>
      <c r="I119" s="100" t="str">
        <f t="shared" si="8"/>
        <v>G04-S13</v>
      </c>
      <c r="J119" s="100">
        <f>IFERROR(VLOOKUP(I119,LK_GradeStep!$C$4:$D$85,2,0),0)</f>
        <v>328</v>
      </c>
      <c r="K119" s="100">
        <f>IFERROR(VLOOKUP(I119,LK_GradeStep!$C$4:$E$85,3,0),10000)</f>
        <v>10000</v>
      </c>
      <c r="L119" s="100">
        <f t="shared" si="9"/>
        <v>3280000</v>
      </c>
      <c r="M119" s="101">
        <f>IFERROR(VLOOKUP(EMPLOYEE_MASTER!AQ119,LK_AllowanceRates!$A$5:$B$11,2,0),0)</f>
        <v>900000</v>
      </c>
      <c r="N119" s="101">
        <f ca="1">IFERROR(IF(EMPLOYEE_MASTER!J119&lt;=5,  EMPLOYEE_MASTER!J119*LK_AllowanceRates!$B$12,IF(EMPLOYEE_MASTER!J119&lt;=15, EMPLOYEE_MASTER!J119*LK_AllowanceRates!$B$13,IF(EMPLOYEE_MASTER!J119&lt;=25, EMPLOYEE_MASTER!J119*LK_AllowanceRates!$B$14,EMPLOYEE_MASTER!J119*LK_AllowanceRates!$B$15))),0)</f>
        <v>30000</v>
      </c>
      <c r="O119" s="101">
        <f>IF(EMPLOYEE_MASTER!AS119="Teaching",L119*LK_AllowanceRates!$B$16,0)</f>
        <v>0</v>
      </c>
      <c r="P119" s="101">
        <f>IF(EMPLOYEE_MASTER!AS119="Medical",LK_AllowanceRates!$B$17,0)</f>
        <v>0</v>
      </c>
      <c r="Q119" s="101">
        <f>IF(EMPLOYEE_MASTER!AR119="Yes",LK_AllowanceRates!$B$18,0)</f>
        <v>0</v>
      </c>
      <c r="R119" s="101">
        <f>IF(EMPLOYEE_MASTER!AC119="Yes",LK_AllowanceRates!$B$19,0)</f>
        <v>0</v>
      </c>
      <c r="S119" s="101">
        <f>IF(EMPLOYEE_MASTER!AA119="Yes",L119*LK_AllowanceRates!$B$20,0)</f>
        <v>0</v>
      </c>
      <c r="T119" s="101">
        <f>IF(EMPLOYEE_MASTER!AB119="Yes",LK_AllowanceRates!$B$21,0)</f>
        <v>0</v>
      </c>
      <c r="U119" s="101">
        <f>IF(EMPLOYEE_MASTER!P119&gt;=6,LK_AllowanceRates!$B$22,0)</f>
        <v>0</v>
      </c>
      <c r="V119" s="101">
        <f>IF(EMPLOYEE_MASTER!AO119="Yes",LK_AllowanceRates!$B$23,0)</f>
        <v>200000</v>
      </c>
      <c r="W119" s="101">
        <f>EMPLOYEE_MASTER!AP119*LK_AllowanceRates!$B$24</f>
        <v>0</v>
      </c>
      <c r="X119" s="101">
        <v>0</v>
      </c>
      <c r="Y119" s="102">
        <v>0</v>
      </c>
      <c r="Z119" s="102">
        <v>0</v>
      </c>
      <c r="AA119" s="102">
        <v>0</v>
      </c>
      <c r="AB119" s="103">
        <f t="shared" ca="1" si="10"/>
        <v>1130000</v>
      </c>
      <c r="AC119" s="104">
        <f t="shared" ca="1" si="11"/>
        <v>4410000</v>
      </c>
      <c r="AD119" s="105">
        <f>ROUND(L119*LK_AllowanceRates!$B$25/100,0)</f>
        <v>180400</v>
      </c>
      <c r="AE119" s="106">
        <f t="shared" ca="1" si="12"/>
        <v>4229600</v>
      </c>
      <c r="AF119" s="106">
        <f t="shared" ca="1" si="13"/>
        <v>146480</v>
      </c>
      <c r="AG119" s="107">
        <v>0</v>
      </c>
      <c r="AH119" s="107">
        <v>0</v>
      </c>
      <c r="AI119" s="108">
        <f t="shared" ca="1" si="14"/>
        <v>326880</v>
      </c>
      <c r="AJ119" s="109">
        <f t="shared" ca="1" si="15"/>
        <v>4083120</v>
      </c>
    </row>
    <row r="120" spans="1:36" ht="15" customHeight="1" x14ac:dyDescent="0.3">
      <c r="A120" s="98" t="str">
        <f>EMPLOYEE_MASTER!A120</f>
        <v>LAO00117</v>
      </c>
      <c r="B120" s="98" t="str">
        <f>EMPLOYEE_MASTER!C120</f>
        <v>Khamphanh</v>
      </c>
      <c r="C120" s="98" t="str">
        <f>EMPLOYEE_MASTER!D120</f>
        <v>Phiaylack</v>
      </c>
      <c r="D120" s="98" t="str">
        <f>EMPLOYEE_MASTER!T120</f>
        <v>Champasak Province Administration</v>
      </c>
      <c r="E120" s="98" t="str">
        <f>EMPLOYEE_MASTER!M120</f>
        <v>Senior Officer</v>
      </c>
      <c r="F120" s="98" t="str">
        <f>EMPLOYEE_MASTER!Z120</f>
        <v>Administration</v>
      </c>
      <c r="G120" s="99">
        <f>EMPLOYEE_MASTER!P120</f>
        <v>4</v>
      </c>
      <c r="H120" s="99">
        <f>EMPLOYEE_MASTER!Q120</f>
        <v>1</v>
      </c>
      <c r="I120" s="100" t="str">
        <f t="shared" si="8"/>
        <v>G04-S01</v>
      </c>
      <c r="J120" s="100">
        <f>IFERROR(VLOOKUP(I120,LK_GradeStep!$C$4:$D$85,2,0),0)</f>
        <v>286</v>
      </c>
      <c r="K120" s="100">
        <f>IFERROR(VLOOKUP(I120,LK_GradeStep!$C$4:$E$85,3,0),10000)</f>
        <v>10000</v>
      </c>
      <c r="L120" s="100">
        <f t="shared" si="9"/>
        <v>2860000</v>
      </c>
      <c r="M120" s="101">
        <f>IFERROR(VLOOKUP(EMPLOYEE_MASTER!AQ120,LK_AllowanceRates!$A$5:$B$11,2,0),0)</f>
        <v>900000</v>
      </c>
      <c r="N120" s="101">
        <f ca="1">IFERROR(IF(EMPLOYEE_MASTER!J120&lt;=5,  EMPLOYEE_MASTER!J120*LK_AllowanceRates!$B$12,IF(EMPLOYEE_MASTER!J120&lt;=15, EMPLOYEE_MASTER!J120*LK_AllowanceRates!$B$13,IF(EMPLOYEE_MASTER!J120&lt;=25, EMPLOYEE_MASTER!J120*LK_AllowanceRates!$B$14,EMPLOYEE_MASTER!J120*LK_AllowanceRates!$B$15))),0)</f>
        <v>480000</v>
      </c>
      <c r="O120" s="101">
        <f>IF(EMPLOYEE_MASTER!AS120="Teaching",L120*LK_AllowanceRates!$B$16,0)</f>
        <v>0</v>
      </c>
      <c r="P120" s="101">
        <f>IF(EMPLOYEE_MASTER!AS120="Medical",LK_AllowanceRates!$B$17,0)</f>
        <v>0</v>
      </c>
      <c r="Q120" s="101">
        <f>IF(EMPLOYEE_MASTER!AR120="Yes",LK_AllowanceRates!$B$18,0)</f>
        <v>0</v>
      </c>
      <c r="R120" s="101">
        <f>IF(EMPLOYEE_MASTER!AC120="Yes",LK_AllowanceRates!$B$19,0)</f>
        <v>1000000</v>
      </c>
      <c r="S120" s="101">
        <f>IF(EMPLOYEE_MASTER!AA120="Yes",L120*LK_AllowanceRates!$B$20,0)</f>
        <v>0</v>
      </c>
      <c r="T120" s="101">
        <f>IF(EMPLOYEE_MASTER!AB120="Yes",LK_AllowanceRates!$B$21,0)</f>
        <v>0</v>
      </c>
      <c r="U120" s="101">
        <f>IF(EMPLOYEE_MASTER!P120&gt;=6,LK_AllowanceRates!$B$22,0)</f>
        <v>0</v>
      </c>
      <c r="V120" s="101">
        <f>IF(EMPLOYEE_MASTER!AO120="Yes",LK_AllowanceRates!$B$23,0)</f>
        <v>200000</v>
      </c>
      <c r="W120" s="101">
        <f>EMPLOYEE_MASTER!AP120*LK_AllowanceRates!$B$24</f>
        <v>0</v>
      </c>
      <c r="X120" s="101">
        <v>0</v>
      </c>
      <c r="Y120" s="102">
        <v>0</v>
      </c>
      <c r="Z120" s="102">
        <v>0</v>
      </c>
      <c r="AA120" s="102">
        <v>0</v>
      </c>
      <c r="AB120" s="103">
        <f t="shared" ca="1" si="10"/>
        <v>2580000</v>
      </c>
      <c r="AC120" s="104">
        <f t="shared" ca="1" si="11"/>
        <v>5440000</v>
      </c>
      <c r="AD120" s="105">
        <f>ROUND(L120*LK_AllowanceRates!$B$25/100,0)</f>
        <v>157300</v>
      </c>
      <c r="AE120" s="106">
        <f t="shared" ca="1" si="12"/>
        <v>5282700</v>
      </c>
      <c r="AF120" s="106">
        <f t="shared" ca="1" si="13"/>
        <v>213270</v>
      </c>
      <c r="AG120" s="107">
        <v>0</v>
      </c>
      <c r="AH120" s="107">
        <v>0</v>
      </c>
      <c r="AI120" s="108">
        <f t="shared" ca="1" si="14"/>
        <v>370570</v>
      </c>
      <c r="AJ120" s="109">
        <f t="shared" ca="1" si="15"/>
        <v>5069430</v>
      </c>
    </row>
    <row r="121" spans="1:36" ht="15" customHeight="1" x14ac:dyDescent="0.3">
      <c r="A121" s="98" t="str">
        <f>EMPLOYEE_MASTER!A121</f>
        <v>LAO00118</v>
      </c>
      <c r="B121" s="98" t="str">
        <f>EMPLOYEE_MASTER!C121</f>
        <v>Phonepadith</v>
      </c>
      <c r="C121" s="98" t="str">
        <f>EMPLOYEE_MASTER!D121</f>
        <v>Bounphanixay</v>
      </c>
      <c r="D121" s="98" t="str">
        <f>EMPLOYEE_MASTER!T121</f>
        <v>Ministry of Education and Sports (MoES)</v>
      </c>
      <c r="E121" s="98" t="str">
        <f>EMPLOYEE_MASTER!M121</f>
        <v>Associate Professor</v>
      </c>
      <c r="F121" s="98" t="str">
        <f>EMPLOYEE_MASTER!Z121</f>
        <v>Teacher</v>
      </c>
      <c r="G121" s="99">
        <f>EMPLOYEE_MASTER!P121</f>
        <v>5</v>
      </c>
      <c r="H121" s="99">
        <f>EMPLOYEE_MASTER!Q121</f>
        <v>6</v>
      </c>
      <c r="I121" s="100" t="str">
        <f t="shared" si="8"/>
        <v>G05-S06</v>
      </c>
      <c r="J121" s="100">
        <f>IFERROR(VLOOKUP(I121,LK_GradeStep!$C$4:$D$85,2,0),0)</f>
        <v>333</v>
      </c>
      <c r="K121" s="100">
        <f>IFERROR(VLOOKUP(I121,LK_GradeStep!$C$4:$E$85,3,0),10000)</f>
        <v>10000</v>
      </c>
      <c r="L121" s="100">
        <f t="shared" si="9"/>
        <v>3330000</v>
      </c>
      <c r="M121" s="101">
        <f>IFERROR(VLOOKUP(EMPLOYEE_MASTER!AQ121,LK_AllowanceRates!$A$5:$B$11,2,0),0)</f>
        <v>900000</v>
      </c>
      <c r="N121" s="101">
        <f ca="1">IFERROR(IF(EMPLOYEE_MASTER!J121&lt;=5,  EMPLOYEE_MASTER!J121*LK_AllowanceRates!$B$12,IF(EMPLOYEE_MASTER!J121&lt;=15, EMPLOYEE_MASTER!J121*LK_AllowanceRates!$B$13,IF(EMPLOYEE_MASTER!J121&lt;=25, EMPLOYEE_MASTER!J121*LK_AllowanceRates!$B$14,EMPLOYEE_MASTER!J121*LK_AllowanceRates!$B$15))),0)</f>
        <v>1440000</v>
      </c>
      <c r="O121" s="101">
        <f>IF(EMPLOYEE_MASTER!AS121="Teaching",L121*LK_AllowanceRates!$B$16,0)</f>
        <v>666000</v>
      </c>
      <c r="P121" s="101">
        <f>IF(EMPLOYEE_MASTER!AS121="Medical",LK_AllowanceRates!$B$17,0)</f>
        <v>0</v>
      </c>
      <c r="Q121" s="101">
        <f>IF(EMPLOYEE_MASTER!AR121="Yes",LK_AllowanceRates!$B$18,0)</f>
        <v>0</v>
      </c>
      <c r="R121" s="101">
        <f>IF(EMPLOYEE_MASTER!AC121="Yes",LK_AllowanceRates!$B$19,0)</f>
        <v>0</v>
      </c>
      <c r="S121" s="101">
        <f>IF(EMPLOYEE_MASTER!AA121="Yes",L121*LK_AllowanceRates!$B$20,0)</f>
        <v>832500</v>
      </c>
      <c r="T121" s="101">
        <f>IF(EMPLOYEE_MASTER!AB121="Yes",LK_AllowanceRates!$B$21,0)</f>
        <v>0</v>
      </c>
      <c r="U121" s="101">
        <f>IF(EMPLOYEE_MASTER!P121&gt;=6,LK_AllowanceRates!$B$22,0)</f>
        <v>0</v>
      </c>
      <c r="V121" s="101">
        <f>IF(EMPLOYEE_MASTER!AO121="Yes",LK_AllowanceRates!$B$23,0)</f>
        <v>200000</v>
      </c>
      <c r="W121" s="101">
        <f>EMPLOYEE_MASTER!AP121*LK_AllowanceRates!$B$24</f>
        <v>400000</v>
      </c>
      <c r="X121" s="101">
        <v>0</v>
      </c>
      <c r="Y121" s="102">
        <v>0</v>
      </c>
      <c r="Z121" s="102">
        <v>0</v>
      </c>
      <c r="AA121" s="102">
        <v>0</v>
      </c>
      <c r="AB121" s="103">
        <f t="shared" ca="1" si="10"/>
        <v>4438500</v>
      </c>
      <c r="AC121" s="104">
        <f t="shared" ca="1" si="11"/>
        <v>7768500</v>
      </c>
      <c r="AD121" s="105">
        <f>ROUND(L121*LK_AllowanceRates!$B$25/100,0)</f>
        <v>183150</v>
      </c>
      <c r="AE121" s="106">
        <f t="shared" ca="1" si="12"/>
        <v>7585350</v>
      </c>
      <c r="AF121" s="106">
        <f t="shared" ca="1" si="13"/>
        <v>443535</v>
      </c>
      <c r="AG121" s="107">
        <v>0</v>
      </c>
      <c r="AH121" s="107">
        <v>0</v>
      </c>
      <c r="AI121" s="108">
        <f t="shared" ca="1" si="14"/>
        <v>626685</v>
      </c>
      <c r="AJ121" s="109">
        <f t="shared" ca="1" si="15"/>
        <v>7141815</v>
      </c>
    </row>
    <row r="122" spans="1:36" ht="15" customHeight="1" x14ac:dyDescent="0.3">
      <c r="A122" s="98" t="str">
        <f>EMPLOYEE_MASTER!A122</f>
        <v>LAO00119</v>
      </c>
      <c r="B122" s="98" t="str">
        <f>EMPLOYEE_MASTER!C122</f>
        <v>Boutsady</v>
      </c>
      <c r="C122" s="98" t="str">
        <f>EMPLOYEE_MASTER!D122</f>
        <v>Sengmixay</v>
      </c>
      <c r="D122" s="98" t="str">
        <f>EMPLOYEE_MASTER!T122</f>
        <v>Ministry of Health (MoH)</v>
      </c>
      <c r="E122" s="98" t="str">
        <f>EMPLOYEE_MASTER!M122</f>
        <v>Nurse</v>
      </c>
      <c r="F122" s="98" t="str">
        <f>EMPLOYEE_MASTER!Z122</f>
        <v>Medical</v>
      </c>
      <c r="G122" s="99">
        <f>EMPLOYEE_MASTER!P122</f>
        <v>2</v>
      </c>
      <c r="H122" s="99">
        <f>EMPLOYEE_MASTER!Q122</f>
        <v>1</v>
      </c>
      <c r="I122" s="100" t="str">
        <f t="shared" si="8"/>
        <v>G02-S01</v>
      </c>
      <c r="J122" s="100">
        <f>IFERROR(VLOOKUP(I122,LK_GradeStep!$C$4:$D$85,2,0),0)</f>
        <v>268</v>
      </c>
      <c r="K122" s="100">
        <f>IFERROR(VLOOKUP(I122,LK_GradeStep!$C$4:$E$85,3,0),10000)</f>
        <v>10000</v>
      </c>
      <c r="L122" s="100">
        <f t="shared" si="9"/>
        <v>2680000</v>
      </c>
      <c r="M122" s="101">
        <f>IFERROR(VLOOKUP(EMPLOYEE_MASTER!AQ122,LK_AllowanceRates!$A$5:$B$11,2,0),0)</f>
        <v>900000</v>
      </c>
      <c r="N122" s="101">
        <f ca="1">IFERROR(IF(EMPLOYEE_MASTER!J122&lt;=5,  EMPLOYEE_MASTER!J122*LK_AllowanceRates!$B$12,IF(EMPLOYEE_MASTER!J122&lt;=15, EMPLOYEE_MASTER!J122*LK_AllowanceRates!$B$13,IF(EMPLOYEE_MASTER!J122&lt;=25, EMPLOYEE_MASTER!J122*LK_AllowanceRates!$B$14,EMPLOYEE_MASTER!J122*LK_AllowanceRates!$B$15))),0)</f>
        <v>570000</v>
      </c>
      <c r="O122" s="101">
        <f>IF(EMPLOYEE_MASTER!AS122="Teaching",L122*LK_AllowanceRates!$B$16,0)</f>
        <v>0</v>
      </c>
      <c r="P122" s="101">
        <f>IF(EMPLOYEE_MASTER!AS122="Medical",LK_AllowanceRates!$B$17,0)</f>
        <v>500000</v>
      </c>
      <c r="Q122" s="101">
        <f>IF(EMPLOYEE_MASTER!AR122="Yes",LK_AllowanceRates!$B$18,0)</f>
        <v>0</v>
      </c>
      <c r="R122" s="101">
        <f>IF(EMPLOYEE_MASTER!AC122="Yes",LK_AllowanceRates!$B$19,0)</f>
        <v>0</v>
      </c>
      <c r="S122" s="101">
        <f>IF(EMPLOYEE_MASTER!AA122="Yes",L122*LK_AllowanceRates!$B$20,0)</f>
        <v>670000</v>
      </c>
      <c r="T122" s="101">
        <f>IF(EMPLOYEE_MASTER!AB122="Yes",LK_AllowanceRates!$B$21,0)</f>
        <v>0</v>
      </c>
      <c r="U122" s="101">
        <f>IF(EMPLOYEE_MASTER!P122&gt;=6,LK_AllowanceRates!$B$22,0)</f>
        <v>0</v>
      </c>
      <c r="V122" s="101">
        <f>IF(EMPLOYEE_MASTER!AO122="Yes",LK_AllowanceRates!$B$23,0)</f>
        <v>200000</v>
      </c>
      <c r="W122" s="101">
        <f>EMPLOYEE_MASTER!AP122*LK_AllowanceRates!$B$24</f>
        <v>600000</v>
      </c>
      <c r="X122" s="101">
        <v>0</v>
      </c>
      <c r="Y122" s="102">
        <v>0</v>
      </c>
      <c r="Z122" s="102">
        <v>0</v>
      </c>
      <c r="AA122" s="102">
        <v>0</v>
      </c>
      <c r="AB122" s="103">
        <f t="shared" ca="1" si="10"/>
        <v>3440000</v>
      </c>
      <c r="AC122" s="104">
        <f t="shared" ca="1" si="11"/>
        <v>6120000</v>
      </c>
      <c r="AD122" s="105">
        <f>ROUND(L122*LK_AllowanceRates!$B$25/100,0)</f>
        <v>147400</v>
      </c>
      <c r="AE122" s="106">
        <f t="shared" ca="1" si="12"/>
        <v>5972600</v>
      </c>
      <c r="AF122" s="106">
        <f t="shared" ca="1" si="13"/>
        <v>282260</v>
      </c>
      <c r="AG122" s="107">
        <v>0</v>
      </c>
      <c r="AH122" s="107">
        <v>0</v>
      </c>
      <c r="AI122" s="108">
        <f t="shared" ca="1" si="14"/>
        <v>429660</v>
      </c>
      <c r="AJ122" s="109">
        <f t="shared" ca="1" si="15"/>
        <v>5690340</v>
      </c>
    </row>
    <row r="123" spans="1:36" ht="15" customHeight="1" x14ac:dyDescent="0.3">
      <c r="A123" s="98" t="str">
        <f>EMPLOYEE_MASTER!A123</f>
        <v>LAO00120</v>
      </c>
      <c r="B123" s="98" t="str">
        <f>EMPLOYEE_MASTER!C123</f>
        <v>Sengphet</v>
      </c>
      <c r="C123" s="98" t="str">
        <f>EMPLOYEE_MASTER!D123</f>
        <v>Khamphilavong</v>
      </c>
      <c r="D123" s="98" t="str">
        <f>EMPLOYEE_MASTER!T123</f>
        <v>Ministry of Agriculture and Forestry (MoAF)</v>
      </c>
      <c r="E123" s="98" t="str">
        <f>EMPLOYEE_MASTER!M123</f>
        <v>Engineer</v>
      </c>
      <c r="F123" s="98" t="str">
        <f>EMPLOYEE_MASTER!Z123</f>
        <v>Technical</v>
      </c>
      <c r="G123" s="99">
        <f>EMPLOYEE_MASTER!P123</f>
        <v>2</v>
      </c>
      <c r="H123" s="99">
        <f>EMPLOYEE_MASTER!Q123</f>
        <v>1</v>
      </c>
      <c r="I123" s="100" t="str">
        <f t="shared" si="8"/>
        <v>G02-S01</v>
      </c>
      <c r="J123" s="100">
        <f>IFERROR(VLOOKUP(I123,LK_GradeStep!$C$4:$D$85,2,0),0)</f>
        <v>268</v>
      </c>
      <c r="K123" s="100">
        <f>IFERROR(VLOOKUP(I123,LK_GradeStep!$C$4:$E$85,3,0),10000)</f>
        <v>10000</v>
      </c>
      <c r="L123" s="100">
        <f t="shared" si="9"/>
        <v>2680000</v>
      </c>
      <c r="M123" s="101">
        <f>IFERROR(VLOOKUP(EMPLOYEE_MASTER!AQ123,LK_AllowanceRates!$A$5:$B$11,2,0),0)</f>
        <v>900000</v>
      </c>
      <c r="N123" s="101">
        <f ca="1">IFERROR(IF(EMPLOYEE_MASTER!J123&lt;=5,  EMPLOYEE_MASTER!J123*LK_AllowanceRates!$B$12,IF(EMPLOYEE_MASTER!J123&lt;=15, EMPLOYEE_MASTER!J123*LK_AllowanceRates!$B$13,IF(EMPLOYEE_MASTER!J123&lt;=25, EMPLOYEE_MASTER!J123*LK_AllowanceRates!$B$14,EMPLOYEE_MASTER!J123*LK_AllowanceRates!$B$15))),0)</f>
        <v>1200000</v>
      </c>
      <c r="O123" s="101">
        <f>IF(EMPLOYEE_MASTER!AS123="Teaching",L123*LK_AllowanceRates!$B$16,0)</f>
        <v>0</v>
      </c>
      <c r="P123" s="101">
        <f>IF(EMPLOYEE_MASTER!AS123="Medical",LK_AllowanceRates!$B$17,0)</f>
        <v>0</v>
      </c>
      <c r="Q123" s="101">
        <f>IF(EMPLOYEE_MASTER!AR123="Yes",LK_AllowanceRates!$B$18,0)</f>
        <v>0</v>
      </c>
      <c r="R123" s="101">
        <f>IF(EMPLOYEE_MASTER!AC123="Yes",LK_AllowanceRates!$B$19,0)</f>
        <v>1000000</v>
      </c>
      <c r="S123" s="101">
        <f>IF(EMPLOYEE_MASTER!AA123="Yes",L123*LK_AllowanceRates!$B$20,0)</f>
        <v>670000</v>
      </c>
      <c r="T123" s="101">
        <f>IF(EMPLOYEE_MASTER!AB123="Yes",LK_AllowanceRates!$B$21,0)</f>
        <v>0</v>
      </c>
      <c r="U123" s="101">
        <f>IF(EMPLOYEE_MASTER!P123&gt;=6,LK_AllowanceRates!$B$22,0)</f>
        <v>0</v>
      </c>
      <c r="V123" s="101">
        <f>IF(EMPLOYEE_MASTER!AO123="Yes",LK_AllowanceRates!$B$23,0)</f>
        <v>200000</v>
      </c>
      <c r="W123" s="101">
        <f>EMPLOYEE_MASTER!AP123*LK_AllowanceRates!$B$24</f>
        <v>600000</v>
      </c>
      <c r="X123" s="101">
        <v>0</v>
      </c>
      <c r="Y123" s="102">
        <v>0</v>
      </c>
      <c r="Z123" s="102">
        <v>0</v>
      </c>
      <c r="AA123" s="102">
        <v>0</v>
      </c>
      <c r="AB123" s="103">
        <f t="shared" ca="1" si="10"/>
        <v>4570000</v>
      </c>
      <c r="AC123" s="104">
        <f t="shared" ca="1" si="11"/>
        <v>7250000</v>
      </c>
      <c r="AD123" s="105">
        <f>ROUND(L123*LK_AllowanceRates!$B$25/100,0)</f>
        <v>147400</v>
      </c>
      <c r="AE123" s="106">
        <f t="shared" ca="1" si="12"/>
        <v>7102600</v>
      </c>
      <c r="AF123" s="106">
        <f t="shared" ca="1" si="13"/>
        <v>395260</v>
      </c>
      <c r="AG123" s="107">
        <v>0</v>
      </c>
      <c r="AH123" s="107">
        <v>0</v>
      </c>
      <c r="AI123" s="108">
        <f t="shared" ca="1" si="14"/>
        <v>542660</v>
      </c>
      <c r="AJ123" s="109">
        <f t="shared" ca="1" si="15"/>
        <v>6707340</v>
      </c>
    </row>
    <row r="124" spans="1:36" ht="15" customHeight="1" x14ac:dyDescent="0.3">
      <c r="A124" s="98" t="str">
        <f>EMPLOYEE_MASTER!A124</f>
        <v>LAO00121</v>
      </c>
      <c r="B124" s="98" t="str">
        <f>EMPLOYEE_MASTER!C124</f>
        <v>Bouakham</v>
      </c>
      <c r="C124" s="98" t="str">
        <f>EMPLOYEE_MASTER!D124</f>
        <v>Manodham</v>
      </c>
      <c r="D124" s="98" t="str">
        <f>EMPLOYEE_MASTER!T124</f>
        <v>Ministry of Finance (MoF)</v>
      </c>
      <c r="E124" s="98" t="str">
        <f>EMPLOYEE_MASTER!M124</f>
        <v>Budget Officer</v>
      </c>
      <c r="F124" s="98" t="str">
        <f>EMPLOYEE_MASTER!Z124</f>
        <v>Finance</v>
      </c>
      <c r="G124" s="99">
        <f>EMPLOYEE_MASTER!P124</f>
        <v>4</v>
      </c>
      <c r="H124" s="99">
        <f>EMPLOYEE_MASTER!Q124</f>
        <v>1</v>
      </c>
      <c r="I124" s="100" t="str">
        <f t="shared" si="8"/>
        <v>G04-S01</v>
      </c>
      <c r="J124" s="100">
        <f>IFERROR(VLOOKUP(I124,LK_GradeStep!$C$4:$D$85,2,0),0)</f>
        <v>286</v>
      </c>
      <c r="K124" s="100">
        <f>IFERROR(VLOOKUP(I124,LK_GradeStep!$C$4:$E$85,3,0),10000)</f>
        <v>10000</v>
      </c>
      <c r="L124" s="100">
        <f t="shared" si="9"/>
        <v>2860000</v>
      </c>
      <c r="M124" s="101">
        <f>IFERROR(VLOOKUP(EMPLOYEE_MASTER!AQ124,LK_AllowanceRates!$A$5:$B$11,2,0),0)</f>
        <v>900000</v>
      </c>
      <c r="N124" s="101">
        <f ca="1">IFERROR(IF(EMPLOYEE_MASTER!J124&lt;=5,  EMPLOYEE_MASTER!J124*LK_AllowanceRates!$B$12,IF(EMPLOYEE_MASTER!J124&lt;=15, EMPLOYEE_MASTER!J124*LK_AllowanceRates!$B$13,IF(EMPLOYEE_MASTER!J124&lt;=25, EMPLOYEE_MASTER!J124*LK_AllowanceRates!$B$14,EMPLOYEE_MASTER!J124*LK_AllowanceRates!$B$15))),0)</f>
        <v>280000</v>
      </c>
      <c r="O124" s="101">
        <f>IF(EMPLOYEE_MASTER!AS124="Teaching",L124*LK_AllowanceRates!$B$16,0)</f>
        <v>0</v>
      </c>
      <c r="P124" s="101">
        <f>IF(EMPLOYEE_MASTER!AS124="Medical",LK_AllowanceRates!$B$17,0)</f>
        <v>0</v>
      </c>
      <c r="Q124" s="101">
        <f>IF(EMPLOYEE_MASTER!AR124="Yes",LK_AllowanceRates!$B$18,0)</f>
        <v>0</v>
      </c>
      <c r="R124" s="101">
        <f>IF(EMPLOYEE_MASTER!AC124="Yes",LK_AllowanceRates!$B$19,0)</f>
        <v>0</v>
      </c>
      <c r="S124" s="101">
        <f>IF(EMPLOYEE_MASTER!AA124="Yes",L124*LK_AllowanceRates!$B$20,0)</f>
        <v>0</v>
      </c>
      <c r="T124" s="101">
        <f>IF(EMPLOYEE_MASTER!AB124="Yes",LK_AllowanceRates!$B$21,0)</f>
        <v>0</v>
      </c>
      <c r="U124" s="101">
        <f>IF(EMPLOYEE_MASTER!P124&gt;=6,LK_AllowanceRates!$B$22,0)</f>
        <v>0</v>
      </c>
      <c r="V124" s="101">
        <f>IF(EMPLOYEE_MASTER!AO124="Yes",LK_AllowanceRates!$B$23,0)</f>
        <v>0</v>
      </c>
      <c r="W124" s="101">
        <f>EMPLOYEE_MASTER!AP124*LK_AllowanceRates!$B$24</f>
        <v>0</v>
      </c>
      <c r="X124" s="101">
        <v>0</v>
      </c>
      <c r="Y124" s="102">
        <v>0</v>
      </c>
      <c r="Z124" s="102">
        <v>0</v>
      </c>
      <c r="AA124" s="102">
        <v>0</v>
      </c>
      <c r="AB124" s="103">
        <f t="shared" ca="1" si="10"/>
        <v>1180000</v>
      </c>
      <c r="AC124" s="104">
        <f t="shared" ca="1" si="11"/>
        <v>4040000</v>
      </c>
      <c r="AD124" s="105">
        <f>ROUND(L124*LK_AllowanceRates!$B$25/100,0)</f>
        <v>157300</v>
      </c>
      <c r="AE124" s="106">
        <f t="shared" ca="1" si="12"/>
        <v>3882700</v>
      </c>
      <c r="AF124" s="106">
        <f t="shared" ca="1" si="13"/>
        <v>129135</v>
      </c>
      <c r="AG124" s="107">
        <v>0</v>
      </c>
      <c r="AH124" s="107">
        <v>0</v>
      </c>
      <c r="AI124" s="108">
        <f t="shared" ca="1" si="14"/>
        <v>286435</v>
      </c>
      <c r="AJ124" s="109">
        <f t="shared" ca="1" si="15"/>
        <v>3753565</v>
      </c>
    </row>
    <row r="125" spans="1:36" ht="15" customHeight="1" x14ac:dyDescent="0.3">
      <c r="A125" s="98" t="str">
        <f>EMPLOYEE_MASTER!A125</f>
        <v>LAO00122</v>
      </c>
      <c r="B125" s="98" t="str">
        <f>EMPLOYEE_MASTER!C125</f>
        <v>Soudaphone</v>
      </c>
      <c r="C125" s="98" t="str">
        <f>EMPLOYEE_MASTER!D125</f>
        <v>Souksavanh</v>
      </c>
      <c r="D125" s="98" t="str">
        <f>EMPLOYEE_MASTER!T125</f>
        <v>Ministry of Labour &amp; Social Welfare (MLSW)</v>
      </c>
      <c r="E125" s="98" t="str">
        <f>EMPLOYEE_MASTER!M125</f>
        <v>Clerk</v>
      </c>
      <c r="F125" s="98" t="str">
        <f>EMPLOYEE_MASTER!Z125</f>
        <v>Administration</v>
      </c>
      <c r="G125" s="99">
        <f>EMPLOYEE_MASTER!P125</f>
        <v>4</v>
      </c>
      <c r="H125" s="99">
        <f>EMPLOYEE_MASTER!Q125</f>
        <v>11</v>
      </c>
      <c r="I125" s="100" t="str">
        <f t="shared" si="8"/>
        <v>G04-S11</v>
      </c>
      <c r="J125" s="100">
        <f>IFERROR(VLOOKUP(I125,LK_GradeStep!$C$4:$D$85,2,0),0)</f>
        <v>318</v>
      </c>
      <c r="K125" s="100">
        <f>IFERROR(VLOOKUP(I125,LK_GradeStep!$C$4:$E$85,3,0),10000)</f>
        <v>10000</v>
      </c>
      <c r="L125" s="100">
        <f t="shared" si="9"/>
        <v>3180000</v>
      </c>
      <c r="M125" s="101">
        <f>IFERROR(VLOOKUP(EMPLOYEE_MASTER!AQ125,LK_AllowanceRates!$A$5:$B$11,2,0),0)</f>
        <v>900000</v>
      </c>
      <c r="N125" s="101">
        <f ca="1">IFERROR(IF(EMPLOYEE_MASTER!J125&lt;=5,  EMPLOYEE_MASTER!J125*LK_AllowanceRates!$B$12,IF(EMPLOYEE_MASTER!J125&lt;=15, EMPLOYEE_MASTER!J125*LK_AllowanceRates!$B$13,IF(EMPLOYEE_MASTER!J125&lt;=25, EMPLOYEE_MASTER!J125*LK_AllowanceRates!$B$14,EMPLOYEE_MASTER!J125*LK_AllowanceRates!$B$15))),0)</f>
        <v>140000</v>
      </c>
      <c r="O125" s="101">
        <f>IF(EMPLOYEE_MASTER!AS125="Teaching",L125*LK_AllowanceRates!$B$16,0)</f>
        <v>0</v>
      </c>
      <c r="P125" s="101">
        <f>IF(EMPLOYEE_MASTER!AS125="Medical",LK_AllowanceRates!$B$17,0)</f>
        <v>0</v>
      </c>
      <c r="Q125" s="101">
        <f>IF(EMPLOYEE_MASTER!AR125="Yes",LK_AllowanceRates!$B$18,0)</f>
        <v>0</v>
      </c>
      <c r="R125" s="101">
        <f>IF(EMPLOYEE_MASTER!AC125="Yes",LK_AllowanceRates!$B$19,0)</f>
        <v>1000000</v>
      </c>
      <c r="S125" s="101">
        <f>IF(EMPLOYEE_MASTER!AA125="Yes",L125*LK_AllowanceRates!$B$20,0)</f>
        <v>795000</v>
      </c>
      <c r="T125" s="101">
        <f>IF(EMPLOYEE_MASTER!AB125="Yes",LK_AllowanceRates!$B$21,0)</f>
        <v>0</v>
      </c>
      <c r="U125" s="101">
        <f>IF(EMPLOYEE_MASTER!P125&gt;=6,LK_AllowanceRates!$B$22,0)</f>
        <v>0</v>
      </c>
      <c r="V125" s="101">
        <f>IF(EMPLOYEE_MASTER!AO125="Yes",LK_AllowanceRates!$B$23,0)</f>
        <v>0</v>
      </c>
      <c r="W125" s="101">
        <f>EMPLOYEE_MASTER!AP125*LK_AllowanceRates!$B$24</f>
        <v>0</v>
      </c>
      <c r="X125" s="101">
        <v>0</v>
      </c>
      <c r="Y125" s="102">
        <v>0</v>
      </c>
      <c r="Z125" s="102">
        <v>0</v>
      </c>
      <c r="AA125" s="102">
        <v>0</v>
      </c>
      <c r="AB125" s="103">
        <f t="shared" ca="1" si="10"/>
        <v>2835000</v>
      </c>
      <c r="AC125" s="104">
        <f t="shared" ca="1" si="11"/>
        <v>6015000</v>
      </c>
      <c r="AD125" s="105">
        <f>ROUND(L125*LK_AllowanceRates!$B$25/100,0)</f>
        <v>174900</v>
      </c>
      <c r="AE125" s="106">
        <f t="shared" ca="1" si="12"/>
        <v>5840100</v>
      </c>
      <c r="AF125" s="106">
        <f t="shared" ca="1" si="13"/>
        <v>269010</v>
      </c>
      <c r="AG125" s="107">
        <v>0</v>
      </c>
      <c r="AH125" s="107">
        <v>0</v>
      </c>
      <c r="AI125" s="108">
        <f t="shared" ca="1" si="14"/>
        <v>443910</v>
      </c>
      <c r="AJ125" s="109">
        <f t="shared" ca="1" si="15"/>
        <v>5571090</v>
      </c>
    </row>
    <row r="126" spans="1:36" ht="15" customHeight="1" x14ac:dyDescent="0.3">
      <c r="A126" s="98" t="str">
        <f>EMPLOYEE_MASTER!A126</f>
        <v>LAO00123</v>
      </c>
      <c r="B126" s="98" t="str">
        <f>EMPLOYEE_MASTER!C126</f>
        <v>Sengmany</v>
      </c>
      <c r="C126" s="98" t="str">
        <f>EMPLOYEE_MASTER!D126</f>
        <v>Xayavong</v>
      </c>
      <c r="D126" s="98" t="str">
        <f>EMPLOYEE_MASTER!T126</f>
        <v>Savannakhet Province Administration</v>
      </c>
      <c r="E126" s="98" t="str">
        <f>EMPLOYEE_MASTER!M126</f>
        <v>Administrative Officer</v>
      </c>
      <c r="F126" s="98" t="str">
        <f>EMPLOYEE_MASTER!Z126</f>
        <v>Administration</v>
      </c>
      <c r="G126" s="99">
        <f>EMPLOYEE_MASTER!P126</f>
        <v>4</v>
      </c>
      <c r="H126" s="99">
        <f>EMPLOYEE_MASTER!Q126</f>
        <v>4</v>
      </c>
      <c r="I126" s="100" t="str">
        <f t="shared" si="8"/>
        <v>G04-S04</v>
      </c>
      <c r="J126" s="100">
        <f>IFERROR(VLOOKUP(I126,LK_GradeStep!$C$4:$D$85,2,0),0)</f>
        <v>292</v>
      </c>
      <c r="K126" s="100">
        <f>IFERROR(VLOOKUP(I126,LK_GradeStep!$C$4:$E$85,3,0),10000)</f>
        <v>10000</v>
      </c>
      <c r="L126" s="100">
        <f t="shared" si="9"/>
        <v>2920000</v>
      </c>
      <c r="M126" s="101">
        <f>IFERROR(VLOOKUP(EMPLOYEE_MASTER!AQ126,LK_AllowanceRates!$A$5:$B$11,2,0),0)</f>
        <v>900000</v>
      </c>
      <c r="N126" s="101">
        <f ca="1">IFERROR(IF(EMPLOYEE_MASTER!J126&lt;=5,  EMPLOYEE_MASTER!J126*LK_AllowanceRates!$B$12,IF(EMPLOYEE_MASTER!J126&lt;=15, EMPLOYEE_MASTER!J126*LK_AllowanceRates!$B$13,IF(EMPLOYEE_MASTER!J126&lt;=25, EMPLOYEE_MASTER!J126*LK_AllowanceRates!$B$14,EMPLOYEE_MASTER!J126*LK_AllowanceRates!$B$15))),0)</f>
        <v>600000</v>
      </c>
      <c r="O126" s="101">
        <f>IF(EMPLOYEE_MASTER!AS126="Teaching",L126*LK_AllowanceRates!$B$16,0)</f>
        <v>0</v>
      </c>
      <c r="P126" s="101">
        <f>IF(EMPLOYEE_MASTER!AS126="Medical",LK_AllowanceRates!$B$17,0)</f>
        <v>0</v>
      </c>
      <c r="Q126" s="101">
        <f>IF(EMPLOYEE_MASTER!AR126="Yes",LK_AllowanceRates!$B$18,0)</f>
        <v>0</v>
      </c>
      <c r="R126" s="101">
        <f>IF(EMPLOYEE_MASTER!AC126="Yes",LK_AllowanceRates!$B$19,0)</f>
        <v>0</v>
      </c>
      <c r="S126" s="101">
        <f>IF(EMPLOYEE_MASTER!AA126="Yes",L126*LK_AllowanceRates!$B$20,0)</f>
        <v>0</v>
      </c>
      <c r="T126" s="101">
        <f>IF(EMPLOYEE_MASTER!AB126="Yes",LK_AllowanceRates!$B$21,0)</f>
        <v>0</v>
      </c>
      <c r="U126" s="101">
        <f>IF(EMPLOYEE_MASTER!P126&gt;=6,LK_AllowanceRates!$B$22,0)</f>
        <v>0</v>
      </c>
      <c r="V126" s="101">
        <f>IF(EMPLOYEE_MASTER!AO126="Yes",LK_AllowanceRates!$B$23,0)</f>
        <v>0</v>
      </c>
      <c r="W126" s="101">
        <f>EMPLOYEE_MASTER!AP126*LK_AllowanceRates!$B$24</f>
        <v>0</v>
      </c>
      <c r="X126" s="101">
        <v>0</v>
      </c>
      <c r="Y126" s="102">
        <v>0</v>
      </c>
      <c r="Z126" s="102">
        <v>0</v>
      </c>
      <c r="AA126" s="102">
        <v>0</v>
      </c>
      <c r="AB126" s="103">
        <f t="shared" ca="1" si="10"/>
        <v>1500000</v>
      </c>
      <c r="AC126" s="104">
        <f t="shared" ca="1" si="11"/>
        <v>4420000</v>
      </c>
      <c r="AD126" s="105">
        <f>ROUND(L126*LK_AllowanceRates!$B$25/100,0)</f>
        <v>160600</v>
      </c>
      <c r="AE126" s="106">
        <f t="shared" ca="1" si="12"/>
        <v>4259400</v>
      </c>
      <c r="AF126" s="106">
        <f t="shared" ca="1" si="13"/>
        <v>147970</v>
      </c>
      <c r="AG126" s="107">
        <v>0</v>
      </c>
      <c r="AH126" s="107">
        <v>0</v>
      </c>
      <c r="AI126" s="108">
        <f t="shared" ca="1" si="14"/>
        <v>308570</v>
      </c>
      <c r="AJ126" s="109">
        <f t="shared" ca="1" si="15"/>
        <v>4111430</v>
      </c>
    </row>
    <row r="127" spans="1:36" ht="15" customHeight="1" x14ac:dyDescent="0.3">
      <c r="A127" s="98" t="str">
        <f>EMPLOYEE_MASTER!A127</f>
        <v>LAO00124</v>
      </c>
      <c r="B127" s="98" t="str">
        <f>EMPLOYEE_MASTER!C127</f>
        <v>Keovilay</v>
      </c>
      <c r="C127" s="98" t="str">
        <f>EMPLOYEE_MASTER!D127</f>
        <v>Douangmany</v>
      </c>
      <c r="D127" s="98" t="str">
        <f>EMPLOYEE_MASTER!T127</f>
        <v>Ministry of Foreign Affairs (MFA)</v>
      </c>
      <c r="E127" s="98" t="str">
        <f>EMPLOYEE_MASTER!M127</f>
        <v>Second Secretary</v>
      </c>
      <c r="F127" s="98" t="str">
        <f>EMPLOYEE_MASTER!Z127</f>
        <v>Diplomatic</v>
      </c>
      <c r="G127" s="99">
        <f>EMPLOYEE_MASTER!P127</f>
        <v>5</v>
      </c>
      <c r="H127" s="99">
        <f>EMPLOYEE_MASTER!Q127</f>
        <v>12</v>
      </c>
      <c r="I127" s="100" t="str">
        <f t="shared" si="8"/>
        <v>G05-S12</v>
      </c>
      <c r="J127" s="100">
        <f>IFERROR(VLOOKUP(I127,LK_GradeStep!$C$4:$D$85,2,0),0)</f>
        <v>388</v>
      </c>
      <c r="K127" s="100">
        <f>IFERROR(VLOOKUP(I127,LK_GradeStep!$C$4:$E$85,3,0),10000)</f>
        <v>10000</v>
      </c>
      <c r="L127" s="100">
        <f t="shared" si="9"/>
        <v>3880000</v>
      </c>
      <c r="M127" s="101">
        <f>IFERROR(VLOOKUP(EMPLOYEE_MASTER!AQ127,LK_AllowanceRates!$A$5:$B$11,2,0),0)</f>
        <v>900000</v>
      </c>
      <c r="N127" s="101">
        <f ca="1">IFERROR(IF(EMPLOYEE_MASTER!J127&lt;=5,  EMPLOYEE_MASTER!J127*LK_AllowanceRates!$B$12,IF(EMPLOYEE_MASTER!J127&lt;=15, EMPLOYEE_MASTER!J127*LK_AllowanceRates!$B$13,IF(EMPLOYEE_MASTER!J127&lt;=25, EMPLOYEE_MASTER!J127*LK_AllowanceRates!$B$14,EMPLOYEE_MASTER!J127*LK_AllowanceRates!$B$15))),0)</f>
        <v>220000</v>
      </c>
      <c r="O127" s="101">
        <f>IF(EMPLOYEE_MASTER!AS127="Teaching",L127*LK_AllowanceRates!$B$16,0)</f>
        <v>0</v>
      </c>
      <c r="P127" s="101">
        <f>IF(EMPLOYEE_MASTER!AS127="Medical",LK_AllowanceRates!$B$17,0)</f>
        <v>0</v>
      </c>
      <c r="Q127" s="101">
        <f>IF(EMPLOYEE_MASTER!AR127="Yes",LK_AllowanceRates!$B$18,0)</f>
        <v>0</v>
      </c>
      <c r="R127" s="101">
        <f>IF(EMPLOYEE_MASTER!AC127="Yes",LK_AllowanceRates!$B$19,0)</f>
        <v>0</v>
      </c>
      <c r="S127" s="101">
        <f>IF(EMPLOYEE_MASTER!AA127="Yes",L127*LK_AllowanceRates!$B$20,0)</f>
        <v>0</v>
      </c>
      <c r="T127" s="101">
        <f>IF(EMPLOYEE_MASTER!AB127="Yes",LK_AllowanceRates!$B$21,0)</f>
        <v>20240000</v>
      </c>
      <c r="U127" s="101">
        <f>IF(EMPLOYEE_MASTER!P127&gt;=6,LK_AllowanceRates!$B$22,0)</f>
        <v>0</v>
      </c>
      <c r="V127" s="101">
        <f>IF(EMPLOYEE_MASTER!AO127="Yes",LK_AllowanceRates!$B$23,0)</f>
        <v>0</v>
      </c>
      <c r="W127" s="101">
        <f>EMPLOYEE_MASTER!AP127*LK_AllowanceRates!$B$24</f>
        <v>0</v>
      </c>
      <c r="X127" s="101">
        <v>0</v>
      </c>
      <c r="Y127" s="102">
        <v>0</v>
      </c>
      <c r="Z127" s="102">
        <v>0</v>
      </c>
      <c r="AA127" s="102">
        <v>0</v>
      </c>
      <c r="AB127" s="103">
        <f t="shared" ca="1" si="10"/>
        <v>21360000</v>
      </c>
      <c r="AC127" s="104">
        <f t="shared" ca="1" si="11"/>
        <v>25240000</v>
      </c>
      <c r="AD127" s="105">
        <f>ROUND(L127*LK_AllowanceRates!$B$25/100,0)</f>
        <v>213400</v>
      </c>
      <c r="AE127" s="106">
        <f t="shared" ca="1" si="12"/>
        <v>25026600</v>
      </c>
      <c r="AF127" s="106">
        <f t="shared" ca="1" si="13"/>
        <v>3190320</v>
      </c>
      <c r="AG127" s="107">
        <v>0</v>
      </c>
      <c r="AH127" s="107">
        <v>0</v>
      </c>
      <c r="AI127" s="108">
        <f t="shared" ca="1" si="14"/>
        <v>3403720</v>
      </c>
      <c r="AJ127" s="109">
        <f t="shared" ca="1" si="15"/>
        <v>21836280</v>
      </c>
    </row>
    <row r="128" spans="1:36" ht="15" customHeight="1" x14ac:dyDescent="0.3">
      <c r="A128" s="98" t="str">
        <f>EMPLOYEE_MASTER!A128</f>
        <v>LAO00125</v>
      </c>
      <c r="B128" s="98" t="str">
        <f>EMPLOYEE_MASTER!C128</f>
        <v>Phonedeth</v>
      </c>
      <c r="C128" s="98" t="str">
        <f>EMPLOYEE_MASTER!D128</f>
        <v>Manodham</v>
      </c>
      <c r="D128" s="98" t="str">
        <f>EMPLOYEE_MASTER!T128</f>
        <v>Ministry of Labour &amp; Social Welfare (MLSW)</v>
      </c>
      <c r="E128" s="98" t="str">
        <f>EMPLOYEE_MASTER!M128</f>
        <v>Senior Officer</v>
      </c>
      <c r="F128" s="98" t="str">
        <f>EMPLOYEE_MASTER!Z128</f>
        <v>Administration</v>
      </c>
      <c r="G128" s="99">
        <f>EMPLOYEE_MASTER!P128</f>
        <v>4</v>
      </c>
      <c r="H128" s="99">
        <f>EMPLOYEE_MASTER!Q128</f>
        <v>2</v>
      </c>
      <c r="I128" s="100" t="str">
        <f t="shared" si="8"/>
        <v>G04-S02</v>
      </c>
      <c r="J128" s="100">
        <f>IFERROR(VLOOKUP(I128,LK_GradeStep!$C$4:$D$85,2,0),0)</f>
        <v>288</v>
      </c>
      <c r="K128" s="100">
        <f>IFERROR(VLOOKUP(I128,LK_GradeStep!$C$4:$E$85,3,0),10000)</f>
        <v>10000</v>
      </c>
      <c r="L128" s="100">
        <f t="shared" si="9"/>
        <v>2880000</v>
      </c>
      <c r="M128" s="101">
        <f>IFERROR(VLOOKUP(EMPLOYEE_MASTER!AQ128,LK_AllowanceRates!$A$5:$B$11,2,0),0)</f>
        <v>900000</v>
      </c>
      <c r="N128" s="101">
        <f ca="1">IFERROR(IF(EMPLOYEE_MASTER!J128&lt;=5,  EMPLOYEE_MASTER!J128*LK_AllowanceRates!$B$12,IF(EMPLOYEE_MASTER!J128&lt;=15, EMPLOYEE_MASTER!J128*LK_AllowanceRates!$B$13,IF(EMPLOYEE_MASTER!J128&lt;=25, EMPLOYEE_MASTER!J128*LK_AllowanceRates!$B$14,EMPLOYEE_MASTER!J128*LK_AllowanceRates!$B$15))),0)</f>
        <v>160000</v>
      </c>
      <c r="O128" s="101">
        <f>IF(EMPLOYEE_MASTER!AS128="Teaching",L128*LK_AllowanceRates!$B$16,0)</f>
        <v>0</v>
      </c>
      <c r="P128" s="101">
        <f>IF(EMPLOYEE_MASTER!AS128="Medical",LK_AllowanceRates!$B$17,0)</f>
        <v>0</v>
      </c>
      <c r="Q128" s="101">
        <f>IF(EMPLOYEE_MASTER!AR128="Yes",LK_AllowanceRates!$B$18,0)</f>
        <v>0</v>
      </c>
      <c r="R128" s="101">
        <f>IF(EMPLOYEE_MASTER!AC128="Yes",LK_AllowanceRates!$B$19,0)</f>
        <v>1000000</v>
      </c>
      <c r="S128" s="101">
        <f>IF(EMPLOYEE_MASTER!AA128="Yes",L128*LK_AllowanceRates!$B$20,0)</f>
        <v>720000</v>
      </c>
      <c r="T128" s="101">
        <f>IF(EMPLOYEE_MASTER!AB128="Yes",LK_AllowanceRates!$B$21,0)</f>
        <v>0</v>
      </c>
      <c r="U128" s="101">
        <f>IF(EMPLOYEE_MASTER!P128&gt;=6,LK_AllowanceRates!$B$22,0)</f>
        <v>0</v>
      </c>
      <c r="V128" s="101">
        <f>IF(EMPLOYEE_MASTER!AO128="Yes",LK_AllowanceRates!$B$23,0)</f>
        <v>200000</v>
      </c>
      <c r="W128" s="101">
        <f>EMPLOYEE_MASTER!AP128*LK_AllowanceRates!$B$24</f>
        <v>400000</v>
      </c>
      <c r="X128" s="101">
        <v>0</v>
      </c>
      <c r="Y128" s="102">
        <v>0</v>
      </c>
      <c r="Z128" s="102">
        <v>0</v>
      </c>
      <c r="AA128" s="102">
        <v>0</v>
      </c>
      <c r="AB128" s="103">
        <f t="shared" ca="1" si="10"/>
        <v>3380000</v>
      </c>
      <c r="AC128" s="104">
        <f t="shared" ca="1" si="11"/>
        <v>6260000</v>
      </c>
      <c r="AD128" s="105">
        <f>ROUND(L128*LK_AllowanceRates!$B$25/100,0)</f>
        <v>158400</v>
      </c>
      <c r="AE128" s="106">
        <f t="shared" ca="1" si="12"/>
        <v>6101600</v>
      </c>
      <c r="AF128" s="106">
        <f t="shared" ca="1" si="13"/>
        <v>295160</v>
      </c>
      <c r="AG128" s="107">
        <v>0</v>
      </c>
      <c r="AH128" s="107">
        <v>0</v>
      </c>
      <c r="AI128" s="108">
        <f t="shared" ca="1" si="14"/>
        <v>453560</v>
      </c>
      <c r="AJ128" s="109">
        <f t="shared" ca="1" si="15"/>
        <v>5806440</v>
      </c>
    </row>
    <row r="129" spans="1:36" ht="15" customHeight="1" x14ac:dyDescent="0.3">
      <c r="A129" s="98" t="str">
        <f>EMPLOYEE_MASTER!A129</f>
        <v>LAO00126</v>
      </c>
      <c r="B129" s="98" t="str">
        <f>EMPLOYEE_MASTER!C129</f>
        <v>Bounkhong</v>
      </c>
      <c r="C129" s="98" t="str">
        <f>EMPLOYEE_MASTER!D129</f>
        <v>Dalasane</v>
      </c>
      <c r="D129" s="98" t="str">
        <f>EMPLOYEE_MASTER!T129</f>
        <v>Vientiane Capital Administration</v>
      </c>
      <c r="E129" s="98" t="str">
        <f>EMPLOYEE_MASTER!M129</f>
        <v>Department Director</v>
      </c>
      <c r="F129" s="98" t="str">
        <f>EMPLOYEE_MASTER!Z129</f>
        <v>Administration</v>
      </c>
      <c r="G129" s="99">
        <f>EMPLOYEE_MASTER!P129</f>
        <v>5</v>
      </c>
      <c r="H129" s="99">
        <f>EMPLOYEE_MASTER!Q129</f>
        <v>1</v>
      </c>
      <c r="I129" s="100" t="str">
        <f t="shared" si="8"/>
        <v>G05-S01</v>
      </c>
      <c r="J129" s="100">
        <f>IFERROR(VLOOKUP(I129,LK_GradeStep!$C$4:$D$85,2,0),0)</f>
        <v>308</v>
      </c>
      <c r="K129" s="100">
        <f>IFERROR(VLOOKUP(I129,LK_GradeStep!$C$4:$E$85,3,0),10000)</f>
        <v>10000</v>
      </c>
      <c r="L129" s="100">
        <f t="shared" si="9"/>
        <v>3080000</v>
      </c>
      <c r="M129" s="101">
        <f>IFERROR(VLOOKUP(EMPLOYEE_MASTER!AQ129,LK_AllowanceRates!$A$5:$B$11,2,0),0)</f>
        <v>2500000</v>
      </c>
      <c r="N129" s="101">
        <f ca="1">IFERROR(IF(EMPLOYEE_MASTER!J129&lt;=5,  EMPLOYEE_MASTER!J129*LK_AllowanceRates!$B$12,IF(EMPLOYEE_MASTER!J129&lt;=15, EMPLOYEE_MASTER!J129*LK_AllowanceRates!$B$13,IF(EMPLOYEE_MASTER!J129&lt;=25, EMPLOYEE_MASTER!J129*LK_AllowanceRates!$B$14,EMPLOYEE_MASTER!J129*LK_AllowanceRates!$B$15))),0)</f>
        <v>750000</v>
      </c>
      <c r="O129" s="101">
        <f>IF(EMPLOYEE_MASTER!AS129="Teaching",L129*LK_AllowanceRates!$B$16,0)</f>
        <v>0</v>
      </c>
      <c r="P129" s="101">
        <f>IF(EMPLOYEE_MASTER!AS129="Medical",LK_AllowanceRates!$B$17,0)</f>
        <v>0</v>
      </c>
      <c r="Q129" s="101">
        <f>IF(EMPLOYEE_MASTER!AR129="Yes",LK_AllowanceRates!$B$18,0)</f>
        <v>0</v>
      </c>
      <c r="R129" s="101">
        <f>IF(EMPLOYEE_MASTER!AC129="Yes",LK_AllowanceRates!$B$19,0)</f>
        <v>0</v>
      </c>
      <c r="S129" s="101">
        <f>IF(EMPLOYEE_MASTER!AA129="Yes",L129*LK_AllowanceRates!$B$20,0)</f>
        <v>0</v>
      </c>
      <c r="T129" s="101">
        <f>IF(EMPLOYEE_MASTER!AB129="Yes",LK_AllowanceRates!$B$21,0)</f>
        <v>0</v>
      </c>
      <c r="U129" s="101">
        <f>IF(EMPLOYEE_MASTER!P129&gt;=6,LK_AllowanceRates!$B$22,0)</f>
        <v>0</v>
      </c>
      <c r="V129" s="101">
        <f>IF(EMPLOYEE_MASTER!AO129="Yes",LK_AllowanceRates!$B$23,0)</f>
        <v>200000</v>
      </c>
      <c r="W129" s="101">
        <f>EMPLOYEE_MASTER!AP129*LK_AllowanceRates!$B$24</f>
        <v>0</v>
      </c>
      <c r="X129" s="101">
        <v>0</v>
      </c>
      <c r="Y129" s="102">
        <v>0</v>
      </c>
      <c r="Z129" s="102">
        <v>0</v>
      </c>
      <c r="AA129" s="102">
        <v>0</v>
      </c>
      <c r="AB129" s="103">
        <f t="shared" ca="1" si="10"/>
        <v>3450000</v>
      </c>
      <c r="AC129" s="104">
        <f t="shared" ca="1" si="11"/>
        <v>6530000</v>
      </c>
      <c r="AD129" s="105">
        <f>ROUND(L129*LK_AllowanceRates!$B$25/100,0)</f>
        <v>169400</v>
      </c>
      <c r="AE129" s="106">
        <f t="shared" ca="1" si="12"/>
        <v>6360600</v>
      </c>
      <c r="AF129" s="106">
        <f t="shared" ca="1" si="13"/>
        <v>321060</v>
      </c>
      <c r="AG129" s="107">
        <v>0</v>
      </c>
      <c r="AH129" s="107">
        <v>0</v>
      </c>
      <c r="AI129" s="108">
        <f t="shared" ca="1" si="14"/>
        <v>490460</v>
      </c>
      <c r="AJ129" s="109">
        <f t="shared" ca="1" si="15"/>
        <v>6039540</v>
      </c>
    </row>
    <row r="130" spans="1:36" ht="15" customHeight="1" x14ac:dyDescent="0.3">
      <c r="A130" s="98" t="str">
        <f>EMPLOYEE_MASTER!A130</f>
        <v>LAO00127</v>
      </c>
      <c r="B130" s="98" t="str">
        <f>EMPLOYEE_MASTER!C130</f>
        <v>Khamla</v>
      </c>
      <c r="C130" s="98" t="str">
        <f>EMPLOYEE_MASTER!D130</f>
        <v>Manodham</v>
      </c>
      <c r="D130" s="98" t="str">
        <f>EMPLOYEE_MASTER!T130</f>
        <v>Ministry of Natural Resources &amp; Environment (MoNRE)</v>
      </c>
      <c r="E130" s="98" t="str">
        <f>EMPLOYEE_MASTER!M130</f>
        <v>Technical Officer</v>
      </c>
      <c r="F130" s="98" t="str">
        <f>EMPLOYEE_MASTER!Z130</f>
        <v>Technical</v>
      </c>
      <c r="G130" s="99">
        <f>EMPLOYEE_MASTER!P130</f>
        <v>2</v>
      </c>
      <c r="H130" s="99">
        <f>EMPLOYEE_MASTER!Q130</f>
        <v>1</v>
      </c>
      <c r="I130" s="100" t="str">
        <f t="shared" si="8"/>
        <v>G02-S01</v>
      </c>
      <c r="J130" s="100">
        <f>IFERROR(VLOOKUP(I130,LK_GradeStep!$C$4:$D$85,2,0),0)</f>
        <v>268</v>
      </c>
      <c r="K130" s="100">
        <f>IFERROR(VLOOKUP(I130,LK_GradeStep!$C$4:$E$85,3,0),10000)</f>
        <v>10000</v>
      </c>
      <c r="L130" s="100">
        <f t="shared" si="9"/>
        <v>2680000</v>
      </c>
      <c r="M130" s="101">
        <f>IFERROR(VLOOKUP(EMPLOYEE_MASTER!AQ130,LK_AllowanceRates!$A$5:$B$11,2,0),0)</f>
        <v>900000</v>
      </c>
      <c r="N130" s="101">
        <f ca="1">IFERROR(IF(EMPLOYEE_MASTER!J130&lt;=5,  EMPLOYEE_MASTER!J130*LK_AllowanceRates!$B$12,IF(EMPLOYEE_MASTER!J130&lt;=15, EMPLOYEE_MASTER!J130*LK_AllowanceRates!$B$13,IF(EMPLOYEE_MASTER!J130&lt;=25, EMPLOYEE_MASTER!J130*LK_AllowanceRates!$B$14,EMPLOYEE_MASTER!J130*LK_AllowanceRates!$B$15))),0)</f>
        <v>570000</v>
      </c>
      <c r="O130" s="101">
        <f>IF(EMPLOYEE_MASTER!AS130="Teaching",L130*LK_AllowanceRates!$B$16,0)</f>
        <v>0</v>
      </c>
      <c r="P130" s="101">
        <f>IF(EMPLOYEE_MASTER!AS130="Medical",LK_AllowanceRates!$B$17,0)</f>
        <v>0</v>
      </c>
      <c r="Q130" s="101">
        <f>IF(EMPLOYEE_MASTER!AR130="Yes",LK_AllowanceRates!$B$18,0)</f>
        <v>0</v>
      </c>
      <c r="R130" s="101">
        <f>IF(EMPLOYEE_MASTER!AC130="Yes",LK_AllowanceRates!$B$19,0)</f>
        <v>0</v>
      </c>
      <c r="S130" s="101">
        <f>IF(EMPLOYEE_MASTER!AA130="Yes",L130*LK_AllowanceRates!$B$20,0)</f>
        <v>0</v>
      </c>
      <c r="T130" s="101">
        <f>IF(EMPLOYEE_MASTER!AB130="Yes",LK_AllowanceRates!$B$21,0)</f>
        <v>0</v>
      </c>
      <c r="U130" s="101">
        <f>IF(EMPLOYEE_MASTER!P130&gt;=6,LK_AllowanceRates!$B$22,0)</f>
        <v>0</v>
      </c>
      <c r="V130" s="101">
        <f>IF(EMPLOYEE_MASTER!AO130="Yes",LK_AllowanceRates!$B$23,0)</f>
        <v>200000</v>
      </c>
      <c r="W130" s="101">
        <f>EMPLOYEE_MASTER!AP130*LK_AllowanceRates!$B$24</f>
        <v>200000</v>
      </c>
      <c r="X130" s="101">
        <v>0</v>
      </c>
      <c r="Y130" s="102">
        <v>0</v>
      </c>
      <c r="Z130" s="102">
        <v>0</v>
      </c>
      <c r="AA130" s="102">
        <v>0</v>
      </c>
      <c r="AB130" s="103">
        <f t="shared" ca="1" si="10"/>
        <v>1870000</v>
      </c>
      <c r="AC130" s="104">
        <f t="shared" ca="1" si="11"/>
        <v>4550000</v>
      </c>
      <c r="AD130" s="105">
        <f>ROUND(L130*LK_AllowanceRates!$B$25/100,0)</f>
        <v>147400</v>
      </c>
      <c r="AE130" s="106">
        <f t="shared" ca="1" si="12"/>
        <v>4402600</v>
      </c>
      <c r="AF130" s="106">
        <f t="shared" ca="1" si="13"/>
        <v>155130</v>
      </c>
      <c r="AG130" s="107">
        <v>0</v>
      </c>
      <c r="AH130" s="107">
        <v>0</v>
      </c>
      <c r="AI130" s="108">
        <f t="shared" ca="1" si="14"/>
        <v>302530</v>
      </c>
      <c r="AJ130" s="109">
        <f t="shared" ca="1" si="15"/>
        <v>4247470</v>
      </c>
    </row>
    <row r="131" spans="1:36" ht="15" customHeight="1" x14ac:dyDescent="0.3">
      <c r="A131" s="98" t="str">
        <f>EMPLOYEE_MASTER!A131</f>
        <v>LAO00128</v>
      </c>
      <c r="B131" s="98" t="str">
        <f>EMPLOYEE_MASTER!C131</f>
        <v>Nouphet</v>
      </c>
      <c r="C131" s="98" t="str">
        <f>EMPLOYEE_MASTER!D131</f>
        <v>Phomthong</v>
      </c>
      <c r="D131" s="98" t="str">
        <f>EMPLOYEE_MASTER!T131</f>
        <v>Ministry of Public Works &amp; Transport (MPWT)</v>
      </c>
      <c r="E131" s="98" t="str">
        <f>EMPLOYEE_MASTER!M131</f>
        <v>Survey Officer</v>
      </c>
      <c r="F131" s="98" t="str">
        <f>EMPLOYEE_MASTER!Z131</f>
        <v>Technical</v>
      </c>
      <c r="G131" s="99">
        <f>EMPLOYEE_MASTER!P131</f>
        <v>4</v>
      </c>
      <c r="H131" s="99">
        <f>EMPLOYEE_MASTER!Q131</f>
        <v>1</v>
      </c>
      <c r="I131" s="100" t="str">
        <f t="shared" si="8"/>
        <v>G04-S01</v>
      </c>
      <c r="J131" s="100">
        <f>IFERROR(VLOOKUP(I131,LK_GradeStep!$C$4:$D$85,2,0),0)</f>
        <v>286</v>
      </c>
      <c r="K131" s="100">
        <f>IFERROR(VLOOKUP(I131,LK_GradeStep!$C$4:$E$85,3,0),10000)</f>
        <v>10000</v>
      </c>
      <c r="L131" s="100">
        <f t="shared" si="9"/>
        <v>2860000</v>
      </c>
      <c r="M131" s="101">
        <f>IFERROR(VLOOKUP(EMPLOYEE_MASTER!AQ131,LK_AllowanceRates!$A$5:$B$11,2,0),0)</f>
        <v>900000</v>
      </c>
      <c r="N131" s="101">
        <f ca="1">IFERROR(IF(EMPLOYEE_MASTER!J131&lt;=5,  EMPLOYEE_MASTER!J131*LK_AllowanceRates!$B$12,IF(EMPLOYEE_MASTER!J131&lt;=15, EMPLOYEE_MASTER!J131*LK_AllowanceRates!$B$13,IF(EMPLOYEE_MASTER!J131&lt;=25, EMPLOYEE_MASTER!J131*LK_AllowanceRates!$B$14,EMPLOYEE_MASTER!J131*LK_AllowanceRates!$B$15))),0)</f>
        <v>1360000</v>
      </c>
      <c r="O131" s="101">
        <f>IF(EMPLOYEE_MASTER!AS131="Teaching",L131*LK_AllowanceRates!$B$16,0)</f>
        <v>0</v>
      </c>
      <c r="P131" s="101">
        <f>IF(EMPLOYEE_MASTER!AS131="Medical",LK_AllowanceRates!$B$17,0)</f>
        <v>0</v>
      </c>
      <c r="Q131" s="101">
        <f>IF(EMPLOYEE_MASTER!AR131="Yes",LK_AllowanceRates!$B$18,0)</f>
        <v>0</v>
      </c>
      <c r="R131" s="101">
        <f>IF(EMPLOYEE_MASTER!AC131="Yes",LK_AllowanceRates!$B$19,0)</f>
        <v>0</v>
      </c>
      <c r="S131" s="101">
        <f>IF(EMPLOYEE_MASTER!AA131="Yes",L131*LK_AllowanceRates!$B$20,0)</f>
        <v>0</v>
      </c>
      <c r="T131" s="101">
        <f>IF(EMPLOYEE_MASTER!AB131="Yes",LK_AllowanceRates!$B$21,0)</f>
        <v>0</v>
      </c>
      <c r="U131" s="101">
        <f>IF(EMPLOYEE_MASTER!P131&gt;=6,LK_AllowanceRates!$B$22,0)</f>
        <v>0</v>
      </c>
      <c r="V131" s="101">
        <f>IF(EMPLOYEE_MASTER!AO131="Yes",LK_AllowanceRates!$B$23,0)</f>
        <v>200000</v>
      </c>
      <c r="W131" s="101">
        <f>EMPLOYEE_MASTER!AP131*LK_AllowanceRates!$B$24</f>
        <v>600000</v>
      </c>
      <c r="X131" s="101">
        <v>0</v>
      </c>
      <c r="Y131" s="102">
        <v>0</v>
      </c>
      <c r="Z131" s="102">
        <v>0</v>
      </c>
      <c r="AA131" s="102">
        <v>0</v>
      </c>
      <c r="AB131" s="103">
        <f t="shared" ca="1" si="10"/>
        <v>3060000</v>
      </c>
      <c r="AC131" s="104">
        <f t="shared" ca="1" si="11"/>
        <v>5920000</v>
      </c>
      <c r="AD131" s="105">
        <f>ROUND(L131*LK_AllowanceRates!$B$25/100,0)</f>
        <v>157300</v>
      </c>
      <c r="AE131" s="106">
        <f t="shared" ca="1" si="12"/>
        <v>5762700</v>
      </c>
      <c r="AF131" s="106">
        <f t="shared" ca="1" si="13"/>
        <v>261270</v>
      </c>
      <c r="AG131" s="107">
        <v>0</v>
      </c>
      <c r="AH131" s="107">
        <v>0</v>
      </c>
      <c r="AI131" s="108">
        <f t="shared" ca="1" si="14"/>
        <v>418570</v>
      </c>
      <c r="AJ131" s="109">
        <f t="shared" ca="1" si="15"/>
        <v>5501430</v>
      </c>
    </row>
    <row r="132" spans="1:36" ht="15" customHeight="1" x14ac:dyDescent="0.3">
      <c r="A132" s="98" t="str">
        <f>EMPLOYEE_MASTER!A132</f>
        <v>LAO00129</v>
      </c>
      <c r="B132" s="98" t="str">
        <f>EMPLOYEE_MASTER!C132</f>
        <v>Phanida</v>
      </c>
      <c r="C132" s="98" t="str">
        <f>EMPLOYEE_MASTER!D132</f>
        <v>Sisoulath</v>
      </c>
      <c r="D132" s="98" t="str">
        <f>EMPLOYEE_MASTER!T132</f>
        <v>Ministry of Education and Sports (MoES)</v>
      </c>
      <c r="E132" s="98" t="str">
        <f>EMPLOYEE_MASTER!M132</f>
        <v>University Lecturer</v>
      </c>
      <c r="F132" s="98" t="str">
        <f>EMPLOYEE_MASTER!Z132</f>
        <v>Teacher</v>
      </c>
      <c r="G132" s="99">
        <f>EMPLOYEE_MASTER!P132</f>
        <v>5</v>
      </c>
      <c r="H132" s="99">
        <f>EMPLOYEE_MASTER!Q132</f>
        <v>1</v>
      </c>
      <c r="I132" s="100" t="str">
        <f t="shared" ref="I132:I195" si="16">"G"&amp;TEXT(G132,"00")&amp;"-S"&amp;TEXT(H132,"00")</f>
        <v>G05-S01</v>
      </c>
      <c r="J132" s="100">
        <f>IFERROR(VLOOKUP(I132,LK_GradeStep!$C$4:$D$85,2,0),0)</f>
        <v>308</v>
      </c>
      <c r="K132" s="100">
        <f>IFERROR(VLOOKUP(I132,LK_GradeStep!$C$4:$E$85,3,0),10000)</f>
        <v>10000</v>
      </c>
      <c r="L132" s="100">
        <f t="shared" ref="L132:L195" si="17">IFERROR(J132*K132,0)</f>
        <v>3080000</v>
      </c>
      <c r="M132" s="101">
        <f>IFERROR(VLOOKUP(EMPLOYEE_MASTER!AQ132,LK_AllowanceRates!$A$5:$B$11,2,0),0)</f>
        <v>900000</v>
      </c>
      <c r="N132" s="101">
        <f ca="1">IFERROR(IF(EMPLOYEE_MASTER!J132&lt;=5,  EMPLOYEE_MASTER!J132*LK_AllowanceRates!$B$12,IF(EMPLOYEE_MASTER!J132&lt;=15, EMPLOYEE_MASTER!J132*LK_AllowanceRates!$B$13,IF(EMPLOYEE_MASTER!J132&lt;=25, EMPLOYEE_MASTER!J132*LK_AllowanceRates!$B$14,EMPLOYEE_MASTER!J132*LK_AllowanceRates!$B$15))),0)</f>
        <v>1280000</v>
      </c>
      <c r="O132" s="101">
        <f>IF(EMPLOYEE_MASTER!AS132="Teaching",L132*LK_AllowanceRates!$B$16,0)</f>
        <v>616000</v>
      </c>
      <c r="P132" s="101">
        <f>IF(EMPLOYEE_MASTER!AS132="Medical",LK_AllowanceRates!$B$17,0)</f>
        <v>0</v>
      </c>
      <c r="Q132" s="101">
        <f>IF(EMPLOYEE_MASTER!AR132="Yes",LK_AllowanceRates!$B$18,0)</f>
        <v>0</v>
      </c>
      <c r="R132" s="101">
        <f>IF(EMPLOYEE_MASTER!AC132="Yes",LK_AllowanceRates!$B$19,0)</f>
        <v>0</v>
      </c>
      <c r="S132" s="101">
        <f>IF(EMPLOYEE_MASTER!AA132="Yes",L132*LK_AllowanceRates!$B$20,0)</f>
        <v>770000</v>
      </c>
      <c r="T132" s="101">
        <f>IF(EMPLOYEE_MASTER!AB132="Yes",LK_AllowanceRates!$B$21,0)</f>
        <v>0</v>
      </c>
      <c r="U132" s="101">
        <f>IF(EMPLOYEE_MASTER!P132&gt;=6,LK_AllowanceRates!$B$22,0)</f>
        <v>0</v>
      </c>
      <c r="V132" s="101">
        <f>IF(EMPLOYEE_MASTER!AO132="Yes",LK_AllowanceRates!$B$23,0)</f>
        <v>200000</v>
      </c>
      <c r="W132" s="101">
        <f>EMPLOYEE_MASTER!AP132*LK_AllowanceRates!$B$24</f>
        <v>600000</v>
      </c>
      <c r="X132" s="101">
        <v>0</v>
      </c>
      <c r="Y132" s="102">
        <v>0</v>
      </c>
      <c r="Z132" s="102">
        <v>0</v>
      </c>
      <c r="AA132" s="102">
        <v>0</v>
      </c>
      <c r="AB132" s="103">
        <f t="shared" ref="AB132:AB195" ca="1" si="18">SUM(M132:AA132)</f>
        <v>4366000</v>
      </c>
      <c r="AC132" s="104">
        <f t="shared" ref="AC132:AC195" ca="1" si="19">L132+AB132</f>
        <v>7446000</v>
      </c>
      <c r="AD132" s="105">
        <f>ROUND(L132*LK_AllowanceRates!$B$25/100,0)</f>
        <v>169400</v>
      </c>
      <c r="AE132" s="106">
        <f t="shared" ref="AE132:AE195" ca="1" si="20">IFERROR(AC132-AD132,0)</f>
        <v>7276600</v>
      </c>
      <c r="AF132" s="106">
        <f t="shared" ref="AF132:AF195" ca="1" si="21">IFERROR(IF(AE132&lt;=1300000,0,IF(AE132&lt;=5000000,(AE132-1300000)*0.05,IF(AE132&lt;=10000000,185000+(AE132-5000000)*0.1,IF(AE132&lt;=20000000,685000+(AE132-10000000)*0.15,IF(AE132&lt;=40000000,2185000+(AE132-20000000)*0.2,6185000+(AE132-40000000)*0.24))))),0)</f>
        <v>412660</v>
      </c>
      <c r="AG132" s="107">
        <v>0</v>
      </c>
      <c r="AH132" s="107">
        <v>0</v>
      </c>
      <c r="AI132" s="108">
        <f t="shared" ref="AI132:AI195" ca="1" si="22">AD132+AF132+AG132+AH132</f>
        <v>582060</v>
      </c>
      <c r="AJ132" s="109">
        <f t="shared" ref="AJ132:AJ195" ca="1" si="23">IFERROR(AC132-AI132,0)</f>
        <v>6863940</v>
      </c>
    </row>
    <row r="133" spans="1:36" ht="15" customHeight="1" x14ac:dyDescent="0.3">
      <c r="A133" s="98" t="str">
        <f>EMPLOYEE_MASTER!A133</f>
        <v>LAO00130</v>
      </c>
      <c r="B133" s="98" t="str">
        <f>EMPLOYEE_MASTER!C133</f>
        <v>Vanhkham</v>
      </c>
      <c r="C133" s="98" t="str">
        <f>EMPLOYEE_MASTER!D133</f>
        <v>Phommavong</v>
      </c>
      <c r="D133" s="98" t="str">
        <f>EMPLOYEE_MASTER!T133</f>
        <v>Ministry of Industry &amp; Commerce (MoIC)</v>
      </c>
      <c r="E133" s="98" t="str">
        <f>EMPLOYEE_MASTER!M133</f>
        <v>Senior Administrative Officer</v>
      </c>
      <c r="F133" s="98" t="str">
        <f>EMPLOYEE_MASTER!Z133</f>
        <v>Administration</v>
      </c>
      <c r="G133" s="99">
        <f>EMPLOYEE_MASTER!P133</f>
        <v>4</v>
      </c>
      <c r="H133" s="99">
        <f>EMPLOYEE_MASTER!Q133</f>
        <v>12</v>
      </c>
      <c r="I133" s="100" t="str">
        <f t="shared" si="16"/>
        <v>G04-S12</v>
      </c>
      <c r="J133" s="100">
        <f>IFERROR(VLOOKUP(I133,LK_GradeStep!$C$4:$D$85,2,0),0)</f>
        <v>323</v>
      </c>
      <c r="K133" s="100">
        <f>IFERROR(VLOOKUP(I133,LK_GradeStep!$C$4:$E$85,3,0),10000)</f>
        <v>10000</v>
      </c>
      <c r="L133" s="100">
        <f t="shared" si="17"/>
        <v>3230000</v>
      </c>
      <c r="M133" s="101">
        <f>IFERROR(VLOOKUP(EMPLOYEE_MASTER!AQ133,LK_AllowanceRates!$A$5:$B$11,2,0),0)</f>
        <v>900000</v>
      </c>
      <c r="N133" s="101">
        <f ca="1">IFERROR(IF(EMPLOYEE_MASTER!J133&lt;=5,  EMPLOYEE_MASTER!J133*LK_AllowanceRates!$B$12,IF(EMPLOYEE_MASTER!J133&lt;=15, EMPLOYEE_MASTER!J133*LK_AllowanceRates!$B$13,IF(EMPLOYEE_MASTER!J133&lt;=25, EMPLOYEE_MASTER!J133*LK_AllowanceRates!$B$14,EMPLOYEE_MASTER!J133*LK_AllowanceRates!$B$15))),0)</f>
        <v>200000</v>
      </c>
      <c r="O133" s="101">
        <f>IF(EMPLOYEE_MASTER!AS133="Teaching",L133*LK_AllowanceRates!$B$16,0)</f>
        <v>0</v>
      </c>
      <c r="P133" s="101">
        <f>IF(EMPLOYEE_MASTER!AS133="Medical",LK_AllowanceRates!$B$17,0)</f>
        <v>0</v>
      </c>
      <c r="Q133" s="101">
        <f>IF(EMPLOYEE_MASTER!AR133="Yes",LK_AllowanceRates!$B$18,0)</f>
        <v>0</v>
      </c>
      <c r="R133" s="101">
        <f>IF(EMPLOYEE_MASTER!AC133="Yes",LK_AllowanceRates!$B$19,0)</f>
        <v>0</v>
      </c>
      <c r="S133" s="101">
        <f>IF(EMPLOYEE_MASTER!AA133="Yes",L133*LK_AllowanceRates!$B$20,0)</f>
        <v>0</v>
      </c>
      <c r="T133" s="101">
        <f>IF(EMPLOYEE_MASTER!AB133="Yes",LK_AllowanceRates!$B$21,0)</f>
        <v>0</v>
      </c>
      <c r="U133" s="101">
        <f>IF(EMPLOYEE_MASTER!P133&gt;=6,LK_AllowanceRates!$B$22,0)</f>
        <v>0</v>
      </c>
      <c r="V133" s="101">
        <f>IF(EMPLOYEE_MASTER!AO133="Yes",LK_AllowanceRates!$B$23,0)</f>
        <v>200000</v>
      </c>
      <c r="W133" s="101">
        <f>EMPLOYEE_MASTER!AP133*LK_AllowanceRates!$B$24</f>
        <v>0</v>
      </c>
      <c r="X133" s="101">
        <v>0</v>
      </c>
      <c r="Y133" s="102">
        <v>0</v>
      </c>
      <c r="Z133" s="102">
        <v>0</v>
      </c>
      <c r="AA133" s="102">
        <v>0</v>
      </c>
      <c r="AB133" s="103">
        <f t="shared" ca="1" si="18"/>
        <v>1300000</v>
      </c>
      <c r="AC133" s="104">
        <f t="shared" ca="1" si="19"/>
        <v>4530000</v>
      </c>
      <c r="AD133" s="105">
        <f>ROUND(L133*LK_AllowanceRates!$B$25/100,0)</f>
        <v>177650</v>
      </c>
      <c r="AE133" s="106">
        <f t="shared" ca="1" si="20"/>
        <v>4352350</v>
      </c>
      <c r="AF133" s="106">
        <f t="shared" ca="1" si="21"/>
        <v>152617.5</v>
      </c>
      <c r="AG133" s="107">
        <v>0</v>
      </c>
      <c r="AH133" s="107">
        <v>0</v>
      </c>
      <c r="AI133" s="108">
        <f t="shared" ca="1" si="22"/>
        <v>330267.5</v>
      </c>
      <c r="AJ133" s="109">
        <f t="shared" ca="1" si="23"/>
        <v>4199732.5</v>
      </c>
    </row>
    <row r="134" spans="1:36" ht="15" customHeight="1" x14ac:dyDescent="0.3">
      <c r="A134" s="98" t="str">
        <f>EMPLOYEE_MASTER!A134</f>
        <v>LAO00131</v>
      </c>
      <c r="B134" s="98" t="str">
        <f>EMPLOYEE_MASTER!C134</f>
        <v>Somsak</v>
      </c>
      <c r="C134" s="98" t="str">
        <f>EMPLOYEE_MASTER!D134</f>
        <v>Vilayvong</v>
      </c>
      <c r="D134" s="98" t="str">
        <f>EMPLOYEE_MASTER!T134</f>
        <v>Ministry of Industry &amp; Commerce (MoIC)</v>
      </c>
      <c r="E134" s="98" t="str">
        <f>EMPLOYEE_MASTER!M134</f>
        <v>Section Chief</v>
      </c>
      <c r="F134" s="98" t="str">
        <f>EMPLOYEE_MASTER!Z134</f>
        <v>Administration</v>
      </c>
      <c r="G134" s="99">
        <f>EMPLOYEE_MASTER!P134</f>
        <v>5</v>
      </c>
      <c r="H134" s="99">
        <f>EMPLOYEE_MASTER!Q134</f>
        <v>6</v>
      </c>
      <c r="I134" s="100" t="str">
        <f t="shared" si="16"/>
        <v>G05-S06</v>
      </c>
      <c r="J134" s="100">
        <f>IFERROR(VLOOKUP(I134,LK_GradeStep!$C$4:$D$85,2,0),0)</f>
        <v>333</v>
      </c>
      <c r="K134" s="100">
        <f>IFERROR(VLOOKUP(I134,LK_GradeStep!$C$4:$E$85,3,0),10000)</f>
        <v>10000</v>
      </c>
      <c r="L134" s="100">
        <f t="shared" si="17"/>
        <v>3330000</v>
      </c>
      <c r="M134" s="101">
        <f>IFERROR(VLOOKUP(EMPLOYEE_MASTER!AQ134,LK_AllowanceRates!$A$5:$B$11,2,0),0)</f>
        <v>1500000</v>
      </c>
      <c r="N134" s="101">
        <f ca="1">IFERROR(IF(EMPLOYEE_MASTER!J134&lt;=5,  EMPLOYEE_MASTER!J134*LK_AllowanceRates!$B$12,IF(EMPLOYEE_MASTER!J134&lt;=15, EMPLOYEE_MASTER!J134*LK_AllowanceRates!$B$13,IF(EMPLOYEE_MASTER!J134&lt;=25, EMPLOYEE_MASTER!J134*LK_AllowanceRates!$B$14,EMPLOYEE_MASTER!J134*LK_AllowanceRates!$B$15))),0)</f>
        <v>510000</v>
      </c>
      <c r="O134" s="101">
        <f>IF(EMPLOYEE_MASTER!AS134="Teaching",L134*LK_AllowanceRates!$B$16,0)</f>
        <v>0</v>
      </c>
      <c r="P134" s="101">
        <f>IF(EMPLOYEE_MASTER!AS134="Medical",LK_AllowanceRates!$B$17,0)</f>
        <v>0</v>
      </c>
      <c r="Q134" s="101">
        <f>IF(EMPLOYEE_MASTER!AR134="Yes",LK_AllowanceRates!$B$18,0)</f>
        <v>0</v>
      </c>
      <c r="R134" s="101">
        <f>IF(EMPLOYEE_MASTER!AC134="Yes",LK_AllowanceRates!$B$19,0)</f>
        <v>0</v>
      </c>
      <c r="S134" s="101">
        <f>IF(EMPLOYEE_MASTER!AA134="Yes",L134*LK_AllowanceRates!$B$20,0)</f>
        <v>0</v>
      </c>
      <c r="T134" s="101">
        <f>IF(EMPLOYEE_MASTER!AB134="Yes",LK_AllowanceRates!$B$21,0)</f>
        <v>0</v>
      </c>
      <c r="U134" s="101">
        <f>IF(EMPLOYEE_MASTER!P134&gt;=6,LK_AllowanceRates!$B$22,0)</f>
        <v>0</v>
      </c>
      <c r="V134" s="101">
        <f>IF(EMPLOYEE_MASTER!AO134="Yes",LK_AllowanceRates!$B$23,0)</f>
        <v>0</v>
      </c>
      <c r="W134" s="101">
        <f>EMPLOYEE_MASTER!AP134*LK_AllowanceRates!$B$24</f>
        <v>0</v>
      </c>
      <c r="X134" s="101">
        <v>0</v>
      </c>
      <c r="Y134" s="102">
        <v>0</v>
      </c>
      <c r="Z134" s="102">
        <v>0</v>
      </c>
      <c r="AA134" s="102">
        <v>0</v>
      </c>
      <c r="AB134" s="103">
        <f t="shared" ca="1" si="18"/>
        <v>2010000</v>
      </c>
      <c r="AC134" s="104">
        <f t="shared" ca="1" si="19"/>
        <v>5340000</v>
      </c>
      <c r="AD134" s="105">
        <f>ROUND(L134*LK_AllowanceRates!$B$25/100,0)</f>
        <v>183150</v>
      </c>
      <c r="AE134" s="106">
        <f t="shared" ca="1" si="20"/>
        <v>5156850</v>
      </c>
      <c r="AF134" s="106">
        <f t="shared" ca="1" si="21"/>
        <v>200685</v>
      </c>
      <c r="AG134" s="107">
        <v>0</v>
      </c>
      <c r="AH134" s="107">
        <v>0</v>
      </c>
      <c r="AI134" s="108">
        <f t="shared" ca="1" si="22"/>
        <v>383835</v>
      </c>
      <c r="AJ134" s="109">
        <f t="shared" ca="1" si="23"/>
        <v>4956165</v>
      </c>
    </row>
    <row r="135" spans="1:36" ht="15" customHeight="1" x14ac:dyDescent="0.3">
      <c r="A135" s="98" t="str">
        <f>EMPLOYEE_MASTER!A135</f>
        <v>LAO00132</v>
      </c>
      <c r="B135" s="98" t="str">
        <f>EMPLOYEE_MASTER!C135</f>
        <v>Bounmy</v>
      </c>
      <c r="C135" s="98" t="str">
        <f>EMPLOYEE_MASTER!D135</f>
        <v>Phongphichith</v>
      </c>
      <c r="D135" s="98" t="str">
        <f>EMPLOYEE_MASTER!T135</f>
        <v>Ministry of Finance (MoF)</v>
      </c>
      <c r="E135" s="98" t="str">
        <f>EMPLOYEE_MASTER!M135</f>
        <v>Senior Accountant</v>
      </c>
      <c r="F135" s="98" t="str">
        <f>EMPLOYEE_MASTER!Z135</f>
        <v>Finance</v>
      </c>
      <c r="G135" s="99">
        <f>EMPLOYEE_MASTER!P135</f>
        <v>4</v>
      </c>
      <c r="H135" s="99">
        <f>EMPLOYEE_MASTER!Q135</f>
        <v>1</v>
      </c>
      <c r="I135" s="100" t="str">
        <f t="shared" si="16"/>
        <v>G04-S01</v>
      </c>
      <c r="J135" s="100">
        <f>IFERROR(VLOOKUP(I135,LK_GradeStep!$C$4:$D$85,2,0),0)</f>
        <v>286</v>
      </c>
      <c r="K135" s="100">
        <f>IFERROR(VLOOKUP(I135,LK_GradeStep!$C$4:$E$85,3,0),10000)</f>
        <v>10000</v>
      </c>
      <c r="L135" s="100">
        <f t="shared" si="17"/>
        <v>2860000</v>
      </c>
      <c r="M135" s="101">
        <f>IFERROR(VLOOKUP(EMPLOYEE_MASTER!AQ135,LK_AllowanceRates!$A$5:$B$11,2,0),0)</f>
        <v>900000</v>
      </c>
      <c r="N135" s="101">
        <f ca="1">IFERROR(IF(EMPLOYEE_MASTER!J135&lt;=5,  EMPLOYEE_MASTER!J135*LK_AllowanceRates!$B$12,IF(EMPLOYEE_MASTER!J135&lt;=15, EMPLOYEE_MASTER!J135*LK_AllowanceRates!$B$13,IF(EMPLOYEE_MASTER!J135&lt;=25, EMPLOYEE_MASTER!J135*LK_AllowanceRates!$B$14,EMPLOYEE_MASTER!J135*LK_AllowanceRates!$B$15))),0)</f>
        <v>1200000</v>
      </c>
      <c r="O135" s="101">
        <f>IF(EMPLOYEE_MASTER!AS135="Teaching",L135*LK_AllowanceRates!$B$16,0)</f>
        <v>0</v>
      </c>
      <c r="P135" s="101">
        <f>IF(EMPLOYEE_MASTER!AS135="Medical",LK_AllowanceRates!$B$17,0)</f>
        <v>0</v>
      </c>
      <c r="Q135" s="101">
        <f>IF(EMPLOYEE_MASTER!AR135="Yes",LK_AllowanceRates!$B$18,0)</f>
        <v>0</v>
      </c>
      <c r="R135" s="101">
        <f>IF(EMPLOYEE_MASTER!AC135="Yes",LK_AllowanceRates!$B$19,0)</f>
        <v>0</v>
      </c>
      <c r="S135" s="101">
        <f>IF(EMPLOYEE_MASTER!AA135="Yes",L135*LK_AllowanceRates!$B$20,0)</f>
        <v>715000</v>
      </c>
      <c r="T135" s="101">
        <f>IF(EMPLOYEE_MASTER!AB135="Yes",LK_AllowanceRates!$B$21,0)</f>
        <v>0</v>
      </c>
      <c r="U135" s="101">
        <f>IF(EMPLOYEE_MASTER!P135&gt;=6,LK_AllowanceRates!$B$22,0)</f>
        <v>0</v>
      </c>
      <c r="V135" s="101">
        <f>IF(EMPLOYEE_MASTER!AO135="Yes",LK_AllowanceRates!$B$23,0)</f>
        <v>0</v>
      </c>
      <c r="W135" s="101">
        <f>EMPLOYEE_MASTER!AP135*LK_AllowanceRates!$B$24</f>
        <v>0</v>
      </c>
      <c r="X135" s="101">
        <v>0</v>
      </c>
      <c r="Y135" s="102">
        <v>0</v>
      </c>
      <c r="Z135" s="102">
        <v>0</v>
      </c>
      <c r="AA135" s="102">
        <v>0</v>
      </c>
      <c r="AB135" s="103">
        <f t="shared" ca="1" si="18"/>
        <v>2815000</v>
      </c>
      <c r="AC135" s="104">
        <f t="shared" ca="1" si="19"/>
        <v>5675000</v>
      </c>
      <c r="AD135" s="105">
        <f>ROUND(L135*LK_AllowanceRates!$B$25/100,0)</f>
        <v>157300</v>
      </c>
      <c r="AE135" s="106">
        <f t="shared" ca="1" si="20"/>
        <v>5517700</v>
      </c>
      <c r="AF135" s="106">
        <f t="shared" ca="1" si="21"/>
        <v>236770</v>
      </c>
      <c r="AG135" s="107">
        <v>0</v>
      </c>
      <c r="AH135" s="107">
        <v>0</v>
      </c>
      <c r="AI135" s="108">
        <f t="shared" ca="1" si="22"/>
        <v>394070</v>
      </c>
      <c r="AJ135" s="109">
        <f t="shared" ca="1" si="23"/>
        <v>5280930</v>
      </c>
    </row>
    <row r="136" spans="1:36" ht="15" customHeight="1" x14ac:dyDescent="0.3">
      <c r="A136" s="98" t="str">
        <f>EMPLOYEE_MASTER!A136</f>
        <v>LAO00133</v>
      </c>
      <c r="B136" s="98" t="str">
        <f>EMPLOYEE_MASTER!C136</f>
        <v>Vilayphon</v>
      </c>
      <c r="C136" s="98" t="str">
        <f>EMPLOYEE_MASTER!D136</f>
        <v>Phongphichith</v>
      </c>
      <c r="D136" s="98" t="str">
        <f>EMPLOYEE_MASTER!T136</f>
        <v>Ministry of Finance (MoF)</v>
      </c>
      <c r="E136" s="98" t="str">
        <f>EMPLOYEE_MASTER!M136</f>
        <v>Finance Officer</v>
      </c>
      <c r="F136" s="98" t="str">
        <f>EMPLOYEE_MASTER!Z136</f>
        <v>Finance</v>
      </c>
      <c r="G136" s="99">
        <f>EMPLOYEE_MASTER!P136</f>
        <v>4</v>
      </c>
      <c r="H136" s="99">
        <f>EMPLOYEE_MASTER!Q136</f>
        <v>1</v>
      </c>
      <c r="I136" s="100" t="str">
        <f t="shared" si="16"/>
        <v>G04-S01</v>
      </c>
      <c r="J136" s="100">
        <f>IFERROR(VLOOKUP(I136,LK_GradeStep!$C$4:$D$85,2,0),0)</f>
        <v>286</v>
      </c>
      <c r="K136" s="100">
        <f>IFERROR(VLOOKUP(I136,LK_GradeStep!$C$4:$E$85,3,0),10000)</f>
        <v>10000</v>
      </c>
      <c r="L136" s="100">
        <f t="shared" si="17"/>
        <v>2860000</v>
      </c>
      <c r="M136" s="101">
        <f>IFERROR(VLOOKUP(EMPLOYEE_MASTER!AQ136,LK_AllowanceRates!$A$5:$B$11,2,0),0)</f>
        <v>900000</v>
      </c>
      <c r="N136" s="101">
        <f ca="1">IFERROR(IF(EMPLOYEE_MASTER!J136&lt;=5,  EMPLOYEE_MASTER!J136*LK_AllowanceRates!$B$12,IF(EMPLOYEE_MASTER!J136&lt;=15, EMPLOYEE_MASTER!J136*LK_AllowanceRates!$B$13,IF(EMPLOYEE_MASTER!J136&lt;=25, EMPLOYEE_MASTER!J136*LK_AllowanceRates!$B$14,EMPLOYEE_MASTER!J136*LK_AllowanceRates!$B$15))),0)</f>
        <v>1280000</v>
      </c>
      <c r="O136" s="101">
        <f>IF(EMPLOYEE_MASTER!AS136="Teaching",L136*LK_AllowanceRates!$B$16,0)</f>
        <v>0</v>
      </c>
      <c r="P136" s="101">
        <f>IF(EMPLOYEE_MASTER!AS136="Medical",LK_AllowanceRates!$B$17,0)</f>
        <v>0</v>
      </c>
      <c r="Q136" s="101">
        <f>IF(EMPLOYEE_MASTER!AR136="Yes",LK_AllowanceRates!$B$18,0)</f>
        <v>0</v>
      </c>
      <c r="R136" s="101">
        <f>IF(EMPLOYEE_MASTER!AC136="Yes",LK_AllowanceRates!$B$19,0)</f>
        <v>0</v>
      </c>
      <c r="S136" s="101">
        <f>IF(EMPLOYEE_MASTER!AA136="Yes",L136*LK_AllowanceRates!$B$20,0)</f>
        <v>0</v>
      </c>
      <c r="T136" s="101">
        <f>IF(EMPLOYEE_MASTER!AB136="Yes",LK_AllowanceRates!$B$21,0)</f>
        <v>0</v>
      </c>
      <c r="U136" s="101">
        <f>IF(EMPLOYEE_MASTER!P136&gt;=6,LK_AllowanceRates!$B$22,0)</f>
        <v>0</v>
      </c>
      <c r="V136" s="101">
        <f>IF(EMPLOYEE_MASTER!AO136="Yes",LK_AllowanceRates!$B$23,0)</f>
        <v>200000</v>
      </c>
      <c r="W136" s="101">
        <f>EMPLOYEE_MASTER!AP136*LK_AllowanceRates!$B$24</f>
        <v>200000</v>
      </c>
      <c r="X136" s="101">
        <v>0</v>
      </c>
      <c r="Y136" s="102">
        <v>0</v>
      </c>
      <c r="Z136" s="102">
        <v>0</v>
      </c>
      <c r="AA136" s="102">
        <v>0</v>
      </c>
      <c r="AB136" s="103">
        <f t="shared" ca="1" si="18"/>
        <v>2580000</v>
      </c>
      <c r="AC136" s="104">
        <f t="shared" ca="1" si="19"/>
        <v>5440000</v>
      </c>
      <c r="AD136" s="105">
        <f>ROUND(L136*LK_AllowanceRates!$B$25/100,0)</f>
        <v>157300</v>
      </c>
      <c r="AE136" s="106">
        <f t="shared" ca="1" si="20"/>
        <v>5282700</v>
      </c>
      <c r="AF136" s="106">
        <f t="shared" ca="1" si="21"/>
        <v>213270</v>
      </c>
      <c r="AG136" s="107">
        <v>0</v>
      </c>
      <c r="AH136" s="107">
        <v>0</v>
      </c>
      <c r="AI136" s="108">
        <f t="shared" ca="1" si="22"/>
        <v>370570</v>
      </c>
      <c r="AJ136" s="109">
        <f t="shared" ca="1" si="23"/>
        <v>5069430</v>
      </c>
    </row>
    <row r="137" spans="1:36" ht="15" customHeight="1" x14ac:dyDescent="0.3">
      <c r="A137" s="98" t="str">
        <f>EMPLOYEE_MASTER!A137</f>
        <v>LAO00134</v>
      </c>
      <c r="B137" s="98" t="str">
        <f>EMPLOYEE_MASTER!C137</f>
        <v>Chanthida</v>
      </c>
      <c r="C137" s="98" t="str">
        <f>EMPLOYEE_MASTER!D137</f>
        <v>Sengkhounmane</v>
      </c>
      <c r="D137" s="98" t="str">
        <f>EMPLOYEE_MASTER!T137</f>
        <v>Savannakhet Province Administration</v>
      </c>
      <c r="E137" s="98" t="str">
        <f>EMPLOYEE_MASTER!M137</f>
        <v>Administrative Officer</v>
      </c>
      <c r="F137" s="98" t="str">
        <f>EMPLOYEE_MASTER!Z137</f>
        <v>Administration</v>
      </c>
      <c r="G137" s="99">
        <f>EMPLOYEE_MASTER!P137</f>
        <v>2</v>
      </c>
      <c r="H137" s="99">
        <f>EMPLOYEE_MASTER!Q137</f>
        <v>3</v>
      </c>
      <c r="I137" s="100" t="str">
        <f t="shared" si="16"/>
        <v>G02-S03</v>
      </c>
      <c r="J137" s="100">
        <f>IFERROR(VLOOKUP(I137,LK_GradeStep!$C$4:$D$85,2,0),0)</f>
        <v>270</v>
      </c>
      <c r="K137" s="100">
        <f>IFERROR(VLOOKUP(I137,LK_GradeStep!$C$4:$E$85,3,0),10000)</f>
        <v>10000</v>
      </c>
      <c r="L137" s="100">
        <f t="shared" si="17"/>
        <v>2700000</v>
      </c>
      <c r="M137" s="101">
        <f>IFERROR(VLOOKUP(EMPLOYEE_MASTER!AQ137,LK_AllowanceRates!$A$5:$B$11,2,0),0)</f>
        <v>900000</v>
      </c>
      <c r="N137" s="101">
        <f ca="1">IFERROR(IF(EMPLOYEE_MASTER!J137&lt;=5,  EMPLOYEE_MASTER!J137*LK_AllowanceRates!$B$12,IF(EMPLOYEE_MASTER!J137&lt;=15, EMPLOYEE_MASTER!J137*LK_AllowanceRates!$B$13,IF(EMPLOYEE_MASTER!J137&lt;=25, EMPLOYEE_MASTER!J137*LK_AllowanceRates!$B$14,EMPLOYEE_MASTER!J137*LK_AllowanceRates!$B$15))),0)</f>
        <v>1080000</v>
      </c>
      <c r="O137" s="101">
        <f>IF(EMPLOYEE_MASTER!AS137="Teaching",L137*LK_AllowanceRates!$B$16,0)</f>
        <v>0</v>
      </c>
      <c r="P137" s="101">
        <f>IF(EMPLOYEE_MASTER!AS137="Medical",LK_AllowanceRates!$B$17,0)</f>
        <v>0</v>
      </c>
      <c r="Q137" s="101">
        <f>IF(EMPLOYEE_MASTER!AR137="Yes",LK_AllowanceRates!$B$18,0)</f>
        <v>0</v>
      </c>
      <c r="R137" s="101">
        <f>IF(EMPLOYEE_MASTER!AC137="Yes",LK_AllowanceRates!$B$19,0)</f>
        <v>0</v>
      </c>
      <c r="S137" s="101">
        <f>IF(EMPLOYEE_MASTER!AA137="Yes",L137*LK_AllowanceRates!$B$20,0)</f>
        <v>0</v>
      </c>
      <c r="T137" s="101">
        <f>IF(EMPLOYEE_MASTER!AB137="Yes",LK_AllowanceRates!$B$21,0)</f>
        <v>0</v>
      </c>
      <c r="U137" s="101">
        <f>IF(EMPLOYEE_MASTER!P137&gt;=6,LK_AllowanceRates!$B$22,0)</f>
        <v>0</v>
      </c>
      <c r="V137" s="101">
        <f>IF(EMPLOYEE_MASTER!AO137="Yes",LK_AllowanceRates!$B$23,0)</f>
        <v>0</v>
      </c>
      <c r="W137" s="101">
        <f>EMPLOYEE_MASTER!AP137*LK_AllowanceRates!$B$24</f>
        <v>0</v>
      </c>
      <c r="X137" s="101">
        <v>0</v>
      </c>
      <c r="Y137" s="102">
        <v>0</v>
      </c>
      <c r="Z137" s="102">
        <v>0</v>
      </c>
      <c r="AA137" s="102">
        <v>0</v>
      </c>
      <c r="AB137" s="103">
        <f t="shared" ca="1" si="18"/>
        <v>1980000</v>
      </c>
      <c r="AC137" s="104">
        <f t="shared" ca="1" si="19"/>
        <v>4680000</v>
      </c>
      <c r="AD137" s="105">
        <f>ROUND(L137*LK_AllowanceRates!$B$25/100,0)</f>
        <v>148500</v>
      </c>
      <c r="AE137" s="106">
        <f t="shared" ca="1" si="20"/>
        <v>4531500</v>
      </c>
      <c r="AF137" s="106">
        <f t="shared" ca="1" si="21"/>
        <v>161575</v>
      </c>
      <c r="AG137" s="107">
        <v>0</v>
      </c>
      <c r="AH137" s="107">
        <v>0</v>
      </c>
      <c r="AI137" s="108">
        <f t="shared" ca="1" si="22"/>
        <v>310075</v>
      </c>
      <c r="AJ137" s="109">
        <f t="shared" ca="1" si="23"/>
        <v>4369925</v>
      </c>
    </row>
    <row r="138" spans="1:36" ht="15" customHeight="1" x14ac:dyDescent="0.3">
      <c r="A138" s="98" t="str">
        <f>EMPLOYEE_MASTER!A138</f>
        <v>LAO00135</v>
      </c>
      <c r="B138" s="98" t="str">
        <f>EMPLOYEE_MASTER!C138</f>
        <v>Khamla</v>
      </c>
      <c r="C138" s="98" t="str">
        <f>EMPLOYEE_MASTER!D138</f>
        <v>Xayavong</v>
      </c>
      <c r="D138" s="98" t="str">
        <f>EMPLOYEE_MASTER!T138</f>
        <v>Ministry of Labour &amp; Social Welfare (MLSW)</v>
      </c>
      <c r="E138" s="98" t="str">
        <f>EMPLOYEE_MASTER!M138</f>
        <v>Administrative Officer</v>
      </c>
      <c r="F138" s="98" t="str">
        <f>EMPLOYEE_MASTER!Z138</f>
        <v>Administration</v>
      </c>
      <c r="G138" s="99">
        <f>EMPLOYEE_MASTER!P138</f>
        <v>3</v>
      </c>
      <c r="H138" s="99">
        <f>EMPLOYEE_MASTER!Q138</f>
        <v>5</v>
      </c>
      <c r="I138" s="100" t="str">
        <f t="shared" si="16"/>
        <v>G03-S05</v>
      </c>
      <c r="J138" s="100">
        <f>IFERROR(VLOOKUP(I138,LK_GradeStep!$C$4:$D$85,2,0),0)</f>
        <v>280</v>
      </c>
      <c r="K138" s="100">
        <f>IFERROR(VLOOKUP(I138,LK_GradeStep!$C$4:$E$85,3,0),10000)</f>
        <v>10000</v>
      </c>
      <c r="L138" s="100">
        <f t="shared" si="17"/>
        <v>2800000</v>
      </c>
      <c r="M138" s="101">
        <f>IFERROR(VLOOKUP(EMPLOYEE_MASTER!AQ138,LK_AllowanceRates!$A$5:$B$11,2,0),0)</f>
        <v>900000</v>
      </c>
      <c r="N138" s="101">
        <f ca="1">IFERROR(IF(EMPLOYEE_MASTER!J138&lt;=5,  EMPLOYEE_MASTER!J138*LK_AllowanceRates!$B$12,IF(EMPLOYEE_MASTER!J138&lt;=15, EMPLOYEE_MASTER!J138*LK_AllowanceRates!$B$13,IF(EMPLOYEE_MASTER!J138&lt;=25, EMPLOYEE_MASTER!J138*LK_AllowanceRates!$B$14,EMPLOYEE_MASTER!J138*LK_AllowanceRates!$B$15))),0)</f>
        <v>540000</v>
      </c>
      <c r="O138" s="101">
        <f>IF(EMPLOYEE_MASTER!AS138="Teaching",L138*LK_AllowanceRates!$B$16,0)</f>
        <v>0</v>
      </c>
      <c r="P138" s="101">
        <f>IF(EMPLOYEE_MASTER!AS138="Medical",LK_AllowanceRates!$B$17,0)</f>
        <v>0</v>
      </c>
      <c r="Q138" s="101">
        <f>IF(EMPLOYEE_MASTER!AR138="Yes",LK_AllowanceRates!$B$18,0)</f>
        <v>0</v>
      </c>
      <c r="R138" s="101">
        <f>IF(EMPLOYEE_MASTER!AC138="Yes",LK_AllowanceRates!$B$19,0)</f>
        <v>0</v>
      </c>
      <c r="S138" s="101">
        <f>IF(EMPLOYEE_MASTER!AA138="Yes",L138*LK_AllowanceRates!$B$20,0)</f>
        <v>700000</v>
      </c>
      <c r="T138" s="101">
        <f>IF(EMPLOYEE_MASTER!AB138="Yes",LK_AllowanceRates!$B$21,0)</f>
        <v>0</v>
      </c>
      <c r="U138" s="101">
        <f>IF(EMPLOYEE_MASTER!P138&gt;=6,LK_AllowanceRates!$B$22,0)</f>
        <v>0</v>
      </c>
      <c r="V138" s="101">
        <f>IF(EMPLOYEE_MASTER!AO138="Yes",LK_AllowanceRates!$B$23,0)</f>
        <v>200000</v>
      </c>
      <c r="W138" s="101">
        <f>EMPLOYEE_MASTER!AP138*LK_AllowanceRates!$B$24</f>
        <v>200000</v>
      </c>
      <c r="X138" s="101">
        <v>0</v>
      </c>
      <c r="Y138" s="102">
        <v>0</v>
      </c>
      <c r="Z138" s="102">
        <v>0</v>
      </c>
      <c r="AA138" s="102">
        <v>0</v>
      </c>
      <c r="AB138" s="103">
        <f t="shared" ca="1" si="18"/>
        <v>2540000</v>
      </c>
      <c r="AC138" s="104">
        <f t="shared" ca="1" si="19"/>
        <v>5340000</v>
      </c>
      <c r="AD138" s="105">
        <f>ROUND(L138*LK_AllowanceRates!$B$25/100,0)</f>
        <v>154000</v>
      </c>
      <c r="AE138" s="106">
        <f t="shared" ca="1" si="20"/>
        <v>5186000</v>
      </c>
      <c r="AF138" s="106">
        <f t="shared" ca="1" si="21"/>
        <v>203600</v>
      </c>
      <c r="AG138" s="107">
        <v>0</v>
      </c>
      <c r="AH138" s="107">
        <v>0</v>
      </c>
      <c r="AI138" s="108">
        <f t="shared" ca="1" si="22"/>
        <v>357600</v>
      </c>
      <c r="AJ138" s="109">
        <f t="shared" ca="1" si="23"/>
        <v>4982400</v>
      </c>
    </row>
    <row r="139" spans="1:36" ht="15" customHeight="1" x14ac:dyDescent="0.3">
      <c r="A139" s="98" t="str">
        <f>EMPLOYEE_MASTER!A139</f>
        <v>LAO00136</v>
      </c>
      <c r="B139" s="98" t="str">
        <f>EMPLOYEE_MASTER!C139</f>
        <v>Khamphone</v>
      </c>
      <c r="C139" s="98" t="str">
        <f>EMPLOYEE_MASTER!D139</f>
        <v>Bouavong</v>
      </c>
      <c r="D139" s="98" t="str">
        <f>EMPLOYEE_MASTER!T139</f>
        <v>Ministry of Health (MoH)</v>
      </c>
      <c r="E139" s="98" t="str">
        <f>EMPLOYEE_MASTER!M139</f>
        <v>Midwife</v>
      </c>
      <c r="F139" s="98" t="str">
        <f>EMPLOYEE_MASTER!Z139</f>
        <v>Medical</v>
      </c>
      <c r="G139" s="99">
        <f>EMPLOYEE_MASTER!P139</f>
        <v>4</v>
      </c>
      <c r="H139" s="99">
        <f>EMPLOYEE_MASTER!Q139</f>
        <v>13</v>
      </c>
      <c r="I139" s="100" t="str">
        <f t="shared" si="16"/>
        <v>G04-S13</v>
      </c>
      <c r="J139" s="100">
        <f>IFERROR(VLOOKUP(I139,LK_GradeStep!$C$4:$D$85,2,0),0)</f>
        <v>328</v>
      </c>
      <c r="K139" s="100">
        <f>IFERROR(VLOOKUP(I139,LK_GradeStep!$C$4:$E$85,3,0),10000)</f>
        <v>10000</v>
      </c>
      <c r="L139" s="100">
        <f t="shared" si="17"/>
        <v>3280000</v>
      </c>
      <c r="M139" s="101">
        <f>IFERROR(VLOOKUP(EMPLOYEE_MASTER!AQ139,LK_AllowanceRates!$A$5:$B$11,2,0),0)</f>
        <v>900000</v>
      </c>
      <c r="N139" s="101">
        <f ca="1">IFERROR(IF(EMPLOYEE_MASTER!J139&lt;=5,  EMPLOYEE_MASTER!J139*LK_AllowanceRates!$B$12,IF(EMPLOYEE_MASTER!J139&lt;=15, EMPLOYEE_MASTER!J139*LK_AllowanceRates!$B$13,IF(EMPLOYEE_MASTER!J139&lt;=25, EMPLOYEE_MASTER!J139*LK_AllowanceRates!$B$14,EMPLOYEE_MASTER!J139*LK_AllowanceRates!$B$15))),0)</f>
        <v>160000</v>
      </c>
      <c r="O139" s="101">
        <f>IF(EMPLOYEE_MASTER!AS139="Teaching",L139*LK_AllowanceRates!$B$16,0)</f>
        <v>0</v>
      </c>
      <c r="P139" s="101">
        <f>IF(EMPLOYEE_MASTER!AS139="Medical",LK_AllowanceRates!$B$17,0)</f>
        <v>500000</v>
      </c>
      <c r="Q139" s="101">
        <f>IF(EMPLOYEE_MASTER!AR139="Yes",LK_AllowanceRates!$B$18,0)</f>
        <v>0</v>
      </c>
      <c r="R139" s="101">
        <f>IF(EMPLOYEE_MASTER!AC139="Yes",LK_AllowanceRates!$B$19,0)</f>
        <v>1000000</v>
      </c>
      <c r="S139" s="101">
        <f>IF(EMPLOYEE_MASTER!AA139="Yes",L139*LK_AllowanceRates!$B$20,0)</f>
        <v>820000</v>
      </c>
      <c r="T139" s="101">
        <f>IF(EMPLOYEE_MASTER!AB139="Yes",LK_AllowanceRates!$B$21,0)</f>
        <v>0</v>
      </c>
      <c r="U139" s="101">
        <f>IF(EMPLOYEE_MASTER!P139&gt;=6,LK_AllowanceRates!$B$22,0)</f>
        <v>0</v>
      </c>
      <c r="V139" s="101">
        <f>IF(EMPLOYEE_MASTER!AO139="Yes",LK_AllowanceRates!$B$23,0)</f>
        <v>200000</v>
      </c>
      <c r="W139" s="101">
        <f>EMPLOYEE_MASTER!AP139*LK_AllowanceRates!$B$24</f>
        <v>200000</v>
      </c>
      <c r="X139" s="101">
        <v>0</v>
      </c>
      <c r="Y139" s="102">
        <v>0</v>
      </c>
      <c r="Z139" s="102">
        <v>0</v>
      </c>
      <c r="AA139" s="102">
        <v>0</v>
      </c>
      <c r="AB139" s="103">
        <f t="shared" ca="1" si="18"/>
        <v>3780000</v>
      </c>
      <c r="AC139" s="104">
        <f t="shared" ca="1" si="19"/>
        <v>7060000</v>
      </c>
      <c r="AD139" s="105">
        <f>ROUND(L139*LK_AllowanceRates!$B$25/100,0)</f>
        <v>180400</v>
      </c>
      <c r="AE139" s="106">
        <f t="shared" ca="1" si="20"/>
        <v>6879600</v>
      </c>
      <c r="AF139" s="106">
        <f t="shared" ca="1" si="21"/>
        <v>372960</v>
      </c>
      <c r="AG139" s="107">
        <v>0</v>
      </c>
      <c r="AH139" s="107">
        <v>0</v>
      </c>
      <c r="AI139" s="108">
        <f t="shared" ca="1" si="22"/>
        <v>553360</v>
      </c>
      <c r="AJ139" s="109">
        <f t="shared" ca="1" si="23"/>
        <v>6506640</v>
      </c>
    </row>
    <row r="140" spans="1:36" ht="15" customHeight="1" x14ac:dyDescent="0.3">
      <c r="A140" s="98" t="str">
        <f>EMPLOYEE_MASTER!A140</f>
        <v>LAO00137</v>
      </c>
      <c r="B140" s="98" t="str">
        <f>EMPLOYEE_MASTER!C140</f>
        <v>Phonesiri</v>
      </c>
      <c r="C140" s="98" t="str">
        <f>EMPLOYEE_MASTER!D140</f>
        <v>Bouavong</v>
      </c>
      <c r="D140" s="98" t="str">
        <f>EMPLOYEE_MASTER!T140</f>
        <v>Ministry of Agriculture and Forestry (MoAF)</v>
      </c>
      <c r="E140" s="98" t="str">
        <f>EMPLOYEE_MASTER!M140</f>
        <v>Technical Officer</v>
      </c>
      <c r="F140" s="98" t="str">
        <f>EMPLOYEE_MASTER!Z140</f>
        <v>Technical</v>
      </c>
      <c r="G140" s="99">
        <f>EMPLOYEE_MASTER!P140</f>
        <v>3</v>
      </c>
      <c r="H140" s="99">
        <f>EMPLOYEE_MASTER!Q140</f>
        <v>9</v>
      </c>
      <c r="I140" s="100" t="str">
        <f t="shared" si="16"/>
        <v>G03-S09</v>
      </c>
      <c r="J140" s="100">
        <f>IFERROR(VLOOKUP(I140,LK_GradeStep!$C$4:$D$85,2,0),0)</f>
        <v>286</v>
      </c>
      <c r="K140" s="100">
        <f>IFERROR(VLOOKUP(I140,LK_GradeStep!$C$4:$E$85,3,0),10000)</f>
        <v>10000</v>
      </c>
      <c r="L140" s="100">
        <f t="shared" si="17"/>
        <v>2860000</v>
      </c>
      <c r="M140" s="101">
        <f>IFERROR(VLOOKUP(EMPLOYEE_MASTER!AQ140,LK_AllowanceRates!$A$5:$B$11,2,0),0)</f>
        <v>900000</v>
      </c>
      <c r="N140" s="101">
        <f ca="1">IFERROR(IF(EMPLOYEE_MASTER!J140&lt;=5,  EMPLOYEE_MASTER!J140*LK_AllowanceRates!$B$12,IF(EMPLOYEE_MASTER!J140&lt;=15, EMPLOYEE_MASTER!J140*LK_AllowanceRates!$B$13,IF(EMPLOYEE_MASTER!J140&lt;=25, EMPLOYEE_MASTER!J140*LK_AllowanceRates!$B$14,EMPLOYEE_MASTER!J140*LK_AllowanceRates!$B$15))),0)</f>
        <v>570000</v>
      </c>
      <c r="O140" s="101">
        <f>IF(EMPLOYEE_MASTER!AS140="Teaching",L140*LK_AllowanceRates!$B$16,0)</f>
        <v>0</v>
      </c>
      <c r="P140" s="101">
        <f>IF(EMPLOYEE_MASTER!AS140="Medical",LK_AllowanceRates!$B$17,0)</f>
        <v>0</v>
      </c>
      <c r="Q140" s="101">
        <f>IF(EMPLOYEE_MASTER!AR140="Yes",LK_AllowanceRates!$B$18,0)</f>
        <v>0</v>
      </c>
      <c r="R140" s="101">
        <f>IF(EMPLOYEE_MASTER!AC140="Yes",LK_AllowanceRates!$B$19,0)</f>
        <v>1000000</v>
      </c>
      <c r="S140" s="101">
        <f>IF(EMPLOYEE_MASTER!AA140="Yes",L140*LK_AllowanceRates!$B$20,0)</f>
        <v>715000</v>
      </c>
      <c r="T140" s="101">
        <f>IF(EMPLOYEE_MASTER!AB140="Yes",LK_AllowanceRates!$B$21,0)</f>
        <v>0</v>
      </c>
      <c r="U140" s="101">
        <f>IF(EMPLOYEE_MASTER!P140&gt;=6,LK_AllowanceRates!$B$22,0)</f>
        <v>0</v>
      </c>
      <c r="V140" s="101">
        <f>IF(EMPLOYEE_MASTER!AO140="Yes",LK_AllowanceRates!$B$23,0)</f>
        <v>0</v>
      </c>
      <c r="W140" s="101">
        <f>EMPLOYEE_MASTER!AP140*LK_AllowanceRates!$B$24</f>
        <v>0</v>
      </c>
      <c r="X140" s="101">
        <v>0</v>
      </c>
      <c r="Y140" s="102">
        <v>0</v>
      </c>
      <c r="Z140" s="102">
        <v>0</v>
      </c>
      <c r="AA140" s="102">
        <v>0</v>
      </c>
      <c r="AB140" s="103">
        <f t="shared" ca="1" si="18"/>
        <v>3185000</v>
      </c>
      <c r="AC140" s="104">
        <f t="shared" ca="1" si="19"/>
        <v>6045000</v>
      </c>
      <c r="AD140" s="105">
        <f>ROUND(L140*LK_AllowanceRates!$B$25/100,0)</f>
        <v>157300</v>
      </c>
      <c r="AE140" s="106">
        <f t="shared" ca="1" si="20"/>
        <v>5887700</v>
      </c>
      <c r="AF140" s="106">
        <f t="shared" ca="1" si="21"/>
        <v>273770</v>
      </c>
      <c r="AG140" s="107">
        <v>0</v>
      </c>
      <c r="AH140" s="107">
        <v>0</v>
      </c>
      <c r="AI140" s="108">
        <f t="shared" ca="1" si="22"/>
        <v>431070</v>
      </c>
      <c r="AJ140" s="109">
        <f t="shared" ca="1" si="23"/>
        <v>5613930</v>
      </c>
    </row>
    <row r="141" spans="1:36" ht="15" customHeight="1" x14ac:dyDescent="0.3">
      <c r="A141" s="98" t="str">
        <f>EMPLOYEE_MASTER!A141</f>
        <v>LAO00138</v>
      </c>
      <c r="B141" s="98" t="str">
        <f>EMPLOYEE_MASTER!C141</f>
        <v>Sisamone</v>
      </c>
      <c r="C141" s="98" t="str">
        <f>EMPLOYEE_MASTER!D141</f>
        <v>Phonemany</v>
      </c>
      <c r="D141" s="98" t="str">
        <f>EMPLOYEE_MASTER!T141</f>
        <v>Ministry of Industry &amp; Commerce (MoIC)</v>
      </c>
      <c r="E141" s="98" t="str">
        <f>EMPLOYEE_MASTER!M141</f>
        <v>Deputy Department Director</v>
      </c>
      <c r="F141" s="98" t="str">
        <f>EMPLOYEE_MASTER!Z141</f>
        <v>Administration</v>
      </c>
      <c r="G141" s="99">
        <f>EMPLOYEE_MASTER!P141</f>
        <v>5</v>
      </c>
      <c r="H141" s="99">
        <f>EMPLOYEE_MASTER!Q141</f>
        <v>8</v>
      </c>
      <c r="I141" s="100" t="str">
        <f t="shared" si="16"/>
        <v>G05-S08</v>
      </c>
      <c r="J141" s="100">
        <f>IFERROR(VLOOKUP(I141,LK_GradeStep!$C$4:$D$85,2,0),0)</f>
        <v>348</v>
      </c>
      <c r="K141" s="100">
        <f>IFERROR(VLOOKUP(I141,LK_GradeStep!$C$4:$E$85,3,0),10000)</f>
        <v>10000</v>
      </c>
      <c r="L141" s="100">
        <f t="shared" si="17"/>
        <v>3480000</v>
      </c>
      <c r="M141" s="101">
        <f>IFERROR(VLOOKUP(EMPLOYEE_MASTER!AQ141,LK_AllowanceRates!$A$5:$B$11,2,0),0)</f>
        <v>900000</v>
      </c>
      <c r="N141" s="101">
        <f ca="1">IFERROR(IF(EMPLOYEE_MASTER!J141&lt;=5,  EMPLOYEE_MASTER!J141*LK_AllowanceRates!$B$12,IF(EMPLOYEE_MASTER!J141&lt;=15, EMPLOYEE_MASTER!J141*LK_AllowanceRates!$B$13,IF(EMPLOYEE_MASTER!J141&lt;=25, EMPLOYEE_MASTER!J141*LK_AllowanceRates!$B$14,EMPLOYEE_MASTER!J141*LK_AllowanceRates!$B$15))),0)</f>
        <v>540000</v>
      </c>
      <c r="O141" s="101">
        <f>IF(EMPLOYEE_MASTER!AS141="Teaching",L141*LK_AllowanceRates!$B$16,0)</f>
        <v>0</v>
      </c>
      <c r="P141" s="101">
        <f>IF(EMPLOYEE_MASTER!AS141="Medical",LK_AllowanceRates!$B$17,0)</f>
        <v>0</v>
      </c>
      <c r="Q141" s="101">
        <f>IF(EMPLOYEE_MASTER!AR141="Yes",LK_AllowanceRates!$B$18,0)</f>
        <v>0</v>
      </c>
      <c r="R141" s="101">
        <f>IF(EMPLOYEE_MASTER!AC141="Yes",LK_AllowanceRates!$B$19,0)</f>
        <v>1000000</v>
      </c>
      <c r="S141" s="101">
        <f>IF(EMPLOYEE_MASTER!AA141="Yes",L141*LK_AllowanceRates!$B$20,0)</f>
        <v>870000</v>
      </c>
      <c r="T141" s="101">
        <f>IF(EMPLOYEE_MASTER!AB141="Yes",LK_AllowanceRates!$B$21,0)</f>
        <v>0</v>
      </c>
      <c r="U141" s="101">
        <f>IF(EMPLOYEE_MASTER!P141&gt;=6,LK_AllowanceRates!$B$22,0)</f>
        <v>0</v>
      </c>
      <c r="V141" s="101">
        <f>IF(EMPLOYEE_MASTER!AO141="Yes",LK_AllowanceRates!$B$23,0)</f>
        <v>200000</v>
      </c>
      <c r="W141" s="101">
        <f>EMPLOYEE_MASTER!AP141*LK_AllowanceRates!$B$24</f>
        <v>200000</v>
      </c>
      <c r="X141" s="101">
        <v>0</v>
      </c>
      <c r="Y141" s="102">
        <v>0</v>
      </c>
      <c r="Z141" s="102">
        <v>0</v>
      </c>
      <c r="AA141" s="102">
        <v>0</v>
      </c>
      <c r="AB141" s="103">
        <f t="shared" ca="1" si="18"/>
        <v>3710000</v>
      </c>
      <c r="AC141" s="104">
        <f t="shared" ca="1" si="19"/>
        <v>7190000</v>
      </c>
      <c r="AD141" s="105">
        <f>ROUND(L141*LK_AllowanceRates!$B$25/100,0)</f>
        <v>191400</v>
      </c>
      <c r="AE141" s="106">
        <f t="shared" ca="1" si="20"/>
        <v>6998600</v>
      </c>
      <c r="AF141" s="106">
        <f t="shared" ca="1" si="21"/>
        <v>384860</v>
      </c>
      <c r="AG141" s="107">
        <v>0</v>
      </c>
      <c r="AH141" s="107">
        <v>0</v>
      </c>
      <c r="AI141" s="108">
        <f t="shared" ca="1" si="22"/>
        <v>576260</v>
      </c>
      <c r="AJ141" s="109">
        <f t="shared" ca="1" si="23"/>
        <v>6613740</v>
      </c>
    </row>
    <row r="142" spans="1:36" ht="15" customHeight="1" x14ac:dyDescent="0.3">
      <c r="A142" s="98" t="str">
        <f>EMPLOYEE_MASTER!A142</f>
        <v>LAO00139</v>
      </c>
      <c r="B142" s="98" t="str">
        <f>EMPLOYEE_MASTER!C142</f>
        <v>Vilayhong</v>
      </c>
      <c r="C142" s="98" t="str">
        <f>EMPLOYEE_MASTER!D142</f>
        <v>Phongphichith</v>
      </c>
      <c r="D142" s="98" t="str">
        <f>EMPLOYEE_MASTER!T142</f>
        <v>Ministry of Justice (MoJ)</v>
      </c>
      <c r="E142" s="98" t="str">
        <f>EMPLOYEE_MASTER!M142</f>
        <v>Section Chief</v>
      </c>
      <c r="F142" s="98" t="str">
        <f>EMPLOYEE_MASTER!Z142</f>
        <v>Legal</v>
      </c>
      <c r="G142" s="99">
        <f>EMPLOYEE_MASTER!P142</f>
        <v>4</v>
      </c>
      <c r="H142" s="99">
        <f>EMPLOYEE_MASTER!Q142</f>
        <v>7</v>
      </c>
      <c r="I142" s="100" t="str">
        <f t="shared" si="16"/>
        <v>G04-S07</v>
      </c>
      <c r="J142" s="100">
        <f>IFERROR(VLOOKUP(I142,LK_GradeStep!$C$4:$D$85,2,0),0)</f>
        <v>298</v>
      </c>
      <c r="K142" s="100">
        <f>IFERROR(VLOOKUP(I142,LK_GradeStep!$C$4:$E$85,3,0),10000)</f>
        <v>10000</v>
      </c>
      <c r="L142" s="100">
        <f t="shared" si="17"/>
        <v>2980000</v>
      </c>
      <c r="M142" s="101">
        <f>IFERROR(VLOOKUP(EMPLOYEE_MASTER!AQ142,LK_AllowanceRates!$A$5:$B$11,2,0),0)</f>
        <v>1500000</v>
      </c>
      <c r="N142" s="101">
        <f ca="1">IFERROR(IF(EMPLOYEE_MASTER!J142&lt;=5,  EMPLOYEE_MASTER!J142*LK_AllowanceRates!$B$12,IF(EMPLOYEE_MASTER!J142&lt;=15, EMPLOYEE_MASTER!J142*LK_AllowanceRates!$B$13,IF(EMPLOYEE_MASTER!J142&lt;=25, EMPLOYEE_MASTER!J142*LK_AllowanceRates!$B$14,EMPLOYEE_MASTER!J142*LK_AllowanceRates!$B$15))),0)</f>
        <v>720000</v>
      </c>
      <c r="O142" s="101">
        <f>IF(EMPLOYEE_MASTER!AS142="Teaching",L142*LK_AllowanceRates!$B$16,0)</f>
        <v>0</v>
      </c>
      <c r="P142" s="101">
        <f>IF(EMPLOYEE_MASTER!AS142="Medical",LK_AllowanceRates!$B$17,0)</f>
        <v>0</v>
      </c>
      <c r="Q142" s="101">
        <f>IF(EMPLOYEE_MASTER!AR142="Yes",LK_AllowanceRates!$B$18,0)</f>
        <v>0</v>
      </c>
      <c r="R142" s="101">
        <f>IF(EMPLOYEE_MASTER!AC142="Yes",LK_AllowanceRates!$B$19,0)</f>
        <v>0</v>
      </c>
      <c r="S142" s="101">
        <f>IF(EMPLOYEE_MASTER!AA142="Yes",L142*LK_AllowanceRates!$B$20,0)</f>
        <v>745000</v>
      </c>
      <c r="T142" s="101">
        <f>IF(EMPLOYEE_MASTER!AB142="Yes",LK_AllowanceRates!$B$21,0)</f>
        <v>0</v>
      </c>
      <c r="U142" s="101">
        <f>IF(EMPLOYEE_MASTER!P142&gt;=6,LK_AllowanceRates!$B$22,0)</f>
        <v>0</v>
      </c>
      <c r="V142" s="101">
        <f>IF(EMPLOYEE_MASTER!AO142="Yes",LK_AllowanceRates!$B$23,0)</f>
        <v>0</v>
      </c>
      <c r="W142" s="101">
        <f>EMPLOYEE_MASTER!AP142*LK_AllowanceRates!$B$24</f>
        <v>0</v>
      </c>
      <c r="X142" s="101">
        <v>0</v>
      </c>
      <c r="Y142" s="102">
        <v>0</v>
      </c>
      <c r="Z142" s="102">
        <v>0</v>
      </c>
      <c r="AA142" s="102">
        <v>0</v>
      </c>
      <c r="AB142" s="103">
        <f t="shared" ca="1" si="18"/>
        <v>2965000</v>
      </c>
      <c r="AC142" s="104">
        <f t="shared" ca="1" si="19"/>
        <v>5945000</v>
      </c>
      <c r="AD142" s="105">
        <f>ROUND(L142*LK_AllowanceRates!$B$25/100,0)</f>
        <v>163900</v>
      </c>
      <c r="AE142" s="106">
        <f t="shared" ca="1" si="20"/>
        <v>5781100</v>
      </c>
      <c r="AF142" s="106">
        <f t="shared" ca="1" si="21"/>
        <v>263110</v>
      </c>
      <c r="AG142" s="107">
        <v>0</v>
      </c>
      <c r="AH142" s="107">
        <v>0</v>
      </c>
      <c r="AI142" s="108">
        <f t="shared" ca="1" si="22"/>
        <v>427010</v>
      </c>
      <c r="AJ142" s="109">
        <f t="shared" ca="1" si="23"/>
        <v>5517990</v>
      </c>
    </row>
    <row r="143" spans="1:36" ht="15" customHeight="1" x14ac:dyDescent="0.3">
      <c r="A143" s="98" t="str">
        <f>EMPLOYEE_MASTER!A143</f>
        <v>LAO00140</v>
      </c>
      <c r="B143" s="98" t="str">
        <f>EMPLOYEE_MASTER!C143</f>
        <v>Khamphone</v>
      </c>
      <c r="C143" s="98" t="str">
        <f>EMPLOYEE_MASTER!D143</f>
        <v>Bounseng</v>
      </c>
      <c r="D143" s="98" t="str">
        <f>EMPLOYEE_MASTER!T143</f>
        <v>Savannakhet Province Administration</v>
      </c>
      <c r="E143" s="98" t="str">
        <f>EMPLOYEE_MASTER!M143</f>
        <v>Division Chief</v>
      </c>
      <c r="F143" s="98" t="str">
        <f>EMPLOYEE_MASTER!Z143</f>
        <v>Administration</v>
      </c>
      <c r="G143" s="99">
        <f>EMPLOYEE_MASTER!P143</f>
        <v>5</v>
      </c>
      <c r="H143" s="99">
        <f>EMPLOYEE_MASTER!Q143</f>
        <v>3</v>
      </c>
      <c r="I143" s="100" t="str">
        <f t="shared" si="16"/>
        <v>G05-S03</v>
      </c>
      <c r="J143" s="100">
        <f>IFERROR(VLOOKUP(I143,LK_GradeStep!$C$4:$D$85,2,0),0)</f>
        <v>318</v>
      </c>
      <c r="K143" s="100">
        <f>IFERROR(VLOOKUP(I143,LK_GradeStep!$C$4:$E$85,3,0),10000)</f>
        <v>10000</v>
      </c>
      <c r="L143" s="100">
        <f t="shared" si="17"/>
        <v>3180000</v>
      </c>
      <c r="M143" s="101">
        <f>IFERROR(VLOOKUP(EMPLOYEE_MASTER!AQ143,LK_AllowanceRates!$A$5:$B$11,2,0),0)</f>
        <v>1900000</v>
      </c>
      <c r="N143" s="101">
        <f ca="1">IFERROR(IF(EMPLOYEE_MASTER!J143&lt;=5,  EMPLOYEE_MASTER!J143*LK_AllowanceRates!$B$12,IF(EMPLOYEE_MASTER!J143&lt;=15, EMPLOYEE_MASTER!J143*LK_AllowanceRates!$B$13,IF(EMPLOYEE_MASTER!J143&lt;=25, EMPLOYEE_MASTER!J143*LK_AllowanceRates!$B$14,EMPLOYEE_MASTER!J143*LK_AllowanceRates!$B$15))),0)</f>
        <v>50000</v>
      </c>
      <c r="O143" s="101">
        <f>IF(EMPLOYEE_MASTER!AS143="Teaching",L143*LK_AllowanceRates!$B$16,0)</f>
        <v>0</v>
      </c>
      <c r="P143" s="101">
        <f>IF(EMPLOYEE_MASTER!AS143="Medical",LK_AllowanceRates!$B$17,0)</f>
        <v>0</v>
      </c>
      <c r="Q143" s="101">
        <f>IF(EMPLOYEE_MASTER!AR143="Yes",LK_AllowanceRates!$B$18,0)</f>
        <v>0</v>
      </c>
      <c r="R143" s="101">
        <f>IF(EMPLOYEE_MASTER!AC143="Yes",LK_AllowanceRates!$B$19,0)</f>
        <v>0</v>
      </c>
      <c r="S143" s="101">
        <f>IF(EMPLOYEE_MASTER!AA143="Yes",L143*LK_AllowanceRates!$B$20,0)</f>
        <v>795000</v>
      </c>
      <c r="T143" s="101">
        <f>IF(EMPLOYEE_MASTER!AB143="Yes",LK_AllowanceRates!$B$21,0)</f>
        <v>0</v>
      </c>
      <c r="U143" s="101">
        <f>IF(EMPLOYEE_MASTER!P143&gt;=6,LK_AllowanceRates!$B$22,0)</f>
        <v>0</v>
      </c>
      <c r="V143" s="101">
        <f>IF(EMPLOYEE_MASTER!AO143="Yes",LK_AllowanceRates!$B$23,0)</f>
        <v>200000</v>
      </c>
      <c r="W143" s="101">
        <f>EMPLOYEE_MASTER!AP143*LK_AllowanceRates!$B$24</f>
        <v>600000</v>
      </c>
      <c r="X143" s="101">
        <v>0</v>
      </c>
      <c r="Y143" s="102">
        <v>0</v>
      </c>
      <c r="Z143" s="102">
        <v>0</v>
      </c>
      <c r="AA143" s="102">
        <v>0</v>
      </c>
      <c r="AB143" s="103">
        <f t="shared" ca="1" si="18"/>
        <v>3545000</v>
      </c>
      <c r="AC143" s="104">
        <f t="shared" ca="1" si="19"/>
        <v>6725000</v>
      </c>
      <c r="AD143" s="105">
        <f>ROUND(L143*LK_AllowanceRates!$B$25/100,0)</f>
        <v>174900</v>
      </c>
      <c r="AE143" s="106">
        <f t="shared" ca="1" si="20"/>
        <v>6550100</v>
      </c>
      <c r="AF143" s="106">
        <f t="shared" ca="1" si="21"/>
        <v>340010</v>
      </c>
      <c r="AG143" s="107">
        <v>0</v>
      </c>
      <c r="AH143" s="107">
        <v>0</v>
      </c>
      <c r="AI143" s="108">
        <f t="shared" ca="1" si="22"/>
        <v>514910</v>
      </c>
      <c r="AJ143" s="109">
        <f t="shared" ca="1" si="23"/>
        <v>6210090</v>
      </c>
    </row>
    <row r="144" spans="1:36" ht="15" customHeight="1" x14ac:dyDescent="0.3">
      <c r="A144" s="98" t="str">
        <f>EMPLOYEE_MASTER!A144</f>
        <v>LAO00141</v>
      </c>
      <c r="B144" s="98" t="str">
        <f>EMPLOYEE_MASTER!C144</f>
        <v>Boutsady</v>
      </c>
      <c r="C144" s="98" t="str">
        <f>EMPLOYEE_MASTER!D144</f>
        <v>Kheudkham</v>
      </c>
      <c r="D144" s="98" t="str">
        <f>EMPLOYEE_MASTER!T144</f>
        <v>Ministry of Education and Sports (MoES)</v>
      </c>
      <c r="E144" s="98" t="str">
        <f>EMPLOYEE_MASTER!M144</f>
        <v>Education Officer</v>
      </c>
      <c r="F144" s="98" t="str">
        <f>EMPLOYEE_MASTER!Z144</f>
        <v>Teacher</v>
      </c>
      <c r="G144" s="99">
        <f>EMPLOYEE_MASTER!P144</f>
        <v>2</v>
      </c>
      <c r="H144" s="99">
        <f>EMPLOYEE_MASTER!Q144</f>
        <v>1</v>
      </c>
      <c r="I144" s="100" t="str">
        <f t="shared" si="16"/>
        <v>G02-S01</v>
      </c>
      <c r="J144" s="100">
        <f>IFERROR(VLOOKUP(I144,LK_GradeStep!$C$4:$D$85,2,0),0)</f>
        <v>268</v>
      </c>
      <c r="K144" s="100">
        <f>IFERROR(VLOOKUP(I144,LK_GradeStep!$C$4:$E$85,3,0),10000)</f>
        <v>10000</v>
      </c>
      <c r="L144" s="100">
        <f t="shared" si="17"/>
        <v>2680000</v>
      </c>
      <c r="M144" s="101">
        <f>IFERROR(VLOOKUP(EMPLOYEE_MASTER!AQ144,LK_AllowanceRates!$A$5:$B$11,2,0),0)</f>
        <v>900000</v>
      </c>
      <c r="N144" s="101">
        <f ca="1">IFERROR(IF(EMPLOYEE_MASTER!J144&lt;=5,  EMPLOYEE_MASTER!J144*LK_AllowanceRates!$B$12,IF(EMPLOYEE_MASTER!J144&lt;=15, EMPLOYEE_MASTER!J144*LK_AllowanceRates!$B$13,IF(EMPLOYEE_MASTER!J144&lt;=25, EMPLOYEE_MASTER!J144*LK_AllowanceRates!$B$14,EMPLOYEE_MASTER!J144*LK_AllowanceRates!$B$15))),0)</f>
        <v>1320000</v>
      </c>
      <c r="O144" s="101">
        <f>IF(EMPLOYEE_MASTER!AS144="Teaching",L144*LK_AllowanceRates!$B$16,0)</f>
        <v>536000</v>
      </c>
      <c r="P144" s="101">
        <f>IF(EMPLOYEE_MASTER!AS144="Medical",LK_AllowanceRates!$B$17,0)</f>
        <v>0</v>
      </c>
      <c r="Q144" s="101">
        <f>IF(EMPLOYEE_MASTER!AR144="Yes",LK_AllowanceRates!$B$18,0)</f>
        <v>0</v>
      </c>
      <c r="R144" s="101">
        <f>IF(EMPLOYEE_MASTER!AC144="Yes",LK_AllowanceRates!$B$19,0)</f>
        <v>0</v>
      </c>
      <c r="S144" s="101">
        <f>IF(EMPLOYEE_MASTER!AA144="Yes",L144*LK_AllowanceRates!$B$20,0)</f>
        <v>0</v>
      </c>
      <c r="T144" s="101">
        <f>IF(EMPLOYEE_MASTER!AB144="Yes",LK_AllowanceRates!$B$21,0)</f>
        <v>0</v>
      </c>
      <c r="U144" s="101">
        <f>IF(EMPLOYEE_MASTER!P144&gt;=6,LK_AllowanceRates!$B$22,0)</f>
        <v>0</v>
      </c>
      <c r="V144" s="101">
        <f>IF(EMPLOYEE_MASTER!AO144="Yes",LK_AllowanceRates!$B$23,0)</f>
        <v>200000</v>
      </c>
      <c r="W144" s="101">
        <f>EMPLOYEE_MASTER!AP144*LK_AllowanceRates!$B$24</f>
        <v>200000</v>
      </c>
      <c r="X144" s="101">
        <v>0</v>
      </c>
      <c r="Y144" s="102">
        <v>0</v>
      </c>
      <c r="Z144" s="102">
        <v>0</v>
      </c>
      <c r="AA144" s="102">
        <v>0</v>
      </c>
      <c r="AB144" s="103">
        <f t="shared" ca="1" si="18"/>
        <v>3156000</v>
      </c>
      <c r="AC144" s="104">
        <f t="shared" ca="1" si="19"/>
        <v>5836000</v>
      </c>
      <c r="AD144" s="105">
        <f>ROUND(L144*LK_AllowanceRates!$B$25/100,0)</f>
        <v>147400</v>
      </c>
      <c r="AE144" s="106">
        <f t="shared" ca="1" si="20"/>
        <v>5688600</v>
      </c>
      <c r="AF144" s="106">
        <f t="shared" ca="1" si="21"/>
        <v>253860</v>
      </c>
      <c r="AG144" s="107">
        <v>0</v>
      </c>
      <c r="AH144" s="107">
        <v>0</v>
      </c>
      <c r="AI144" s="108">
        <f t="shared" ca="1" si="22"/>
        <v>401260</v>
      </c>
      <c r="AJ144" s="109">
        <f t="shared" ca="1" si="23"/>
        <v>5434740</v>
      </c>
    </row>
    <row r="145" spans="1:36" ht="15" customHeight="1" x14ac:dyDescent="0.3">
      <c r="A145" s="98" t="str">
        <f>EMPLOYEE_MASTER!A145</f>
        <v>LAO00142</v>
      </c>
      <c r="B145" s="98" t="str">
        <f>EMPLOYEE_MASTER!C145</f>
        <v>Nongkham</v>
      </c>
      <c r="C145" s="98" t="str">
        <f>EMPLOYEE_MASTER!D145</f>
        <v>Phommachack</v>
      </c>
      <c r="D145" s="98" t="str">
        <f>EMPLOYEE_MASTER!T145</f>
        <v>Luang Prabang Province Administration</v>
      </c>
      <c r="E145" s="98" t="str">
        <f>EMPLOYEE_MASTER!M145</f>
        <v>Deputy Department Director</v>
      </c>
      <c r="F145" s="98" t="str">
        <f>EMPLOYEE_MASTER!Z145</f>
        <v>Administration</v>
      </c>
      <c r="G145" s="99">
        <f>EMPLOYEE_MASTER!P145</f>
        <v>4</v>
      </c>
      <c r="H145" s="99">
        <f>EMPLOYEE_MASTER!Q145</f>
        <v>1</v>
      </c>
      <c r="I145" s="100" t="str">
        <f t="shared" si="16"/>
        <v>G04-S01</v>
      </c>
      <c r="J145" s="100">
        <f>IFERROR(VLOOKUP(I145,LK_GradeStep!$C$4:$D$85,2,0),0)</f>
        <v>286</v>
      </c>
      <c r="K145" s="100">
        <f>IFERROR(VLOOKUP(I145,LK_GradeStep!$C$4:$E$85,3,0),10000)</f>
        <v>10000</v>
      </c>
      <c r="L145" s="100">
        <f t="shared" si="17"/>
        <v>2860000</v>
      </c>
      <c r="M145" s="101">
        <f>IFERROR(VLOOKUP(EMPLOYEE_MASTER!AQ145,LK_AllowanceRates!$A$5:$B$11,2,0),0)</f>
        <v>900000</v>
      </c>
      <c r="N145" s="101">
        <f ca="1">IFERROR(IF(EMPLOYEE_MASTER!J145&lt;=5,  EMPLOYEE_MASTER!J145*LK_AllowanceRates!$B$12,IF(EMPLOYEE_MASTER!J145&lt;=15, EMPLOYEE_MASTER!J145*LK_AllowanceRates!$B$13,IF(EMPLOYEE_MASTER!J145&lt;=25, EMPLOYEE_MASTER!J145*LK_AllowanceRates!$B$14,EMPLOYEE_MASTER!J145*LK_AllowanceRates!$B$15))),0)</f>
        <v>600000</v>
      </c>
      <c r="O145" s="101">
        <f>IF(EMPLOYEE_MASTER!AS145="Teaching",L145*LK_AllowanceRates!$B$16,0)</f>
        <v>0</v>
      </c>
      <c r="P145" s="101">
        <f>IF(EMPLOYEE_MASTER!AS145="Medical",LK_AllowanceRates!$B$17,0)</f>
        <v>0</v>
      </c>
      <c r="Q145" s="101">
        <f>IF(EMPLOYEE_MASTER!AR145="Yes",LK_AllowanceRates!$B$18,0)</f>
        <v>0</v>
      </c>
      <c r="R145" s="101">
        <f>IF(EMPLOYEE_MASTER!AC145="Yes",LK_AllowanceRates!$B$19,0)</f>
        <v>0</v>
      </c>
      <c r="S145" s="101">
        <f>IF(EMPLOYEE_MASTER!AA145="Yes",L145*LK_AllowanceRates!$B$20,0)</f>
        <v>0</v>
      </c>
      <c r="T145" s="101">
        <f>IF(EMPLOYEE_MASTER!AB145="Yes",LK_AllowanceRates!$B$21,0)</f>
        <v>0</v>
      </c>
      <c r="U145" s="101">
        <f>IF(EMPLOYEE_MASTER!P145&gt;=6,LK_AllowanceRates!$B$22,0)</f>
        <v>0</v>
      </c>
      <c r="V145" s="101">
        <f>IF(EMPLOYEE_MASTER!AO145="Yes",LK_AllowanceRates!$B$23,0)</f>
        <v>0</v>
      </c>
      <c r="W145" s="101">
        <f>EMPLOYEE_MASTER!AP145*LK_AllowanceRates!$B$24</f>
        <v>0</v>
      </c>
      <c r="X145" s="101">
        <v>0</v>
      </c>
      <c r="Y145" s="102">
        <v>0</v>
      </c>
      <c r="Z145" s="102">
        <v>0</v>
      </c>
      <c r="AA145" s="102">
        <v>0</v>
      </c>
      <c r="AB145" s="103">
        <f t="shared" ca="1" si="18"/>
        <v>1500000</v>
      </c>
      <c r="AC145" s="104">
        <f t="shared" ca="1" si="19"/>
        <v>4360000</v>
      </c>
      <c r="AD145" s="105">
        <f>ROUND(L145*LK_AllowanceRates!$B$25/100,0)</f>
        <v>157300</v>
      </c>
      <c r="AE145" s="106">
        <f t="shared" ca="1" si="20"/>
        <v>4202700</v>
      </c>
      <c r="AF145" s="106">
        <f t="shared" ca="1" si="21"/>
        <v>145135</v>
      </c>
      <c r="AG145" s="107">
        <v>0</v>
      </c>
      <c r="AH145" s="107">
        <v>0</v>
      </c>
      <c r="AI145" s="108">
        <f t="shared" ca="1" si="22"/>
        <v>302435</v>
      </c>
      <c r="AJ145" s="109">
        <f t="shared" ca="1" si="23"/>
        <v>4057565</v>
      </c>
    </row>
    <row r="146" spans="1:36" ht="15" customHeight="1" x14ac:dyDescent="0.3">
      <c r="A146" s="98" t="str">
        <f>EMPLOYEE_MASTER!A146</f>
        <v>LAO00143</v>
      </c>
      <c r="B146" s="98" t="str">
        <f>EMPLOYEE_MASTER!C146</f>
        <v>Khamphone</v>
      </c>
      <c r="C146" s="98" t="str">
        <f>EMPLOYEE_MASTER!D146</f>
        <v>Manivong</v>
      </c>
      <c r="D146" s="98" t="str">
        <f>EMPLOYEE_MASTER!T146</f>
        <v>Ministry of Health (MoH)</v>
      </c>
      <c r="E146" s="98" t="str">
        <f>EMPLOYEE_MASTER!M146</f>
        <v>Midwife</v>
      </c>
      <c r="F146" s="98" t="str">
        <f>EMPLOYEE_MASTER!Z146</f>
        <v>Medical</v>
      </c>
      <c r="G146" s="99">
        <f>EMPLOYEE_MASTER!P146</f>
        <v>2</v>
      </c>
      <c r="H146" s="99">
        <f>EMPLOYEE_MASTER!Q146</f>
        <v>4</v>
      </c>
      <c r="I146" s="100" t="str">
        <f t="shared" si="16"/>
        <v>G02-S04</v>
      </c>
      <c r="J146" s="100">
        <f>IFERROR(VLOOKUP(I146,LK_GradeStep!$C$4:$D$85,2,0),0)</f>
        <v>271</v>
      </c>
      <c r="K146" s="100">
        <f>IFERROR(VLOOKUP(I146,LK_GradeStep!$C$4:$E$85,3,0),10000)</f>
        <v>10000</v>
      </c>
      <c r="L146" s="100">
        <f t="shared" si="17"/>
        <v>2710000</v>
      </c>
      <c r="M146" s="101">
        <f>IFERROR(VLOOKUP(EMPLOYEE_MASTER!AQ146,LK_AllowanceRates!$A$5:$B$11,2,0),0)</f>
        <v>900000</v>
      </c>
      <c r="N146" s="101">
        <f ca="1">IFERROR(IF(EMPLOYEE_MASTER!J146&lt;=5,  EMPLOYEE_MASTER!J146*LK_AllowanceRates!$B$12,IF(EMPLOYEE_MASTER!J146&lt;=15, EMPLOYEE_MASTER!J146*LK_AllowanceRates!$B$13,IF(EMPLOYEE_MASTER!J146&lt;=25, EMPLOYEE_MASTER!J146*LK_AllowanceRates!$B$14,EMPLOYEE_MASTER!J146*LK_AllowanceRates!$B$15))),0)</f>
        <v>260000</v>
      </c>
      <c r="O146" s="101">
        <f>IF(EMPLOYEE_MASTER!AS146="Teaching",L146*LK_AllowanceRates!$B$16,0)</f>
        <v>0</v>
      </c>
      <c r="P146" s="101">
        <f>IF(EMPLOYEE_MASTER!AS146="Medical",LK_AllowanceRates!$B$17,0)</f>
        <v>500000</v>
      </c>
      <c r="Q146" s="101">
        <f>IF(EMPLOYEE_MASTER!AR146="Yes",LK_AllowanceRates!$B$18,0)</f>
        <v>0</v>
      </c>
      <c r="R146" s="101">
        <f>IF(EMPLOYEE_MASTER!AC146="Yes",LK_AllowanceRates!$B$19,0)</f>
        <v>0</v>
      </c>
      <c r="S146" s="101">
        <f>IF(EMPLOYEE_MASTER!AA146="Yes",L146*LK_AllowanceRates!$B$20,0)</f>
        <v>0</v>
      </c>
      <c r="T146" s="101">
        <f>IF(EMPLOYEE_MASTER!AB146="Yes",LK_AllowanceRates!$B$21,0)</f>
        <v>0</v>
      </c>
      <c r="U146" s="101">
        <f>IF(EMPLOYEE_MASTER!P146&gt;=6,LK_AllowanceRates!$B$22,0)</f>
        <v>0</v>
      </c>
      <c r="V146" s="101">
        <f>IF(EMPLOYEE_MASTER!AO146="Yes",LK_AllowanceRates!$B$23,0)</f>
        <v>0</v>
      </c>
      <c r="W146" s="101">
        <f>EMPLOYEE_MASTER!AP146*LK_AllowanceRates!$B$24</f>
        <v>0</v>
      </c>
      <c r="X146" s="101">
        <v>0</v>
      </c>
      <c r="Y146" s="102">
        <v>0</v>
      </c>
      <c r="Z146" s="102">
        <v>0</v>
      </c>
      <c r="AA146" s="102">
        <v>0</v>
      </c>
      <c r="AB146" s="103">
        <f t="shared" ca="1" si="18"/>
        <v>1660000</v>
      </c>
      <c r="AC146" s="104">
        <f t="shared" ca="1" si="19"/>
        <v>4370000</v>
      </c>
      <c r="AD146" s="105">
        <f>ROUND(L146*LK_AllowanceRates!$B$25/100,0)</f>
        <v>149050</v>
      </c>
      <c r="AE146" s="106">
        <f t="shared" ca="1" si="20"/>
        <v>4220950</v>
      </c>
      <c r="AF146" s="106">
        <f t="shared" ca="1" si="21"/>
        <v>146047.5</v>
      </c>
      <c r="AG146" s="107">
        <v>0</v>
      </c>
      <c r="AH146" s="107">
        <v>0</v>
      </c>
      <c r="AI146" s="108">
        <f t="shared" ca="1" si="22"/>
        <v>295097.5</v>
      </c>
      <c r="AJ146" s="109">
        <f t="shared" ca="1" si="23"/>
        <v>4074902.5</v>
      </c>
    </row>
    <row r="147" spans="1:36" ht="15" customHeight="1" x14ac:dyDescent="0.3">
      <c r="A147" s="98" t="str">
        <f>EMPLOYEE_MASTER!A147</f>
        <v>LAO00144</v>
      </c>
      <c r="B147" s="98" t="str">
        <f>EMPLOYEE_MASTER!C147</f>
        <v>Phonesamone</v>
      </c>
      <c r="C147" s="98" t="str">
        <f>EMPLOYEE_MASTER!D147</f>
        <v>Manodham</v>
      </c>
      <c r="D147" s="98" t="str">
        <f>EMPLOYEE_MASTER!T147</f>
        <v>Ministry of Home Affairs (MoHA)</v>
      </c>
      <c r="E147" s="98" t="str">
        <f>EMPLOYEE_MASTER!M147</f>
        <v>Senior Officer</v>
      </c>
      <c r="F147" s="98" t="str">
        <f>EMPLOYEE_MASTER!Z147</f>
        <v>Administration</v>
      </c>
      <c r="G147" s="99">
        <f>EMPLOYEE_MASTER!P147</f>
        <v>5</v>
      </c>
      <c r="H147" s="99">
        <f>EMPLOYEE_MASTER!Q147</f>
        <v>10</v>
      </c>
      <c r="I147" s="100" t="str">
        <f t="shared" si="16"/>
        <v>G05-S10</v>
      </c>
      <c r="J147" s="100">
        <f>IFERROR(VLOOKUP(I147,LK_GradeStep!$C$4:$D$85,2,0),0)</f>
        <v>368</v>
      </c>
      <c r="K147" s="100">
        <f>IFERROR(VLOOKUP(I147,LK_GradeStep!$C$4:$E$85,3,0),10000)</f>
        <v>10000</v>
      </c>
      <c r="L147" s="100">
        <f t="shared" si="17"/>
        <v>3680000</v>
      </c>
      <c r="M147" s="101">
        <f>IFERROR(VLOOKUP(EMPLOYEE_MASTER!AQ147,LK_AllowanceRates!$A$5:$B$11,2,0),0)</f>
        <v>900000</v>
      </c>
      <c r="N147" s="101">
        <f ca="1">IFERROR(IF(EMPLOYEE_MASTER!J147&lt;=5,  EMPLOYEE_MASTER!J147*LK_AllowanceRates!$B$12,IF(EMPLOYEE_MASTER!J147&lt;=15, EMPLOYEE_MASTER!J147*LK_AllowanceRates!$B$13,IF(EMPLOYEE_MASTER!J147&lt;=25, EMPLOYEE_MASTER!J147*LK_AllowanceRates!$B$14,EMPLOYEE_MASTER!J147*LK_AllowanceRates!$B$15))),0)</f>
        <v>10000</v>
      </c>
      <c r="O147" s="101">
        <f>IF(EMPLOYEE_MASTER!AS147="Teaching",L147*LK_AllowanceRates!$B$16,0)</f>
        <v>0</v>
      </c>
      <c r="P147" s="101">
        <f>IF(EMPLOYEE_MASTER!AS147="Medical",LK_AllowanceRates!$B$17,0)</f>
        <v>0</v>
      </c>
      <c r="Q147" s="101">
        <f>IF(EMPLOYEE_MASTER!AR147="Yes",LK_AllowanceRates!$B$18,0)</f>
        <v>0</v>
      </c>
      <c r="R147" s="101">
        <f>IF(EMPLOYEE_MASTER!AC147="Yes",LK_AllowanceRates!$B$19,0)</f>
        <v>0</v>
      </c>
      <c r="S147" s="101">
        <f>IF(EMPLOYEE_MASTER!AA147="Yes",L147*LK_AllowanceRates!$B$20,0)</f>
        <v>920000</v>
      </c>
      <c r="T147" s="101">
        <f>IF(EMPLOYEE_MASTER!AB147="Yes",LK_AllowanceRates!$B$21,0)</f>
        <v>0</v>
      </c>
      <c r="U147" s="101">
        <f>IF(EMPLOYEE_MASTER!P147&gt;=6,LK_AllowanceRates!$B$22,0)</f>
        <v>0</v>
      </c>
      <c r="V147" s="101">
        <f>IF(EMPLOYEE_MASTER!AO147="Yes",LK_AllowanceRates!$B$23,0)</f>
        <v>0</v>
      </c>
      <c r="W147" s="101">
        <f>EMPLOYEE_MASTER!AP147*LK_AllowanceRates!$B$24</f>
        <v>0</v>
      </c>
      <c r="X147" s="101">
        <v>0</v>
      </c>
      <c r="Y147" s="102">
        <v>0</v>
      </c>
      <c r="Z147" s="102">
        <v>0</v>
      </c>
      <c r="AA147" s="102">
        <v>0</v>
      </c>
      <c r="AB147" s="103">
        <f t="shared" ca="1" si="18"/>
        <v>1830000</v>
      </c>
      <c r="AC147" s="104">
        <f t="shared" ca="1" si="19"/>
        <v>5510000</v>
      </c>
      <c r="AD147" s="105">
        <f>ROUND(L147*LK_AllowanceRates!$B$25/100,0)</f>
        <v>202400</v>
      </c>
      <c r="AE147" s="106">
        <f t="shared" ca="1" si="20"/>
        <v>5307600</v>
      </c>
      <c r="AF147" s="106">
        <f t="shared" ca="1" si="21"/>
        <v>215760</v>
      </c>
      <c r="AG147" s="107">
        <v>0</v>
      </c>
      <c r="AH147" s="107">
        <v>0</v>
      </c>
      <c r="AI147" s="108">
        <f t="shared" ca="1" si="22"/>
        <v>418160</v>
      </c>
      <c r="AJ147" s="109">
        <f t="shared" ca="1" si="23"/>
        <v>5091840</v>
      </c>
    </row>
    <row r="148" spans="1:36" ht="15" customHeight="1" x14ac:dyDescent="0.3">
      <c r="A148" s="98" t="str">
        <f>EMPLOYEE_MASTER!A148</f>
        <v>LAO00145</v>
      </c>
      <c r="B148" s="98" t="str">
        <f>EMPLOYEE_MASTER!C148</f>
        <v>Khankham</v>
      </c>
      <c r="C148" s="98" t="str">
        <f>EMPLOYEE_MASTER!D148</f>
        <v>Manivong</v>
      </c>
      <c r="D148" s="98" t="str">
        <f>EMPLOYEE_MASTER!T148</f>
        <v>Ministry of Education and Sports (MoES)</v>
      </c>
      <c r="E148" s="98" t="str">
        <f>EMPLOYEE_MASTER!M148</f>
        <v>University Lecturer</v>
      </c>
      <c r="F148" s="98" t="str">
        <f>EMPLOYEE_MASTER!Z148</f>
        <v>Teacher</v>
      </c>
      <c r="G148" s="99">
        <f>EMPLOYEE_MASTER!P148</f>
        <v>5</v>
      </c>
      <c r="H148" s="99">
        <f>EMPLOYEE_MASTER!Q148</f>
        <v>8</v>
      </c>
      <c r="I148" s="100" t="str">
        <f t="shared" si="16"/>
        <v>G05-S08</v>
      </c>
      <c r="J148" s="100">
        <f>IFERROR(VLOOKUP(I148,LK_GradeStep!$C$4:$D$85,2,0),0)</f>
        <v>348</v>
      </c>
      <c r="K148" s="100">
        <f>IFERROR(VLOOKUP(I148,LK_GradeStep!$C$4:$E$85,3,0),10000)</f>
        <v>10000</v>
      </c>
      <c r="L148" s="100">
        <f t="shared" si="17"/>
        <v>3480000</v>
      </c>
      <c r="M148" s="101">
        <f>IFERROR(VLOOKUP(EMPLOYEE_MASTER!AQ148,LK_AllowanceRates!$A$5:$B$11,2,0),0)</f>
        <v>900000</v>
      </c>
      <c r="N148" s="101">
        <f ca="1">IFERROR(IF(EMPLOYEE_MASTER!J148&lt;=5,  EMPLOYEE_MASTER!J148*LK_AllowanceRates!$B$12,IF(EMPLOYEE_MASTER!J148&lt;=15, EMPLOYEE_MASTER!J148*LK_AllowanceRates!$B$13,IF(EMPLOYEE_MASTER!J148&lt;=25, EMPLOYEE_MASTER!J148*LK_AllowanceRates!$B$14,EMPLOYEE_MASTER!J148*LK_AllowanceRates!$B$15))),0)</f>
        <v>540000</v>
      </c>
      <c r="O148" s="101">
        <f>IF(EMPLOYEE_MASTER!AS148="Teaching",L148*LK_AllowanceRates!$B$16,0)</f>
        <v>696000</v>
      </c>
      <c r="P148" s="101">
        <f>IF(EMPLOYEE_MASTER!AS148="Medical",LK_AllowanceRates!$B$17,0)</f>
        <v>0</v>
      </c>
      <c r="Q148" s="101">
        <f>IF(EMPLOYEE_MASTER!AR148="Yes",LK_AllowanceRates!$B$18,0)</f>
        <v>0</v>
      </c>
      <c r="R148" s="101">
        <f>IF(EMPLOYEE_MASTER!AC148="Yes",LK_AllowanceRates!$B$19,0)</f>
        <v>1000000</v>
      </c>
      <c r="S148" s="101">
        <f>IF(EMPLOYEE_MASTER!AA148="Yes",L148*LK_AllowanceRates!$B$20,0)</f>
        <v>0</v>
      </c>
      <c r="T148" s="101">
        <f>IF(EMPLOYEE_MASTER!AB148="Yes",LK_AllowanceRates!$B$21,0)</f>
        <v>0</v>
      </c>
      <c r="U148" s="101">
        <f>IF(EMPLOYEE_MASTER!P148&gt;=6,LK_AllowanceRates!$B$22,0)</f>
        <v>0</v>
      </c>
      <c r="V148" s="101">
        <f>IF(EMPLOYEE_MASTER!AO148="Yes",LK_AllowanceRates!$B$23,0)</f>
        <v>200000</v>
      </c>
      <c r="W148" s="101">
        <f>EMPLOYEE_MASTER!AP148*LK_AllowanceRates!$B$24</f>
        <v>600000</v>
      </c>
      <c r="X148" s="101">
        <v>0</v>
      </c>
      <c r="Y148" s="102">
        <v>0</v>
      </c>
      <c r="Z148" s="102">
        <v>0</v>
      </c>
      <c r="AA148" s="102">
        <v>0</v>
      </c>
      <c r="AB148" s="103">
        <f t="shared" ca="1" si="18"/>
        <v>3936000</v>
      </c>
      <c r="AC148" s="104">
        <f t="shared" ca="1" si="19"/>
        <v>7416000</v>
      </c>
      <c r="AD148" s="105">
        <f>ROUND(L148*LK_AllowanceRates!$B$25/100,0)</f>
        <v>191400</v>
      </c>
      <c r="AE148" s="106">
        <f t="shared" ca="1" si="20"/>
        <v>7224600</v>
      </c>
      <c r="AF148" s="106">
        <f t="shared" ca="1" si="21"/>
        <v>407460</v>
      </c>
      <c r="AG148" s="107">
        <v>0</v>
      </c>
      <c r="AH148" s="107">
        <v>0</v>
      </c>
      <c r="AI148" s="108">
        <f t="shared" ca="1" si="22"/>
        <v>598860</v>
      </c>
      <c r="AJ148" s="109">
        <f t="shared" ca="1" si="23"/>
        <v>6817140</v>
      </c>
    </row>
    <row r="149" spans="1:36" ht="15" customHeight="1" x14ac:dyDescent="0.3">
      <c r="A149" s="98" t="str">
        <f>EMPLOYEE_MASTER!A149</f>
        <v>LAO00146</v>
      </c>
      <c r="B149" s="98" t="str">
        <f>EMPLOYEE_MASTER!C149</f>
        <v>Sengphet</v>
      </c>
      <c r="C149" s="98" t="str">
        <f>EMPLOYEE_MASTER!D149</f>
        <v>Vongphachanh</v>
      </c>
      <c r="D149" s="98" t="str">
        <f>EMPLOYEE_MASTER!T149</f>
        <v>Ministry of Education and Sports (MoES)</v>
      </c>
      <c r="E149" s="98" t="str">
        <f>EMPLOYEE_MASTER!M149</f>
        <v>Senior Lecturer</v>
      </c>
      <c r="F149" s="98" t="str">
        <f>EMPLOYEE_MASTER!Z149</f>
        <v>Teacher</v>
      </c>
      <c r="G149" s="99">
        <f>EMPLOYEE_MASTER!P149</f>
        <v>4</v>
      </c>
      <c r="H149" s="99">
        <f>EMPLOYEE_MASTER!Q149</f>
        <v>1</v>
      </c>
      <c r="I149" s="100" t="str">
        <f t="shared" si="16"/>
        <v>G04-S01</v>
      </c>
      <c r="J149" s="100">
        <f>IFERROR(VLOOKUP(I149,LK_GradeStep!$C$4:$D$85,2,0),0)</f>
        <v>286</v>
      </c>
      <c r="K149" s="100">
        <f>IFERROR(VLOOKUP(I149,LK_GradeStep!$C$4:$E$85,3,0),10000)</f>
        <v>10000</v>
      </c>
      <c r="L149" s="100">
        <f t="shared" si="17"/>
        <v>2860000</v>
      </c>
      <c r="M149" s="101">
        <f>IFERROR(VLOOKUP(EMPLOYEE_MASTER!AQ149,LK_AllowanceRates!$A$5:$B$11,2,0),0)</f>
        <v>900000</v>
      </c>
      <c r="N149" s="101">
        <f ca="1">IFERROR(IF(EMPLOYEE_MASTER!J149&lt;=5,  EMPLOYEE_MASTER!J149*LK_AllowanceRates!$B$12,IF(EMPLOYEE_MASTER!J149&lt;=15, EMPLOYEE_MASTER!J149*LK_AllowanceRates!$B$13,IF(EMPLOYEE_MASTER!J149&lt;=25, EMPLOYEE_MASTER!J149*LK_AllowanceRates!$B$14,EMPLOYEE_MASTER!J149*LK_AllowanceRates!$B$15))),0)</f>
        <v>1480000</v>
      </c>
      <c r="O149" s="101">
        <f>IF(EMPLOYEE_MASTER!AS149="Teaching",L149*LK_AllowanceRates!$B$16,0)</f>
        <v>572000</v>
      </c>
      <c r="P149" s="101">
        <f>IF(EMPLOYEE_MASTER!AS149="Medical",LK_AllowanceRates!$B$17,0)</f>
        <v>0</v>
      </c>
      <c r="Q149" s="101">
        <f>IF(EMPLOYEE_MASTER!AR149="Yes",LK_AllowanceRates!$B$18,0)</f>
        <v>0</v>
      </c>
      <c r="R149" s="101">
        <f>IF(EMPLOYEE_MASTER!AC149="Yes",LK_AllowanceRates!$B$19,0)</f>
        <v>0</v>
      </c>
      <c r="S149" s="101">
        <f>IF(EMPLOYEE_MASTER!AA149="Yes",L149*LK_AllowanceRates!$B$20,0)</f>
        <v>715000</v>
      </c>
      <c r="T149" s="101">
        <f>IF(EMPLOYEE_MASTER!AB149="Yes",LK_AllowanceRates!$B$21,0)</f>
        <v>0</v>
      </c>
      <c r="U149" s="101">
        <f>IF(EMPLOYEE_MASTER!P149&gt;=6,LK_AllowanceRates!$B$22,0)</f>
        <v>0</v>
      </c>
      <c r="V149" s="101">
        <f>IF(EMPLOYEE_MASTER!AO149="Yes",LK_AllowanceRates!$B$23,0)</f>
        <v>200000</v>
      </c>
      <c r="W149" s="101">
        <f>EMPLOYEE_MASTER!AP149*LK_AllowanceRates!$B$24</f>
        <v>600000</v>
      </c>
      <c r="X149" s="101">
        <v>0</v>
      </c>
      <c r="Y149" s="102">
        <v>0</v>
      </c>
      <c r="Z149" s="102">
        <v>0</v>
      </c>
      <c r="AA149" s="102">
        <v>0</v>
      </c>
      <c r="AB149" s="103">
        <f t="shared" ca="1" si="18"/>
        <v>4467000</v>
      </c>
      <c r="AC149" s="104">
        <f t="shared" ca="1" si="19"/>
        <v>7327000</v>
      </c>
      <c r="AD149" s="105">
        <f>ROUND(L149*LK_AllowanceRates!$B$25/100,0)</f>
        <v>157300</v>
      </c>
      <c r="AE149" s="106">
        <f t="shared" ca="1" si="20"/>
        <v>7169700</v>
      </c>
      <c r="AF149" s="106">
        <f t="shared" ca="1" si="21"/>
        <v>401970</v>
      </c>
      <c r="AG149" s="107">
        <v>0</v>
      </c>
      <c r="AH149" s="107">
        <v>0</v>
      </c>
      <c r="AI149" s="108">
        <f t="shared" ca="1" si="22"/>
        <v>559270</v>
      </c>
      <c r="AJ149" s="109">
        <f t="shared" ca="1" si="23"/>
        <v>6767730</v>
      </c>
    </row>
    <row r="150" spans="1:36" ht="15" customHeight="1" x14ac:dyDescent="0.3">
      <c r="A150" s="98" t="str">
        <f>EMPLOYEE_MASTER!A150</f>
        <v>LAO00147</v>
      </c>
      <c r="B150" s="98" t="str">
        <f>EMPLOYEE_MASTER!C150</f>
        <v>Bounthong</v>
      </c>
      <c r="C150" s="98" t="str">
        <f>EMPLOYEE_MASTER!D150</f>
        <v>Thammavong</v>
      </c>
      <c r="D150" s="98" t="str">
        <f>EMPLOYEE_MASTER!T150</f>
        <v>Vientiane Capital Administration</v>
      </c>
      <c r="E150" s="98" t="str">
        <f>EMPLOYEE_MASTER!M150</f>
        <v>Section Chief</v>
      </c>
      <c r="F150" s="98" t="str">
        <f>EMPLOYEE_MASTER!Z150</f>
        <v>Administration</v>
      </c>
      <c r="G150" s="99">
        <f>EMPLOYEE_MASTER!P150</f>
        <v>5</v>
      </c>
      <c r="H150" s="99">
        <f>EMPLOYEE_MASTER!Q150</f>
        <v>1</v>
      </c>
      <c r="I150" s="100" t="str">
        <f t="shared" si="16"/>
        <v>G05-S01</v>
      </c>
      <c r="J150" s="100">
        <f>IFERROR(VLOOKUP(I150,LK_GradeStep!$C$4:$D$85,2,0),0)</f>
        <v>308</v>
      </c>
      <c r="K150" s="100">
        <f>IFERROR(VLOOKUP(I150,LK_GradeStep!$C$4:$E$85,3,0),10000)</f>
        <v>10000</v>
      </c>
      <c r="L150" s="100">
        <f t="shared" si="17"/>
        <v>3080000</v>
      </c>
      <c r="M150" s="101">
        <f>IFERROR(VLOOKUP(EMPLOYEE_MASTER!AQ150,LK_AllowanceRates!$A$5:$B$11,2,0),0)</f>
        <v>1500000</v>
      </c>
      <c r="N150" s="101">
        <f ca="1">IFERROR(IF(EMPLOYEE_MASTER!J150&lt;=5,  EMPLOYEE_MASTER!J150*LK_AllowanceRates!$B$12,IF(EMPLOYEE_MASTER!J150&lt;=15, EMPLOYEE_MASTER!J150*LK_AllowanceRates!$B$13,IF(EMPLOYEE_MASTER!J150&lt;=25, EMPLOYEE_MASTER!J150*LK_AllowanceRates!$B$14,EMPLOYEE_MASTER!J150*LK_AllowanceRates!$B$15))),0)</f>
        <v>1440000</v>
      </c>
      <c r="O150" s="101">
        <f>IF(EMPLOYEE_MASTER!AS150="Teaching",L150*LK_AllowanceRates!$B$16,0)</f>
        <v>0</v>
      </c>
      <c r="P150" s="101">
        <f>IF(EMPLOYEE_MASTER!AS150="Medical",LK_AllowanceRates!$B$17,0)</f>
        <v>0</v>
      </c>
      <c r="Q150" s="101">
        <f>IF(EMPLOYEE_MASTER!AR150="Yes",LK_AllowanceRates!$B$18,0)</f>
        <v>0</v>
      </c>
      <c r="R150" s="101">
        <f>IF(EMPLOYEE_MASTER!AC150="Yes",LK_AllowanceRates!$B$19,0)</f>
        <v>0</v>
      </c>
      <c r="S150" s="101">
        <f>IF(EMPLOYEE_MASTER!AA150="Yes",L150*LK_AllowanceRates!$B$20,0)</f>
        <v>0</v>
      </c>
      <c r="T150" s="101">
        <f>IF(EMPLOYEE_MASTER!AB150="Yes",LK_AllowanceRates!$B$21,0)</f>
        <v>0</v>
      </c>
      <c r="U150" s="101">
        <f>IF(EMPLOYEE_MASTER!P150&gt;=6,LK_AllowanceRates!$B$22,0)</f>
        <v>0</v>
      </c>
      <c r="V150" s="101">
        <f>IF(EMPLOYEE_MASTER!AO150="Yes",LK_AllowanceRates!$B$23,0)</f>
        <v>0</v>
      </c>
      <c r="W150" s="101">
        <f>EMPLOYEE_MASTER!AP150*LK_AllowanceRates!$B$24</f>
        <v>0</v>
      </c>
      <c r="X150" s="101">
        <v>0</v>
      </c>
      <c r="Y150" s="102">
        <v>0</v>
      </c>
      <c r="Z150" s="102">
        <v>0</v>
      </c>
      <c r="AA150" s="102">
        <v>0</v>
      </c>
      <c r="AB150" s="103">
        <f t="shared" ca="1" si="18"/>
        <v>2940000</v>
      </c>
      <c r="AC150" s="104">
        <f t="shared" ca="1" si="19"/>
        <v>6020000</v>
      </c>
      <c r="AD150" s="105">
        <f>ROUND(L150*LK_AllowanceRates!$B$25/100,0)</f>
        <v>169400</v>
      </c>
      <c r="AE150" s="106">
        <f t="shared" ca="1" si="20"/>
        <v>5850600</v>
      </c>
      <c r="AF150" s="106">
        <f t="shared" ca="1" si="21"/>
        <v>270060</v>
      </c>
      <c r="AG150" s="107">
        <v>0</v>
      </c>
      <c r="AH150" s="107">
        <v>0</v>
      </c>
      <c r="AI150" s="108">
        <f t="shared" ca="1" si="22"/>
        <v>439460</v>
      </c>
      <c r="AJ150" s="109">
        <f t="shared" ca="1" si="23"/>
        <v>5580540</v>
      </c>
    </row>
    <row r="151" spans="1:36" ht="15" customHeight="1" x14ac:dyDescent="0.3">
      <c r="A151" s="98" t="str">
        <f>EMPLOYEE_MASTER!A151</f>
        <v>LAO00148</v>
      </c>
      <c r="B151" s="98" t="str">
        <f>EMPLOYEE_MASTER!C151</f>
        <v>Boutsady</v>
      </c>
      <c r="C151" s="98" t="str">
        <f>EMPLOYEE_MASTER!D151</f>
        <v>Southichack</v>
      </c>
      <c r="D151" s="98" t="str">
        <f>EMPLOYEE_MASTER!T151</f>
        <v>Ministry of Labour &amp; Social Welfare (MLSW)</v>
      </c>
      <c r="E151" s="98" t="str">
        <f>EMPLOYEE_MASTER!M151</f>
        <v>Department Director</v>
      </c>
      <c r="F151" s="98" t="str">
        <f>EMPLOYEE_MASTER!Z151</f>
        <v>Administration</v>
      </c>
      <c r="G151" s="99">
        <f>EMPLOYEE_MASTER!P151</f>
        <v>4</v>
      </c>
      <c r="H151" s="99">
        <f>EMPLOYEE_MASTER!Q151</f>
        <v>6</v>
      </c>
      <c r="I151" s="100" t="str">
        <f t="shared" si="16"/>
        <v>G04-S06</v>
      </c>
      <c r="J151" s="100">
        <f>IFERROR(VLOOKUP(I151,LK_GradeStep!$C$4:$D$85,2,0),0)</f>
        <v>296</v>
      </c>
      <c r="K151" s="100">
        <f>IFERROR(VLOOKUP(I151,LK_GradeStep!$C$4:$E$85,3,0),10000)</f>
        <v>10000</v>
      </c>
      <c r="L151" s="100">
        <f t="shared" si="17"/>
        <v>2960000</v>
      </c>
      <c r="M151" s="101">
        <f>IFERROR(VLOOKUP(EMPLOYEE_MASTER!AQ151,LK_AllowanceRates!$A$5:$B$11,2,0),0)</f>
        <v>2500000</v>
      </c>
      <c r="N151" s="101">
        <f ca="1">IFERROR(IF(EMPLOYEE_MASTER!J151&lt;=5,  EMPLOYEE_MASTER!J151*LK_AllowanceRates!$B$12,IF(EMPLOYEE_MASTER!J151&lt;=15, EMPLOYEE_MASTER!J151*LK_AllowanceRates!$B$13,IF(EMPLOYEE_MASTER!J151&lt;=25, EMPLOYEE_MASTER!J151*LK_AllowanceRates!$B$14,EMPLOYEE_MASTER!J151*LK_AllowanceRates!$B$15))),0)</f>
        <v>160000</v>
      </c>
      <c r="O151" s="101">
        <f>IF(EMPLOYEE_MASTER!AS151="Teaching",L151*LK_AllowanceRates!$B$16,0)</f>
        <v>0</v>
      </c>
      <c r="P151" s="101">
        <f>IF(EMPLOYEE_MASTER!AS151="Medical",LK_AllowanceRates!$B$17,0)</f>
        <v>0</v>
      </c>
      <c r="Q151" s="101">
        <f>IF(EMPLOYEE_MASTER!AR151="Yes",LK_AllowanceRates!$B$18,0)</f>
        <v>0</v>
      </c>
      <c r="R151" s="101">
        <f>IF(EMPLOYEE_MASTER!AC151="Yes",LK_AllowanceRates!$B$19,0)</f>
        <v>0</v>
      </c>
      <c r="S151" s="101">
        <f>IF(EMPLOYEE_MASTER!AA151="Yes",L151*LK_AllowanceRates!$B$20,0)</f>
        <v>740000</v>
      </c>
      <c r="T151" s="101">
        <f>IF(EMPLOYEE_MASTER!AB151="Yes",LK_AllowanceRates!$B$21,0)</f>
        <v>0</v>
      </c>
      <c r="U151" s="101">
        <f>IF(EMPLOYEE_MASTER!P151&gt;=6,LK_AllowanceRates!$B$22,0)</f>
        <v>0</v>
      </c>
      <c r="V151" s="101">
        <f>IF(EMPLOYEE_MASTER!AO151="Yes",LK_AllowanceRates!$B$23,0)</f>
        <v>200000</v>
      </c>
      <c r="W151" s="101">
        <f>EMPLOYEE_MASTER!AP151*LK_AllowanceRates!$B$24</f>
        <v>600000</v>
      </c>
      <c r="X151" s="101">
        <v>0</v>
      </c>
      <c r="Y151" s="102">
        <v>0</v>
      </c>
      <c r="Z151" s="102">
        <v>0</v>
      </c>
      <c r="AA151" s="102">
        <v>0</v>
      </c>
      <c r="AB151" s="103">
        <f t="shared" ca="1" si="18"/>
        <v>4200000</v>
      </c>
      <c r="AC151" s="104">
        <f t="shared" ca="1" si="19"/>
        <v>7160000</v>
      </c>
      <c r="AD151" s="105">
        <f>ROUND(L151*LK_AllowanceRates!$B$25/100,0)</f>
        <v>162800</v>
      </c>
      <c r="AE151" s="106">
        <f t="shared" ca="1" si="20"/>
        <v>6997200</v>
      </c>
      <c r="AF151" s="106">
        <f t="shared" ca="1" si="21"/>
        <v>384720</v>
      </c>
      <c r="AG151" s="107">
        <v>0</v>
      </c>
      <c r="AH151" s="107">
        <v>0</v>
      </c>
      <c r="AI151" s="108">
        <f t="shared" ca="1" si="22"/>
        <v>547520</v>
      </c>
      <c r="AJ151" s="109">
        <f t="shared" ca="1" si="23"/>
        <v>6612480</v>
      </c>
    </row>
    <row r="152" spans="1:36" ht="15" customHeight="1" x14ac:dyDescent="0.3">
      <c r="A152" s="98" t="str">
        <f>EMPLOYEE_MASTER!A152</f>
        <v>LAO00149</v>
      </c>
      <c r="B152" s="98" t="str">
        <f>EMPLOYEE_MASTER!C152</f>
        <v>Phonevilay</v>
      </c>
      <c r="C152" s="98" t="str">
        <f>EMPLOYEE_MASTER!D152</f>
        <v>Souksavanh</v>
      </c>
      <c r="D152" s="98" t="str">
        <f>EMPLOYEE_MASTER!T152</f>
        <v>Ministry of Labour &amp; Social Welfare (MLSW)</v>
      </c>
      <c r="E152" s="98" t="str">
        <f>EMPLOYEE_MASTER!M152</f>
        <v>Clerk</v>
      </c>
      <c r="F152" s="98" t="str">
        <f>EMPLOYEE_MASTER!Z152</f>
        <v>Administration</v>
      </c>
      <c r="G152" s="99">
        <f>EMPLOYEE_MASTER!P152</f>
        <v>2</v>
      </c>
      <c r="H152" s="99">
        <f>EMPLOYEE_MASTER!Q152</f>
        <v>4</v>
      </c>
      <c r="I152" s="100" t="str">
        <f t="shared" si="16"/>
        <v>G02-S04</v>
      </c>
      <c r="J152" s="100">
        <f>IFERROR(VLOOKUP(I152,LK_GradeStep!$C$4:$D$85,2,0),0)</f>
        <v>271</v>
      </c>
      <c r="K152" s="100">
        <f>IFERROR(VLOOKUP(I152,LK_GradeStep!$C$4:$E$85,3,0),10000)</f>
        <v>10000</v>
      </c>
      <c r="L152" s="100">
        <f t="shared" si="17"/>
        <v>2710000</v>
      </c>
      <c r="M152" s="101">
        <f>IFERROR(VLOOKUP(EMPLOYEE_MASTER!AQ152,LK_AllowanceRates!$A$5:$B$11,2,0),0)</f>
        <v>900000</v>
      </c>
      <c r="N152" s="101">
        <f ca="1">IFERROR(IF(EMPLOYEE_MASTER!J152&lt;=5,  EMPLOYEE_MASTER!J152*LK_AllowanceRates!$B$12,IF(EMPLOYEE_MASTER!J152&lt;=15, EMPLOYEE_MASTER!J152*LK_AllowanceRates!$B$13,IF(EMPLOYEE_MASTER!J152&lt;=25, EMPLOYEE_MASTER!J152*LK_AllowanceRates!$B$14,EMPLOYEE_MASTER!J152*LK_AllowanceRates!$B$15))),0)</f>
        <v>690000</v>
      </c>
      <c r="O152" s="101">
        <f>IF(EMPLOYEE_MASTER!AS152="Teaching",L152*LK_AllowanceRates!$B$16,0)</f>
        <v>0</v>
      </c>
      <c r="P152" s="101">
        <f>IF(EMPLOYEE_MASTER!AS152="Medical",LK_AllowanceRates!$B$17,0)</f>
        <v>0</v>
      </c>
      <c r="Q152" s="101">
        <f>IF(EMPLOYEE_MASTER!AR152="Yes",LK_AllowanceRates!$B$18,0)</f>
        <v>0</v>
      </c>
      <c r="R152" s="101">
        <f>IF(EMPLOYEE_MASTER!AC152="Yes",LK_AllowanceRates!$B$19,0)</f>
        <v>0</v>
      </c>
      <c r="S152" s="101">
        <f>IF(EMPLOYEE_MASTER!AA152="Yes",L152*LK_AllowanceRates!$B$20,0)</f>
        <v>0</v>
      </c>
      <c r="T152" s="101">
        <f>IF(EMPLOYEE_MASTER!AB152="Yes",LK_AllowanceRates!$B$21,0)</f>
        <v>0</v>
      </c>
      <c r="U152" s="101">
        <f>IF(EMPLOYEE_MASTER!P152&gt;=6,LK_AllowanceRates!$B$22,0)</f>
        <v>0</v>
      </c>
      <c r="V152" s="101">
        <f>IF(EMPLOYEE_MASTER!AO152="Yes",LK_AllowanceRates!$B$23,0)</f>
        <v>200000</v>
      </c>
      <c r="W152" s="101">
        <f>EMPLOYEE_MASTER!AP152*LK_AllowanceRates!$B$24</f>
        <v>600000</v>
      </c>
      <c r="X152" s="101">
        <v>0</v>
      </c>
      <c r="Y152" s="102">
        <v>0</v>
      </c>
      <c r="Z152" s="102">
        <v>0</v>
      </c>
      <c r="AA152" s="102">
        <v>0</v>
      </c>
      <c r="AB152" s="103">
        <f t="shared" ca="1" si="18"/>
        <v>2390000</v>
      </c>
      <c r="AC152" s="104">
        <f t="shared" ca="1" si="19"/>
        <v>5100000</v>
      </c>
      <c r="AD152" s="105">
        <f>ROUND(L152*LK_AllowanceRates!$B$25/100,0)</f>
        <v>149050</v>
      </c>
      <c r="AE152" s="106">
        <f t="shared" ca="1" si="20"/>
        <v>4950950</v>
      </c>
      <c r="AF152" s="106">
        <f t="shared" ca="1" si="21"/>
        <v>182547.5</v>
      </c>
      <c r="AG152" s="107">
        <v>0</v>
      </c>
      <c r="AH152" s="107">
        <v>0</v>
      </c>
      <c r="AI152" s="108">
        <f t="shared" ca="1" si="22"/>
        <v>331597.5</v>
      </c>
      <c r="AJ152" s="109">
        <f t="shared" ca="1" si="23"/>
        <v>4768402.5</v>
      </c>
    </row>
    <row r="153" spans="1:36" ht="15" customHeight="1" x14ac:dyDescent="0.3">
      <c r="A153" s="98" t="str">
        <f>EMPLOYEE_MASTER!A153</f>
        <v>LAO00150</v>
      </c>
      <c r="B153" s="98" t="str">
        <f>EMPLOYEE_MASTER!C153</f>
        <v>Phimmaly</v>
      </c>
      <c r="C153" s="98" t="str">
        <f>EMPLOYEE_MASTER!D153</f>
        <v>Vongphachanh</v>
      </c>
      <c r="D153" s="98" t="str">
        <f>EMPLOYEE_MASTER!T153</f>
        <v>Luang Prabang Province Administration</v>
      </c>
      <c r="E153" s="98" t="str">
        <f>EMPLOYEE_MASTER!M153</f>
        <v>Deputy Director</v>
      </c>
      <c r="F153" s="98" t="str">
        <f>EMPLOYEE_MASTER!Z153</f>
        <v>Administration</v>
      </c>
      <c r="G153" s="99">
        <f>EMPLOYEE_MASTER!P153</f>
        <v>5</v>
      </c>
      <c r="H153" s="99">
        <f>EMPLOYEE_MASTER!Q153</f>
        <v>1</v>
      </c>
      <c r="I153" s="100" t="str">
        <f t="shared" si="16"/>
        <v>G05-S01</v>
      </c>
      <c r="J153" s="100">
        <f>IFERROR(VLOOKUP(I153,LK_GradeStep!$C$4:$D$85,2,0),0)</f>
        <v>308</v>
      </c>
      <c r="K153" s="100">
        <f>IFERROR(VLOOKUP(I153,LK_GradeStep!$C$4:$E$85,3,0),10000)</f>
        <v>10000</v>
      </c>
      <c r="L153" s="100">
        <f t="shared" si="17"/>
        <v>3080000</v>
      </c>
      <c r="M153" s="101">
        <f>IFERROR(VLOOKUP(EMPLOYEE_MASTER!AQ153,LK_AllowanceRates!$A$5:$B$11,2,0),0)</f>
        <v>2300000</v>
      </c>
      <c r="N153" s="101">
        <f ca="1">IFERROR(IF(EMPLOYEE_MASTER!J153&lt;=5,  EMPLOYEE_MASTER!J153*LK_AllowanceRates!$B$12,IF(EMPLOYEE_MASTER!J153&lt;=15, EMPLOYEE_MASTER!J153*LK_AllowanceRates!$B$13,IF(EMPLOYEE_MASTER!J153&lt;=25, EMPLOYEE_MASTER!J153*LK_AllowanceRates!$B$14,EMPLOYEE_MASTER!J153*LK_AllowanceRates!$B$15))),0)</f>
        <v>1200000</v>
      </c>
      <c r="O153" s="101">
        <f>IF(EMPLOYEE_MASTER!AS153="Teaching",L153*LK_AllowanceRates!$B$16,0)</f>
        <v>0</v>
      </c>
      <c r="P153" s="101">
        <f>IF(EMPLOYEE_MASTER!AS153="Medical",LK_AllowanceRates!$B$17,0)</f>
        <v>0</v>
      </c>
      <c r="Q153" s="101">
        <f>IF(EMPLOYEE_MASTER!AR153="Yes",LK_AllowanceRates!$B$18,0)</f>
        <v>0</v>
      </c>
      <c r="R153" s="101">
        <f>IF(EMPLOYEE_MASTER!AC153="Yes",LK_AllowanceRates!$B$19,0)</f>
        <v>1000000</v>
      </c>
      <c r="S153" s="101">
        <f>IF(EMPLOYEE_MASTER!AA153="Yes",L153*LK_AllowanceRates!$B$20,0)</f>
        <v>770000</v>
      </c>
      <c r="T153" s="101">
        <f>IF(EMPLOYEE_MASTER!AB153="Yes",LK_AllowanceRates!$B$21,0)</f>
        <v>0</v>
      </c>
      <c r="U153" s="101">
        <f>IF(EMPLOYEE_MASTER!P153&gt;=6,LK_AllowanceRates!$B$22,0)</f>
        <v>0</v>
      </c>
      <c r="V153" s="101">
        <f>IF(EMPLOYEE_MASTER!AO153="Yes",LK_AllowanceRates!$B$23,0)</f>
        <v>200000</v>
      </c>
      <c r="W153" s="101">
        <f>EMPLOYEE_MASTER!AP153*LK_AllowanceRates!$B$24</f>
        <v>600000</v>
      </c>
      <c r="X153" s="101">
        <v>0</v>
      </c>
      <c r="Y153" s="102">
        <v>0</v>
      </c>
      <c r="Z153" s="102">
        <v>0</v>
      </c>
      <c r="AA153" s="102">
        <v>0</v>
      </c>
      <c r="AB153" s="103">
        <f t="shared" ca="1" si="18"/>
        <v>6070000</v>
      </c>
      <c r="AC153" s="104">
        <f t="shared" ca="1" si="19"/>
        <v>9150000</v>
      </c>
      <c r="AD153" s="105">
        <f>ROUND(L153*LK_AllowanceRates!$B$25/100,0)</f>
        <v>169400</v>
      </c>
      <c r="AE153" s="106">
        <f t="shared" ca="1" si="20"/>
        <v>8980600</v>
      </c>
      <c r="AF153" s="106">
        <f t="shared" ca="1" si="21"/>
        <v>583060</v>
      </c>
      <c r="AG153" s="107">
        <v>0</v>
      </c>
      <c r="AH153" s="107">
        <v>0</v>
      </c>
      <c r="AI153" s="108">
        <f t="shared" ca="1" si="22"/>
        <v>752460</v>
      </c>
      <c r="AJ153" s="109">
        <f t="shared" ca="1" si="23"/>
        <v>8397540</v>
      </c>
    </row>
    <row r="154" spans="1:36" ht="15" customHeight="1" x14ac:dyDescent="0.3">
      <c r="A154" s="98" t="str">
        <f>EMPLOYEE_MASTER!A154</f>
        <v>LAO00151</v>
      </c>
      <c r="B154" s="98" t="str">
        <f>EMPLOYEE_MASTER!C154</f>
        <v>Boutsady</v>
      </c>
      <c r="C154" s="98" t="str">
        <f>EMPLOYEE_MASTER!D154</f>
        <v>Phonemany</v>
      </c>
      <c r="D154" s="98" t="str">
        <f>EMPLOYEE_MASTER!T154</f>
        <v>Ministry of Public Works &amp; Transport (MPWT)</v>
      </c>
      <c r="E154" s="98" t="str">
        <f>EMPLOYEE_MASTER!M154</f>
        <v>Engineer</v>
      </c>
      <c r="F154" s="98" t="str">
        <f>EMPLOYEE_MASTER!Z154</f>
        <v>Technical</v>
      </c>
      <c r="G154" s="99">
        <f>EMPLOYEE_MASTER!P154</f>
        <v>4</v>
      </c>
      <c r="H154" s="99">
        <f>EMPLOYEE_MASTER!Q154</f>
        <v>1</v>
      </c>
      <c r="I154" s="100" t="str">
        <f t="shared" si="16"/>
        <v>G04-S01</v>
      </c>
      <c r="J154" s="100">
        <f>IFERROR(VLOOKUP(I154,LK_GradeStep!$C$4:$D$85,2,0),0)</f>
        <v>286</v>
      </c>
      <c r="K154" s="100">
        <f>IFERROR(VLOOKUP(I154,LK_GradeStep!$C$4:$E$85,3,0),10000)</f>
        <v>10000</v>
      </c>
      <c r="L154" s="100">
        <f t="shared" si="17"/>
        <v>2860000</v>
      </c>
      <c r="M154" s="101">
        <f>IFERROR(VLOOKUP(EMPLOYEE_MASTER!AQ154,LK_AllowanceRates!$A$5:$B$11,2,0),0)</f>
        <v>900000</v>
      </c>
      <c r="N154" s="101">
        <f ca="1">IFERROR(IF(EMPLOYEE_MASTER!J154&lt;=5,  EMPLOYEE_MASTER!J154*LK_AllowanceRates!$B$12,IF(EMPLOYEE_MASTER!J154&lt;=15, EMPLOYEE_MASTER!J154*LK_AllowanceRates!$B$13,IF(EMPLOYEE_MASTER!J154&lt;=25, EMPLOYEE_MASTER!J154*LK_AllowanceRates!$B$14,EMPLOYEE_MASTER!J154*LK_AllowanceRates!$B$15))),0)</f>
        <v>1160000</v>
      </c>
      <c r="O154" s="101">
        <f>IF(EMPLOYEE_MASTER!AS154="Teaching",L154*LK_AllowanceRates!$B$16,0)</f>
        <v>0</v>
      </c>
      <c r="P154" s="101">
        <f>IF(EMPLOYEE_MASTER!AS154="Medical",LK_AllowanceRates!$B$17,0)</f>
        <v>0</v>
      </c>
      <c r="Q154" s="101">
        <f>IF(EMPLOYEE_MASTER!AR154="Yes",LK_AllowanceRates!$B$18,0)</f>
        <v>0</v>
      </c>
      <c r="R154" s="101">
        <f>IF(EMPLOYEE_MASTER!AC154="Yes",LK_AllowanceRates!$B$19,0)</f>
        <v>1000000</v>
      </c>
      <c r="S154" s="101">
        <f>IF(EMPLOYEE_MASTER!AA154="Yes",L154*LK_AllowanceRates!$B$20,0)</f>
        <v>715000</v>
      </c>
      <c r="T154" s="101">
        <f>IF(EMPLOYEE_MASTER!AB154="Yes",LK_AllowanceRates!$B$21,0)</f>
        <v>0</v>
      </c>
      <c r="U154" s="101">
        <f>IF(EMPLOYEE_MASTER!P154&gt;=6,LK_AllowanceRates!$B$22,0)</f>
        <v>0</v>
      </c>
      <c r="V154" s="101">
        <f>IF(EMPLOYEE_MASTER!AO154="Yes",LK_AllowanceRates!$B$23,0)</f>
        <v>200000</v>
      </c>
      <c r="W154" s="101">
        <f>EMPLOYEE_MASTER!AP154*LK_AllowanceRates!$B$24</f>
        <v>0</v>
      </c>
      <c r="X154" s="101">
        <v>0</v>
      </c>
      <c r="Y154" s="102">
        <v>0</v>
      </c>
      <c r="Z154" s="102">
        <v>0</v>
      </c>
      <c r="AA154" s="102">
        <v>0</v>
      </c>
      <c r="AB154" s="103">
        <f t="shared" ca="1" si="18"/>
        <v>3975000</v>
      </c>
      <c r="AC154" s="104">
        <f t="shared" ca="1" si="19"/>
        <v>6835000</v>
      </c>
      <c r="AD154" s="105">
        <f>ROUND(L154*LK_AllowanceRates!$B$25/100,0)</f>
        <v>157300</v>
      </c>
      <c r="AE154" s="106">
        <f t="shared" ca="1" si="20"/>
        <v>6677700</v>
      </c>
      <c r="AF154" s="106">
        <f t="shared" ca="1" si="21"/>
        <v>352770</v>
      </c>
      <c r="AG154" s="107">
        <v>0</v>
      </c>
      <c r="AH154" s="107">
        <v>0</v>
      </c>
      <c r="AI154" s="108">
        <f t="shared" ca="1" si="22"/>
        <v>510070</v>
      </c>
      <c r="AJ154" s="109">
        <f t="shared" ca="1" si="23"/>
        <v>6324930</v>
      </c>
    </row>
    <row r="155" spans="1:36" ht="15" customHeight="1" x14ac:dyDescent="0.3">
      <c r="A155" s="98" t="str">
        <f>EMPLOYEE_MASTER!A155</f>
        <v>LAO00152</v>
      </c>
      <c r="B155" s="98" t="str">
        <f>EMPLOYEE_MASTER!C155</f>
        <v>Bouakham</v>
      </c>
      <c r="C155" s="98" t="str">
        <f>EMPLOYEE_MASTER!D155</f>
        <v>Phommachack</v>
      </c>
      <c r="D155" s="98" t="str">
        <f>EMPLOYEE_MASTER!T155</f>
        <v>Ministry of Education and Sports (MoES)</v>
      </c>
      <c r="E155" s="98" t="str">
        <f>EMPLOYEE_MASTER!M155</f>
        <v>University Lecturer</v>
      </c>
      <c r="F155" s="98" t="str">
        <f>EMPLOYEE_MASTER!Z155</f>
        <v>Teacher</v>
      </c>
      <c r="G155" s="99">
        <f>EMPLOYEE_MASTER!P155</f>
        <v>4</v>
      </c>
      <c r="H155" s="99">
        <f>EMPLOYEE_MASTER!Q155</f>
        <v>1</v>
      </c>
      <c r="I155" s="100" t="str">
        <f t="shared" si="16"/>
        <v>G04-S01</v>
      </c>
      <c r="J155" s="100">
        <f>IFERROR(VLOOKUP(I155,LK_GradeStep!$C$4:$D$85,2,0),0)</f>
        <v>286</v>
      </c>
      <c r="K155" s="100">
        <f>IFERROR(VLOOKUP(I155,LK_GradeStep!$C$4:$E$85,3,0),10000)</f>
        <v>10000</v>
      </c>
      <c r="L155" s="100">
        <f t="shared" si="17"/>
        <v>2860000</v>
      </c>
      <c r="M155" s="101">
        <f>IFERROR(VLOOKUP(EMPLOYEE_MASTER!AQ155,LK_AllowanceRates!$A$5:$B$11,2,0),0)</f>
        <v>900000</v>
      </c>
      <c r="N155" s="101">
        <f ca="1">IFERROR(IF(EMPLOYEE_MASTER!J155&lt;=5,  EMPLOYEE_MASTER!J155*LK_AllowanceRates!$B$12,IF(EMPLOYEE_MASTER!J155&lt;=15, EMPLOYEE_MASTER!J155*LK_AllowanceRates!$B$13,IF(EMPLOYEE_MASTER!J155&lt;=25, EMPLOYEE_MASTER!J155*LK_AllowanceRates!$B$14,EMPLOYEE_MASTER!J155*LK_AllowanceRates!$B$15))),0)</f>
        <v>1320000</v>
      </c>
      <c r="O155" s="101">
        <f>IF(EMPLOYEE_MASTER!AS155="Teaching",L155*LK_AllowanceRates!$B$16,0)</f>
        <v>572000</v>
      </c>
      <c r="P155" s="101">
        <f>IF(EMPLOYEE_MASTER!AS155="Medical",LK_AllowanceRates!$B$17,0)</f>
        <v>0</v>
      </c>
      <c r="Q155" s="101">
        <f>IF(EMPLOYEE_MASTER!AR155="Yes",LK_AllowanceRates!$B$18,0)</f>
        <v>0</v>
      </c>
      <c r="R155" s="101">
        <f>IF(EMPLOYEE_MASTER!AC155="Yes",LK_AllowanceRates!$B$19,0)</f>
        <v>0</v>
      </c>
      <c r="S155" s="101">
        <f>IF(EMPLOYEE_MASTER!AA155="Yes",L155*LK_AllowanceRates!$B$20,0)</f>
        <v>0</v>
      </c>
      <c r="T155" s="101">
        <f>IF(EMPLOYEE_MASTER!AB155="Yes",LK_AllowanceRates!$B$21,0)</f>
        <v>0</v>
      </c>
      <c r="U155" s="101">
        <f>IF(EMPLOYEE_MASTER!P155&gt;=6,LK_AllowanceRates!$B$22,0)</f>
        <v>0</v>
      </c>
      <c r="V155" s="101">
        <f>IF(EMPLOYEE_MASTER!AO155="Yes",LK_AllowanceRates!$B$23,0)</f>
        <v>0</v>
      </c>
      <c r="W155" s="101">
        <f>EMPLOYEE_MASTER!AP155*LK_AllowanceRates!$B$24</f>
        <v>0</v>
      </c>
      <c r="X155" s="101">
        <v>0</v>
      </c>
      <c r="Y155" s="102">
        <v>0</v>
      </c>
      <c r="Z155" s="102">
        <v>0</v>
      </c>
      <c r="AA155" s="102">
        <v>0</v>
      </c>
      <c r="AB155" s="103">
        <f t="shared" ca="1" si="18"/>
        <v>2792000</v>
      </c>
      <c r="AC155" s="104">
        <f t="shared" ca="1" si="19"/>
        <v>5652000</v>
      </c>
      <c r="AD155" s="105">
        <f>ROUND(L155*LK_AllowanceRates!$B$25/100,0)</f>
        <v>157300</v>
      </c>
      <c r="AE155" s="106">
        <f t="shared" ca="1" si="20"/>
        <v>5494700</v>
      </c>
      <c r="AF155" s="106">
        <f t="shared" ca="1" si="21"/>
        <v>234470</v>
      </c>
      <c r="AG155" s="107">
        <v>0</v>
      </c>
      <c r="AH155" s="107">
        <v>0</v>
      </c>
      <c r="AI155" s="108">
        <f t="shared" ca="1" si="22"/>
        <v>391770</v>
      </c>
      <c r="AJ155" s="109">
        <f t="shared" ca="1" si="23"/>
        <v>5260230</v>
      </c>
    </row>
    <row r="156" spans="1:36" ht="15" customHeight="1" x14ac:dyDescent="0.3">
      <c r="A156" s="98" t="str">
        <f>EMPLOYEE_MASTER!A156</f>
        <v>LAO00153</v>
      </c>
      <c r="B156" s="98" t="str">
        <f>EMPLOYEE_MASTER!C156</f>
        <v>Khanthavy</v>
      </c>
      <c r="C156" s="98" t="str">
        <f>EMPLOYEE_MASTER!D156</f>
        <v>Dalasane</v>
      </c>
      <c r="D156" s="98" t="str">
        <f>EMPLOYEE_MASTER!T156</f>
        <v>Champasak Province Administration</v>
      </c>
      <c r="E156" s="98" t="str">
        <f>EMPLOYEE_MASTER!M156</f>
        <v>Deputy Department Director</v>
      </c>
      <c r="F156" s="98" t="str">
        <f>EMPLOYEE_MASTER!Z156</f>
        <v>Administration</v>
      </c>
      <c r="G156" s="99">
        <f>EMPLOYEE_MASTER!P156</f>
        <v>5</v>
      </c>
      <c r="H156" s="99">
        <f>EMPLOYEE_MASTER!Q156</f>
        <v>1</v>
      </c>
      <c r="I156" s="100" t="str">
        <f t="shared" si="16"/>
        <v>G05-S01</v>
      </c>
      <c r="J156" s="100">
        <f>IFERROR(VLOOKUP(I156,LK_GradeStep!$C$4:$D$85,2,0),0)</f>
        <v>308</v>
      </c>
      <c r="K156" s="100">
        <f>IFERROR(VLOOKUP(I156,LK_GradeStep!$C$4:$E$85,3,0),10000)</f>
        <v>10000</v>
      </c>
      <c r="L156" s="100">
        <f t="shared" si="17"/>
        <v>3080000</v>
      </c>
      <c r="M156" s="101">
        <f>IFERROR(VLOOKUP(EMPLOYEE_MASTER!AQ156,LK_AllowanceRates!$A$5:$B$11,2,0),0)</f>
        <v>900000</v>
      </c>
      <c r="N156" s="101">
        <f ca="1">IFERROR(IF(EMPLOYEE_MASTER!J156&lt;=5,  EMPLOYEE_MASTER!J156*LK_AllowanceRates!$B$12,IF(EMPLOYEE_MASTER!J156&lt;=15, EMPLOYEE_MASTER!J156*LK_AllowanceRates!$B$13,IF(EMPLOYEE_MASTER!J156&lt;=25, EMPLOYEE_MASTER!J156*LK_AllowanceRates!$B$14,EMPLOYEE_MASTER!J156*LK_AllowanceRates!$B$15))),0)</f>
        <v>630000</v>
      </c>
      <c r="O156" s="101">
        <f>IF(EMPLOYEE_MASTER!AS156="Teaching",L156*LK_AllowanceRates!$B$16,0)</f>
        <v>0</v>
      </c>
      <c r="P156" s="101">
        <f>IF(EMPLOYEE_MASTER!AS156="Medical",LK_AllowanceRates!$B$17,0)</f>
        <v>0</v>
      </c>
      <c r="Q156" s="101">
        <f>IF(EMPLOYEE_MASTER!AR156="Yes",LK_AllowanceRates!$B$18,0)</f>
        <v>0</v>
      </c>
      <c r="R156" s="101">
        <f>IF(EMPLOYEE_MASTER!AC156="Yes",LK_AllowanceRates!$B$19,0)</f>
        <v>1000000</v>
      </c>
      <c r="S156" s="101">
        <f>IF(EMPLOYEE_MASTER!AA156="Yes",L156*LK_AllowanceRates!$B$20,0)</f>
        <v>0</v>
      </c>
      <c r="T156" s="101">
        <f>IF(EMPLOYEE_MASTER!AB156="Yes",LK_AllowanceRates!$B$21,0)</f>
        <v>0</v>
      </c>
      <c r="U156" s="101">
        <f>IF(EMPLOYEE_MASTER!P156&gt;=6,LK_AllowanceRates!$B$22,0)</f>
        <v>0</v>
      </c>
      <c r="V156" s="101">
        <f>IF(EMPLOYEE_MASTER!AO156="Yes",LK_AllowanceRates!$B$23,0)</f>
        <v>200000</v>
      </c>
      <c r="W156" s="101">
        <f>EMPLOYEE_MASTER!AP156*LK_AllowanceRates!$B$24</f>
        <v>600000</v>
      </c>
      <c r="X156" s="101">
        <v>0</v>
      </c>
      <c r="Y156" s="102">
        <v>0</v>
      </c>
      <c r="Z156" s="102">
        <v>0</v>
      </c>
      <c r="AA156" s="102">
        <v>0</v>
      </c>
      <c r="AB156" s="103">
        <f t="shared" ca="1" si="18"/>
        <v>3330000</v>
      </c>
      <c r="AC156" s="104">
        <f t="shared" ca="1" si="19"/>
        <v>6410000</v>
      </c>
      <c r="AD156" s="105">
        <f>ROUND(L156*LK_AllowanceRates!$B$25/100,0)</f>
        <v>169400</v>
      </c>
      <c r="AE156" s="106">
        <f t="shared" ca="1" si="20"/>
        <v>6240600</v>
      </c>
      <c r="AF156" s="106">
        <f t="shared" ca="1" si="21"/>
        <v>309060</v>
      </c>
      <c r="AG156" s="107">
        <v>0</v>
      </c>
      <c r="AH156" s="107">
        <v>0</v>
      </c>
      <c r="AI156" s="108">
        <f t="shared" ca="1" si="22"/>
        <v>478460</v>
      </c>
      <c r="AJ156" s="109">
        <f t="shared" ca="1" si="23"/>
        <v>5931540</v>
      </c>
    </row>
    <row r="157" spans="1:36" ht="15" customHeight="1" x14ac:dyDescent="0.3">
      <c r="A157" s="98" t="str">
        <f>EMPLOYEE_MASTER!A157</f>
        <v>LAO00154</v>
      </c>
      <c r="B157" s="98" t="str">
        <f>EMPLOYEE_MASTER!C157</f>
        <v>Souvanny</v>
      </c>
      <c r="C157" s="98" t="str">
        <f>EMPLOYEE_MASTER!D157</f>
        <v>Phaymany</v>
      </c>
      <c r="D157" s="98" t="str">
        <f>EMPLOYEE_MASTER!T157</f>
        <v>Ministry of Labour &amp; Social Welfare (MLSW)</v>
      </c>
      <c r="E157" s="98" t="str">
        <f>EMPLOYEE_MASTER!M157</f>
        <v>Deputy Department Director</v>
      </c>
      <c r="F157" s="98" t="str">
        <f>EMPLOYEE_MASTER!Z157</f>
        <v>Administration</v>
      </c>
      <c r="G157" s="99">
        <f>EMPLOYEE_MASTER!P157</f>
        <v>4</v>
      </c>
      <c r="H157" s="99">
        <f>EMPLOYEE_MASTER!Q157</f>
        <v>1</v>
      </c>
      <c r="I157" s="100" t="str">
        <f t="shared" si="16"/>
        <v>G04-S01</v>
      </c>
      <c r="J157" s="100">
        <f>IFERROR(VLOOKUP(I157,LK_GradeStep!$C$4:$D$85,2,0),0)</f>
        <v>286</v>
      </c>
      <c r="K157" s="100">
        <f>IFERROR(VLOOKUP(I157,LK_GradeStep!$C$4:$E$85,3,0),10000)</f>
        <v>10000</v>
      </c>
      <c r="L157" s="100">
        <f t="shared" si="17"/>
        <v>2860000</v>
      </c>
      <c r="M157" s="101">
        <f>IFERROR(VLOOKUP(EMPLOYEE_MASTER!AQ157,LK_AllowanceRates!$A$5:$B$11,2,0),0)</f>
        <v>900000</v>
      </c>
      <c r="N157" s="101">
        <f ca="1">IFERROR(IF(EMPLOYEE_MASTER!J157&lt;=5,  EMPLOYEE_MASTER!J157*LK_AllowanceRates!$B$12,IF(EMPLOYEE_MASTER!J157&lt;=15, EMPLOYEE_MASTER!J157*LK_AllowanceRates!$B$13,IF(EMPLOYEE_MASTER!J157&lt;=25, EMPLOYEE_MASTER!J157*LK_AllowanceRates!$B$14,EMPLOYEE_MASTER!J157*LK_AllowanceRates!$B$15))),0)</f>
        <v>1320000</v>
      </c>
      <c r="O157" s="101">
        <f>IF(EMPLOYEE_MASTER!AS157="Teaching",L157*LK_AllowanceRates!$B$16,0)</f>
        <v>0</v>
      </c>
      <c r="P157" s="101">
        <f>IF(EMPLOYEE_MASTER!AS157="Medical",LK_AllowanceRates!$B$17,0)</f>
        <v>0</v>
      </c>
      <c r="Q157" s="101">
        <f>IF(EMPLOYEE_MASTER!AR157="Yes",LK_AllowanceRates!$B$18,0)</f>
        <v>0</v>
      </c>
      <c r="R157" s="101">
        <f>IF(EMPLOYEE_MASTER!AC157="Yes",LK_AllowanceRates!$B$19,0)</f>
        <v>0</v>
      </c>
      <c r="S157" s="101">
        <f>IF(EMPLOYEE_MASTER!AA157="Yes",L157*LK_AllowanceRates!$B$20,0)</f>
        <v>715000</v>
      </c>
      <c r="T157" s="101">
        <f>IF(EMPLOYEE_MASTER!AB157="Yes",LK_AllowanceRates!$B$21,0)</f>
        <v>0</v>
      </c>
      <c r="U157" s="101">
        <f>IF(EMPLOYEE_MASTER!P157&gt;=6,LK_AllowanceRates!$B$22,0)</f>
        <v>0</v>
      </c>
      <c r="V157" s="101">
        <f>IF(EMPLOYEE_MASTER!AO157="Yes",LK_AllowanceRates!$B$23,0)</f>
        <v>0</v>
      </c>
      <c r="W157" s="101">
        <f>EMPLOYEE_MASTER!AP157*LK_AllowanceRates!$B$24</f>
        <v>0</v>
      </c>
      <c r="X157" s="101">
        <v>0</v>
      </c>
      <c r="Y157" s="102">
        <v>0</v>
      </c>
      <c r="Z157" s="102">
        <v>0</v>
      </c>
      <c r="AA157" s="102">
        <v>0</v>
      </c>
      <c r="AB157" s="103">
        <f t="shared" ca="1" si="18"/>
        <v>2935000</v>
      </c>
      <c r="AC157" s="104">
        <f t="shared" ca="1" si="19"/>
        <v>5795000</v>
      </c>
      <c r="AD157" s="105">
        <f>ROUND(L157*LK_AllowanceRates!$B$25/100,0)</f>
        <v>157300</v>
      </c>
      <c r="AE157" s="106">
        <f t="shared" ca="1" si="20"/>
        <v>5637700</v>
      </c>
      <c r="AF157" s="106">
        <f t="shared" ca="1" si="21"/>
        <v>248770</v>
      </c>
      <c r="AG157" s="107">
        <v>0</v>
      </c>
      <c r="AH157" s="107">
        <v>0</v>
      </c>
      <c r="AI157" s="108">
        <f t="shared" ca="1" si="22"/>
        <v>406070</v>
      </c>
      <c r="AJ157" s="109">
        <f t="shared" ca="1" si="23"/>
        <v>5388930</v>
      </c>
    </row>
    <row r="158" spans="1:36" ht="15" customHeight="1" x14ac:dyDescent="0.3">
      <c r="A158" s="98" t="str">
        <f>EMPLOYEE_MASTER!A158</f>
        <v>LAO00155</v>
      </c>
      <c r="B158" s="98" t="str">
        <f>EMPLOYEE_MASTER!C158</f>
        <v>Somsak</v>
      </c>
      <c r="C158" s="98" t="str">
        <f>EMPLOYEE_MASTER!D158</f>
        <v>Phomthong</v>
      </c>
      <c r="D158" s="98" t="str">
        <f>EMPLOYEE_MASTER!T158</f>
        <v>Ministry of Justice (MoJ)</v>
      </c>
      <c r="E158" s="98" t="str">
        <f>EMPLOYEE_MASTER!M158</f>
        <v>Senior Legal Advisor</v>
      </c>
      <c r="F158" s="98" t="str">
        <f>EMPLOYEE_MASTER!Z158</f>
        <v>Legal</v>
      </c>
      <c r="G158" s="99">
        <f>EMPLOYEE_MASTER!P158</f>
        <v>4</v>
      </c>
      <c r="H158" s="99">
        <f>EMPLOYEE_MASTER!Q158</f>
        <v>13</v>
      </c>
      <c r="I158" s="100" t="str">
        <f t="shared" si="16"/>
        <v>G04-S13</v>
      </c>
      <c r="J158" s="100">
        <f>IFERROR(VLOOKUP(I158,LK_GradeStep!$C$4:$D$85,2,0),0)</f>
        <v>328</v>
      </c>
      <c r="K158" s="100">
        <f>IFERROR(VLOOKUP(I158,LK_GradeStep!$C$4:$E$85,3,0),10000)</f>
        <v>10000</v>
      </c>
      <c r="L158" s="100">
        <f t="shared" si="17"/>
        <v>3280000</v>
      </c>
      <c r="M158" s="101">
        <f>IFERROR(VLOOKUP(EMPLOYEE_MASTER!AQ158,LK_AllowanceRates!$A$5:$B$11,2,0),0)</f>
        <v>900000</v>
      </c>
      <c r="N158" s="101">
        <f ca="1">IFERROR(IF(EMPLOYEE_MASTER!J158&lt;=5,  EMPLOYEE_MASTER!J158*LK_AllowanceRates!$B$12,IF(EMPLOYEE_MASTER!J158&lt;=15, EMPLOYEE_MASTER!J158*LK_AllowanceRates!$B$13,IF(EMPLOYEE_MASTER!J158&lt;=25, EMPLOYEE_MASTER!J158*LK_AllowanceRates!$B$14,EMPLOYEE_MASTER!J158*LK_AllowanceRates!$B$15))),0)</f>
        <v>0</v>
      </c>
      <c r="O158" s="101">
        <f>IF(EMPLOYEE_MASTER!AS158="Teaching",L158*LK_AllowanceRates!$B$16,0)</f>
        <v>0</v>
      </c>
      <c r="P158" s="101">
        <f>IF(EMPLOYEE_MASTER!AS158="Medical",LK_AllowanceRates!$B$17,0)</f>
        <v>0</v>
      </c>
      <c r="Q158" s="101">
        <f>IF(EMPLOYEE_MASTER!AR158="Yes",LK_AllowanceRates!$B$18,0)</f>
        <v>0</v>
      </c>
      <c r="R158" s="101">
        <f>IF(EMPLOYEE_MASTER!AC158="Yes",LK_AllowanceRates!$B$19,0)</f>
        <v>0</v>
      </c>
      <c r="S158" s="101">
        <f>IF(EMPLOYEE_MASTER!AA158="Yes",L158*LK_AllowanceRates!$B$20,0)</f>
        <v>0</v>
      </c>
      <c r="T158" s="101">
        <f>IF(EMPLOYEE_MASTER!AB158="Yes",LK_AllowanceRates!$B$21,0)</f>
        <v>0</v>
      </c>
      <c r="U158" s="101">
        <f>IF(EMPLOYEE_MASTER!P158&gt;=6,LK_AllowanceRates!$B$22,0)</f>
        <v>0</v>
      </c>
      <c r="V158" s="101">
        <f>IF(EMPLOYEE_MASTER!AO158="Yes",LK_AllowanceRates!$B$23,0)</f>
        <v>0</v>
      </c>
      <c r="W158" s="101">
        <f>EMPLOYEE_MASTER!AP158*LK_AllowanceRates!$B$24</f>
        <v>0</v>
      </c>
      <c r="X158" s="101">
        <v>0</v>
      </c>
      <c r="Y158" s="102">
        <v>0</v>
      </c>
      <c r="Z158" s="102">
        <v>0</v>
      </c>
      <c r="AA158" s="102">
        <v>0</v>
      </c>
      <c r="AB158" s="103">
        <f t="shared" ca="1" si="18"/>
        <v>900000</v>
      </c>
      <c r="AC158" s="104">
        <f t="shared" ca="1" si="19"/>
        <v>4180000</v>
      </c>
      <c r="AD158" s="105">
        <f>ROUND(L158*LK_AllowanceRates!$B$25/100,0)</f>
        <v>180400</v>
      </c>
      <c r="AE158" s="106">
        <f t="shared" ca="1" si="20"/>
        <v>3999600</v>
      </c>
      <c r="AF158" s="106">
        <f t="shared" ca="1" si="21"/>
        <v>134980</v>
      </c>
      <c r="AG158" s="107">
        <v>0</v>
      </c>
      <c r="AH158" s="107">
        <v>0</v>
      </c>
      <c r="AI158" s="108">
        <f t="shared" ca="1" si="22"/>
        <v>315380</v>
      </c>
      <c r="AJ158" s="109">
        <f t="shared" ca="1" si="23"/>
        <v>3864620</v>
      </c>
    </row>
    <row r="159" spans="1:36" ht="15" customHeight="1" x14ac:dyDescent="0.3">
      <c r="A159" s="98" t="str">
        <f>EMPLOYEE_MASTER!A159</f>
        <v>LAO00156</v>
      </c>
      <c r="B159" s="98" t="str">
        <f>EMPLOYEE_MASTER!C159</f>
        <v>Sisamone</v>
      </c>
      <c r="C159" s="98" t="str">
        <f>EMPLOYEE_MASTER!D159</f>
        <v>Southichack</v>
      </c>
      <c r="D159" s="98" t="str">
        <f>EMPLOYEE_MASTER!T159</f>
        <v>Luang Prabang Province Administration</v>
      </c>
      <c r="E159" s="98" t="str">
        <f>EMPLOYEE_MASTER!M159</f>
        <v>Division Chief</v>
      </c>
      <c r="F159" s="98" t="str">
        <f>EMPLOYEE_MASTER!Z159</f>
        <v>Administration</v>
      </c>
      <c r="G159" s="99">
        <f>EMPLOYEE_MASTER!P159</f>
        <v>5</v>
      </c>
      <c r="H159" s="99">
        <f>EMPLOYEE_MASTER!Q159</f>
        <v>1</v>
      </c>
      <c r="I159" s="100" t="str">
        <f t="shared" si="16"/>
        <v>G05-S01</v>
      </c>
      <c r="J159" s="100">
        <f>IFERROR(VLOOKUP(I159,LK_GradeStep!$C$4:$D$85,2,0),0)</f>
        <v>308</v>
      </c>
      <c r="K159" s="100">
        <f>IFERROR(VLOOKUP(I159,LK_GradeStep!$C$4:$E$85,3,0),10000)</f>
        <v>10000</v>
      </c>
      <c r="L159" s="100">
        <f t="shared" si="17"/>
        <v>3080000</v>
      </c>
      <c r="M159" s="101">
        <f>IFERROR(VLOOKUP(EMPLOYEE_MASTER!AQ159,LK_AllowanceRates!$A$5:$B$11,2,0),0)</f>
        <v>1900000</v>
      </c>
      <c r="N159" s="101">
        <f ca="1">IFERROR(IF(EMPLOYEE_MASTER!J159&lt;=5,  EMPLOYEE_MASTER!J159*LK_AllowanceRates!$B$12,IF(EMPLOYEE_MASTER!J159&lt;=15, EMPLOYEE_MASTER!J159*LK_AllowanceRates!$B$13,IF(EMPLOYEE_MASTER!J159&lt;=25, EMPLOYEE_MASTER!J159*LK_AllowanceRates!$B$14,EMPLOYEE_MASTER!J159*LK_AllowanceRates!$B$15))),0)</f>
        <v>750000</v>
      </c>
      <c r="O159" s="101">
        <f>IF(EMPLOYEE_MASTER!AS159="Teaching",L159*LK_AllowanceRates!$B$16,0)</f>
        <v>0</v>
      </c>
      <c r="P159" s="101">
        <f>IF(EMPLOYEE_MASTER!AS159="Medical",LK_AllowanceRates!$B$17,0)</f>
        <v>0</v>
      </c>
      <c r="Q159" s="101">
        <f>IF(EMPLOYEE_MASTER!AR159="Yes",LK_AllowanceRates!$B$18,0)</f>
        <v>0</v>
      </c>
      <c r="R159" s="101">
        <f>IF(EMPLOYEE_MASTER!AC159="Yes",LK_AllowanceRates!$B$19,0)</f>
        <v>1000000</v>
      </c>
      <c r="S159" s="101">
        <f>IF(EMPLOYEE_MASTER!AA159="Yes",L159*LK_AllowanceRates!$B$20,0)</f>
        <v>770000</v>
      </c>
      <c r="T159" s="101">
        <f>IF(EMPLOYEE_MASTER!AB159="Yes",LK_AllowanceRates!$B$21,0)</f>
        <v>0</v>
      </c>
      <c r="U159" s="101">
        <f>IF(EMPLOYEE_MASTER!P159&gt;=6,LK_AllowanceRates!$B$22,0)</f>
        <v>0</v>
      </c>
      <c r="V159" s="101">
        <f>IF(EMPLOYEE_MASTER!AO159="Yes",LK_AllowanceRates!$B$23,0)</f>
        <v>200000</v>
      </c>
      <c r="W159" s="101">
        <f>EMPLOYEE_MASTER!AP159*LK_AllowanceRates!$B$24</f>
        <v>400000</v>
      </c>
      <c r="X159" s="101">
        <v>0</v>
      </c>
      <c r="Y159" s="102">
        <v>0</v>
      </c>
      <c r="Z159" s="102">
        <v>0</v>
      </c>
      <c r="AA159" s="102">
        <v>0</v>
      </c>
      <c r="AB159" s="103">
        <f t="shared" ca="1" si="18"/>
        <v>5020000</v>
      </c>
      <c r="AC159" s="104">
        <f t="shared" ca="1" si="19"/>
        <v>8100000</v>
      </c>
      <c r="AD159" s="105">
        <f>ROUND(L159*LK_AllowanceRates!$B$25/100,0)</f>
        <v>169400</v>
      </c>
      <c r="AE159" s="106">
        <f t="shared" ca="1" si="20"/>
        <v>7930600</v>
      </c>
      <c r="AF159" s="106">
        <f t="shared" ca="1" si="21"/>
        <v>478060</v>
      </c>
      <c r="AG159" s="107">
        <v>0</v>
      </c>
      <c r="AH159" s="107">
        <v>0</v>
      </c>
      <c r="AI159" s="108">
        <f t="shared" ca="1" si="22"/>
        <v>647460</v>
      </c>
      <c r="AJ159" s="109">
        <f t="shared" ca="1" si="23"/>
        <v>7452540</v>
      </c>
    </row>
    <row r="160" spans="1:36" ht="15" customHeight="1" x14ac:dyDescent="0.3">
      <c r="A160" s="98" t="str">
        <f>EMPLOYEE_MASTER!A160</f>
        <v>LAO00157</v>
      </c>
      <c r="B160" s="98" t="str">
        <f>EMPLOYEE_MASTER!C160</f>
        <v>Bounsong</v>
      </c>
      <c r="C160" s="98" t="str">
        <f>EMPLOYEE_MASTER!D160</f>
        <v>Singvongsa</v>
      </c>
      <c r="D160" s="98" t="str">
        <f>EMPLOYEE_MASTER!T160</f>
        <v>Ministry of Industry &amp; Commerce (MoIC)</v>
      </c>
      <c r="E160" s="98" t="str">
        <f>EMPLOYEE_MASTER!M160</f>
        <v>Section Chief</v>
      </c>
      <c r="F160" s="98" t="str">
        <f>EMPLOYEE_MASTER!Z160</f>
        <v>Administration</v>
      </c>
      <c r="G160" s="99">
        <f>EMPLOYEE_MASTER!P160</f>
        <v>4</v>
      </c>
      <c r="H160" s="99">
        <f>EMPLOYEE_MASTER!Q160</f>
        <v>1</v>
      </c>
      <c r="I160" s="100" t="str">
        <f t="shared" si="16"/>
        <v>G04-S01</v>
      </c>
      <c r="J160" s="100">
        <f>IFERROR(VLOOKUP(I160,LK_GradeStep!$C$4:$D$85,2,0),0)</f>
        <v>286</v>
      </c>
      <c r="K160" s="100">
        <f>IFERROR(VLOOKUP(I160,LK_GradeStep!$C$4:$E$85,3,0),10000)</f>
        <v>10000</v>
      </c>
      <c r="L160" s="100">
        <f t="shared" si="17"/>
        <v>2860000</v>
      </c>
      <c r="M160" s="101">
        <f>IFERROR(VLOOKUP(EMPLOYEE_MASTER!AQ160,LK_AllowanceRates!$A$5:$B$11,2,0),0)</f>
        <v>1500000</v>
      </c>
      <c r="N160" s="101">
        <f ca="1">IFERROR(IF(EMPLOYEE_MASTER!J160&lt;=5,  EMPLOYEE_MASTER!J160*LK_AllowanceRates!$B$12,IF(EMPLOYEE_MASTER!J160&lt;=15, EMPLOYEE_MASTER!J160*LK_AllowanceRates!$B$13,IF(EMPLOYEE_MASTER!J160&lt;=25, EMPLOYEE_MASTER!J160*LK_AllowanceRates!$B$14,EMPLOYEE_MASTER!J160*LK_AllowanceRates!$B$15))),0)</f>
        <v>720000</v>
      </c>
      <c r="O160" s="101">
        <f>IF(EMPLOYEE_MASTER!AS160="Teaching",L160*LK_AllowanceRates!$B$16,0)</f>
        <v>0</v>
      </c>
      <c r="P160" s="101">
        <f>IF(EMPLOYEE_MASTER!AS160="Medical",LK_AllowanceRates!$B$17,0)</f>
        <v>0</v>
      </c>
      <c r="Q160" s="101">
        <f>IF(EMPLOYEE_MASTER!AR160="Yes",LK_AllowanceRates!$B$18,0)</f>
        <v>0</v>
      </c>
      <c r="R160" s="101">
        <f>IF(EMPLOYEE_MASTER!AC160="Yes",LK_AllowanceRates!$B$19,0)</f>
        <v>0</v>
      </c>
      <c r="S160" s="101">
        <f>IF(EMPLOYEE_MASTER!AA160="Yes",L160*LK_AllowanceRates!$B$20,0)</f>
        <v>715000</v>
      </c>
      <c r="T160" s="101">
        <f>IF(EMPLOYEE_MASTER!AB160="Yes",LK_AllowanceRates!$B$21,0)</f>
        <v>0</v>
      </c>
      <c r="U160" s="101">
        <f>IF(EMPLOYEE_MASTER!P160&gt;=6,LK_AllowanceRates!$B$22,0)</f>
        <v>0</v>
      </c>
      <c r="V160" s="101">
        <f>IF(EMPLOYEE_MASTER!AO160="Yes",LK_AllowanceRates!$B$23,0)</f>
        <v>200000</v>
      </c>
      <c r="W160" s="101">
        <f>EMPLOYEE_MASTER!AP160*LK_AllowanceRates!$B$24</f>
        <v>600000</v>
      </c>
      <c r="X160" s="101">
        <v>0</v>
      </c>
      <c r="Y160" s="102">
        <v>0</v>
      </c>
      <c r="Z160" s="102">
        <v>0</v>
      </c>
      <c r="AA160" s="102">
        <v>0</v>
      </c>
      <c r="AB160" s="103">
        <f t="shared" ca="1" si="18"/>
        <v>3735000</v>
      </c>
      <c r="AC160" s="104">
        <f t="shared" ca="1" si="19"/>
        <v>6595000</v>
      </c>
      <c r="AD160" s="105">
        <f>ROUND(L160*LK_AllowanceRates!$B$25/100,0)</f>
        <v>157300</v>
      </c>
      <c r="AE160" s="106">
        <f t="shared" ca="1" si="20"/>
        <v>6437700</v>
      </c>
      <c r="AF160" s="106">
        <f t="shared" ca="1" si="21"/>
        <v>328770</v>
      </c>
      <c r="AG160" s="107">
        <v>0</v>
      </c>
      <c r="AH160" s="107">
        <v>0</v>
      </c>
      <c r="AI160" s="108">
        <f t="shared" ca="1" si="22"/>
        <v>486070</v>
      </c>
      <c r="AJ160" s="109">
        <f t="shared" ca="1" si="23"/>
        <v>6108930</v>
      </c>
    </row>
    <row r="161" spans="1:36" ht="15" customHeight="1" x14ac:dyDescent="0.3">
      <c r="A161" s="98" t="str">
        <f>EMPLOYEE_MASTER!A161</f>
        <v>LAO00158</v>
      </c>
      <c r="B161" s="98" t="str">
        <f>EMPLOYEE_MASTER!C161</f>
        <v>Nouphet</v>
      </c>
      <c r="C161" s="98" t="str">
        <f>EMPLOYEE_MASTER!D161</f>
        <v>Phommachack</v>
      </c>
      <c r="D161" s="98" t="str">
        <f>EMPLOYEE_MASTER!T161</f>
        <v>Ministry of Finance (MoF)</v>
      </c>
      <c r="E161" s="98" t="str">
        <f>EMPLOYEE_MASTER!M161</f>
        <v>Budget Officer</v>
      </c>
      <c r="F161" s="98" t="str">
        <f>EMPLOYEE_MASTER!Z161</f>
        <v>Finance</v>
      </c>
      <c r="G161" s="99">
        <f>EMPLOYEE_MASTER!P161</f>
        <v>2</v>
      </c>
      <c r="H161" s="99">
        <f>EMPLOYEE_MASTER!Q161</f>
        <v>1</v>
      </c>
      <c r="I161" s="100" t="str">
        <f t="shared" si="16"/>
        <v>G02-S01</v>
      </c>
      <c r="J161" s="100">
        <f>IFERROR(VLOOKUP(I161,LK_GradeStep!$C$4:$D$85,2,0),0)</f>
        <v>268</v>
      </c>
      <c r="K161" s="100">
        <f>IFERROR(VLOOKUP(I161,LK_GradeStep!$C$4:$E$85,3,0),10000)</f>
        <v>10000</v>
      </c>
      <c r="L161" s="100">
        <f t="shared" si="17"/>
        <v>2680000</v>
      </c>
      <c r="M161" s="101">
        <f>IFERROR(VLOOKUP(EMPLOYEE_MASTER!AQ161,LK_AllowanceRates!$A$5:$B$11,2,0),0)</f>
        <v>900000</v>
      </c>
      <c r="N161" s="101">
        <f ca="1">IFERROR(IF(EMPLOYEE_MASTER!J161&lt;=5,  EMPLOYEE_MASTER!J161*LK_AllowanceRates!$B$12,IF(EMPLOYEE_MASTER!J161&lt;=15, EMPLOYEE_MASTER!J161*LK_AllowanceRates!$B$13,IF(EMPLOYEE_MASTER!J161&lt;=25, EMPLOYEE_MASTER!J161*LK_AllowanceRates!$B$14,EMPLOYEE_MASTER!J161*LK_AllowanceRates!$B$15))),0)</f>
        <v>750000</v>
      </c>
      <c r="O161" s="101">
        <f>IF(EMPLOYEE_MASTER!AS161="Teaching",L161*LK_AllowanceRates!$B$16,0)</f>
        <v>0</v>
      </c>
      <c r="P161" s="101">
        <f>IF(EMPLOYEE_MASTER!AS161="Medical",LK_AllowanceRates!$B$17,0)</f>
        <v>0</v>
      </c>
      <c r="Q161" s="101">
        <f>IF(EMPLOYEE_MASTER!AR161="Yes",LK_AllowanceRates!$B$18,0)</f>
        <v>0</v>
      </c>
      <c r="R161" s="101">
        <f>IF(EMPLOYEE_MASTER!AC161="Yes",LK_AllowanceRates!$B$19,0)</f>
        <v>1000000</v>
      </c>
      <c r="S161" s="101">
        <f>IF(EMPLOYEE_MASTER!AA161="Yes",L161*LK_AllowanceRates!$B$20,0)</f>
        <v>670000</v>
      </c>
      <c r="T161" s="101">
        <f>IF(EMPLOYEE_MASTER!AB161="Yes",LK_AllowanceRates!$B$21,0)</f>
        <v>0</v>
      </c>
      <c r="U161" s="101">
        <f>IF(EMPLOYEE_MASTER!P161&gt;=6,LK_AllowanceRates!$B$22,0)</f>
        <v>0</v>
      </c>
      <c r="V161" s="101">
        <f>IF(EMPLOYEE_MASTER!AO161="Yes",LK_AllowanceRates!$B$23,0)</f>
        <v>200000</v>
      </c>
      <c r="W161" s="101">
        <f>EMPLOYEE_MASTER!AP161*LK_AllowanceRates!$B$24</f>
        <v>600000</v>
      </c>
      <c r="X161" s="101">
        <v>0</v>
      </c>
      <c r="Y161" s="102">
        <v>0</v>
      </c>
      <c r="Z161" s="102">
        <v>0</v>
      </c>
      <c r="AA161" s="102">
        <v>0</v>
      </c>
      <c r="AB161" s="103">
        <f t="shared" ca="1" si="18"/>
        <v>4120000</v>
      </c>
      <c r="AC161" s="104">
        <f t="shared" ca="1" si="19"/>
        <v>6800000</v>
      </c>
      <c r="AD161" s="105">
        <f>ROUND(L161*LK_AllowanceRates!$B$25/100,0)</f>
        <v>147400</v>
      </c>
      <c r="AE161" s="106">
        <f t="shared" ca="1" si="20"/>
        <v>6652600</v>
      </c>
      <c r="AF161" s="106">
        <f t="shared" ca="1" si="21"/>
        <v>350260</v>
      </c>
      <c r="AG161" s="107">
        <v>0</v>
      </c>
      <c r="AH161" s="107">
        <v>0</v>
      </c>
      <c r="AI161" s="108">
        <f t="shared" ca="1" si="22"/>
        <v>497660</v>
      </c>
      <c r="AJ161" s="109">
        <f t="shared" ca="1" si="23"/>
        <v>6302340</v>
      </c>
    </row>
    <row r="162" spans="1:36" ht="15" customHeight="1" x14ac:dyDescent="0.3">
      <c r="A162" s="98" t="str">
        <f>EMPLOYEE_MASTER!A162</f>
        <v>LAO00159</v>
      </c>
      <c r="B162" s="98" t="str">
        <f>EMPLOYEE_MASTER!C162</f>
        <v>Bounthon</v>
      </c>
      <c r="C162" s="98" t="str">
        <f>EMPLOYEE_MASTER!D162</f>
        <v>Sisouvath</v>
      </c>
      <c r="D162" s="98" t="str">
        <f>EMPLOYEE_MASTER!T162</f>
        <v>Luang Prabang Province Administration</v>
      </c>
      <c r="E162" s="98" t="str">
        <f>EMPLOYEE_MASTER!M162</f>
        <v>Clerk</v>
      </c>
      <c r="F162" s="98" t="str">
        <f>EMPLOYEE_MASTER!Z162</f>
        <v>Administration</v>
      </c>
      <c r="G162" s="99">
        <f>EMPLOYEE_MASTER!P162</f>
        <v>2</v>
      </c>
      <c r="H162" s="99">
        <f>EMPLOYEE_MASTER!Q162</f>
        <v>10</v>
      </c>
      <c r="I162" s="100" t="str">
        <f t="shared" si="16"/>
        <v>G02-S10</v>
      </c>
      <c r="J162" s="100">
        <f>IFERROR(VLOOKUP(I162,LK_GradeStep!$C$4:$D$85,2,0),0)</f>
        <v>277</v>
      </c>
      <c r="K162" s="100">
        <f>IFERROR(VLOOKUP(I162,LK_GradeStep!$C$4:$E$85,3,0),10000)</f>
        <v>10000</v>
      </c>
      <c r="L162" s="100">
        <f t="shared" si="17"/>
        <v>2770000</v>
      </c>
      <c r="M162" s="101">
        <f>IFERROR(VLOOKUP(EMPLOYEE_MASTER!AQ162,LK_AllowanceRates!$A$5:$B$11,2,0),0)</f>
        <v>900000</v>
      </c>
      <c r="N162" s="101">
        <f ca="1">IFERROR(IF(EMPLOYEE_MASTER!J162&lt;=5,  EMPLOYEE_MASTER!J162*LK_AllowanceRates!$B$12,IF(EMPLOYEE_MASTER!J162&lt;=15, EMPLOYEE_MASTER!J162*LK_AllowanceRates!$B$13,IF(EMPLOYEE_MASTER!J162&lt;=25, EMPLOYEE_MASTER!J162*LK_AllowanceRates!$B$14,EMPLOYEE_MASTER!J162*LK_AllowanceRates!$B$15))),0)</f>
        <v>540000</v>
      </c>
      <c r="O162" s="101">
        <f>IF(EMPLOYEE_MASTER!AS162="Teaching",L162*LK_AllowanceRates!$B$16,0)</f>
        <v>0</v>
      </c>
      <c r="P162" s="101">
        <f>IF(EMPLOYEE_MASTER!AS162="Medical",LK_AllowanceRates!$B$17,0)</f>
        <v>0</v>
      </c>
      <c r="Q162" s="101">
        <f>IF(EMPLOYEE_MASTER!AR162="Yes",LK_AllowanceRates!$B$18,0)</f>
        <v>0</v>
      </c>
      <c r="R162" s="101">
        <f>IF(EMPLOYEE_MASTER!AC162="Yes",LK_AllowanceRates!$B$19,0)</f>
        <v>1000000</v>
      </c>
      <c r="S162" s="101">
        <f>IF(EMPLOYEE_MASTER!AA162="Yes",L162*LK_AllowanceRates!$B$20,0)</f>
        <v>692500</v>
      </c>
      <c r="T162" s="101">
        <f>IF(EMPLOYEE_MASTER!AB162="Yes",LK_AllowanceRates!$B$21,0)</f>
        <v>0</v>
      </c>
      <c r="U162" s="101">
        <f>IF(EMPLOYEE_MASTER!P162&gt;=6,LK_AllowanceRates!$B$22,0)</f>
        <v>0</v>
      </c>
      <c r="V162" s="101">
        <f>IF(EMPLOYEE_MASTER!AO162="Yes",LK_AllowanceRates!$B$23,0)</f>
        <v>200000</v>
      </c>
      <c r="W162" s="101">
        <f>EMPLOYEE_MASTER!AP162*LK_AllowanceRates!$B$24</f>
        <v>200000</v>
      </c>
      <c r="X162" s="101">
        <v>0</v>
      </c>
      <c r="Y162" s="102">
        <v>0</v>
      </c>
      <c r="Z162" s="102">
        <v>0</v>
      </c>
      <c r="AA162" s="102">
        <v>0</v>
      </c>
      <c r="AB162" s="103">
        <f t="shared" ca="1" si="18"/>
        <v>3532500</v>
      </c>
      <c r="AC162" s="104">
        <f t="shared" ca="1" si="19"/>
        <v>6302500</v>
      </c>
      <c r="AD162" s="105">
        <f>ROUND(L162*LK_AllowanceRates!$B$25/100,0)</f>
        <v>152350</v>
      </c>
      <c r="AE162" s="106">
        <f t="shared" ca="1" si="20"/>
        <v>6150150</v>
      </c>
      <c r="AF162" s="106">
        <f t="shared" ca="1" si="21"/>
        <v>300015</v>
      </c>
      <c r="AG162" s="107">
        <v>0</v>
      </c>
      <c r="AH162" s="107">
        <v>0</v>
      </c>
      <c r="AI162" s="108">
        <f t="shared" ca="1" si="22"/>
        <v>452365</v>
      </c>
      <c r="AJ162" s="109">
        <f t="shared" ca="1" si="23"/>
        <v>5850135</v>
      </c>
    </row>
    <row r="163" spans="1:36" ht="15" customHeight="1" x14ac:dyDescent="0.3">
      <c r="A163" s="98" t="str">
        <f>EMPLOYEE_MASTER!A163</f>
        <v>LAO00160</v>
      </c>
      <c r="B163" s="98" t="str">
        <f>EMPLOYEE_MASTER!C163</f>
        <v>Vilaychith</v>
      </c>
      <c r="C163" s="98" t="str">
        <f>EMPLOYEE_MASTER!D163</f>
        <v>Vongphachanh</v>
      </c>
      <c r="D163" s="98" t="str">
        <f>EMPLOYEE_MASTER!T163</f>
        <v>Ministry of Finance (MoF)</v>
      </c>
      <c r="E163" s="98" t="str">
        <f>EMPLOYEE_MASTER!M163</f>
        <v>Accountant</v>
      </c>
      <c r="F163" s="98" t="str">
        <f>EMPLOYEE_MASTER!Z163</f>
        <v>Finance</v>
      </c>
      <c r="G163" s="99">
        <f>EMPLOYEE_MASTER!P163</f>
        <v>3</v>
      </c>
      <c r="H163" s="99">
        <f>EMPLOYEE_MASTER!Q163</f>
        <v>5</v>
      </c>
      <c r="I163" s="100" t="str">
        <f t="shared" si="16"/>
        <v>G03-S05</v>
      </c>
      <c r="J163" s="100">
        <f>IFERROR(VLOOKUP(I163,LK_GradeStep!$C$4:$D$85,2,0),0)</f>
        <v>280</v>
      </c>
      <c r="K163" s="100">
        <f>IFERROR(VLOOKUP(I163,LK_GradeStep!$C$4:$E$85,3,0),10000)</f>
        <v>10000</v>
      </c>
      <c r="L163" s="100">
        <f t="shared" si="17"/>
        <v>2800000</v>
      </c>
      <c r="M163" s="101">
        <f>IFERROR(VLOOKUP(EMPLOYEE_MASTER!AQ163,LK_AllowanceRates!$A$5:$B$11,2,0),0)</f>
        <v>900000</v>
      </c>
      <c r="N163" s="101">
        <f ca="1">IFERROR(IF(EMPLOYEE_MASTER!J163&lt;=5,  EMPLOYEE_MASTER!J163*LK_AllowanceRates!$B$12,IF(EMPLOYEE_MASTER!J163&lt;=15, EMPLOYEE_MASTER!J163*LK_AllowanceRates!$B$13,IF(EMPLOYEE_MASTER!J163&lt;=25, EMPLOYEE_MASTER!J163*LK_AllowanceRates!$B$14,EMPLOYEE_MASTER!J163*LK_AllowanceRates!$B$15))),0)</f>
        <v>660000</v>
      </c>
      <c r="O163" s="101">
        <f>IF(EMPLOYEE_MASTER!AS163="Teaching",L163*LK_AllowanceRates!$B$16,0)</f>
        <v>0</v>
      </c>
      <c r="P163" s="101">
        <f>IF(EMPLOYEE_MASTER!AS163="Medical",LK_AllowanceRates!$B$17,0)</f>
        <v>0</v>
      </c>
      <c r="Q163" s="101">
        <f>IF(EMPLOYEE_MASTER!AR163="Yes",LK_AllowanceRates!$B$18,0)</f>
        <v>0</v>
      </c>
      <c r="R163" s="101">
        <f>IF(EMPLOYEE_MASTER!AC163="Yes",LK_AllowanceRates!$B$19,0)</f>
        <v>0</v>
      </c>
      <c r="S163" s="101">
        <f>IF(EMPLOYEE_MASTER!AA163="Yes",L163*LK_AllowanceRates!$B$20,0)</f>
        <v>700000</v>
      </c>
      <c r="T163" s="101">
        <f>IF(EMPLOYEE_MASTER!AB163="Yes",LK_AllowanceRates!$B$21,0)</f>
        <v>0</v>
      </c>
      <c r="U163" s="101">
        <f>IF(EMPLOYEE_MASTER!P163&gt;=6,LK_AllowanceRates!$B$22,0)</f>
        <v>0</v>
      </c>
      <c r="V163" s="101">
        <f>IF(EMPLOYEE_MASTER!AO163="Yes",LK_AllowanceRates!$B$23,0)</f>
        <v>0</v>
      </c>
      <c r="W163" s="101">
        <f>EMPLOYEE_MASTER!AP163*LK_AllowanceRates!$B$24</f>
        <v>0</v>
      </c>
      <c r="X163" s="101">
        <v>0</v>
      </c>
      <c r="Y163" s="102">
        <v>0</v>
      </c>
      <c r="Z163" s="102">
        <v>0</v>
      </c>
      <c r="AA163" s="102">
        <v>0</v>
      </c>
      <c r="AB163" s="103">
        <f t="shared" ca="1" si="18"/>
        <v>2260000</v>
      </c>
      <c r="AC163" s="104">
        <f t="shared" ca="1" si="19"/>
        <v>5060000</v>
      </c>
      <c r="AD163" s="105">
        <f>ROUND(L163*LK_AllowanceRates!$B$25/100,0)</f>
        <v>154000</v>
      </c>
      <c r="AE163" s="106">
        <f t="shared" ca="1" si="20"/>
        <v>4906000</v>
      </c>
      <c r="AF163" s="106">
        <f t="shared" ca="1" si="21"/>
        <v>180300</v>
      </c>
      <c r="AG163" s="107">
        <v>0</v>
      </c>
      <c r="AH163" s="107">
        <v>0</v>
      </c>
      <c r="AI163" s="108">
        <f t="shared" ca="1" si="22"/>
        <v>334300</v>
      </c>
      <c r="AJ163" s="109">
        <f t="shared" ca="1" si="23"/>
        <v>4725700</v>
      </c>
    </row>
    <row r="164" spans="1:36" ht="15" customHeight="1" x14ac:dyDescent="0.3">
      <c r="A164" s="98" t="str">
        <f>EMPLOYEE_MASTER!A164</f>
        <v>LAO00161</v>
      </c>
      <c r="B164" s="98" t="str">
        <f>EMPLOYEE_MASTER!C164</f>
        <v>Khamphout</v>
      </c>
      <c r="C164" s="98" t="str">
        <f>EMPLOYEE_MASTER!D164</f>
        <v>Khamphilavong</v>
      </c>
      <c r="D164" s="98" t="str">
        <f>EMPLOYEE_MASTER!T164</f>
        <v>Ministry of Education and Sports (MoES)</v>
      </c>
      <c r="E164" s="98" t="str">
        <f>EMPLOYEE_MASTER!M164</f>
        <v>Senior Lecturer</v>
      </c>
      <c r="F164" s="98" t="str">
        <f>EMPLOYEE_MASTER!Z164</f>
        <v>Teacher</v>
      </c>
      <c r="G164" s="99">
        <f>EMPLOYEE_MASTER!P164</f>
        <v>5</v>
      </c>
      <c r="H164" s="99">
        <f>EMPLOYEE_MASTER!Q164</f>
        <v>1</v>
      </c>
      <c r="I164" s="100" t="str">
        <f t="shared" si="16"/>
        <v>G05-S01</v>
      </c>
      <c r="J164" s="100">
        <f>IFERROR(VLOOKUP(I164,LK_GradeStep!$C$4:$D$85,2,0),0)</f>
        <v>308</v>
      </c>
      <c r="K164" s="100">
        <f>IFERROR(VLOOKUP(I164,LK_GradeStep!$C$4:$E$85,3,0),10000)</f>
        <v>10000</v>
      </c>
      <c r="L164" s="100">
        <f t="shared" si="17"/>
        <v>3080000</v>
      </c>
      <c r="M164" s="101">
        <f>IFERROR(VLOOKUP(EMPLOYEE_MASTER!AQ164,LK_AllowanceRates!$A$5:$B$11,2,0),0)</f>
        <v>900000</v>
      </c>
      <c r="N164" s="101">
        <f ca="1">IFERROR(IF(EMPLOYEE_MASTER!J164&lt;=5,  EMPLOYEE_MASTER!J164*LK_AllowanceRates!$B$12,IF(EMPLOYEE_MASTER!J164&lt;=15, EMPLOYEE_MASTER!J164*LK_AllowanceRates!$B$13,IF(EMPLOYEE_MASTER!J164&lt;=25, EMPLOYEE_MASTER!J164*LK_AllowanceRates!$B$14,EMPLOYEE_MASTER!J164*LK_AllowanceRates!$B$15))),0)</f>
        <v>280000</v>
      </c>
      <c r="O164" s="101">
        <f>IF(EMPLOYEE_MASTER!AS164="Teaching",L164*LK_AllowanceRates!$B$16,0)</f>
        <v>616000</v>
      </c>
      <c r="P164" s="101">
        <f>IF(EMPLOYEE_MASTER!AS164="Medical",LK_AllowanceRates!$B$17,0)</f>
        <v>0</v>
      </c>
      <c r="Q164" s="101">
        <f>IF(EMPLOYEE_MASTER!AR164="Yes",LK_AllowanceRates!$B$18,0)</f>
        <v>0</v>
      </c>
      <c r="R164" s="101">
        <f>IF(EMPLOYEE_MASTER!AC164="Yes",LK_AllowanceRates!$B$19,0)</f>
        <v>0</v>
      </c>
      <c r="S164" s="101">
        <f>IF(EMPLOYEE_MASTER!AA164="Yes",L164*LK_AllowanceRates!$B$20,0)</f>
        <v>770000</v>
      </c>
      <c r="T164" s="101">
        <f>IF(EMPLOYEE_MASTER!AB164="Yes",LK_AllowanceRates!$B$21,0)</f>
        <v>0</v>
      </c>
      <c r="U164" s="101">
        <f>IF(EMPLOYEE_MASTER!P164&gt;=6,LK_AllowanceRates!$B$22,0)</f>
        <v>0</v>
      </c>
      <c r="V164" s="101">
        <f>IF(EMPLOYEE_MASTER!AO164="Yes",LK_AllowanceRates!$B$23,0)</f>
        <v>0</v>
      </c>
      <c r="W164" s="101">
        <f>EMPLOYEE_MASTER!AP164*LK_AllowanceRates!$B$24</f>
        <v>0</v>
      </c>
      <c r="X164" s="101">
        <v>0</v>
      </c>
      <c r="Y164" s="102">
        <v>0</v>
      </c>
      <c r="Z164" s="102">
        <v>0</v>
      </c>
      <c r="AA164" s="102">
        <v>0</v>
      </c>
      <c r="AB164" s="103">
        <f t="shared" ca="1" si="18"/>
        <v>2566000</v>
      </c>
      <c r="AC164" s="104">
        <f t="shared" ca="1" si="19"/>
        <v>5646000</v>
      </c>
      <c r="AD164" s="105">
        <f>ROUND(L164*LK_AllowanceRates!$B$25/100,0)</f>
        <v>169400</v>
      </c>
      <c r="AE164" s="106">
        <f t="shared" ca="1" si="20"/>
        <v>5476600</v>
      </c>
      <c r="AF164" s="106">
        <f t="shared" ca="1" si="21"/>
        <v>232660</v>
      </c>
      <c r="AG164" s="107">
        <v>0</v>
      </c>
      <c r="AH164" s="107">
        <v>0</v>
      </c>
      <c r="AI164" s="108">
        <f t="shared" ca="1" si="22"/>
        <v>402060</v>
      </c>
      <c r="AJ164" s="109">
        <f t="shared" ca="1" si="23"/>
        <v>5243940</v>
      </c>
    </row>
    <row r="165" spans="1:36" ht="15" customHeight="1" x14ac:dyDescent="0.3">
      <c r="A165" s="98" t="str">
        <f>EMPLOYEE_MASTER!A165</f>
        <v>LAO00162</v>
      </c>
      <c r="B165" s="98" t="str">
        <f>EMPLOYEE_MASTER!C165</f>
        <v>Boupha</v>
      </c>
      <c r="C165" s="98" t="str">
        <f>EMPLOYEE_MASTER!D165</f>
        <v>Khounboulom</v>
      </c>
      <c r="D165" s="98" t="str">
        <f>EMPLOYEE_MASTER!T165</f>
        <v>Ministry of Agriculture and Forestry (MoAF)</v>
      </c>
      <c r="E165" s="98" t="str">
        <f>EMPLOYEE_MASTER!M165</f>
        <v>Technical Officer</v>
      </c>
      <c r="F165" s="98" t="str">
        <f>EMPLOYEE_MASTER!Z165</f>
        <v>Technical</v>
      </c>
      <c r="G165" s="99">
        <f>EMPLOYEE_MASTER!P165</f>
        <v>4</v>
      </c>
      <c r="H165" s="99">
        <f>EMPLOYEE_MASTER!Q165</f>
        <v>1</v>
      </c>
      <c r="I165" s="100" t="str">
        <f t="shared" si="16"/>
        <v>G04-S01</v>
      </c>
      <c r="J165" s="100">
        <f>IFERROR(VLOOKUP(I165,LK_GradeStep!$C$4:$D$85,2,0),0)</f>
        <v>286</v>
      </c>
      <c r="K165" s="100">
        <f>IFERROR(VLOOKUP(I165,LK_GradeStep!$C$4:$E$85,3,0),10000)</f>
        <v>10000</v>
      </c>
      <c r="L165" s="100">
        <f t="shared" si="17"/>
        <v>2860000</v>
      </c>
      <c r="M165" s="101">
        <f>IFERROR(VLOOKUP(EMPLOYEE_MASTER!AQ165,LK_AllowanceRates!$A$5:$B$11,2,0),0)</f>
        <v>900000</v>
      </c>
      <c r="N165" s="101">
        <f ca="1">IFERROR(IF(EMPLOYEE_MASTER!J165&lt;=5,  EMPLOYEE_MASTER!J165*LK_AllowanceRates!$B$12,IF(EMPLOYEE_MASTER!J165&lt;=15, EMPLOYEE_MASTER!J165*LK_AllowanceRates!$B$13,IF(EMPLOYEE_MASTER!J165&lt;=25, EMPLOYEE_MASTER!J165*LK_AllowanceRates!$B$14,EMPLOYEE_MASTER!J165*LK_AllowanceRates!$B$15))),0)</f>
        <v>750000</v>
      </c>
      <c r="O165" s="101">
        <f>IF(EMPLOYEE_MASTER!AS165="Teaching",L165*LK_AllowanceRates!$B$16,0)</f>
        <v>0</v>
      </c>
      <c r="P165" s="101">
        <f>IF(EMPLOYEE_MASTER!AS165="Medical",LK_AllowanceRates!$B$17,0)</f>
        <v>0</v>
      </c>
      <c r="Q165" s="101">
        <f>IF(EMPLOYEE_MASTER!AR165="Yes",LK_AllowanceRates!$B$18,0)</f>
        <v>0</v>
      </c>
      <c r="R165" s="101">
        <f>IF(EMPLOYEE_MASTER!AC165="Yes",LK_AllowanceRates!$B$19,0)</f>
        <v>1000000</v>
      </c>
      <c r="S165" s="101">
        <f>IF(EMPLOYEE_MASTER!AA165="Yes",L165*LK_AllowanceRates!$B$20,0)</f>
        <v>715000</v>
      </c>
      <c r="T165" s="101">
        <f>IF(EMPLOYEE_MASTER!AB165="Yes",LK_AllowanceRates!$B$21,0)</f>
        <v>0</v>
      </c>
      <c r="U165" s="101">
        <f>IF(EMPLOYEE_MASTER!P165&gt;=6,LK_AllowanceRates!$B$22,0)</f>
        <v>0</v>
      </c>
      <c r="V165" s="101">
        <f>IF(EMPLOYEE_MASTER!AO165="Yes",LK_AllowanceRates!$B$23,0)</f>
        <v>200000</v>
      </c>
      <c r="W165" s="101">
        <f>EMPLOYEE_MASTER!AP165*LK_AllowanceRates!$B$24</f>
        <v>200000</v>
      </c>
      <c r="X165" s="101">
        <v>0</v>
      </c>
      <c r="Y165" s="102">
        <v>0</v>
      </c>
      <c r="Z165" s="102">
        <v>0</v>
      </c>
      <c r="AA165" s="102">
        <v>0</v>
      </c>
      <c r="AB165" s="103">
        <f t="shared" ca="1" si="18"/>
        <v>3765000</v>
      </c>
      <c r="AC165" s="104">
        <f t="shared" ca="1" si="19"/>
        <v>6625000</v>
      </c>
      <c r="AD165" s="105">
        <f>ROUND(L165*LK_AllowanceRates!$B$25/100,0)</f>
        <v>157300</v>
      </c>
      <c r="AE165" s="106">
        <f t="shared" ca="1" si="20"/>
        <v>6467700</v>
      </c>
      <c r="AF165" s="106">
        <f t="shared" ca="1" si="21"/>
        <v>331770</v>
      </c>
      <c r="AG165" s="107">
        <v>0</v>
      </c>
      <c r="AH165" s="107">
        <v>0</v>
      </c>
      <c r="AI165" s="108">
        <f t="shared" ca="1" si="22"/>
        <v>489070</v>
      </c>
      <c r="AJ165" s="109">
        <f t="shared" ca="1" si="23"/>
        <v>6135930</v>
      </c>
    </row>
    <row r="166" spans="1:36" ht="15" customHeight="1" x14ac:dyDescent="0.3">
      <c r="A166" s="98" t="str">
        <f>EMPLOYEE_MASTER!A166</f>
        <v>LAO00163</v>
      </c>
      <c r="B166" s="98" t="str">
        <f>EMPLOYEE_MASTER!C166</f>
        <v>Phimmaly</v>
      </c>
      <c r="C166" s="98" t="str">
        <f>EMPLOYEE_MASTER!D166</f>
        <v>Phongphichith</v>
      </c>
      <c r="D166" s="98" t="str">
        <f>EMPLOYEE_MASTER!T166</f>
        <v>Ministry of Natural Resources &amp; Environment (MoNRE)</v>
      </c>
      <c r="E166" s="98" t="str">
        <f>EMPLOYEE_MASTER!M166</f>
        <v>Technical Officer</v>
      </c>
      <c r="F166" s="98" t="str">
        <f>EMPLOYEE_MASTER!Z166</f>
        <v>Technical</v>
      </c>
      <c r="G166" s="99">
        <f>EMPLOYEE_MASTER!P166</f>
        <v>4</v>
      </c>
      <c r="H166" s="99">
        <f>EMPLOYEE_MASTER!Q166</f>
        <v>2</v>
      </c>
      <c r="I166" s="100" t="str">
        <f t="shared" si="16"/>
        <v>G04-S02</v>
      </c>
      <c r="J166" s="100">
        <f>IFERROR(VLOOKUP(I166,LK_GradeStep!$C$4:$D$85,2,0),0)</f>
        <v>288</v>
      </c>
      <c r="K166" s="100">
        <f>IFERROR(VLOOKUP(I166,LK_GradeStep!$C$4:$E$85,3,0),10000)</f>
        <v>10000</v>
      </c>
      <c r="L166" s="100">
        <f t="shared" si="17"/>
        <v>2880000</v>
      </c>
      <c r="M166" s="101">
        <f>IFERROR(VLOOKUP(EMPLOYEE_MASTER!AQ166,LK_AllowanceRates!$A$5:$B$11,2,0),0)</f>
        <v>900000</v>
      </c>
      <c r="N166" s="101">
        <f ca="1">IFERROR(IF(EMPLOYEE_MASTER!J166&lt;=5,  EMPLOYEE_MASTER!J166*LK_AllowanceRates!$B$12,IF(EMPLOYEE_MASTER!J166&lt;=15, EMPLOYEE_MASTER!J166*LK_AllowanceRates!$B$13,IF(EMPLOYEE_MASTER!J166&lt;=25, EMPLOYEE_MASTER!J166*LK_AllowanceRates!$B$14,EMPLOYEE_MASTER!J166*LK_AllowanceRates!$B$15))),0)</f>
        <v>300000</v>
      </c>
      <c r="O166" s="101">
        <f>IF(EMPLOYEE_MASTER!AS166="Teaching",L166*LK_AllowanceRates!$B$16,0)</f>
        <v>0</v>
      </c>
      <c r="P166" s="101">
        <f>IF(EMPLOYEE_MASTER!AS166="Medical",LK_AllowanceRates!$B$17,0)</f>
        <v>0</v>
      </c>
      <c r="Q166" s="101">
        <f>IF(EMPLOYEE_MASTER!AR166="Yes",LK_AllowanceRates!$B$18,0)</f>
        <v>0</v>
      </c>
      <c r="R166" s="101">
        <f>IF(EMPLOYEE_MASTER!AC166="Yes",LK_AllowanceRates!$B$19,0)</f>
        <v>0</v>
      </c>
      <c r="S166" s="101">
        <f>IF(EMPLOYEE_MASTER!AA166="Yes",L166*LK_AllowanceRates!$B$20,0)</f>
        <v>0</v>
      </c>
      <c r="T166" s="101">
        <f>IF(EMPLOYEE_MASTER!AB166="Yes",LK_AllowanceRates!$B$21,0)</f>
        <v>0</v>
      </c>
      <c r="U166" s="101">
        <f>IF(EMPLOYEE_MASTER!P166&gt;=6,LK_AllowanceRates!$B$22,0)</f>
        <v>0</v>
      </c>
      <c r="V166" s="101">
        <f>IF(EMPLOYEE_MASTER!AO166="Yes",LK_AllowanceRates!$B$23,0)</f>
        <v>0</v>
      </c>
      <c r="W166" s="101">
        <f>EMPLOYEE_MASTER!AP166*LK_AllowanceRates!$B$24</f>
        <v>0</v>
      </c>
      <c r="X166" s="101">
        <v>0</v>
      </c>
      <c r="Y166" s="102">
        <v>0</v>
      </c>
      <c r="Z166" s="102">
        <v>0</v>
      </c>
      <c r="AA166" s="102">
        <v>0</v>
      </c>
      <c r="AB166" s="103">
        <f t="shared" ca="1" si="18"/>
        <v>1200000</v>
      </c>
      <c r="AC166" s="104">
        <f t="shared" ca="1" si="19"/>
        <v>4080000</v>
      </c>
      <c r="AD166" s="105">
        <f>ROUND(L166*LK_AllowanceRates!$B$25/100,0)</f>
        <v>158400</v>
      </c>
      <c r="AE166" s="106">
        <f t="shared" ca="1" si="20"/>
        <v>3921600</v>
      </c>
      <c r="AF166" s="106">
        <f t="shared" ca="1" si="21"/>
        <v>131080</v>
      </c>
      <c r="AG166" s="107">
        <v>0</v>
      </c>
      <c r="AH166" s="107">
        <v>0</v>
      </c>
      <c r="AI166" s="108">
        <f t="shared" ca="1" si="22"/>
        <v>289480</v>
      </c>
      <c r="AJ166" s="109">
        <f t="shared" ca="1" si="23"/>
        <v>3790520</v>
      </c>
    </row>
    <row r="167" spans="1:36" ht="15" customHeight="1" x14ac:dyDescent="0.3">
      <c r="A167" s="98" t="str">
        <f>EMPLOYEE_MASTER!A167</f>
        <v>LAO00164</v>
      </c>
      <c r="B167" s="98" t="str">
        <f>EMPLOYEE_MASTER!C167</f>
        <v>Vilayphon</v>
      </c>
      <c r="C167" s="98" t="str">
        <f>EMPLOYEE_MASTER!D167</f>
        <v>Phiaylack</v>
      </c>
      <c r="D167" s="98" t="str">
        <f>EMPLOYEE_MASTER!T167</f>
        <v>Ministry of Natural Resources &amp; Environment (MoNRE)</v>
      </c>
      <c r="E167" s="98" t="str">
        <f>EMPLOYEE_MASTER!M167</f>
        <v>IT Officer</v>
      </c>
      <c r="F167" s="98" t="str">
        <f>EMPLOYEE_MASTER!Z167</f>
        <v>Technical</v>
      </c>
      <c r="G167" s="99">
        <f>EMPLOYEE_MASTER!P167</f>
        <v>2</v>
      </c>
      <c r="H167" s="99">
        <f>EMPLOYEE_MASTER!Q167</f>
        <v>1</v>
      </c>
      <c r="I167" s="100" t="str">
        <f t="shared" si="16"/>
        <v>G02-S01</v>
      </c>
      <c r="J167" s="100">
        <f>IFERROR(VLOOKUP(I167,LK_GradeStep!$C$4:$D$85,2,0),0)</f>
        <v>268</v>
      </c>
      <c r="K167" s="100">
        <f>IFERROR(VLOOKUP(I167,LK_GradeStep!$C$4:$E$85,3,0),10000)</f>
        <v>10000</v>
      </c>
      <c r="L167" s="100">
        <f t="shared" si="17"/>
        <v>2680000</v>
      </c>
      <c r="M167" s="101">
        <f>IFERROR(VLOOKUP(EMPLOYEE_MASTER!AQ167,LK_AllowanceRates!$A$5:$B$11,2,0),0)</f>
        <v>900000</v>
      </c>
      <c r="N167" s="101">
        <f ca="1">IFERROR(IF(EMPLOYEE_MASTER!J167&lt;=5,  EMPLOYEE_MASTER!J167*LK_AllowanceRates!$B$12,IF(EMPLOYEE_MASTER!J167&lt;=15, EMPLOYEE_MASTER!J167*LK_AllowanceRates!$B$13,IF(EMPLOYEE_MASTER!J167&lt;=25, EMPLOYEE_MASTER!J167*LK_AllowanceRates!$B$14,EMPLOYEE_MASTER!J167*LK_AllowanceRates!$B$15))),0)</f>
        <v>1240000</v>
      </c>
      <c r="O167" s="101">
        <f>IF(EMPLOYEE_MASTER!AS167="Teaching",L167*LK_AllowanceRates!$B$16,0)</f>
        <v>0</v>
      </c>
      <c r="P167" s="101">
        <f>IF(EMPLOYEE_MASTER!AS167="Medical",LK_AllowanceRates!$B$17,0)</f>
        <v>0</v>
      </c>
      <c r="Q167" s="101">
        <f>IF(EMPLOYEE_MASTER!AR167="Yes",LK_AllowanceRates!$B$18,0)</f>
        <v>0</v>
      </c>
      <c r="R167" s="101">
        <f>IF(EMPLOYEE_MASTER!AC167="Yes",LK_AllowanceRates!$B$19,0)</f>
        <v>1000000</v>
      </c>
      <c r="S167" s="101">
        <f>IF(EMPLOYEE_MASTER!AA167="Yes",L167*LK_AllowanceRates!$B$20,0)</f>
        <v>670000</v>
      </c>
      <c r="T167" s="101">
        <f>IF(EMPLOYEE_MASTER!AB167="Yes",LK_AllowanceRates!$B$21,0)</f>
        <v>0</v>
      </c>
      <c r="U167" s="101">
        <f>IF(EMPLOYEE_MASTER!P167&gt;=6,LK_AllowanceRates!$B$22,0)</f>
        <v>0</v>
      </c>
      <c r="V167" s="101">
        <f>IF(EMPLOYEE_MASTER!AO167="Yes",LK_AllowanceRates!$B$23,0)</f>
        <v>200000</v>
      </c>
      <c r="W167" s="101">
        <f>EMPLOYEE_MASTER!AP167*LK_AllowanceRates!$B$24</f>
        <v>600000</v>
      </c>
      <c r="X167" s="101">
        <v>0</v>
      </c>
      <c r="Y167" s="102">
        <v>0</v>
      </c>
      <c r="Z167" s="102">
        <v>0</v>
      </c>
      <c r="AA167" s="102">
        <v>0</v>
      </c>
      <c r="AB167" s="103">
        <f t="shared" ca="1" si="18"/>
        <v>4610000</v>
      </c>
      <c r="AC167" s="104">
        <f t="shared" ca="1" si="19"/>
        <v>7290000</v>
      </c>
      <c r="AD167" s="105">
        <f>ROUND(L167*LK_AllowanceRates!$B$25/100,0)</f>
        <v>147400</v>
      </c>
      <c r="AE167" s="106">
        <f t="shared" ca="1" si="20"/>
        <v>7142600</v>
      </c>
      <c r="AF167" s="106">
        <f t="shared" ca="1" si="21"/>
        <v>399260</v>
      </c>
      <c r="AG167" s="107">
        <v>0</v>
      </c>
      <c r="AH167" s="107">
        <v>0</v>
      </c>
      <c r="AI167" s="108">
        <f t="shared" ca="1" si="22"/>
        <v>546660</v>
      </c>
      <c r="AJ167" s="109">
        <f t="shared" ca="1" si="23"/>
        <v>6743340</v>
      </c>
    </row>
    <row r="168" spans="1:36" ht="15" customHeight="1" x14ac:dyDescent="0.3">
      <c r="A168" s="98" t="str">
        <f>EMPLOYEE_MASTER!A168</f>
        <v>LAO00165</v>
      </c>
      <c r="B168" s="98" t="str">
        <f>EMPLOYEE_MASTER!C168</f>
        <v>Khamphout</v>
      </c>
      <c r="C168" s="98" t="str">
        <f>EMPLOYEE_MASTER!D168</f>
        <v>Sengdara</v>
      </c>
      <c r="D168" s="98" t="str">
        <f>EMPLOYEE_MASTER!T168</f>
        <v>Ministry of Justice (MoJ)</v>
      </c>
      <c r="E168" s="98" t="str">
        <f>EMPLOYEE_MASTER!M168</f>
        <v>Legislative Officer</v>
      </c>
      <c r="F168" s="98" t="str">
        <f>EMPLOYEE_MASTER!Z168</f>
        <v>Legal</v>
      </c>
      <c r="G168" s="99">
        <f>EMPLOYEE_MASTER!P168</f>
        <v>3</v>
      </c>
      <c r="H168" s="99">
        <f>EMPLOYEE_MASTER!Q168</f>
        <v>3</v>
      </c>
      <c r="I168" s="100" t="str">
        <f t="shared" si="16"/>
        <v>G03-S03</v>
      </c>
      <c r="J168" s="100">
        <f>IFERROR(VLOOKUP(I168,LK_GradeStep!$C$4:$D$85,2,0),0)</f>
        <v>278</v>
      </c>
      <c r="K168" s="100">
        <f>IFERROR(VLOOKUP(I168,LK_GradeStep!$C$4:$E$85,3,0),10000)</f>
        <v>10000</v>
      </c>
      <c r="L168" s="100">
        <f t="shared" si="17"/>
        <v>2780000</v>
      </c>
      <c r="M168" s="101">
        <f>IFERROR(VLOOKUP(EMPLOYEE_MASTER!AQ168,LK_AllowanceRates!$A$5:$B$11,2,0),0)</f>
        <v>900000</v>
      </c>
      <c r="N168" s="101">
        <f ca="1">IFERROR(IF(EMPLOYEE_MASTER!J168&lt;=5,  EMPLOYEE_MASTER!J168*LK_AllowanceRates!$B$12,IF(EMPLOYEE_MASTER!J168&lt;=15, EMPLOYEE_MASTER!J168*LK_AllowanceRates!$B$13,IF(EMPLOYEE_MASTER!J168&lt;=25, EMPLOYEE_MASTER!J168*LK_AllowanceRates!$B$14,EMPLOYEE_MASTER!J168*LK_AllowanceRates!$B$15))),0)</f>
        <v>1400000</v>
      </c>
      <c r="O168" s="101">
        <f>IF(EMPLOYEE_MASTER!AS168="Teaching",L168*LK_AllowanceRates!$B$16,0)</f>
        <v>0</v>
      </c>
      <c r="P168" s="101">
        <f>IF(EMPLOYEE_MASTER!AS168="Medical",LK_AllowanceRates!$B$17,0)</f>
        <v>0</v>
      </c>
      <c r="Q168" s="101">
        <f>IF(EMPLOYEE_MASTER!AR168="Yes",LK_AllowanceRates!$B$18,0)</f>
        <v>0</v>
      </c>
      <c r="R168" s="101">
        <f>IF(EMPLOYEE_MASTER!AC168="Yes",LK_AllowanceRates!$B$19,0)</f>
        <v>1000000</v>
      </c>
      <c r="S168" s="101">
        <f>IF(EMPLOYEE_MASTER!AA168="Yes",L168*LK_AllowanceRates!$B$20,0)</f>
        <v>695000</v>
      </c>
      <c r="T168" s="101">
        <f>IF(EMPLOYEE_MASTER!AB168="Yes",LK_AllowanceRates!$B$21,0)</f>
        <v>0</v>
      </c>
      <c r="U168" s="101">
        <f>IF(EMPLOYEE_MASTER!P168&gt;=6,LK_AllowanceRates!$B$22,0)</f>
        <v>0</v>
      </c>
      <c r="V168" s="101">
        <f>IF(EMPLOYEE_MASTER!AO168="Yes",LK_AllowanceRates!$B$23,0)</f>
        <v>200000</v>
      </c>
      <c r="W168" s="101">
        <f>EMPLOYEE_MASTER!AP168*LK_AllowanceRates!$B$24</f>
        <v>400000</v>
      </c>
      <c r="X168" s="101">
        <v>0</v>
      </c>
      <c r="Y168" s="102">
        <v>0</v>
      </c>
      <c r="Z168" s="102">
        <v>0</v>
      </c>
      <c r="AA168" s="102">
        <v>0</v>
      </c>
      <c r="AB168" s="103">
        <f t="shared" ca="1" si="18"/>
        <v>4595000</v>
      </c>
      <c r="AC168" s="104">
        <f t="shared" ca="1" si="19"/>
        <v>7375000</v>
      </c>
      <c r="AD168" s="105">
        <f>ROUND(L168*LK_AllowanceRates!$B$25/100,0)</f>
        <v>152900</v>
      </c>
      <c r="AE168" s="106">
        <f t="shared" ca="1" si="20"/>
        <v>7222100</v>
      </c>
      <c r="AF168" s="106">
        <f t="shared" ca="1" si="21"/>
        <v>407210</v>
      </c>
      <c r="AG168" s="107">
        <v>0</v>
      </c>
      <c r="AH168" s="107">
        <v>0</v>
      </c>
      <c r="AI168" s="108">
        <f t="shared" ca="1" si="22"/>
        <v>560110</v>
      </c>
      <c r="AJ168" s="109">
        <f t="shared" ca="1" si="23"/>
        <v>6814890</v>
      </c>
    </row>
    <row r="169" spans="1:36" ht="15" customHeight="1" x14ac:dyDescent="0.3">
      <c r="A169" s="98" t="str">
        <f>EMPLOYEE_MASTER!A169</f>
        <v>LAO00166</v>
      </c>
      <c r="B169" s="98" t="str">
        <f>EMPLOYEE_MASTER!C169</f>
        <v>Khamphay</v>
      </c>
      <c r="C169" s="98" t="str">
        <f>EMPLOYEE_MASTER!D169</f>
        <v>Sengdara</v>
      </c>
      <c r="D169" s="98" t="str">
        <f>EMPLOYEE_MASTER!T169</f>
        <v>Ministry of Natural Resources &amp; Environment (MoNRE)</v>
      </c>
      <c r="E169" s="98" t="str">
        <f>EMPLOYEE_MASTER!M169</f>
        <v>Section Chief</v>
      </c>
      <c r="F169" s="98" t="str">
        <f>EMPLOYEE_MASTER!Z169</f>
        <v>Technical</v>
      </c>
      <c r="G169" s="99">
        <f>EMPLOYEE_MASTER!P169</f>
        <v>5</v>
      </c>
      <c r="H169" s="99">
        <f>EMPLOYEE_MASTER!Q169</f>
        <v>1</v>
      </c>
      <c r="I169" s="100" t="str">
        <f t="shared" si="16"/>
        <v>G05-S01</v>
      </c>
      <c r="J169" s="100">
        <f>IFERROR(VLOOKUP(I169,LK_GradeStep!$C$4:$D$85,2,0),0)</f>
        <v>308</v>
      </c>
      <c r="K169" s="100">
        <f>IFERROR(VLOOKUP(I169,LK_GradeStep!$C$4:$E$85,3,0),10000)</f>
        <v>10000</v>
      </c>
      <c r="L169" s="100">
        <f t="shared" si="17"/>
        <v>3080000</v>
      </c>
      <c r="M169" s="101">
        <f>IFERROR(VLOOKUP(EMPLOYEE_MASTER!AQ169,LK_AllowanceRates!$A$5:$B$11,2,0),0)</f>
        <v>1500000</v>
      </c>
      <c r="N169" s="101">
        <f ca="1">IFERROR(IF(EMPLOYEE_MASTER!J169&lt;=5,  EMPLOYEE_MASTER!J169*LK_AllowanceRates!$B$12,IF(EMPLOYEE_MASTER!J169&lt;=15, EMPLOYEE_MASTER!J169*LK_AllowanceRates!$B$13,IF(EMPLOYEE_MASTER!J169&lt;=25, EMPLOYEE_MASTER!J169*LK_AllowanceRates!$B$14,EMPLOYEE_MASTER!J169*LK_AllowanceRates!$B$15))),0)</f>
        <v>120000</v>
      </c>
      <c r="O169" s="101">
        <f>IF(EMPLOYEE_MASTER!AS169="Teaching",L169*LK_AllowanceRates!$B$16,0)</f>
        <v>0</v>
      </c>
      <c r="P169" s="101">
        <f>IF(EMPLOYEE_MASTER!AS169="Medical",LK_AllowanceRates!$B$17,0)</f>
        <v>0</v>
      </c>
      <c r="Q169" s="101">
        <f>IF(EMPLOYEE_MASTER!AR169="Yes",LK_AllowanceRates!$B$18,0)</f>
        <v>0</v>
      </c>
      <c r="R169" s="101">
        <f>IF(EMPLOYEE_MASTER!AC169="Yes",LK_AllowanceRates!$B$19,0)</f>
        <v>0</v>
      </c>
      <c r="S169" s="101">
        <f>IF(EMPLOYEE_MASTER!AA169="Yes",L169*LK_AllowanceRates!$B$20,0)</f>
        <v>0</v>
      </c>
      <c r="T169" s="101">
        <f>IF(EMPLOYEE_MASTER!AB169="Yes",LK_AllowanceRates!$B$21,0)</f>
        <v>0</v>
      </c>
      <c r="U169" s="101">
        <f>IF(EMPLOYEE_MASTER!P169&gt;=6,LK_AllowanceRates!$B$22,0)</f>
        <v>0</v>
      </c>
      <c r="V169" s="101">
        <f>IF(EMPLOYEE_MASTER!AO169="Yes",LK_AllowanceRates!$B$23,0)</f>
        <v>0</v>
      </c>
      <c r="W169" s="101">
        <f>EMPLOYEE_MASTER!AP169*LK_AllowanceRates!$B$24</f>
        <v>0</v>
      </c>
      <c r="X169" s="101">
        <v>0</v>
      </c>
      <c r="Y169" s="102">
        <v>0</v>
      </c>
      <c r="Z169" s="102">
        <v>0</v>
      </c>
      <c r="AA169" s="102">
        <v>0</v>
      </c>
      <c r="AB169" s="103">
        <f t="shared" ca="1" si="18"/>
        <v>1620000</v>
      </c>
      <c r="AC169" s="104">
        <f t="shared" ca="1" si="19"/>
        <v>4700000</v>
      </c>
      <c r="AD169" s="105">
        <f>ROUND(L169*LK_AllowanceRates!$B$25/100,0)</f>
        <v>169400</v>
      </c>
      <c r="AE169" s="106">
        <f t="shared" ca="1" si="20"/>
        <v>4530600</v>
      </c>
      <c r="AF169" s="106">
        <f t="shared" ca="1" si="21"/>
        <v>161530</v>
      </c>
      <c r="AG169" s="107">
        <v>0</v>
      </c>
      <c r="AH169" s="107">
        <v>0</v>
      </c>
      <c r="AI169" s="108">
        <f t="shared" ca="1" si="22"/>
        <v>330930</v>
      </c>
      <c r="AJ169" s="109">
        <f t="shared" ca="1" si="23"/>
        <v>4369070</v>
      </c>
    </row>
    <row r="170" spans="1:36" ht="15" customHeight="1" x14ac:dyDescent="0.3">
      <c r="A170" s="98" t="str">
        <f>EMPLOYEE_MASTER!A170</f>
        <v>LAO00167</v>
      </c>
      <c r="B170" s="98" t="str">
        <f>EMPLOYEE_MASTER!C170</f>
        <v>Khamphout</v>
      </c>
      <c r="C170" s="98" t="str">
        <f>EMPLOYEE_MASTER!D170</f>
        <v>Sengmixay</v>
      </c>
      <c r="D170" s="98" t="str">
        <f>EMPLOYEE_MASTER!T170</f>
        <v>Ministry of Education and Sports (MoES)</v>
      </c>
      <c r="E170" s="98" t="str">
        <f>EMPLOYEE_MASTER!M170</f>
        <v>Secondary School Teacher</v>
      </c>
      <c r="F170" s="98" t="str">
        <f>EMPLOYEE_MASTER!Z170</f>
        <v>Teacher</v>
      </c>
      <c r="G170" s="99">
        <f>EMPLOYEE_MASTER!P170</f>
        <v>2</v>
      </c>
      <c r="H170" s="99">
        <f>EMPLOYEE_MASTER!Q170</f>
        <v>1</v>
      </c>
      <c r="I170" s="100" t="str">
        <f t="shared" si="16"/>
        <v>G02-S01</v>
      </c>
      <c r="J170" s="100">
        <f>IFERROR(VLOOKUP(I170,LK_GradeStep!$C$4:$D$85,2,0),0)</f>
        <v>268</v>
      </c>
      <c r="K170" s="100">
        <f>IFERROR(VLOOKUP(I170,LK_GradeStep!$C$4:$E$85,3,0),10000)</f>
        <v>10000</v>
      </c>
      <c r="L170" s="100">
        <f t="shared" si="17"/>
        <v>2680000</v>
      </c>
      <c r="M170" s="101">
        <f>IFERROR(VLOOKUP(EMPLOYEE_MASTER!AQ170,LK_AllowanceRates!$A$5:$B$11,2,0),0)</f>
        <v>900000</v>
      </c>
      <c r="N170" s="101">
        <f ca="1">IFERROR(IF(EMPLOYEE_MASTER!J170&lt;=5,  EMPLOYEE_MASTER!J170*LK_AllowanceRates!$B$12,IF(EMPLOYEE_MASTER!J170&lt;=15, EMPLOYEE_MASTER!J170*LK_AllowanceRates!$B$13,IF(EMPLOYEE_MASTER!J170&lt;=25, EMPLOYEE_MASTER!J170*LK_AllowanceRates!$B$14,EMPLOYEE_MASTER!J170*LK_AllowanceRates!$B$15))),0)</f>
        <v>1040000</v>
      </c>
      <c r="O170" s="101">
        <f>IF(EMPLOYEE_MASTER!AS170="Teaching",L170*LK_AllowanceRates!$B$16,0)</f>
        <v>536000</v>
      </c>
      <c r="P170" s="101">
        <f>IF(EMPLOYEE_MASTER!AS170="Medical",LK_AllowanceRates!$B$17,0)</f>
        <v>0</v>
      </c>
      <c r="Q170" s="101">
        <f>IF(EMPLOYEE_MASTER!AR170="Yes",LK_AllowanceRates!$B$18,0)</f>
        <v>0</v>
      </c>
      <c r="R170" s="101">
        <f>IF(EMPLOYEE_MASTER!AC170="Yes",LK_AllowanceRates!$B$19,0)</f>
        <v>0</v>
      </c>
      <c r="S170" s="101">
        <f>IF(EMPLOYEE_MASTER!AA170="Yes",L170*LK_AllowanceRates!$B$20,0)</f>
        <v>0</v>
      </c>
      <c r="T170" s="101">
        <f>IF(EMPLOYEE_MASTER!AB170="Yes",LK_AllowanceRates!$B$21,0)</f>
        <v>0</v>
      </c>
      <c r="U170" s="101">
        <f>IF(EMPLOYEE_MASTER!P170&gt;=6,LK_AllowanceRates!$B$22,0)</f>
        <v>0</v>
      </c>
      <c r="V170" s="101">
        <f>IF(EMPLOYEE_MASTER!AO170="Yes",LK_AllowanceRates!$B$23,0)</f>
        <v>200000</v>
      </c>
      <c r="W170" s="101">
        <f>EMPLOYEE_MASTER!AP170*LK_AllowanceRates!$B$24</f>
        <v>200000</v>
      </c>
      <c r="X170" s="101">
        <v>0</v>
      </c>
      <c r="Y170" s="102">
        <v>0</v>
      </c>
      <c r="Z170" s="102">
        <v>0</v>
      </c>
      <c r="AA170" s="102">
        <v>0</v>
      </c>
      <c r="AB170" s="103">
        <f t="shared" ca="1" si="18"/>
        <v>2876000</v>
      </c>
      <c r="AC170" s="104">
        <f t="shared" ca="1" si="19"/>
        <v>5556000</v>
      </c>
      <c r="AD170" s="105">
        <f>ROUND(L170*LK_AllowanceRates!$B$25/100,0)</f>
        <v>147400</v>
      </c>
      <c r="AE170" s="106">
        <f t="shared" ca="1" si="20"/>
        <v>5408600</v>
      </c>
      <c r="AF170" s="106">
        <f t="shared" ca="1" si="21"/>
        <v>225860</v>
      </c>
      <c r="AG170" s="107">
        <v>0</v>
      </c>
      <c r="AH170" s="107">
        <v>0</v>
      </c>
      <c r="AI170" s="108">
        <f t="shared" ca="1" si="22"/>
        <v>373260</v>
      </c>
      <c r="AJ170" s="109">
        <f t="shared" ca="1" si="23"/>
        <v>5182740</v>
      </c>
    </row>
    <row r="171" spans="1:36" ht="15" customHeight="1" x14ac:dyDescent="0.3">
      <c r="A171" s="98" t="str">
        <f>EMPLOYEE_MASTER!A171</f>
        <v>LAO00168</v>
      </c>
      <c r="B171" s="98" t="str">
        <f>EMPLOYEE_MASTER!C171</f>
        <v>Bounma</v>
      </c>
      <c r="C171" s="98" t="str">
        <f>EMPLOYEE_MASTER!D171</f>
        <v>Sisavath</v>
      </c>
      <c r="D171" s="98" t="str">
        <f>EMPLOYEE_MASTER!T171</f>
        <v>Ministry of Public Works &amp; Transport (MPWT)</v>
      </c>
      <c r="E171" s="98" t="str">
        <f>EMPLOYEE_MASTER!M171</f>
        <v>Environmental Officer</v>
      </c>
      <c r="F171" s="98" t="str">
        <f>EMPLOYEE_MASTER!Z171</f>
        <v>Technical</v>
      </c>
      <c r="G171" s="99">
        <f>EMPLOYEE_MASTER!P171</f>
        <v>3</v>
      </c>
      <c r="H171" s="99">
        <f>EMPLOYEE_MASTER!Q171</f>
        <v>1</v>
      </c>
      <c r="I171" s="100" t="str">
        <f t="shared" si="16"/>
        <v>G03-S01</v>
      </c>
      <c r="J171" s="100">
        <f>IFERROR(VLOOKUP(I171,LK_GradeStep!$C$4:$D$85,2,0),0)</f>
        <v>276</v>
      </c>
      <c r="K171" s="100">
        <f>IFERROR(VLOOKUP(I171,LK_GradeStep!$C$4:$E$85,3,0),10000)</f>
        <v>10000</v>
      </c>
      <c r="L171" s="100">
        <f t="shared" si="17"/>
        <v>2760000</v>
      </c>
      <c r="M171" s="101">
        <f>IFERROR(VLOOKUP(EMPLOYEE_MASTER!AQ171,LK_AllowanceRates!$A$5:$B$11,2,0),0)</f>
        <v>900000</v>
      </c>
      <c r="N171" s="101">
        <f ca="1">IFERROR(IF(EMPLOYEE_MASTER!J171&lt;=5,  EMPLOYEE_MASTER!J171*LK_AllowanceRates!$B$12,IF(EMPLOYEE_MASTER!J171&lt;=15, EMPLOYEE_MASTER!J171*LK_AllowanceRates!$B$13,IF(EMPLOYEE_MASTER!J171&lt;=25, EMPLOYEE_MASTER!J171*LK_AllowanceRates!$B$14,EMPLOYEE_MASTER!J171*LK_AllowanceRates!$B$15))),0)</f>
        <v>1360000</v>
      </c>
      <c r="O171" s="101">
        <f>IF(EMPLOYEE_MASTER!AS171="Teaching",L171*LK_AllowanceRates!$B$16,0)</f>
        <v>0</v>
      </c>
      <c r="P171" s="101">
        <f>IF(EMPLOYEE_MASTER!AS171="Medical",LK_AllowanceRates!$B$17,0)</f>
        <v>0</v>
      </c>
      <c r="Q171" s="101">
        <f>IF(EMPLOYEE_MASTER!AR171="Yes",LK_AllowanceRates!$B$18,0)</f>
        <v>0</v>
      </c>
      <c r="R171" s="101">
        <f>IF(EMPLOYEE_MASTER!AC171="Yes",LK_AllowanceRates!$B$19,0)</f>
        <v>1000000</v>
      </c>
      <c r="S171" s="101">
        <f>IF(EMPLOYEE_MASTER!AA171="Yes",L171*LK_AllowanceRates!$B$20,0)</f>
        <v>690000</v>
      </c>
      <c r="T171" s="101">
        <f>IF(EMPLOYEE_MASTER!AB171="Yes",LK_AllowanceRates!$B$21,0)</f>
        <v>0</v>
      </c>
      <c r="U171" s="101">
        <f>IF(EMPLOYEE_MASTER!P171&gt;=6,LK_AllowanceRates!$B$22,0)</f>
        <v>0</v>
      </c>
      <c r="V171" s="101">
        <f>IF(EMPLOYEE_MASTER!AO171="Yes",LK_AllowanceRates!$B$23,0)</f>
        <v>0</v>
      </c>
      <c r="W171" s="101">
        <f>EMPLOYEE_MASTER!AP171*LK_AllowanceRates!$B$24</f>
        <v>0</v>
      </c>
      <c r="X171" s="101">
        <v>0</v>
      </c>
      <c r="Y171" s="102">
        <v>0</v>
      </c>
      <c r="Z171" s="102">
        <v>0</v>
      </c>
      <c r="AA171" s="102">
        <v>0</v>
      </c>
      <c r="AB171" s="103">
        <f t="shared" ca="1" si="18"/>
        <v>3950000</v>
      </c>
      <c r="AC171" s="104">
        <f t="shared" ca="1" si="19"/>
        <v>6710000</v>
      </c>
      <c r="AD171" s="105">
        <f>ROUND(L171*LK_AllowanceRates!$B$25/100,0)</f>
        <v>151800</v>
      </c>
      <c r="AE171" s="106">
        <f t="shared" ca="1" si="20"/>
        <v>6558200</v>
      </c>
      <c r="AF171" s="106">
        <f t="shared" ca="1" si="21"/>
        <v>340820</v>
      </c>
      <c r="AG171" s="107">
        <v>0</v>
      </c>
      <c r="AH171" s="107">
        <v>0</v>
      </c>
      <c r="AI171" s="108">
        <f t="shared" ca="1" si="22"/>
        <v>492620</v>
      </c>
      <c r="AJ171" s="109">
        <f t="shared" ca="1" si="23"/>
        <v>6217380</v>
      </c>
    </row>
    <row r="172" spans="1:36" ht="15" customHeight="1" x14ac:dyDescent="0.3">
      <c r="A172" s="98" t="str">
        <f>EMPLOYEE_MASTER!A172</f>
        <v>LAO00169</v>
      </c>
      <c r="B172" s="98" t="str">
        <f>EMPLOYEE_MASTER!C172</f>
        <v>Phimmaly</v>
      </c>
      <c r="C172" s="98" t="str">
        <f>EMPLOYEE_MASTER!D172</f>
        <v>Vongsamphanh</v>
      </c>
      <c r="D172" s="98" t="str">
        <f>EMPLOYEE_MASTER!T172</f>
        <v>National Assembly (NA)</v>
      </c>
      <c r="E172" s="98" t="str">
        <f>EMPLOYEE_MASTER!M172</f>
        <v>Department Director</v>
      </c>
      <c r="F172" s="98" t="str">
        <f>EMPLOYEE_MASTER!Z172</f>
        <v>Administration</v>
      </c>
      <c r="G172" s="99">
        <f>EMPLOYEE_MASTER!P172</f>
        <v>5</v>
      </c>
      <c r="H172" s="99">
        <f>EMPLOYEE_MASTER!Q172</f>
        <v>1</v>
      </c>
      <c r="I172" s="100" t="str">
        <f t="shared" si="16"/>
        <v>G05-S01</v>
      </c>
      <c r="J172" s="100">
        <f>IFERROR(VLOOKUP(I172,LK_GradeStep!$C$4:$D$85,2,0),0)</f>
        <v>308</v>
      </c>
      <c r="K172" s="100">
        <f>IFERROR(VLOOKUP(I172,LK_GradeStep!$C$4:$E$85,3,0),10000)</f>
        <v>10000</v>
      </c>
      <c r="L172" s="100">
        <f t="shared" si="17"/>
        <v>3080000</v>
      </c>
      <c r="M172" s="101">
        <f>IFERROR(VLOOKUP(EMPLOYEE_MASTER!AQ172,LK_AllowanceRates!$A$5:$B$11,2,0),0)</f>
        <v>2500000</v>
      </c>
      <c r="N172" s="101">
        <f ca="1">IFERROR(IF(EMPLOYEE_MASTER!J172&lt;=5,  EMPLOYEE_MASTER!J172*LK_AllowanceRates!$B$12,IF(EMPLOYEE_MASTER!J172&lt;=15, EMPLOYEE_MASTER!J172*LK_AllowanceRates!$B$13,IF(EMPLOYEE_MASTER!J172&lt;=25, EMPLOYEE_MASTER!J172*LK_AllowanceRates!$B$14,EMPLOYEE_MASTER!J172*LK_AllowanceRates!$B$15))),0)</f>
        <v>0</v>
      </c>
      <c r="O172" s="101">
        <f>IF(EMPLOYEE_MASTER!AS172="Teaching",L172*LK_AllowanceRates!$B$16,0)</f>
        <v>0</v>
      </c>
      <c r="P172" s="101">
        <f>IF(EMPLOYEE_MASTER!AS172="Medical",LK_AllowanceRates!$B$17,0)</f>
        <v>0</v>
      </c>
      <c r="Q172" s="101">
        <f>IF(EMPLOYEE_MASTER!AR172="Yes",LK_AllowanceRates!$B$18,0)</f>
        <v>1000000</v>
      </c>
      <c r="R172" s="101">
        <f>IF(EMPLOYEE_MASTER!AC172="Yes",LK_AllowanceRates!$B$19,0)</f>
        <v>0</v>
      </c>
      <c r="S172" s="101">
        <f>IF(EMPLOYEE_MASTER!AA172="Yes",L172*LK_AllowanceRates!$B$20,0)</f>
        <v>0</v>
      </c>
      <c r="T172" s="101">
        <f>IF(EMPLOYEE_MASTER!AB172="Yes",LK_AllowanceRates!$B$21,0)</f>
        <v>0</v>
      </c>
      <c r="U172" s="101">
        <f>IF(EMPLOYEE_MASTER!P172&gt;=6,LK_AllowanceRates!$B$22,0)</f>
        <v>0</v>
      </c>
      <c r="V172" s="101">
        <f>IF(EMPLOYEE_MASTER!AO172="Yes",LK_AllowanceRates!$B$23,0)</f>
        <v>0</v>
      </c>
      <c r="W172" s="101">
        <f>EMPLOYEE_MASTER!AP172*LK_AllowanceRates!$B$24</f>
        <v>0</v>
      </c>
      <c r="X172" s="101">
        <v>0</v>
      </c>
      <c r="Y172" s="102">
        <v>0</v>
      </c>
      <c r="Z172" s="102">
        <v>0</v>
      </c>
      <c r="AA172" s="102">
        <v>0</v>
      </c>
      <c r="AB172" s="103">
        <f t="shared" ca="1" si="18"/>
        <v>3500000</v>
      </c>
      <c r="AC172" s="104">
        <f t="shared" ca="1" si="19"/>
        <v>6580000</v>
      </c>
      <c r="AD172" s="105">
        <f>ROUND(L172*LK_AllowanceRates!$B$25/100,0)</f>
        <v>169400</v>
      </c>
      <c r="AE172" s="106">
        <f t="shared" ca="1" si="20"/>
        <v>6410600</v>
      </c>
      <c r="AF172" s="106">
        <f t="shared" ca="1" si="21"/>
        <v>326060</v>
      </c>
      <c r="AG172" s="107">
        <v>0</v>
      </c>
      <c r="AH172" s="107">
        <v>0</v>
      </c>
      <c r="AI172" s="108">
        <f t="shared" ca="1" si="22"/>
        <v>495460</v>
      </c>
      <c r="AJ172" s="109">
        <f t="shared" ca="1" si="23"/>
        <v>6084540</v>
      </c>
    </row>
    <row r="173" spans="1:36" ht="15" customHeight="1" x14ac:dyDescent="0.3">
      <c r="A173" s="98" t="str">
        <f>EMPLOYEE_MASTER!A173</f>
        <v>LAO00170</v>
      </c>
      <c r="B173" s="98" t="str">
        <f>EMPLOYEE_MASTER!C173</f>
        <v>Bounthon</v>
      </c>
      <c r="C173" s="98" t="str">
        <f>EMPLOYEE_MASTER!D173</f>
        <v>Southichack</v>
      </c>
      <c r="D173" s="98" t="str">
        <f>EMPLOYEE_MASTER!T173</f>
        <v>National Assembly (NA)</v>
      </c>
      <c r="E173" s="98" t="str">
        <f>EMPLOYEE_MASTER!M173</f>
        <v>Senior Officer</v>
      </c>
      <c r="F173" s="98" t="str">
        <f>EMPLOYEE_MASTER!Z173</f>
        <v>Administration</v>
      </c>
      <c r="G173" s="99">
        <f>EMPLOYEE_MASTER!P173</f>
        <v>4</v>
      </c>
      <c r="H173" s="99">
        <f>EMPLOYEE_MASTER!Q173</f>
        <v>1</v>
      </c>
      <c r="I173" s="100" t="str">
        <f t="shared" si="16"/>
        <v>G04-S01</v>
      </c>
      <c r="J173" s="100">
        <f>IFERROR(VLOOKUP(I173,LK_GradeStep!$C$4:$D$85,2,0),0)</f>
        <v>286</v>
      </c>
      <c r="K173" s="100">
        <f>IFERROR(VLOOKUP(I173,LK_GradeStep!$C$4:$E$85,3,0),10000)</f>
        <v>10000</v>
      </c>
      <c r="L173" s="100">
        <f t="shared" si="17"/>
        <v>2860000</v>
      </c>
      <c r="M173" s="101">
        <f>IFERROR(VLOOKUP(EMPLOYEE_MASTER!AQ173,LK_AllowanceRates!$A$5:$B$11,2,0),0)</f>
        <v>900000</v>
      </c>
      <c r="N173" s="101">
        <f ca="1">IFERROR(IF(EMPLOYEE_MASTER!J173&lt;=5,  EMPLOYEE_MASTER!J173*LK_AllowanceRates!$B$12,IF(EMPLOYEE_MASTER!J173&lt;=15, EMPLOYEE_MASTER!J173*LK_AllowanceRates!$B$13,IF(EMPLOYEE_MASTER!J173&lt;=25, EMPLOYEE_MASTER!J173*LK_AllowanceRates!$B$14,EMPLOYEE_MASTER!J173*LK_AllowanceRates!$B$15))),0)</f>
        <v>720000</v>
      </c>
      <c r="O173" s="101">
        <f>IF(EMPLOYEE_MASTER!AS173="Teaching",L173*LK_AllowanceRates!$B$16,0)</f>
        <v>0</v>
      </c>
      <c r="P173" s="101">
        <f>IF(EMPLOYEE_MASTER!AS173="Medical",LK_AllowanceRates!$B$17,0)</f>
        <v>0</v>
      </c>
      <c r="Q173" s="101">
        <f>IF(EMPLOYEE_MASTER!AR173="Yes",LK_AllowanceRates!$B$18,0)</f>
        <v>1000000</v>
      </c>
      <c r="R173" s="101">
        <f>IF(EMPLOYEE_MASTER!AC173="Yes",LK_AllowanceRates!$B$19,0)</f>
        <v>0</v>
      </c>
      <c r="S173" s="101">
        <f>IF(EMPLOYEE_MASTER!AA173="Yes",L173*LK_AllowanceRates!$B$20,0)</f>
        <v>0</v>
      </c>
      <c r="T173" s="101">
        <f>IF(EMPLOYEE_MASTER!AB173="Yes",LK_AllowanceRates!$B$21,0)</f>
        <v>0</v>
      </c>
      <c r="U173" s="101">
        <f>IF(EMPLOYEE_MASTER!P173&gt;=6,LK_AllowanceRates!$B$22,0)</f>
        <v>0</v>
      </c>
      <c r="V173" s="101">
        <f>IF(EMPLOYEE_MASTER!AO173="Yes",LK_AllowanceRates!$B$23,0)</f>
        <v>0</v>
      </c>
      <c r="W173" s="101">
        <f>EMPLOYEE_MASTER!AP173*LK_AllowanceRates!$B$24</f>
        <v>0</v>
      </c>
      <c r="X173" s="101">
        <v>0</v>
      </c>
      <c r="Y173" s="102">
        <v>0</v>
      </c>
      <c r="Z173" s="102">
        <v>0</v>
      </c>
      <c r="AA173" s="102">
        <v>0</v>
      </c>
      <c r="AB173" s="103">
        <f t="shared" ca="1" si="18"/>
        <v>2620000</v>
      </c>
      <c r="AC173" s="104">
        <f t="shared" ca="1" si="19"/>
        <v>5480000</v>
      </c>
      <c r="AD173" s="105">
        <f>ROUND(L173*LK_AllowanceRates!$B$25/100,0)</f>
        <v>157300</v>
      </c>
      <c r="AE173" s="106">
        <f t="shared" ca="1" si="20"/>
        <v>5322700</v>
      </c>
      <c r="AF173" s="106">
        <f t="shared" ca="1" si="21"/>
        <v>217270</v>
      </c>
      <c r="AG173" s="107">
        <v>0</v>
      </c>
      <c r="AH173" s="107">
        <v>0</v>
      </c>
      <c r="AI173" s="108">
        <f t="shared" ca="1" si="22"/>
        <v>374570</v>
      </c>
      <c r="AJ173" s="109">
        <f t="shared" ca="1" si="23"/>
        <v>5105430</v>
      </c>
    </row>
    <row r="174" spans="1:36" ht="15" customHeight="1" x14ac:dyDescent="0.3">
      <c r="A174" s="98" t="str">
        <f>EMPLOYEE_MASTER!A174</f>
        <v>LAO00171</v>
      </c>
      <c r="B174" s="98" t="str">
        <f>EMPLOYEE_MASTER!C174</f>
        <v>Sinorath</v>
      </c>
      <c r="C174" s="98" t="str">
        <f>EMPLOYEE_MASTER!D174</f>
        <v>Sengmixay</v>
      </c>
      <c r="D174" s="98" t="str">
        <f>EMPLOYEE_MASTER!T174</f>
        <v>Ministry of Home Affairs (MoHA)</v>
      </c>
      <c r="E174" s="98" t="str">
        <f>EMPLOYEE_MASTER!M174</f>
        <v>Officer</v>
      </c>
      <c r="F174" s="98" t="str">
        <f>EMPLOYEE_MASTER!Z174</f>
        <v>Administration</v>
      </c>
      <c r="G174" s="99">
        <f>EMPLOYEE_MASTER!P174</f>
        <v>2</v>
      </c>
      <c r="H174" s="99">
        <f>EMPLOYEE_MASTER!Q174</f>
        <v>13</v>
      </c>
      <c r="I174" s="100" t="str">
        <f t="shared" si="16"/>
        <v>G02-S13</v>
      </c>
      <c r="J174" s="100">
        <f>IFERROR(VLOOKUP(I174,LK_GradeStep!$C$4:$D$85,2,0),0)</f>
        <v>280</v>
      </c>
      <c r="K174" s="100">
        <f>IFERROR(VLOOKUP(I174,LK_GradeStep!$C$4:$E$85,3,0),10000)</f>
        <v>10000</v>
      </c>
      <c r="L174" s="100">
        <f t="shared" si="17"/>
        <v>2800000</v>
      </c>
      <c r="M174" s="101">
        <f>IFERROR(VLOOKUP(EMPLOYEE_MASTER!AQ174,LK_AllowanceRates!$A$5:$B$11,2,0),0)</f>
        <v>900000</v>
      </c>
      <c r="N174" s="101">
        <f ca="1">IFERROR(IF(EMPLOYEE_MASTER!J174&lt;=5,  EMPLOYEE_MASTER!J174*LK_AllowanceRates!$B$12,IF(EMPLOYEE_MASTER!J174&lt;=15, EMPLOYEE_MASTER!J174*LK_AllowanceRates!$B$13,IF(EMPLOYEE_MASTER!J174&lt;=25, EMPLOYEE_MASTER!J174*LK_AllowanceRates!$B$14,EMPLOYEE_MASTER!J174*LK_AllowanceRates!$B$15))),0)</f>
        <v>20000</v>
      </c>
      <c r="O174" s="101">
        <f>IF(EMPLOYEE_MASTER!AS174="Teaching",L174*LK_AllowanceRates!$B$16,0)</f>
        <v>0</v>
      </c>
      <c r="P174" s="101">
        <f>IF(EMPLOYEE_MASTER!AS174="Medical",LK_AllowanceRates!$B$17,0)</f>
        <v>0</v>
      </c>
      <c r="Q174" s="101">
        <f>IF(EMPLOYEE_MASTER!AR174="Yes",LK_AllowanceRates!$B$18,0)</f>
        <v>0</v>
      </c>
      <c r="R174" s="101">
        <f>IF(EMPLOYEE_MASTER!AC174="Yes",LK_AllowanceRates!$B$19,0)</f>
        <v>0</v>
      </c>
      <c r="S174" s="101">
        <f>IF(EMPLOYEE_MASTER!AA174="Yes",L174*LK_AllowanceRates!$B$20,0)</f>
        <v>0</v>
      </c>
      <c r="T174" s="101">
        <f>IF(EMPLOYEE_MASTER!AB174="Yes",LK_AllowanceRates!$B$21,0)</f>
        <v>0</v>
      </c>
      <c r="U174" s="101">
        <f>IF(EMPLOYEE_MASTER!P174&gt;=6,LK_AllowanceRates!$B$22,0)</f>
        <v>0</v>
      </c>
      <c r="V174" s="101">
        <f>IF(EMPLOYEE_MASTER!AO174="Yes",LK_AllowanceRates!$B$23,0)</f>
        <v>200000</v>
      </c>
      <c r="W174" s="101">
        <f>EMPLOYEE_MASTER!AP174*LK_AllowanceRates!$B$24</f>
        <v>0</v>
      </c>
      <c r="X174" s="101">
        <v>0</v>
      </c>
      <c r="Y174" s="102">
        <v>0</v>
      </c>
      <c r="Z174" s="102">
        <v>0</v>
      </c>
      <c r="AA174" s="102">
        <v>0</v>
      </c>
      <c r="AB174" s="103">
        <f t="shared" ca="1" si="18"/>
        <v>1120000</v>
      </c>
      <c r="AC174" s="104">
        <f t="shared" ca="1" si="19"/>
        <v>3920000</v>
      </c>
      <c r="AD174" s="105">
        <f>ROUND(L174*LK_AllowanceRates!$B$25/100,0)</f>
        <v>154000</v>
      </c>
      <c r="AE174" s="106">
        <f t="shared" ca="1" si="20"/>
        <v>3766000</v>
      </c>
      <c r="AF174" s="106">
        <f t="shared" ca="1" si="21"/>
        <v>123300</v>
      </c>
      <c r="AG174" s="107">
        <v>0</v>
      </c>
      <c r="AH174" s="107">
        <v>0</v>
      </c>
      <c r="AI174" s="108">
        <f t="shared" ca="1" si="22"/>
        <v>277300</v>
      </c>
      <c r="AJ174" s="109">
        <f t="shared" ca="1" si="23"/>
        <v>3642700</v>
      </c>
    </row>
    <row r="175" spans="1:36" ht="15" customHeight="1" x14ac:dyDescent="0.3">
      <c r="A175" s="98" t="str">
        <f>EMPLOYEE_MASTER!A175</f>
        <v>LAO00172</v>
      </c>
      <c r="B175" s="98" t="str">
        <f>EMPLOYEE_MASTER!C175</f>
        <v>Manyvone</v>
      </c>
      <c r="C175" s="98" t="str">
        <f>EMPLOYEE_MASTER!D175</f>
        <v>Sengmixay</v>
      </c>
      <c r="D175" s="98" t="str">
        <f>EMPLOYEE_MASTER!T175</f>
        <v>Ministry of Public Works &amp; Transport (MPWT)</v>
      </c>
      <c r="E175" s="98" t="str">
        <f>EMPLOYEE_MASTER!M175</f>
        <v>Environmental Officer</v>
      </c>
      <c r="F175" s="98" t="str">
        <f>EMPLOYEE_MASTER!Z175</f>
        <v>Technical</v>
      </c>
      <c r="G175" s="99">
        <f>EMPLOYEE_MASTER!P175</f>
        <v>2</v>
      </c>
      <c r="H175" s="99">
        <f>EMPLOYEE_MASTER!Q175</f>
        <v>6</v>
      </c>
      <c r="I175" s="100" t="str">
        <f t="shared" si="16"/>
        <v>G02-S06</v>
      </c>
      <c r="J175" s="100">
        <f>IFERROR(VLOOKUP(I175,LK_GradeStep!$C$4:$D$85,2,0),0)</f>
        <v>273</v>
      </c>
      <c r="K175" s="100">
        <f>IFERROR(VLOOKUP(I175,LK_GradeStep!$C$4:$E$85,3,0),10000)</f>
        <v>10000</v>
      </c>
      <c r="L175" s="100">
        <f t="shared" si="17"/>
        <v>2730000</v>
      </c>
      <c r="M175" s="101">
        <f>IFERROR(VLOOKUP(EMPLOYEE_MASTER!AQ175,LK_AllowanceRates!$A$5:$B$11,2,0),0)</f>
        <v>900000</v>
      </c>
      <c r="N175" s="101">
        <f ca="1">IFERROR(IF(EMPLOYEE_MASTER!J175&lt;=5,  EMPLOYEE_MASTER!J175*LK_AllowanceRates!$B$12,IF(EMPLOYEE_MASTER!J175&lt;=15, EMPLOYEE_MASTER!J175*LK_AllowanceRates!$B$13,IF(EMPLOYEE_MASTER!J175&lt;=25, EMPLOYEE_MASTER!J175*LK_AllowanceRates!$B$14,EMPLOYEE_MASTER!J175*LK_AllowanceRates!$B$15))),0)</f>
        <v>30000</v>
      </c>
      <c r="O175" s="101">
        <f>IF(EMPLOYEE_MASTER!AS175="Teaching",L175*LK_AllowanceRates!$B$16,0)</f>
        <v>0</v>
      </c>
      <c r="P175" s="101">
        <f>IF(EMPLOYEE_MASTER!AS175="Medical",LK_AllowanceRates!$B$17,0)</f>
        <v>0</v>
      </c>
      <c r="Q175" s="101">
        <f>IF(EMPLOYEE_MASTER!AR175="Yes",LK_AllowanceRates!$B$18,0)</f>
        <v>0</v>
      </c>
      <c r="R175" s="101">
        <f>IF(EMPLOYEE_MASTER!AC175="Yes",LK_AllowanceRates!$B$19,0)</f>
        <v>0</v>
      </c>
      <c r="S175" s="101">
        <f>IF(EMPLOYEE_MASTER!AA175="Yes",L175*LK_AllowanceRates!$B$20,0)</f>
        <v>0</v>
      </c>
      <c r="T175" s="101">
        <f>IF(EMPLOYEE_MASTER!AB175="Yes",LK_AllowanceRates!$B$21,0)</f>
        <v>0</v>
      </c>
      <c r="U175" s="101">
        <f>IF(EMPLOYEE_MASTER!P175&gt;=6,LK_AllowanceRates!$B$22,0)</f>
        <v>0</v>
      </c>
      <c r="V175" s="101">
        <f>IF(EMPLOYEE_MASTER!AO175="Yes",LK_AllowanceRates!$B$23,0)</f>
        <v>200000</v>
      </c>
      <c r="W175" s="101">
        <f>EMPLOYEE_MASTER!AP175*LK_AllowanceRates!$B$24</f>
        <v>200000</v>
      </c>
      <c r="X175" s="101">
        <v>0</v>
      </c>
      <c r="Y175" s="102">
        <v>0</v>
      </c>
      <c r="Z175" s="102">
        <v>0</v>
      </c>
      <c r="AA175" s="102">
        <v>0</v>
      </c>
      <c r="AB175" s="103">
        <f t="shared" ca="1" si="18"/>
        <v>1330000</v>
      </c>
      <c r="AC175" s="104">
        <f t="shared" ca="1" si="19"/>
        <v>4060000</v>
      </c>
      <c r="AD175" s="105">
        <f>ROUND(L175*LK_AllowanceRates!$B$25/100,0)</f>
        <v>150150</v>
      </c>
      <c r="AE175" s="106">
        <f t="shared" ca="1" si="20"/>
        <v>3909850</v>
      </c>
      <c r="AF175" s="106">
        <f t="shared" ca="1" si="21"/>
        <v>130492.5</v>
      </c>
      <c r="AG175" s="107">
        <v>0</v>
      </c>
      <c r="AH175" s="107">
        <v>0</v>
      </c>
      <c r="AI175" s="108">
        <f t="shared" ca="1" si="22"/>
        <v>280642.5</v>
      </c>
      <c r="AJ175" s="109">
        <f t="shared" ca="1" si="23"/>
        <v>3779357.5</v>
      </c>
    </row>
    <row r="176" spans="1:36" ht="15" customHeight="1" x14ac:dyDescent="0.3">
      <c r="A176" s="98" t="str">
        <f>EMPLOYEE_MASTER!A176</f>
        <v>LAO00173</v>
      </c>
      <c r="B176" s="98" t="str">
        <f>EMPLOYEE_MASTER!C176</f>
        <v>Bounlan</v>
      </c>
      <c r="C176" s="98" t="str">
        <f>EMPLOYEE_MASTER!D176</f>
        <v>Khonesavanh</v>
      </c>
      <c r="D176" s="98" t="str">
        <f>EMPLOYEE_MASTER!T176</f>
        <v>Vientiane Capital Administration</v>
      </c>
      <c r="E176" s="98" t="str">
        <f>EMPLOYEE_MASTER!M176</f>
        <v>Section Chief</v>
      </c>
      <c r="F176" s="98" t="str">
        <f>EMPLOYEE_MASTER!Z176</f>
        <v>Administration</v>
      </c>
      <c r="G176" s="99">
        <f>EMPLOYEE_MASTER!P176</f>
        <v>4</v>
      </c>
      <c r="H176" s="99">
        <f>EMPLOYEE_MASTER!Q176</f>
        <v>1</v>
      </c>
      <c r="I176" s="100" t="str">
        <f t="shared" si="16"/>
        <v>G04-S01</v>
      </c>
      <c r="J176" s="100">
        <f>IFERROR(VLOOKUP(I176,LK_GradeStep!$C$4:$D$85,2,0),0)</f>
        <v>286</v>
      </c>
      <c r="K176" s="100">
        <f>IFERROR(VLOOKUP(I176,LK_GradeStep!$C$4:$E$85,3,0),10000)</f>
        <v>10000</v>
      </c>
      <c r="L176" s="100">
        <f t="shared" si="17"/>
        <v>2860000</v>
      </c>
      <c r="M176" s="101">
        <f>IFERROR(VLOOKUP(EMPLOYEE_MASTER!AQ176,LK_AllowanceRates!$A$5:$B$11,2,0),0)</f>
        <v>1500000</v>
      </c>
      <c r="N176" s="101">
        <f ca="1">IFERROR(IF(EMPLOYEE_MASTER!J176&lt;=5,  EMPLOYEE_MASTER!J176*LK_AllowanceRates!$B$12,IF(EMPLOYEE_MASTER!J176&lt;=15, EMPLOYEE_MASTER!J176*LK_AllowanceRates!$B$13,IF(EMPLOYEE_MASTER!J176&lt;=25, EMPLOYEE_MASTER!J176*LK_AllowanceRates!$B$14,EMPLOYEE_MASTER!J176*LK_AllowanceRates!$B$15))),0)</f>
        <v>1400000</v>
      </c>
      <c r="O176" s="101">
        <f>IF(EMPLOYEE_MASTER!AS176="Teaching",L176*LK_AllowanceRates!$B$16,0)</f>
        <v>0</v>
      </c>
      <c r="P176" s="101">
        <f>IF(EMPLOYEE_MASTER!AS176="Medical",LK_AllowanceRates!$B$17,0)</f>
        <v>0</v>
      </c>
      <c r="Q176" s="101">
        <f>IF(EMPLOYEE_MASTER!AR176="Yes",LK_AllowanceRates!$B$18,0)</f>
        <v>0</v>
      </c>
      <c r="R176" s="101">
        <f>IF(EMPLOYEE_MASTER!AC176="Yes",LK_AllowanceRates!$B$19,0)</f>
        <v>0</v>
      </c>
      <c r="S176" s="101">
        <f>IF(EMPLOYEE_MASTER!AA176="Yes",L176*LK_AllowanceRates!$B$20,0)</f>
        <v>0</v>
      </c>
      <c r="T176" s="101">
        <f>IF(EMPLOYEE_MASTER!AB176="Yes",LK_AllowanceRates!$B$21,0)</f>
        <v>0</v>
      </c>
      <c r="U176" s="101">
        <f>IF(EMPLOYEE_MASTER!P176&gt;=6,LK_AllowanceRates!$B$22,0)</f>
        <v>0</v>
      </c>
      <c r="V176" s="101">
        <f>IF(EMPLOYEE_MASTER!AO176="Yes",LK_AllowanceRates!$B$23,0)</f>
        <v>0</v>
      </c>
      <c r="W176" s="101">
        <f>EMPLOYEE_MASTER!AP176*LK_AllowanceRates!$B$24</f>
        <v>0</v>
      </c>
      <c r="X176" s="101">
        <v>0</v>
      </c>
      <c r="Y176" s="102">
        <v>0</v>
      </c>
      <c r="Z176" s="102">
        <v>0</v>
      </c>
      <c r="AA176" s="102">
        <v>0</v>
      </c>
      <c r="AB176" s="103">
        <f t="shared" ca="1" si="18"/>
        <v>2900000</v>
      </c>
      <c r="AC176" s="104">
        <f t="shared" ca="1" si="19"/>
        <v>5760000</v>
      </c>
      <c r="AD176" s="105">
        <f>ROUND(L176*LK_AllowanceRates!$B$25/100,0)</f>
        <v>157300</v>
      </c>
      <c r="AE176" s="106">
        <f t="shared" ca="1" si="20"/>
        <v>5602700</v>
      </c>
      <c r="AF176" s="106">
        <f t="shared" ca="1" si="21"/>
        <v>245270</v>
      </c>
      <c r="AG176" s="107">
        <v>0</v>
      </c>
      <c r="AH176" s="107">
        <v>0</v>
      </c>
      <c r="AI176" s="108">
        <f t="shared" ca="1" si="22"/>
        <v>402570</v>
      </c>
      <c r="AJ176" s="109">
        <f t="shared" ca="1" si="23"/>
        <v>5357430</v>
      </c>
    </row>
    <row r="177" spans="1:36" ht="15" customHeight="1" x14ac:dyDescent="0.3">
      <c r="A177" s="98" t="str">
        <f>EMPLOYEE_MASTER!A177</f>
        <v>LAO00174</v>
      </c>
      <c r="B177" s="98" t="str">
        <f>EMPLOYEE_MASTER!C177</f>
        <v>Vanhkham</v>
      </c>
      <c r="C177" s="98" t="str">
        <f>EMPLOYEE_MASTER!D177</f>
        <v>Phommavong</v>
      </c>
      <c r="D177" s="98" t="str">
        <f>EMPLOYEE_MASTER!T177</f>
        <v>Ministry of Finance (MoF)</v>
      </c>
      <c r="E177" s="98" t="str">
        <f>EMPLOYEE_MASTER!M177</f>
        <v>Section Chief</v>
      </c>
      <c r="F177" s="98" t="str">
        <f>EMPLOYEE_MASTER!Z177</f>
        <v>Finance</v>
      </c>
      <c r="G177" s="99">
        <f>EMPLOYEE_MASTER!P177</f>
        <v>5</v>
      </c>
      <c r="H177" s="99">
        <f>EMPLOYEE_MASTER!Q177</f>
        <v>1</v>
      </c>
      <c r="I177" s="100" t="str">
        <f t="shared" si="16"/>
        <v>G05-S01</v>
      </c>
      <c r="J177" s="100">
        <f>IFERROR(VLOOKUP(I177,LK_GradeStep!$C$4:$D$85,2,0),0)</f>
        <v>308</v>
      </c>
      <c r="K177" s="100">
        <f>IFERROR(VLOOKUP(I177,LK_GradeStep!$C$4:$E$85,3,0),10000)</f>
        <v>10000</v>
      </c>
      <c r="L177" s="100">
        <f t="shared" si="17"/>
        <v>3080000</v>
      </c>
      <c r="M177" s="101">
        <f>IFERROR(VLOOKUP(EMPLOYEE_MASTER!AQ177,LK_AllowanceRates!$A$5:$B$11,2,0),0)</f>
        <v>1500000</v>
      </c>
      <c r="N177" s="101">
        <f ca="1">IFERROR(IF(EMPLOYEE_MASTER!J177&lt;=5,  EMPLOYEE_MASTER!J177*LK_AllowanceRates!$B$12,IF(EMPLOYEE_MASTER!J177&lt;=15, EMPLOYEE_MASTER!J177*LK_AllowanceRates!$B$13,IF(EMPLOYEE_MASTER!J177&lt;=25, EMPLOYEE_MASTER!J177*LK_AllowanceRates!$B$14,EMPLOYEE_MASTER!J177*LK_AllowanceRates!$B$15))),0)</f>
        <v>720000</v>
      </c>
      <c r="O177" s="101">
        <f>IF(EMPLOYEE_MASTER!AS177="Teaching",L177*LK_AllowanceRates!$B$16,0)</f>
        <v>0</v>
      </c>
      <c r="P177" s="101">
        <f>IF(EMPLOYEE_MASTER!AS177="Medical",LK_AllowanceRates!$B$17,0)</f>
        <v>0</v>
      </c>
      <c r="Q177" s="101">
        <f>IF(EMPLOYEE_MASTER!AR177="Yes",LK_AllowanceRates!$B$18,0)</f>
        <v>0</v>
      </c>
      <c r="R177" s="101">
        <f>IF(EMPLOYEE_MASTER!AC177="Yes",LK_AllowanceRates!$B$19,0)</f>
        <v>1000000</v>
      </c>
      <c r="S177" s="101">
        <f>IF(EMPLOYEE_MASTER!AA177="Yes",L177*LK_AllowanceRates!$B$20,0)</f>
        <v>770000</v>
      </c>
      <c r="T177" s="101">
        <f>IF(EMPLOYEE_MASTER!AB177="Yes",LK_AllowanceRates!$B$21,0)</f>
        <v>0</v>
      </c>
      <c r="U177" s="101">
        <f>IF(EMPLOYEE_MASTER!P177&gt;=6,LK_AllowanceRates!$B$22,0)</f>
        <v>0</v>
      </c>
      <c r="V177" s="101">
        <f>IF(EMPLOYEE_MASTER!AO177="Yes",LK_AllowanceRates!$B$23,0)</f>
        <v>0</v>
      </c>
      <c r="W177" s="101">
        <f>EMPLOYEE_MASTER!AP177*LK_AllowanceRates!$B$24</f>
        <v>0</v>
      </c>
      <c r="X177" s="101">
        <v>0</v>
      </c>
      <c r="Y177" s="102">
        <v>0</v>
      </c>
      <c r="Z177" s="102">
        <v>0</v>
      </c>
      <c r="AA177" s="102">
        <v>0</v>
      </c>
      <c r="AB177" s="103">
        <f t="shared" ca="1" si="18"/>
        <v>3990000</v>
      </c>
      <c r="AC177" s="104">
        <f t="shared" ca="1" si="19"/>
        <v>7070000</v>
      </c>
      <c r="AD177" s="105">
        <f>ROUND(L177*LK_AllowanceRates!$B$25/100,0)</f>
        <v>169400</v>
      </c>
      <c r="AE177" s="106">
        <f t="shared" ca="1" si="20"/>
        <v>6900600</v>
      </c>
      <c r="AF177" s="106">
        <f t="shared" ca="1" si="21"/>
        <v>375060</v>
      </c>
      <c r="AG177" s="107">
        <v>0</v>
      </c>
      <c r="AH177" s="107">
        <v>0</v>
      </c>
      <c r="AI177" s="108">
        <f t="shared" ca="1" si="22"/>
        <v>544460</v>
      </c>
      <c r="AJ177" s="109">
        <f t="shared" ca="1" si="23"/>
        <v>6525540</v>
      </c>
    </row>
    <row r="178" spans="1:36" ht="15" customHeight="1" x14ac:dyDescent="0.3">
      <c r="A178" s="98" t="str">
        <f>EMPLOYEE_MASTER!A178</f>
        <v>LAO00175</v>
      </c>
      <c r="B178" s="98" t="str">
        <f>EMPLOYEE_MASTER!C178</f>
        <v>Keoviengkham</v>
      </c>
      <c r="C178" s="98" t="str">
        <f>EMPLOYEE_MASTER!D178</f>
        <v>Manodham</v>
      </c>
      <c r="D178" s="98" t="str">
        <f>EMPLOYEE_MASTER!T178</f>
        <v>Ministry of Health (MoH)</v>
      </c>
      <c r="E178" s="98" t="str">
        <f>EMPLOYEE_MASTER!M178</f>
        <v>Laboratory Technician</v>
      </c>
      <c r="F178" s="98" t="str">
        <f>EMPLOYEE_MASTER!Z178</f>
        <v>Medical</v>
      </c>
      <c r="G178" s="99">
        <f>EMPLOYEE_MASTER!P178</f>
        <v>2</v>
      </c>
      <c r="H178" s="99">
        <f>EMPLOYEE_MASTER!Q178</f>
        <v>11</v>
      </c>
      <c r="I178" s="100" t="str">
        <f t="shared" si="16"/>
        <v>G02-S11</v>
      </c>
      <c r="J178" s="100">
        <f>IFERROR(VLOOKUP(I178,LK_GradeStep!$C$4:$D$85,2,0),0)</f>
        <v>278</v>
      </c>
      <c r="K178" s="100">
        <f>IFERROR(VLOOKUP(I178,LK_GradeStep!$C$4:$E$85,3,0),10000)</f>
        <v>10000</v>
      </c>
      <c r="L178" s="100">
        <f t="shared" si="17"/>
        <v>2780000</v>
      </c>
      <c r="M178" s="101">
        <f>IFERROR(VLOOKUP(EMPLOYEE_MASTER!AQ178,LK_AllowanceRates!$A$5:$B$11,2,0),0)</f>
        <v>900000</v>
      </c>
      <c r="N178" s="101">
        <f ca="1">IFERROR(IF(EMPLOYEE_MASTER!J178&lt;=5,  EMPLOYEE_MASTER!J178*LK_AllowanceRates!$B$12,IF(EMPLOYEE_MASTER!J178&lt;=15, EMPLOYEE_MASTER!J178*LK_AllowanceRates!$B$13,IF(EMPLOYEE_MASTER!J178&lt;=25, EMPLOYEE_MASTER!J178*LK_AllowanceRates!$B$14,EMPLOYEE_MASTER!J178*LK_AllowanceRates!$B$15))),0)</f>
        <v>20000</v>
      </c>
      <c r="O178" s="101">
        <f>IF(EMPLOYEE_MASTER!AS178="Teaching",L178*LK_AllowanceRates!$B$16,0)</f>
        <v>0</v>
      </c>
      <c r="P178" s="101">
        <f>IF(EMPLOYEE_MASTER!AS178="Medical",LK_AllowanceRates!$B$17,0)</f>
        <v>500000</v>
      </c>
      <c r="Q178" s="101">
        <f>IF(EMPLOYEE_MASTER!AR178="Yes",LK_AllowanceRates!$B$18,0)</f>
        <v>0</v>
      </c>
      <c r="R178" s="101">
        <f>IF(EMPLOYEE_MASTER!AC178="Yes",LK_AllowanceRates!$B$19,0)</f>
        <v>0</v>
      </c>
      <c r="S178" s="101">
        <f>IF(EMPLOYEE_MASTER!AA178="Yes",L178*LK_AllowanceRates!$B$20,0)</f>
        <v>0</v>
      </c>
      <c r="T178" s="101">
        <f>IF(EMPLOYEE_MASTER!AB178="Yes",LK_AllowanceRates!$B$21,0)</f>
        <v>0</v>
      </c>
      <c r="U178" s="101">
        <f>IF(EMPLOYEE_MASTER!P178&gt;=6,LK_AllowanceRates!$B$22,0)</f>
        <v>0</v>
      </c>
      <c r="V178" s="101">
        <f>IF(EMPLOYEE_MASTER!AO178="Yes",LK_AllowanceRates!$B$23,0)</f>
        <v>200000</v>
      </c>
      <c r="W178" s="101">
        <f>EMPLOYEE_MASTER!AP178*LK_AllowanceRates!$B$24</f>
        <v>600000</v>
      </c>
      <c r="X178" s="101">
        <v>0</v>
      </c>
      <c r="Y178" s="102">
        <v>0</v>
      </c>
      <c r="Z178" s="102">
        <v>0</v>
      </c>
      <c r="AA178" s="102">
        <v>0</v>
      </c>
      <c r="AB178" s="103">
        <f t="shared" ca="1" si="18"/>
        <v>2220000</v>
      </c>
      <c r="AC178" s="104">
        <f t="shared" ca="1" si="19"/>
        <v>5000000</v>
      </c>
      <c r="AD178" s="105">
        <f>ROUND(L178*LK_AllowanceRates!$B$25/100,0)</f>
        <v>152900</v>
      </c>
      <c r="AE178" s="106">
        <f t="shared" ca="1" si="20"/>
        <v>4847100</v>
      </c>
      <c r="AF178" s="106">
        <f t="shared" ca="1" si="21"/>
        <v>177355</v>
      </c>
      <c r="AG178" s="107">
        <v>0</v>
      </c>
      <c r="AH178" s="107">
        <v>0</v>
      </c>
      <c r="AI178" s="108">
        <f t="shared" ca="1" si="22"/>
        <v>330255</v>
      </c>
      <c r="AJ178" s="109">
        <f t="shared" ca="1" si="23"/>
        <v>4669745</v>
      </c>
    </row>
    <row r="179" spans="1:36" ht="15" customHeight="1" x14ac:dyDescent="0.3">
      <c r="A179" s="98" t="str">
        <f>EMPLOYEE_MASTER!A179</f>
        <v>LAO00176</v>
      </c>
      <c r="B179" s="98" t="str">
        <f>EMPLOYEE_MASTER!C179</f>
        <v>Sivilay</v>
      </c>
      <c r="C179" s="98" t="str">
        <f>EMPLOYEE_MASTER!D179</f>
        <v>Dalasane</v>
      </c>
      <c r="D179" s="98" t="str">
        <f>EMPLOYEE_MASTER!T179</f>
        <v>Ministry of Health (MoH)</v>
      </c>
      <c r="E179" s="98" t="str">
        <f>EMPLOYEE_MASTER!M179</f>
        <v>Medical Specialist</v>
      </c>
      <c r="F179" s="98" t="str">
        <f>EMPLOYEE_MASTER!Z179</f>
        <v>Medical</v>
      </c>
      <c r="G179" s="99">
        <f>EMPLOYEE_MASTER!P179</f>
        <v>5</v>
      </c>
      <c r="H179" s="99">
        <f>EMPLOYEE_MASTER!Q179</f>
        <v>5</v>
      </c>
      <c r="I179" s="100" t="str">
        <f t="shared" si="16"/>
        <v>G05-S05</v>
      </c>
      <c r="J179" s="100">
        <f>IFERROR(VLOOKUP(I179,LK_GradeStep!$C$4:$D$85,2,0),0)</f>
        <v>328</v>
      </c>
      <c r="K179" s="100">
        <f>IFERROR(VLOOKUP(I179,LK_GradeStep!$C$4:$E$85,3,0),10000)</f>
        <v>10000</v>
      </c>
      <c r="L179" s="100">
        <f t="shared" si="17"/>
        <v>3280000</v>
      </c>
      <c r="M179" s="101">
        <f>IFERROR(VLOOKUP(EMPLOYEE_MASTER!AQ179,LK_AllowanceRates!$A$5:$B$11,2,0),0)</f>
        <v>900000</v>
      </c>
      <c r="N179" s="101">
        <f ca="1">IFERROR(IF(EMPLOYEE_MASTER!J179&lt;=5,  EMPLOYEE_MASTER!J179*LK_AllowanceRates!$B$12,IF(EMPLOYEE_MASTER!J179&lt;=15, EMPLOYEE_MASTER!J179*LK_AllowanceRates!$B$13,IF(EMPLOYEE_MASTER!J179&lt;=25, EMPLOYEE_MASTER!J179*LK_AllowanceRates!$B$14,EMPLOYEE_MASTER!J179*LK_AllowanceRates!$B$15))),0)</f>
        <v>10000</v>
      </c>
      <c r="O179" s="101">
        <f>IF(EMPLOYEE_MASTER!AS179="Teaching",L179*LK_AllowanceRates!$B$16,0)</f>
        <v>0</v>
      </c>
      <c r="P179" s="101">
        <f>IF(EMPLOYEE_MASTER!AS179="Medical",LK_AllowanceRates!$B$17,0)</f>
        <v>500000</v>
      </c>
      <c r="Q179" s="101">
        <f>IF(EMPLOYEE_MASTER!AR179="Yes",LK_AllowanceRates!$B$18,0)</f>
        <v>0</v>
      </c>
      <c r="R179" s="101">
        <f>IF(EMPLOYEE_MASTER!AC179="Yes",LK_AllowanceRates!$B$19,0)</f>
        <v>0</v>
      </c>
      <c r="S179" s="101">
        <f>IF(EMPLOYEE_MASTER!AA179="Yes",L179*LK_AllowanceRates!$B$20,0)</f>
        <v>0</v>
      </c>
      <c r="T179" s="101">
        <f>IF(EMPLOYEE_MASTER!AB179="Yes",LK_AllowanceRates!$B$21,0)</f>
        <v>0</v>
      </c>
      <c r="U179" s="101">
        <f>IF(EMPLOYEE_MASTER!P179&gt;=6,LK_AllowanceRates!$B$22,0)</f>
        <v>0</v>
      </c>
      <c r="V179" s="101">
        <f>IF(EMPLOYEE_MASTER!AO179="Yes",LK_AllowanceRates!$B$23,0)</f>
        <v>200000</v>
      </c>
      <c r="W179" s="101">
        <f>EMPLOYEE_MASTER!AP179*LK_AllowanceRates!$B$24</f>
        <v>600000</v>
      </c>
      <c r="X179" s="101">
        <v>0</v>
      </c>
      <c r="Y179" s="102">
        <v>0</v>
      </c>
      <c r="Z179" s="102">
        <v>0</v>
      </c>
      <c r="AA179" s="102">
        <v>0</v>
      </c>
      <c r="AB179" s="103">
        <f t="shared" ca="1" si="18"/>
        <v>2210000</v>
      </c>
      <c r="AC179" s="104">
        <f t="shared" ca="1" si="19"/>
        <v>5490000</v>
      </c>
      <c r="AD179" s="105">
        <f>ROUND(L179*LK_AllowanceRates!$B$25/100,0)</f>
        <v>180400</v>
      </c>
      <c r="AE179" s="106">
        <f t="shared" ca="1" si="20"/>
        <v>5309600</v>
      </c>
      <c r="AF179" s="106">
        <f t="shared" ca="1" si="21"/>
        <v>215960</v>
      </c>
      <c r="AG179" s="107">
        <v>0</v>
      </c>
      <c r="AH179" s="107">
        <v>0</v>
      </c>
      <c r="AI179" s="108">
        <f t="shared" ca="1" si="22"/>
        <v>396360</v>
      </c>
      <c r="AJ179" s="109">
        <f t="shared" ca="1" si="23"/>
        <v>5093640</v>
      </c>
    </row>
    <row r="180" spans="1:36" ht="15" customHeight="1" x14ac:dyDescent="0.3">
      <c r="A180" s="98" t="str">
        <f>EMPLOYEE_MASTER!A180</f>
        <v>LAO00177</v>
      </c>
      <c r="B180" s="98" t="str">
        <f>EMPLOYEE_MASTER!C180</f>
        <v>Sengphet</v>
      </c>
      <c r="C180" s="98" t="str">
        <f>EMPLOYEE_MASTER!D180</f>
        <v>Sisavath</v>
      </c>
      <c r="D180" s="98" t="str">
        <f>EMPLOYEE_MASTER!T180</f>
        <v>Ministry of Natural Resources &amp; Environment (MoNRE)</v>
      </c>
      <c r="E180" s="98" t="str">
        <f>EMPLOYEE_MASTER!M180</f>
        <v>Senior Engineer</v>
      </c>
      <c r="F180" s="98" t="str">
        <f>EMPLOYEE_MASTER!Z180</f>
        <v>Technical</v>
      </c>
      <c r="G180" s="99">
        <f>EMPLOYEE_MASTER!P180</f>
        <v>5</v>
      </c>
      <c r="H180" s="99">
        <f>EMPLOYEE_MASTER!Q180</f>
        <v>3</v>
      </c>
      <c r="I180" s="100" t="str">
        <f t="shared" si="16"/>
        <v>G05-S03</v>
      </c>
      <c r="J180" s="100">
        <f>IFERROR(VLOOKUP(I180,LK_GradeStep!$C$4:$D$85,2,0),0)</f>
        <v>318</v>
      </c>
      <c r="K180" s="100">
        <f>IFERROR(VLOOKUP(I180,LK_GradeStep!$C$4:$E$85,3,0),10000)</f>
        <v>10000</v>
      </c>
      <c r="L180" s="100">
        <f t="shared" si="17"/>
        <v>3180000</v>
      </c>
      <c r="M180" s="101">
        <f>IFERROR(VLOOKUP(EMPLOYEE_MASTER!AQ180,LK_AllowanceRates!$A$5:$B$11,2,0),0)</f>
        <v>900000</v>
      </c>
      <c r="N180" s="101">
        <f ca="1">IFERROR(IF(EMPLOYEE_MASTER!J180&lt;=5,  EMPLOYEE_MASTER!J180*LK_AllowanceRates!$B$12,IF(EMPLOYEE_MASTER!J180&lt;=15, EMPLOYEE_MASTER!J180*LK_AllowanceRates!$B$13,IF(EMPLOYEE_MASTER!J180&lt;=25, EMPLOYEE_MASTER!J180*LK_AllowanceRates!$B$14,EMPLOYEE_MASTER!J180*LK_AllowanceRates!$B$15))),0)</f>
        <v>140000</v>
      </c>
      <c r="O180" s="101">
        <f>IF(EMPLOYEE_MASTER!AS180="Teaching",L180*LK_AllowanceRates!$B$16,0)</f>
        <v>0</v>
      </c>
      <c r="P180" s="101">
        <f>IF(EMPLOYEE_MASTER!AS180="Medical",LK_AllowanceRates!$B$17,0)</f>
        <v>0</v>
      </c>
      <c r="Q180" s="101">
        <f>IF(EMPLOYEE_MASTER!AR180="Yes",LK_AllowanceRates!$B$18,0)</f>
        <v>0</v>
      </c>
      <c r="R180" s="101">
        <f>IF(EMPLOYEE_MASTER!AC180="Yes",LK_AllowanceRates!$B$19,0)</f>
        <v>0</v>
      </c>
      <c r="S180" s="101">
        <f>IF(EMPLOYEE_MASTER!AA180="Yes",L180*LK_AllowanceRates!$B$20,0)</f>
        <v>0</v>
      </c>
      <c r="T180" s="101">
        <f>IF(EMPLOYEE_MASTER!AB180="Yes",LK_AllowanceRates!$B$21,0)</f>
        <v>0</v>
      </c>
      <c r="U180" s="101">
        <f>IF(EMPLOYEE_MASTER!P180&gt;=6,LK_AllowanceRates!$B$22,0)</f>
        <v>0</v>
      </c>
      <c r="V180" s="101">
        <f>IF(EMPLOYEE_MASTER!AO180="Yes",LK_AllowanceRates!$B$23,0)</f>
        <v>200000</v>
      </c>
      <c r="W180" s="101">
        <f>EMPLOYEE_MASTER!AP180*LK_AllowanceRates!$B$24</f>
        <v>600000</v>
      </c>
      <c r="X180" s="101">
        <v>0</v>
      </c>
      <c r="Y180" s="102">
        <v>0</v>
      </c>
      <c r="Z180" s="102">
        <v>0</v>
      </c>
      <c r="AA180" s="102">
        <v>0</v>
      </c>
      <c r="AB180" s="103">
        <f t="shared" ca="1" si="18"/>
        <v>1840000</v>
      </c>
      <c r="AC180" s="104">
        <f t="shared" ca="1" si="19"/>
        <v>5020000</v>
      </c>
      <c r="AD180" s="105">
        <f>ROUND(L180*LK_AllowanceRates!$B$25/100,0)</f>
        <v>174900</v>
      </c>
      <c r="AE180" s="106">
        <f t="shared" ca="1" si="20"/>
        <v>4845100</v>
      </c>
      <c r="AF180" s="106">
        <f t="shared" ca="1" si="21"/>
        <v>177255</v>
      </c>
      <c r="AG180" s="107">
        <v>0</v>
      </c>
      <c r="AH180" s="107">
        <v>0</v>
      </c>
      <c r="AI180" s="108">
        <f t="shared" ca="1" si="22"/>
        <v>352155</v>
      </c>
      <c r="AJ180" s="109">
        <f t="shared" ca="1" si="23"/>
        <v>4667845</v>
      </c>
    </row>
    <row r="181" spans="1:36" ht="15" customHeight="1" x14ac:dyDescent="0.3">
      <c r="A181" s="98" t="str">
        <f>EMPLOYEE_MASTER!A181</f>
        <v>LAO00178</v>
      </c>
      <c r="B181" s="98" t="str">
        <f>EMPLOYEE_MASTER!C181</f>
        <v>Phonsavanh</v>
      </c>
      <c r="C181" s="98" t="str">
        <f>EMPLOYEE_MASTER!D181</f>
        <v>Bouphanouvong</v>
      </c>
      <c r="D181" s="98" t="str">
        <f>EMPLOYEE_MASTER!T181</f>
        <v>Ministry of Health (MoH)</v>
      </c>
      <c r="E181" s="98" t="str">
        <f>EMPLOYEE_MASTER!M181</f>
        <v>Senior Doctor</v>
      </c>
      <c r="F181" s="98" t="str">
        <f>EMPLOYEE_MASTER!Z181</f>
        <v>Medical</v>
      </c>
      <c r="G181" s="99">
        <f>EMPLOYEE_MASTER!P181</f>
        <v>4</v>
      </c>
      <c r="H181" s="99">
        <f>EMPLOYEE_MASTER!Q181</f>
        <v>1</v>
      </c>
      <c r="I181" s="100" t="str">
        <f t="shared" si="16"/>
        <v>G04-S01</v>
      </c>
      <c r="J181" s="100">
        <f>IFERROR(VLOOKUP(I181,LK_GradeStep!$C$4:$D$85,2,0),0)</f>
        <v>286</v>
      </c>
      <c r="K181" s="100">
        <f>IFERROR(VLOOKUP(I181,LK_GradeStep!$C$4:$E$85,3,0),10000)</f>
        <v>10000</v>
      </c>
      <c r="L181" s="100">
        <f t="shared" si="17"/>
        <v>2860000</v>
      </c>
      <c r="M181" s="101">
        <f>IFERROR(VLOOKUP(EMPLOYEE_MASTER!AQ181,LK_AllowanceRates!$A$5:$B$11,2,0),0)</f>
        <v>900000</v>
      </c>
      <c r="N181" s="101">
        <f ca="1">IFERROR(IF(EMPLOYEE_MASTER!J181&lt;=5,  EMPLOYEE_MASTER!J181*LK_AllowanceRates!$B$12,IF(EMPLOYEE_MASTER!J181&lt;=15, EMPLOYEE_MASTER!J181*LK_AllowanceRates!$B$13,IF(EMPLOYEE_MASTER!J181&lt;=25, EMPLOYEE_MASTER!J181*LK_AllowanceRates!$B$14,EMPLOYEE_MASTER!J181*LK_AllowanceRates!$B$15))),0)</f>
        <v>600000</v>
      </c>
      <c r="O181" s="101">
        <f>IF(EMPLOYEE_MASTER!AS181="Teaching",L181*LK_AllowanceRates!$B$16,0)</f>
        <v>0</v>
      </c>
      <c r="P181" s="101">
        <f>IF(EMPLOYEE_MASTER!AS181="Medical",LK_AllowanceRates!$B$17,0)</f>
        <v>500000</v>
      </c>
      <c r="Q181" s="101">
        <f>IF(EMPLOYEE_MASTER!AR181="Yes",LK_AllowanceRates!$B$18,0)</f>
        <v>0</v>
      </c>
      <c r="R181" s="101">
        <f>IF(EMPLOYEE_MASTER!AC181="Yes",LK_AllowanceRates!$B$19,0)</f>
        <v>1000000</v>
      </c>
      <c r="S181" s="101">
        <f>IF(EMPLOYEE_MASTER!AA181="Yes",L181*LK_AllowanceRates!$B$20,0)</f>
        <v>715000</v>
      </c>
      <c r="T181" s="101">
        <f>IF(EMPLOYEE_MASTER!AB181="Yes",LK_AllowanceRates!$B$21,0)</f>
        <v>0</v>
      </c>
      <c r="U181" s="101">
        <f>IF(EMPLOYEE_MASTER!P181&gt;=6,LK_AllowanceRates!$B$22,0)</f>
        <v>0</v>
      </c>
      <c r="V181" s="101">
        <f>IF(EMPLOYEE_MASTER!AO181="Yes",LK_AllowanceRates!$B$23,0)</f>
        <v>200000</v>
      </c>
      <c r="W181" s="101">
        <f>EMPLOYEE_MASTER!AP181*LK_AllowanceRates!$B$24</f>
        <v>200000</v>
      </c>
      <c r="X181" s="101">
        <v>0</v>
      </c>
      <c r="Y181" s="102">
        <v>0</v>
      </c>
      <c r="Z181" s="102">
        <v>0</v>
      </c>
      <c r="AA181" s="102">
        <v>0</v>
      </c>
      <c r="AB181" s="103">
        <f t="shared" ca="1" si="18"/>
        <v>4115000</v>
      </c>
      <c r="AC181" s="104">
        <f t="shared" ca="1" si="19"/>
        <v>6975000</v>
      </c>
      <c r="AD181" s="105">
        <f>ROUND(L181*LK_AllowanceRates!$B$25/100,0)</f>
        <v>157300</v>
      </c>
      <c r="AE181" s="106">
        <f t="shared" ca="1" si="20"/>
        <v>6817700</v>
      </c>
      <c r="AF181" s="106">
        <f t="shared" ca="1" si="21"/>
        <v>366770</v>
      </c>
      <c r="AG181" s="107">
        <v>0</v>
      </c>
      <c r="AH181" s="107">
        <v>0</v>
      </c>
      <c r="AI181" s="108">
        <f t="shared" ca="1" si="22"/>
        <v>524070</v>
      </c>
      <c r="AJ181" s="109">
        <f t="shared" ca="1" si="23"/>
        <v>6450930</v>
      </c>
    </row>
    <row r="182" spans="1:36" ht="15" customHeight="1" x14ac:dyDescent="0.3">
      <c r="A182" s="98" t="str">
        <f>EMPLOYEE_MASTER!A182</f>
        <v>LAO00179</v>
      </c>
      <c r="B182" s="98" t="str">
        <f>EMPLOYEE_MASTER!C182</f>
        <v>Thongchanh</v>
      </c>
      <c r="C182" s="98" t="str">
        <f>EMPLOYEE_MASTER!D182</f>
        <v>Chanthavong</v>
      </c>
      <c r="D182" s="98" t="str">
        <f>EMPLOYEE_MASTER!T182</f>
        <v>National Assembly (NA)</v>
      </c>
      <c r="E182" s="98" t="str">
        <f>EMPLOYEE_MASTER!M182</f>
        <v>Clerk</v>
      </c>
      <c r="F182" s="98" t="str">
        <f>EMPLOYEE_MASTER!Z182</f>
        <v>Administration</v>
      </c>
      <c r="G182" s="99">
        <f>EMPLOYEE_MASTER!P182</f>
        <v>3</v>
      </c>
      <c r="H182" s="99">
        <f>EMPLOYEE_MASTER!Q182</f>
        <v>1</v>
      </c>
      <c r="I182" s="100" t="str">
        <f t="shared" si="16"/>
        <v>G03-S01</v>
      </c>
      <c r="J182" s="100">
        <f>IFERROR(VLOOKUP(I182,LK_GradeStep!$C$4:$D$85,2,0),0)</f>
        <v>276</v>
      </c>
      <c r="K182" s="100">
        <f>IFERROR(VLOOKUP(I182,LK_GradeStep!$C$4:$E$85,3,0),10000)</f>
        <v>10000</v>
      </c>
      <c r="L182" s="100">
        <f t="shared" si="17"/>
        <v>2760000</v>
      </c>
      <c r="M182" s="101">
        <f>IFERROR(VLOOKUP(EMPLOYEE_MASTER!AQ182,LK_AllowanceRates!$A$5:$B$11,2,0),0)</f>
        <v>900000</v>
      </c>
      <c r="N182" s="101">
        <f ca="1">IFERROR(IF(EMPLOYEE_MASTER!J182&lt;=5,  EMPLOYEE_MASTER!J182*LK_AllowanceRates!$B$12,IF(EMPLOYEE_MASTER!J182&lt;=15, EMPLOYEE_MASTER!J182*LK_AllowanceRates!$B$13,IF(EMPLOYEE_MASTER!J182&lt;=25, EMPLOYEE_MASTER!J182*LK_AllowanceRates!$B$14,EMPLOYEE_MASTER!J182*LK_AllowanceRates!$B$15))),0)</f>
        <v>1360000</v>
      </c>
      <c r="O182" s="101">
        <f>IF(EMPLOYEE_MASTER!AS182="Teaching",L182*LK_AllowanceRates!$B$16,0)</f>
        <v>0</v>
      </c>
      <c r="P182" s="101">
        <f>IF(EMPLOYEE_MASTER!AS182="Medical",LK_AllowanceRates!$B$17,0)</f>
        <v>0</v>
      </c>
      <c r="Q182" s="101">
        <f>IF(EMPLOYEE_MASTER!AR182="Yes",LK_AllowanceRates!$B$18,0)</f>
        <v>1000000</v>
      </c>
      <c r="R182" s="101">
        <f>IF(EMPLOYEE_MASTER!AC182="Yes",LK_AllowanceRates!$B$19,0)</f>
        <v>0</v>
      </c>
      <c r="S182" s="101">
        <f>IF(EMPLOYEE_MASTER!AA182="Yes",L182*LK_AllowanceRates!$B$20,0)</f>
        <v>0</v>
      </c>
      <c r="T182" s="101">
        <f>IF(EMPLOYEE_MASTER!AB182="Yes",LK_AllowanceRates!$B$21,0)</f>
        <v>0</v>
      </c>
      <c r="U182" s="101">
        <f>IF(EMPLOYEE_MASTER!P182&gt;=6,LK_AllowanceRates!$B$22,0)</f>
        <v>0</v>
      </c>
      <c r="V182" s="101">
        <f>IF(EMPLOYEE_MASTER!AO182="Yes",LK_AllowanceRates!$B$23,0)</f>
        <v>0</v>
      </c>
      <c r="W182" s="101">
        <f>EMPLOYEE_MASTER!AP182*LK_AllowanceRates!$B$24</f>
        <v>0</v>
      </c>
      <c r="X182" s="101">
        <v>0</v>
      </c>
      <c r="Y182" s="102">
        <v>0</v>
      </c>
      <c r="Z182" s="102">
        <v>0</v>
      </c>
      <c r="AA182" s="102">
        <v>0</v>
      </c>
      <c r="AB182" s="103">
        <f t="shared" ca="1" si="18"/>
        <v>3260000</v>
      </c>
      <c r="AC182" s="104">
        <f t="shared" ca="1" si="19"/>
        <v>6020000</v>
      </c>
      <c r="AD182" s="105">
        <f>ROUND(L182*LK_AllowanceRates!$B$25/100,0)</f>
        <v>151800</v>
      </c>
      <c r="AE182" s="106">
        <f t="shared" ca="1" si="20"/>
        <v>5868200</v>
      </c>
      <c r="AF182" s="106">
        <f t="shared" ca="1" si="21"/>
        <v>271820</v>
      </c>
      <c r="AG182" s="107">
        <v>0</v>
      </c>
      <c r="AH182" s="107">
        <v>0</v>
      </c>
      <c r="AI182" s="108">
        <f t="shared" ca="1" si="22"/>
        <v>423620</v>
      </c>
      <c r="AJ182" s="109">
        <f t="shared" ca="1" si="23"/>
        <v>5596380</v>
      </c>
    </row>
    <row r="183" spans="1:36" ht="15" customHeight="1" x14ac:dyDescent="0.3">
      <c r="A183" s="98" t="str">
        <f>EMPLOYEE_MASTER!A183</f>
        <v>LAO00180</v>
      </c>
      <c r="B183" s="98" t="str">
        <f>EMPLOYEE_MASTER!C183</f>
        <v>Nongkham</v>
      </c>
      <c r="C183" s="98" t="str">
        <f>EMPLOYEE_MASTER!D183</f>
        <v>Bouavong</v>
      </c>
      <c r="D183" s="98" t="str">
        <f>EMPLOYEE_MASTER!T183</f>
        <v>Luang Prabang Province Administration</v>
      </c>
      <c r="E183" s="98" t="str">
        <f>EMPLOYEE_MASTER!M183</f>
        <v>Administrative Officer</v>
      </c>
      <c r="F183" s="98" t="str">
        <f>EMPLOYEE_MASTER!Z183</f>
        <v>Administration</v>
      </c>
      <c r="G183" s="99">
        <f>EMPLOYEE_MASTER!P183</f>
        <v>4</v>
      </c>
      <c r="H183" s="99">
        <f>EMPLOYEE_MASTER!Q183</f>
        <v>1</v>
      </c>
      <c r="I183" s="100" t="str">
        <f t="shared" si="16"/>
        <v>G04-S01</v>
      </c>
      <c r="J183" s="100">
        <f>IFERROR(VLOOKUP(I183,LK_GradeStep!$C$4:$D$85,2,0),0)</f>
        <v>286</v>
      </c>
      <c r="K183" s="100">
        <f>IFERROR(VLOOKUP(I183,LK_GradeStep!$C$4:$E$85,3,0),10000)</f>
        <v>10000</v>
      </c>
      <c r="L183" s="100">
        <f t="shared" si="17"/>
        <v>2860000</v>
      </c>
      <c r="M183" s="101">
        <f>IFERROR(VLOOKUP(EMPLOYEE_MASTER!AQ183,LK_AllowanceRates!$A$5:$B$11,2,0),0)</f>
        <v>900000</v>
      </c>
      <c r="N183" s="101">
        <f ca="1">IFERROR(IF(EMPLOYEE_MASTER!J183&lt;=5,  EMPLOYEE_MASTER!J183*LK_AllowanceRates!$B$12,IF(EMPLOYEE_MASTER!J183&lt;=15, EMPLOYEE_MASTER!J183*LK_AllowanceRates!$B$13,IF(EMPLOYEE_MASTER!J183&lt;=25, EMPLOYEE_MASTER!J183*LK_AllowanceRates!$B$14,EMPLOYEE_MASTER!J183*LK_AllowanceRates!$B$15))),0)</f>
        <v>540000</v>
      </c>
      <c r="O183" s="101">
        <f>IF(EMPLOYEE_MASTER!AS183="Teaching",L183*LK_AllowanceRates!$B$16,0)</f>
        <v>0</v>
      </c>
      <c r="P183" s="101">
        <f>IF(EMPLOYEE_MASTER!AS183="Medical",LK_AllowanceRates!$B$17,0)</f>
        <v>0</v>
      </c>
      <c r="Q183" s="101">
        <f>IF(EMPLOYEE_MASTER!AR183="Yes",LK_AllowanceRates!$B$18,0)</f>
        <v>0</v>
      </c>
      <c r="R183" s="101">
        <f>IF(EMPLOYEE_MASTER!AC183="Yes",LK_AllowanceRates!$B$19,0)</f>
        <v>0</v>
      </c>
      <c r="S183" s="101">
        <f>IF(EMPLOYEE_MASTER!AA183="Yes",L183*LK_AllowanceRates!$B$20,0)</f>
        <v>0</v>
      </c>
      <c r="T183" s="101">
        <f>IF(EMPLOYEE_MASTER!AB183="Yes",LK_AllowanceRates!$B$21,0)</f>
        <v>0</v>
      </c>
      <c r="U183" s="101">
        <f>IF(EMPLOYEE_MASTER!P183&gt;=6,LK_AllowanceRates!$B$22,0)</f>
        <v>0</v>
      </c>
      <c r="V183" s="101">
        <f>IF(EMPLOYEE_MASTER!AO183="Yes",LK_AllowanceRates!$B$23,0)</f>
        <v>0</v>
      </c>
      <c r="W183" s="101">
        <f>EMPLOYEE_MASTER!AP183*LK_AllowanceRates!$B$24</f>
        <v>0</v>
      </c>
      <c r="X183" s="101">
        <v>0</v>
      </c>
      <c r="Y183" s="102">
        <v>0</v>
      </c>
      <c r="Z183" s="102">
        <v>0</v>
      </c>
      <c r="AA183" s="102">
        <v>0</v>
      </c>
      <c r="AB183" s="103">
        <f t="shared" ca="1" si="18"/>
        <v>1440000</v>
      </c>
      <c r="AC183" s="104">
        <f t="shared" ca="1" si="19"/>
        <v>4300000</v>
      </c>
      <c r="AD183" s="105">
        <f>ROUND(L183*LK_AllowanceRates!$B$25/100,0)</f>
        <v>157300</v>
      </c>
      <c r="AE183" s="106">
        <f t="shared" ca="1" si="20"/>
        <v>4142700</v>
      </c>
      <c r="AF183" s="106">
        <f t="shared" ca="1" si="21"/>
        <v>142135</v>
      </c>
      <c r="AG183" s="107">
        <v>0</v>
      </c>
      <c r="AH183" s="107">
        <v>0</v>
      </c>
      <c r="AI183" s="108">
        <f t="shared" ca="1" si="22"/>
        <v>299435</v>
      </c>
      <c r="AJ183" s="109">
        <f t="shared" ca="1" si="23"/>
        <v>4000565</v>
      </c>
    </row>
    <row r="184" spans="1:36" ht="15" customHeight="1" x14ac:dyDescent="0.3">
      <c r="A184" s="98" t="str">
        <f>EMPLOYEE_MASTER!A184</f>
        <v>LAO00181</v>
      </c>
      <c r="B184" s="98" t="str">
        <f>EMPLOYEE_MASTER!C184</f>
        <v>Khamsone</v>
      </c>
      <c r="C184" s="98" t="str">
        <f>EMPLOYEE_MASTER!D184</f>
        <v>Xaysomboun</v>
      </c>
      <c r="D184" s="98" t="str">
        <f>EMPLOYEE_MASTER!T184</f>
        <v>Ministry of Agriculture and Forestry (MoAF)</v>
      </c>
      <c r="E184" s="98" t="str">
        <f>EMPLOYEE_MASTER!M184</f>
        <v>Infrastructure Officer</v>
      </c>
      <c r="F184" s="98" t="str">
        <f>EMPLOYEE_MASTER!Z184</f>
        <v>Technical</v>
      </c>
      <c r="G184" s="99">
        <f>EMPLOYEE_MASTER!P184</f>
        <v>3</v>
      </c>
      <c r="H184" s="99">
        <f>EMPLOYEE_MASTER!Q184</f>
        <v>3</v>
      </c>
      <c r="I184" s="100" t="str">
        <f t="shared" si="16"/>
        <v>G03-S03</v>
      </c>
      <c r="J184" s="100">
        <f>IFERROR(VLOOKUP(I184,LK_GradeStep!$C$4:$D$85,2,0),0)</f>
        <v>278</v>
      </c>
      <c r="K184" s="100">
        <f>IFERROR(VLOOKUP(I184,LK_GradeStep!$C$4:$E$85,3,0),10000)</f>
        <v>10000</v>
      </c>
      <c r="L184" s="100">
        <f t="shared" si="17"/>
        <v>2780000</v>
      </c>
      <c r="M184" s="101">
        <f>IFERROR(VLOOKUP(EMPLOYEE_MASTER!AQ184,LK_AllowanceRates!$A$5:$B$11,2,0),0)</f>
        <v>900000</v>
      </c>
      <c r="N184" s="101">
        <f ca="1">IFERROR(IF(EMPLOYEE_MASTER!J184&lt;=5,  EMPLOYEE_MASTER!J184*LK_AllowanceRates!$B$12,IF(EMPLOYEE_MASTER!J184&lt;=15, EMPLOYEE_MASTER!J184*LK_AllowanceRates!$B$13,IF(EMPLOYEE_MASTER!J184&lt;=25, EMPLOYEE_MASTER!J184*LK_AllowanceRates!$B$14,EMPLOYEE_MASTER!J184*LK_AllowanceRates!$B$15))),0)</f>
        <v>280000</v>
      </c>
      <c r="O184" s="101">
        <f>IF(EMPLOYEE_MASTER!AS184="Teaching",L184*LK_AllowanceRates!$B$16,0)</f>
        <v>0</v>
      </c>
      <c r="P184" s="101">
        <f>IF(EMPLOYEE_MASTER!AS184="Medical",LK_AllowanceRates!$B$17,0)</f>
        <v>0</v>
      </c>
      <c r="Q184" s="101">
        <f>IF(EMPLOYEE_MASTER!AR184="Yes",LK_AllowanceRates!$B$18,0)</f>
        <v>0</v>
      </c>
      <c r="R184" s="101">
        <f>IF(EMPLOYEE_MASTER!AC184="Yes",LK_AllowanceRates!$B$19,0)</f>
        <v>1000000</v>
      </c>
      <c r="S184" s="101">
        <f>IF(EMPLOYEE_MASTER!AA184="Yes",L184*LK_AllowanceRates!$B$20,0)</f>
        <v>695000</v>
      </c>
      <c r="T184" s="101">
        <f>IF(EMPLOYEE_MASTER!AB184="Yes",LK_AllowanceRates!$B$21,0)</f>
        <v>0</v>
      </c>
      <c r="U184" s="101">
        <f>IF(EMPLOYEE_MASTER!P184&gt;=6,LK_AllowanceRates!$B$22,0)</f>
        <v>0</v>
      </c>
      <c r="V184" s="101">
        <f>IF(EMPLOYEE_MASTER!AO184="Yes",LK_AllowanceRates!$B$23,0)</f>
        <v>200000</v>
      </c>
      <c r="W184" s="101">
        <f>EMPLOYEE_MASTER!AP184*LK_AllowanceRates!$B$24</f>
        <v>600000</v>
      </c>
      <c r="X184" s="101">
        <v>0</v>
      </c>
      <c r="Y184" s="102">
        <v>0</v>
      </c>
      <c r="Z184" s="102">
        <v>0</v>
      </c>
      <c r="AA184" s="102">
        <v>0</v>
      </c>
      <c r="AB184" s="103">
        <f t="shared" ca="1" si="18"/>
        <v>3675000</v>
      </c>
      <c r="AC184" s="104">
        <f t="shared" ca="1" si="19"/>
        <v>6455000</v>
      </c>
      <c r="AD184" s="105">
        <f>ROUND(L184*LK_AllowanceRates!$B$25/100,0)</f>
        <v>152900</v>
      </c>
      <c r="AE184" s="106">
        <f t="shared" ca="1" si="20"/>
        <v>6302100</v>
      </c>
      <c r="AF184" s="106">
        <f t="shared" ca="1" si="21"/>
        <v>315210</v>
      </c>
      <c r="AG184" s="107">
        <v>0</v>
      </c>
      <c r="AH184" s="107">
        <v>0</v>
      </c>
      <c r="AI184" s="108">
        <f t="shared" ca="1" si="22"/>
        <v>468110</v>
      </c>
      <c r="AJ184" s="109">
        <f t="shared" ca="1" si="23"/>
        <v>5986890</v>
      </c>
    </row>
    <row r="185" spans="1:36" ht="15" customHeight="1" x14ac:dyDescent="0.3">
      <c r="A185" s="98" t="str">
        <f>EMPLOYEE_MASTER!A185</f>
        <v>LAO00182</v>
      </c>
      <c r="B185" s="98" t="str">
        <f>EMPLOYEE_MASTER!C185</f>
        <v>Khammoune</v>
      </c>
      <c r="C185" s="98" t="str">
        <f>EMPLOYEE_MASTER!D185</f>
        <v>Vongsamphanh</v>
      </c>
      <c r="D185" s="98" t="str">
        <f>EMPLOYEE_MASTER!T185</f>
        <v>Ministry of Home Affairs (MoHA)</v>
      </c>
      <c r="E185" s="98" t="str">
        <f>EMPLOYEE_MASTER!M185</f>
        <v>Deputy Director</v>
      </c>
      <c r="F185" s="98" t="str">
        <f>EMPLOYEE_MASTER!Z185</f>
        <v>Administration</v>
      </c>
      <c r="G185" s="99">
        <f>EMPLOYEE_MASTER!P185</f>
        <v>4</v>
      </c>
      <c r="H185" s="99">
        <f>EMPLOYEE_MASTER!Q185</f>
        <v>12</v>
      </c>
      <c r="I185" s="100" t="str">
        <f t="shared" si="16"/>
        <v>G04-S12</v>
      </c>
      <c r="J185" s="100">
        <f>IFERROR(VLOOKUP(I185,LK_GradeStep!$C$4:$D$85,2,0),0)</f>
        <v>323</v>
      </c>
      <c r="K185" s="100">
        <f>IFERROR(VLOOKUP(I185,LK_GradeStep!$C$4:$E$85,3,0),10000)</f>
        <v>10000</v>
      </c>
      <c r="L185" s="100">
        <f t="shared" si="17"/>
        <v>3230000</v>
      </c>
      <c r="M185" s="101">
        <f>IFERROR(VLOOKUP(EMPLOYEE_MASTER!AQ185,LK_AllowanceRates!$A$5:$B$11,2,0),0)</f>
        <v>2300000</v>
      </c>
      <c r="N185" s="101">
        <f ca="1">IFERROR(IF(EMPLOYEE_MASTER!J185&lt;=5,  EMPLOYEE_MASTER!J185*LK_AllowanceRates!$B$12,IF(EMPLOYEE_MASTER!J185&lt;=15, EMPLOYEE_MASTER!J185*LK_AllowanceRates!$B$13,IF(EMPLOYEE_MASTER!J185&lt;=25, EMPLOYEE_MASTER!J185*LK_AllowanceRates!$B$14,EMPLOYEE_MASTER!J185*LK_AllowanceRates!$B$15))),0)</f>
        <v>30000</v>
      </c>
      <c r="O185" s="101">
        <f>IF(EMPLOYEE_MASTER!AS185="Teaching",L185*LK_AllowanceRates!$B$16,0)</f>
        <v>0</v>
      </c>
      <c r="P185" s="101">
        <f>IF(EMPLOYEE_MASTER!AS185="Medical",LK_AllowanceRates!$B$17,0)</f>
        <v>0</v>
      </c>
      <c r="Q185" s="101">
        <f>IF(EMPLOYEE_MASTER!AR185="Yes",LK_AllowanceRates!$B$18,0)</f>
        <v>0</v>
      </c>
      <c r="R185" s="101">
        <f>IF(EMPLOYEE_MASTER!AC185="Yes",LK_AllowanceRates!$B$19,0)</f>
        <v>0</v>
      </c>
      <c r="S185" s="101">
        <f>IF(EMPLOYEE_MASTER!AA185="Yes",L185*LK_AllowanceRates!$B$20,0)</f>
        <v>807500</v>
      </c>
      <c r="T185" s="101">
        <f>IF(EMPLOYEE_MASTER!AB185="Yes",LK_AllowanceRates!$B$21,0)</f>
        <v>0</v>
      </c>
      <c r="U185" s="101">
        <f>IF(EMPLOYEE_MASTER!P185&gt;=6,LK_AllowanceRates!$B$22,0)</f>
        <v>0</v>
      </c>
      <c r="V185" s="101">
        <f>IF(EMPLOYEE_MASTER!AO185="Yes",LK_AllowanceRates!$B$23,0)</f>
        <v>200000</v>
      </c>
      <c r="W185" s="101">
        <f>EMPLOYEE_MASTER!AP185*LK_AllowanceRates!$B$24</f>
        <v>600000</v>
      </c>
      <c r="X185" s="101">
        <v>0</v>
      </c>
      <c r="Y185" s="102">
        <v>0</v>
      </c>
      <c r="Z185" s="102">
        <v>0</v>
      </c>
      <c r="AA185" s="102">
        <v>0</v>
      </c>
      <c r="AB185" s="103">
        <f t="shared" ca="1" si="18"/>
        <v>3937500</v>
      </c>
      <c r="AC185" s="104">
        <f t="shared" ca="1" si="19"/>
        <v>7167500</v>
      </c>
      <c r="AD185" s="105">
        <f>ROUND(L185*LK_AllowanceRates!$B$25/100,0)</f>
        <v>177650</v>
      </c>
      <c r="AE185" s="106">
        <f t="shared" ca="1" si="20"/>
        <v>6989850</v>
      </c>
      <c r="AF185" s="106">
        <f t="shared" ca="1" si="21"/>
        <v>383985</v>
      </c>
      <c r="AG185" s="107">
        <v>0</v>
      </c>
      <c r="AH185" s="107">
        <v>0</v>
      </c>
      <c r="AI185" s="108">
        <f t="shared" ca="1" si="22"/>
        <v>561635</v>
      </c>
      <c r="AJ185" s="109">
        <f t="shared" ca="1" si="23"/>
        <v>6605865</v>
      </c>
    </row>
    <row r="186" spans="1:36" ht="15" customHeight="1" x14ac:dyDescent="0.3">
      <c r="A186" s="98" t="str">
        <f>EMPLOYEE_MASTER!A186</f>
        <v>LAO00183</v>
      </c>
      <c r="B186" s="98" t="str">
        <f>EMPLOYEE_MASTER!C186</f>
        <v>Souvanny</v>
      </c>
      <c r="C186" s="98" t="str">
        <f>EMPLOYEE_MASTER!D186</f>
        <v>Kheudkham</v>
      </c>
      <c r="D186" s="98" t="str">
        <f>EMPLOYEE_MASTER!T186</f>
        <v>Ministry of Public Works &amp; Transport (MPWT)</v>
      </c>
      <c r="E186" s="98" t="str">
        <f>EMPLOYEE_MASTER!M186</f>
        <v>Technical Specialist</v>
      </c>
      <c r="F186" s="98" t="str">
        <f>EMPLOYEE_MASTER!Z186</f>
        <v>Technical</v>
      </c>
      <c r="G186" s="99">
        <f>EMPLOYEE_MASTER!P186</f>
        <v>5</v>
      </c>
      <c r="H186" s="99">
        <f>EMPLOYEE_MASTER!Q186</f>
        <v>6</v>
      </c>
      <c r="I186" s="100" t="str">
        <f t="shared" si="16"/>
        <v>G05-S06</v>
      </c>
      <c r="J186" s="100">
        <f>IFERROR(VLOOKUP(I186,LK_GradeStep!$C$4:$D$85,2,0),0)</f>
        <v>333</v>
      </c>
      <c r="K186" s="100">
        <f>IFERROR(VLOOKUP(I186,LK_GradeStep!$C$4:$E$85,3,0),10000)</f>
        <v>10000</v>
      </c>
      <c r="L186" s="100">
        <f t="shared" si="17"/>
        <v>3330000</v>
      </c>
      <c r="M186" s="101">
        <f>IFERROR(VLOOKUP(EMPLOYEE_MASTER!AQ186,LK_AllowanceRates!$A$5:$B$11,2,0),0)</f>
        <v>900000</v>
      </c>
      <c r="N186" s="101">
        <f ca="1">IFERROR(IF(EMPLOYEE_MASTER!J186&lt;=5,  EMPLOYEE_MASTER!J186*LK_AllowanceRates!$B$12,IF(EMPLOYEE_MASTER!J186&lt;=15, EMPLOYEE_MASTER!J186*LK_AllowanceRates!$B$13,IF(EMPLOYEE_MASTER!J186&lt;=25, EMPLOYEE_MASTER!J186*LK_AllowanceRates!$B$14,EMPLOYEE_MASTER!J186*LK_AllowanceRates!$B$15))),0)</f>
        <v>50000</v>
      </c>
      <c r="O186" s="101">
        <f>IF(EMPLOYEE_MASTER!AS186="Teaching",L186*LK_AllowanceRates!$B$16,0)</f>
        <v>0</v>
      </c>
      <c r="P186" s="101">
        <f>IF(EMPLOYEE_MASTER!AS186="Medical",LK_AllowanceRates!$B$17,0)</f>
        <v>0</v>
      </c>
      <c r="Q186" s="101">
        <f>IF(EMPLOYEE_MASTER!AR186="Yes",LK_AllowanceRates!$B$18,0)</f>
        <v>0</v>
      </c>
      <c r="R186" s="101">
        <f>IF(EMPLOYEE_MASTER!AC186="Yes",LK_AllowanceRates!$B$19,0)</f>
        <v>0</v>
      </c>
      <c r="S186" s="101">
        <f>IF(EMPLOYEE_MASTER!AA186="Yes",L186*LK_AllowanceRates!$B$20,0)</f>
        <v>832500</v>
      </c>
      <c r="T186" s="101">
        <f>IF(EMPLOYEE_MASTER!AB186="Yes",LK_AllowanceRates!$B$21,0)</f>
        <v>0</v>
      </c>
      <c r="U186" s="101">
        <f>IF(EMPLOYEE_MASTER!P186&gt;=6,LK_AllowanceRates!$B$22,0)</f>
        <v>0</v>
      </c>
      <c r="V186" s="101">
        <f>IF(EMPLOYEE_MASTER!AO186="Yes",LK_AllowanceRates!$B$23,0)</f>
        <v>200000</v>
      </c>
      <c r="W186" s="101">
        <f>EMPLOYEE_MASTER!AP186*LK_AllowanceRates!$B$24</f>
        <v>600000</v>
      </c>
      <c r="X186" s="101">
        <v>0</v>
      </c>
      <c r="Y186" s="102">
        <v>0</v>
      </c>
      <c r="Z186" s="102">
        <v>0</v>
      </c>
      <c r="AA186" s="102">
        <v>0</v>
      </c>
      <c r="AB186" s="103">
        <f t="shared" ca="1" si="18"/>
        <v>2582500</v>
      </c>
      <c r="AC186" s="104">
        <f t="shared" ca="1" si="19"/>
        <v>5912500</v>
      </c>
      <c r="AD186" s="105">
        <f>ROUND(L186*LK_AllowanceRates!$B$25/100,0)</f>
        <v>183150</v>
      </c>
      <c r="AE186" s="106">
        <f t="shared" ca="1" si="20"/>
        <v>5729350</v>
      </c>
      <c r="AF186" s="106">
        <f t="shared" ca="1" si="21"/>
        <v>257935</v>
      </c>
      <c r="AG186" s="107">
        <v>0</v>
      </c>
      <c r="AH186" s="107">
        <v>0</v>
      </c>
      <c r="AI186" s="108">
        <f t="shared" ca="1" si="22"/>
        <v>441085</v>
      </c>
      <c r="AJ186" s="109">
        <f t="shared" ca="1" si="23"/>
        <v>5471415</v>
      </c>
    </row>
    <row r="187" spans="1:36" ht="15" customHeight="1" x14ac:dyDescent="0.3">
      <c r="A187" s="98" t="str">
        <f>EMPLOYEE_MASTER!A187</f>
        <v>LAO00184</v>
      </c>
      <c r="B187" s="98" t="str">
        <f>EMPLOYEE_MASTER!C187</f>
        <v>Khammoune</v>
      </c>
      <c r="C187" s="98" t="str">
        <f>EMPLOYEE_MASTER!D187</f>
        <v>Siphaseuth</v>
      </c>
      <c r="D187" s="98" t="str">
        <f>EMPLOYEE_MASTER!T187</f>
        <v>Savannakhet Province Administration</v>
      </c>
      <c r="E187" s="98" t="str">
        <f>EMPLOYEE_MASTER!M187</f>
        <v>Deputy Director</v>
      </c>
      <c r="F187" s="98" t="str">
        <f>EMPLOYEE_MASTER!Z187</f>
        <v>Administration</v>
      </c>
      <c r="G187" s="99">
        <f>EMPLOYEE_MASTER!P187</f>
        <v>5</v>
      </c>
      <c r="H187" s="99">
        <f>EMPLOYEE_MASTER!Q187</f>
        <v>10</v>
      </c>
      <c r="I187" s="100" t="str">
        <f t="shared" si="16"/>
        <v>G05-S10</v>
      </c>
      <c r="J187" s="100">
        <f>IFERROR(VLOOKUP(I187,LK_GradeStep!$C$4:$D$85,2,0),0)</f>
        <v>368</v>
      </c>
      <c r="K187" s="100">
        <f>IFERROR(VLOOKUP(I187,LK_GradeStep!$C$4:$E$85,3,0),10000)</f>
        <v>10000</v>
      </c>
      <c r="L187" s="100">
        <f t="shared" si="17"/>
        <v>3680000</v>
      </c>
      <c r="M187" s="101">
        <f>IFERROR(VLOOKUP(EMPLOYEE_MASTER!AQ187,LK_AllowanceRates!$A$5:$B$11,2,0),0)</f>
        <v>2300000</v>
      </c>
      <c r="N187" s="101">
        <f ca="1">IFERROR(IF(EMPLOYEE_MASTER!J187&lt;=5,  EMPLOYEE_MASTER!J187*LK_AllowanceRates!$B$12,IF(EMPLOYEE_MASTER!J187&lt;=15, EMPLOYEE_MASTER!J187*LK_AllowanceRates!$B$13,IF(EMPLOYEE_MASTER!J187&lt;=25, EMPLOYEE_MASTER!J187*LK_AllowanceRates!$B$14,EMPLOYEE_MASTER!J187*LK_AllowanceRates!$B$15))),0)</f>
        <v>10000</v>
      </c>
      <c r="O187" s="101">
        <f>IF(EMPLOYEE_MASTER!AS187="Teaching",L187*LK_AllowanceRates!$B$16,0)</f>
        <v>0</v>
      </c>
      <c r="P187" s="101">
        <f>IF(EMPLOYEE_MASTER!AS187="Medical",LK_AllowanceRates!$B$17,0)</f>
        <v>0</v>
      </c>
      <c r="Q187" s="101">
        <f>IF(EMPLOYEE_MASTER!AR187="Yes",LK_AllowanceRates!$B$18,0)</f>
        <v>0</v>
      </c>
      <c r="R187" s="101">
        <f>IF(EMPLOYEE_MASTER!AC187="Yes",LK_AllowanceRates!$B$19,0)</f>
        <v>1000000</v>
      </c>
      <c r="S187" s="101">
        <f>IF(EMPLOYEE_MASTER!AA187="Yes",L187*LK_AllowanceRates!$B$20,0)</f>
        <v>920000</v>
      </c>
      <c r="T187" s="101">
        <f>IF(EMPLOYEE_MASTER!AB187="Yes",LK_AllowanceRates!$B$21,0)</f>
        <v>0</v>
      </c>
      <c r="U187" s="101">
        <f>IF(EMPLOYEE_MASTER!P187&gt;=6,LK_AllowanceRates!$B$22,0)</f>
        <v>0</v>
      </c>
      <c r="V187" s="101">
        <f>IF(EMPLOYEE_MASTER!AO187="Yes",LK_AllowanceRates!$B$23,0)</f>
        <v>200000</v>
      </c>
      <c r="W187" s="101">
        <f>EMPLOYEE_MASTER!AP187*LK_AllowanceRates!$B$24</f>
        <v>400000</v>
      </c>
      <c r="X187" s="101">
        <v>0</v>
      </c>
      <c r="Y187" s="102">
        <v>0</v>
      </c>
      <c r="Z187" s="102">
        <v>0</v>
      </c>
      <c r="AA187" s="102">
        <v>0</v>
      </c>
      <c r="AB187" s="103">
        <f t="shared" ca="1" si="18"/>
        <v>4830000</v>
      </c>
      <c r="AC187" s="104">
        <f t="shared" ca="1" si="19"/>
        <v>8510000</v>
      </c>
      <c r="AD187" s="105">
        <f>ROUND(L187*LK_AllowanceRates!$B$25/100,0)</f>
        <v>202400</v>
      </c>
      <c r="AE187" s="106">
        <f t="shared" ca="1" si="20"/>
        <v>8307600</v>
      </c>
      <c r="AF187" s="106">
        <f t="shared" ca="1" si="21"/>
        <v>515760</v>
      </c>
      <c r="AG187" s="107">
        <v>0</v>
      </c>
      <c r="AH187" s="107">
        <v>0</v>
      </c>
      <c r="AI187" s="108">
        <f t="shared" ca="1" si="22"/>
        <v>718160</v>
      </c>
      <c r="AJ187" s="109">
        <f t="shared" ca="1" si="23"/>
        <v>7791840</v>
      </c>
    </row>
    <row r="188" spans="1:36" ht="15" customHeight="1" x14ac:dyDescent="0.3">
      <c r="A188" s="98" t="str">
        <f>EMPLOYEE_MASTER!A188</f>
        <v>LAO00185</v>
      </c>
      <c r="B188" s="98" t="str">
        <f>EMPLOYEE_MASTER!C188</f>
        <v>Lattana</v>
      </c>
      <c r="C188" s="98" t="str">
        <f>EMPLOYEE_MASTER!D188</f>
        <v>Sengkhounmane</v>
      </c>
      <c r="D188" s="98" t="str">
        <f>EMPLOYEE_MASTER!T188</f>
        <v>Vientiane Capital Administration</v>
      </c>
      <c r="E188" s="98" t="str">
        <f>EMPLOYEE_MASTER!M188</f>
        <v>Officer</v>
      </c>
      <c r="F188" s="98" t="str">
        <f>EMPLOYEE_MASTER!Z188</f>
        <v>Administration</v>
      </c>
      <c r="G188" s="99">
        <f>EMPLOYEE_MASTER!P188</f>
        <v>3</v>
      </c>
      <c r="H188" s="99">
        <f>EMPLOYEE_MASTER!Q188</f>
        <v>1</v>
      </c>
      <c r="I188" s="100" t="str">
        <f t="shared" si="16"/>
        <v>G03-S01</v>
      </c>
      <c r="J188" s="100">
        <f>IFERROR(VLOOKUP(I188,LK_GradeStep!$C$4:$D$85,2,0),0)</f>
        <v>276</v>
      </c>
      <c r="K188" s="100">
        <f>IFERROR(VLOOKUP(I188,LK_GradeStep!$C$4:$E$85,3,0),10000)</f>
        <v>10000</v>
      </c>
      <c r="L188" s="100">
        <f t="shared" si="17"/>
        <v>2760000</v>
      </c>
      <c r="M188" s="101">
        <f>IFERROR(VLOOKUP(EMPLOYEE_MASTER!AQ188,LK_AllowanceRates!$A$5:$B$11,2,0),0)</f>
        <v>900000</v>
      </c>
      <c r="N188" s="101">
        <f ca="1">IFERROR(IF(EMPLOYEE_MASTER!J188&lt;=5,  EMPLOYEE_MASTER!J188*LK_AllowanceRates!$B$12,IF(EMPLOYEE_MASTER!J188&lt;=15, EMPLOYEE_MASTER!J188*LK_AllowanceRates!$B$13,IF(EMPLOYEE_MASTER!J188&lt;=25, EMPLOYEE_MASTER!J188*LK_AllowanceRates!$B$14,EMPLOYEE_MASTER!J188*LK_AllowanceRates!$B$15))),0)</f>
        <v>630000</v>
      </c>
      <c r="O188" s="101">
        <f>IF(EMPLOYEE_MASTER!AS188="Teaching",L188*LK_AllowanceRates!$B$16,0)</f>
        <v>0</v>
      </c>
      <c r="P188" s="101">
        <f>IF(EMPLOYEE_MASTER!AS188="Medical",LK_AllowanceRates!$B$17,0)</f>
        <v>0</v>
      </c>
      <c r="Q188" s="101">
        <f>IF(EMPLOYEE_MASTER!AR188="Yes",LK_AllowanceRates!$B$18,0)</f>
        <v>0</v>
      </c>
      <c r="R188" s="101">
        <f>IF(EMPLOYEE_MASTER!AC188="Yes",LK_AllowanceRates!$B$19,0)</f>
        <v>0</v>
      </c>
      <c r="S188" s="101">
        <f>IF(EMPLOYEE_MASTER!AA188="Yes",L188*LK_AllowanceRates!$B$20,0)</f>
        <v>0</v>
      </c>
      <c r="T188" s="101">
        <f>IF(EMPLOYEE_MASTER!AB188="Yes",LK_AllowanceRates!$B$21,0)</f>
        <v>0</v>
      </c>
      <c r="U188" s="101">
        <f>IF(EMPLOYEE_MASTER!P188&gt;=6,LK_AllowanceRates!$B$22,0)</f>
        <v>0</v>
      </c>
      <c r="V188" s="101">
        <f>IF(EMPLOYEE_MASTER!AO188="Yes",LK_AllowanceRates!$B$23,0)</f>
        <v>200000</v>
      </c>
      <c r="W188" s="101">
        <f>EMPLOYEE_MASTER!AP188*LK_AllowanceRates!$B$24</f>
        <v>200000</v>
      </c>
      <c r="X188" s="101">
        <v>0</v>
      </c>
      <c r="Y188" s="102">
        <v>0</v>
      </c>
      <c r="Z188" s="102">
        <v>0</v>
      </c>
      <c r="AA188" s="102">
        <v>0</v>
      </c>
      <c r="AB188" s="103">
        <f t="shared" ca="1" si="18"/>
        <v>1930000</v>
      </c>
      <c r="AC188" s="104">
        <f t="shared" ca="1" si="19"/>
        <v>4690000</v>
      </c>
      <c r="AD188" s="105">
        <f>ROUND(L188*LK_AllowanceRates!$B$25/100,0)</f>
        <v>151800</v>
      </c>
      <c r="AE188" s="106">
        <f t="shared" ca="1" si="20"/>
        <v>4538200</v>
      </c>
      <c r="AF188" s="106">
        <f t="shared" ca="1" si="21"/>
        <v>161910</v>
      </c>
      <c r="AG188" s="107">
        <v>0</v>
      </c>
      <c r="AH188" s="107">
        <v>0</v>
      </c>
      <c r="AI188" s="108">
        <f t="shared" ca="1" si="22"/>
        <v>313710</v>
      </c>
      <c r="AJ188" s="109">
        <f t="shared" ca="1" si="23"/>
        <v>4376290</v>
      </c>
    </row>
    <row r="189" spans="1:36" ht="15" customHeight="1" x14ac:dyDescent="0.3">
      <c r="A189" s="98" t="str">
        <f>EMPLOYEE_MASTER!A189</f>
        <v>LAO00186</v>
      </c>
      <c r="B189" s="98" t="str">
        <f>EMPLOYEE_MASTER!C189</f>
        <v>Khamkhong</v>
      </c>
      <c r="C189" s="98" t="str">
        <f>EMPLOYEE_MASTER!D189</f>
        <v>Soulinthong</v>
      </c>
      <c r="D189" s="98" t="str">
        <f>EMPLOYEE_MASTER!T189</f>
        <v>Ministry of Health (MoH)</v>
      </c>
      <c r="E189" s="98" t="str">
        <f>EMPLOYEE_MASTER!M189</f>
        <v>Nurse</v>
      </c>
      <c r="F189" s="98" t="str">
        <f>EMPLOYEE_MASTER!Z189</f>
        <v>Medical</v>
      </c>
      <c r="G189" s="99">
        <f>EMPLOYEE_MASTER!P189</f>
        <v>3</v>
      </c>
      <c r="H189" s="99">
        <f>EMPLOYEE_MASTER!Q189</f>
        <v>1</v>
      </c>
      <c r="I189" s="100" t="str">
        <f t="shared" si="16"/>
        <v>G03-S01</v>
      </c>
      <c r="J189" s="100">
        <f>IFERROR(VLOOKUP(I189,LK_GradeStep!$C$4:$D$85,2,0),0)</f>
        <v>276</v>
      </c>
      <c r="K189" s="100">
        <f>IFERROR(VLOOKUP(I189,LK_GradeStep!$C$4:$E$85,3,0),10000)</f>
        <v>10000</v>
      </c>
      <c r="L189" s="100">
        <f t="shared" si="17"/>
        <v>2760000</v>
      </c>
      <c r="M189" s="101">
        <f>IFERROR(VLOOKUP(EMPLOYEE_MASTER!AQ189,LK_AllowanceRates!$A$5:$B$11,2,0),0)</f>
        <v>900000</v>
      </c>
      <c r="N189" s="101">
        <f ca="1">IFERROR(IF(EMPLOYEE_MASTER!J189&lt;=5,  EMPLOYEE_MASTER!J189*LK_AllowanceRates!$B$12,IF(EMPLOYEE_MASTER!J189&lt;=15, EMPLOYEE_MASTER!J189*LK_AllowanceRates!$B$13,IF(EMPLOYEE_MASTER!J189&lt;=25, EMPLOYEE_MASTER!J189*LK_AllowanceRates!$B$14,EMPLOYEE_MASTER!J189*LK_AllowanceRates!$B$15))),0)</f>
        <v>720000</v>
      </c>
      <c r="O189" s="101">
        <f>IF(EMPLOYEE_MASTER!AS189="Teaching",L189*LK_AllowanceRates!$B$16,0)</f>
        <v>0</v>
      </c>
      <c r="P189" s="101">
        <f>IF(EMPLOYEE_MASTER!AS189="Medical",LK_AllowanceRates!$B$17,0)</f>
        <v>500000</v>
      </c>
      <c r="Q189" s="101">
        <f>IF(EMPLOYEE_MASTER!AR189="Yes",LK_AllowanceRates!$B$18,0)</f>
        <v>0</v>
      </c>
      <c r="R189" s="101">
        <f>IF(EMPLOYEE_MASTER!AC189="Yes",LK_AllowanceRates!$B$19,0)</f>
        <v>1000000</v>
      </c>
      <c r="S189" s="101">
        <f>IF(EMPLOYEE_MASTER!AA189="Yes",L189*LK_AllowanceRates!$B$20,0)</f>
        <v>0</v>
      </c>
      <c r="T189" s="101">
        <f>IF(EMPLOYEE_MASTER!AB189="Yes",LK_AllowanceRates!$B$21,0)</f>
        <v>0</v>
      </c>
      <c r="U189" s="101">
        <f>IF(EMPLOYEE_MASTER!P189&gt;=6,LK_AllowanceRates!$B$22,0)</f>
        <v>0</v>
      </c>
      <c r="V189" s="101">
        <f>IF(EMPLOYEE_MASTER!AO189="Yes",LK_AllowanceRates!$B$23,0)</f>
        <v>200000</v>
      </c>
      <c r="W189" s="101">
        <f>EMPLOYEE_MASTER!AP189*LK_AllowanceRates!$B$24</f>
        <v>600000</v>
      </c>
      <c r="X189" s="101">
        <v>0</v>
      </c>
      <c r="Y189" s="102">
        <v>0</v>
      </c>
      <c r="Z189" s="102">
        <v>0</v>
      </c>
      <c r="AA189" s="102">
        <v>0</v>
      </c>
      <c r="AB189" s="103">
        <f t="shared" ca="1" si="18"/>
        <v>3920000</v>
      </c>
      <c r="AC189" s="104">
        <f t="shared" ca="1" si="19"/>
        <v>6680000</v>
      </c>
      <c r="AD189" s="105">
        <f>ROUND(L189*LK_AllowanceRates!$B$25/100,0)</f>
        <v>151800</v>
      </c>
      <c r="AE189" s="106">
        <f t="shared" ca="1" si="20"/>
        <v>6528200</v>
      </c>
      <c r="AF189" s="106">
        <f t="shared" ca="1" si="21"/>
        <v>337820</v>
      </c>
      <c r="AG189" s="107">
        <v>0</v>
      </c>
      <c r="AH189" s="107">
        <v>0</v>
      </c>
      <c r="AI189" s="108">
        <f t="shared" ca="1" si="22"/>
        <v>489620</v>
      </c>
      <c r="AJ189" s="109">
        <f t="shared" ca="1" si="23"/>
        <v>6190380</v>
      </c>
    </row>
    <row r="190" spans="1:36" ht="15" customHeight="1" x14ac:dyDescent="0.3">
      <c r="A190" s="98" t="str">
        <f>EMPLOYEE_MASTER!A190</f>
        <v>LAO00187</v>
      </c>
      <c r="B190" s="98" t="str">
        <f>EMPLOYEE_MASTER!C190</f>
        <v>Vanthong</v>
      </c>
      <c r="C190" s="98" t="str">
        <f>EMPLOYEE_MASTER!D190</f>
        <v>Thammavong</v>
      </c>
      <c r="D190" s="98" t="str">
        <f>EMPLOYEE_MASTER!T190</f>
        <v>Ministry of Education and Sports (MoES)</v>
      </c>
      <c r="E190" s="98" t="str">
        <f>EMPLOYEE_MASTER!M190</f>
        <v>University Lecturer</v>
      </c>
      <c r="F190" s="98" t="str">
        <f>EMPLOYEE_MASTER!Z190</f>
        <v>Teacher</v>
      </c>
      <c r="G190" s="99">
        <f>EMPLOYEE_MASTER!P190</f>
        <v>4</v>
      </c>
      <c r="H190" s="99">
        <f>EMPLOYEE_MASTER!Q190</f>
        <v>2</v>
      </c>
      <c r="I190" s="100" t="str">
        <f t="shared" si="16"/>
        <v>G04-S02</v>
      </c>
      <c r="J190" s="100">
        <f>IFERROR(VLOOKUP(I190,LK_GradeStep!$C$4:$D$85,2,0),0)</f>
        <v>288</v>
      </c>
      <c r="K190" s="100">
        <f>IFERROR(VLOOKUP(I190,LK_GradeStep!$C$4:$E$85,3,0),10000)</f>
        <v>10000</v>
      </c>
      <c r="L190" s="100">
        <f t="shared" si="17"/>
        <v>2880000</v>
      </c>
      <c r="M190" s="101">
        <f>IFERROR(VLOOKUP(EMPLOYEE_MASTER!AQ190,LK_AllowanceRates!$A$5:$B$11,2,0),0)</f>
        <v>900000</v>
      </c>
      <c r="N190" s="101">
        <f ca="1">IFERROR(IF(EMPLOYEE_MASTER!J190&lt;=5,  EMPLOYEE_MASTER!J190*LK_AllowanceRates!$B$12,IF(EMPLOYEE_MASTER!J190&lt;=15, EMPLOYEE_MASTER!J190*LK_AllowanceRates!$B$13,IF(EMPLOYEE_MASTER!J190&lt;=25, EMPLOYEE_MASTER!J190*LK_AllowanceRates!$B$14,EMPLOYEE_MASTER!J190*LK_AllowanceRates!$B$15))),0)</f>
        <v>660000</v>
      </c>
      <c r="O190" s="101">
        <f>IF(EMPLOYEE_MASTER!AS190="Teaching",L190*LK_AllowanceRates!$B$16,0)</f>
        <v>576000</v>
      </c>
      <c r="P190" s="101">
        <f>IF(EMPLOYEE_MASTER!AS190="Medical",LK_AllowanceRates!$B$17,0)</f>
        <v>0</v>
      </c>
      <c r="Q190" s="101">
        <f>IF(EMPLOYEE_MASTER!AR190="Yes",LK_AllowanceRates!$B$18,0)</f>
        <v>0</v>
      </c>
      <c r="R190" s="101">
        <f>IF(EMPLOYEE_MASTER!AC190="Yes",LK_AllowanceRates!$B$19,0)</f>
        <v>1000000</v>
      </c>
      <c r="S190" s="101">
        <f>IF(EMPLOYEE_MASTER!AA190="Yes",L190*LK_AllowanceRates!$B$20,0)</f>
        <v>720000</v>
      </c>
      <c r="T190" s="101">
        <f>IF(EMPLOYEE_MASTER!AB190="Yes",LK_AllowanceRates!$B$21,0)</f>
        <v>0</v>
      </c>
      <c r="U190" s="101">
        <f>IF(EMPLOYEE_MASTER!P190&gt;=6,LK_AllowanceRates!$B$22,0)</f>
        <v>0</v>
      </c>
      <c r="V190" s="101">
        <f>IF(EMPLOYEE_MASTER!AO190="Yes",LK_AllowanceRates!$B$23,0)</f>
        <v>0</v>
      </c>
      <c r="W190" s="101">
        <f>EMPLOYEE_MASTER!AP190*LK_AllowanceRates!$B$24</f>
        <v>0</v>
      </c>
      <c r="X190" s="101">
        <v>0</v>
      </c>
      <c r="Y190" s="102">
        <v>0</v>
      </c>
      <c r="Z190" s="102">
        <v>0</v>
      </c>
      <c r="AA190" s="102">
        <v>0</v>
      </c>
      <c r="AB190" s="103">
        <f t="shared" ca="1" si="18"/>
        <v>3856000</v>
      </c>
      <c r="AC190" s="104">
        <f t="shared" ca="1" si="19"/>
        <v>6736000</v>
      </c>
      <c r="AD190" s="105">
        <f>ROUND(L190*LK_AllowanceRates!$B$25/100,0)</f>
        <v>158400</v>
      </c>
      <c r="AE190" s="106">
        <f t="shared" ca="1" si="20"/>
        <v>6577600</v>
      </c>
      <c r="AF190" s="106">
        <f t="shared" ca="1" si="21"/>
        <v>342760</v>
      </c>
      <c r="AG190" s="107">
        <v>0</v>
      </c>
      <c r="AH190" s="107">
        <v>0</v>
      </c>
      <c r="AI190" s="108">
        <f t="shared" ca="1" si="22"/>
        <v>501160</v>
      </c>
      <c r="AJ190" s="109">
        <f t="shared" ca="1" si="23"/>
        <v>6234840</v>
      </c>
    </row>
    <row r="191" spans="1:36" ht="15" customHeight="1" x14ac:dyDescent="0.3">
      <c r="A191" s="98" t="str">
        <f>EMPLOYEE_MASTER!A191</f>
        <v>LAO00188</v>
      </c>
      <c r="B191" s="98" t="str">
        <f>EMPLOYEE_MASTER!C191</f>
        <v>Bounthon</v>
      </c>
      <c r="C191" s="98" t="str">
        <f>EMPLOYEE_MASTER!D191</f>
        <v>Phommachack</v>
      </c>
      <c r="D191" s="98" t="str">
        <f>EMPLOYEE_MASTER!T191</f>
        <v>Savannakhet Province Administration</v>
      </c>
      <c r="E191" s="98" t="str">
        <f>EMPLOYEE_MASTER!M191</f>
        <v>Senior Officer</v>
      </c>
      <c r="F191" s="98" t="str">
        <f>EMPLOYEE_MASTER!Z191</f>
        <v>Administration</v>
      </c>
      <c r="G191" s="99">
        <f>EMPLOYEE_MASTER!P191</f>
        <v>5</v>
      </c>
      <c r="H191" s="99">
        <f>EMPLOYEE_MASTER!Q191</f>
        <v>1</v>
      </c>
      <c r="I191" s="100" t="str">
        <f t="shared" si="16"/>
        <v>G05-S01</v>
      </c>
      <c r="J191" s="100">
        <f>IFERROR(VLOOKUP(I191,LK_GradeStep!$C$4:$D$85,2,0),0)</f>
        <v>308</v>
      </c>
      <c r="K191" s="100">
        <f>IFERROR(VLOOKUP(I191,LK_GradeStep!$C$4:$E$85,3,0),10000)</f>
        <v>10000</v>
      </c>
      <c r="L191" s="100">
        <f t="shared" si="17"/>
        <v>3080000</v>
      </c>
      <c r="M191" s="101">
        <f>IFERROR(VLOOKUP(EMPLOYEE_MASTER!AQ191,LK_AllowanceRates!$A$5:$B$11,2,0),0)</f>
        <v>900000</v>
      </c>
      <c r="N191" s="101">
        <f ca="1">IFERROR(IF(EMPLOYEE_MASTER!J191&lt;=5,  EMPLOYEE_MASTER!J191*LK_AllowanceRates!$B$12,IF(EMPLOYEE_MASTER!J191&lt;=15, EMPLOYEE_MASTER!J191*LK_AllowanceRates!$B$13,IF(EMPLOYEE_MASTER!J191&lt;=25, EMPLOYEE_MASTER!J191*LK_AllowanceRates!$B$14,EMPLOYEE_MASTER!J191*LK_AllowanceRates!$B$15))),0)</f>
        <v>1120000</v>
      </c>
      <c r="O191" s="101">
        <f>IF(EMPLOYEE_MASTER!AS191="Teaching",L191*LK_AllowanceRates!$B$16,0)</f>
        <v>0</v>
      </c>
      <c r="P191" s="101">
        <f>IF(EMPLOYEE_MASTER!AS191="Medical",LK_AllowanceRates!$B$17,0)</f>
        <v>0</v>
      </c>
      <c r="Q191" s="101">
        <f>IF(EMPLOYEE_MASTER!AR191="Yes",LK_AllowanceRates!$B$18,0)</f>
        <v>0</v>
      </c>
      <c r="R191" s="101">
        <f>IF(EMPLOYEE_MASTER!AC191="Yes",LK_AllowanceRates!$B$19,0)</f>
        <v>1000000</v>
      </c>
      <c r="S191" s="101">
        <f>IF(EMPLOYEE_MASTER!AA191="Yes",L191*LK_AllowanceRates!$B$20,0)</f>
        <v>770000</v>
      </c>
      <c r="T191" s="101">
        <f>IF(EMPLOYEE_MASTER!AB191="Yes",LK_AllowanceRates!$B$21,0)</f>
        <v>0</v>
      </c>
      <c r="U191" s="101">
        <f>IF(EMPLOYEE_MASTER!P191&gt;=6,LK_AllowanceRates!$B$22,0)</f>
        <v>0</v>
      </c>
      <c r="V191" s="101">
        <f>IF(EMPLOYEE_MASTER!AO191="Yes",LK_AllowanceRates!$B$23,0)</f>
        <v>0</v>
      </c>
      <c r="W191" s="101">
        <f>EMPLOYEE_MASTER!AP191*LK_AllowanceRates!$B$24</f>
        <v>0</v>
      </c>
      <c r="X191" s="101">
        <v>0</v>
      </c>
      <c r="Y191" s="102">
        <v>0</v>
      </c>
      <c r="Z191" s="102">
        <v>0</v>
      </c>
      <c r="AA191" s="102">
        <v>0</v>
      </c>
      <c r="AB191" s="103">
        <f t="shared" ca="1" si="18"/>
        <v>3790000</v>
      </c>
      <c r="AC191" s="104">
        <f t="shared" ca="1" si="19"/>
        <v>6870000</v>
      </c>
      <c r="AD191" s="105">
        <f>ROUND(L191*LK_AllowanceRates!$B$25/100,0)</f>
        <v>169400</v>
      </c>
      <c r="AE191" s="106">
        <f t="shared" ca="1" si="20"/>
        <v>6700600</v>
      </c>
      <c r="AF191" s="106">
        <f t="shared" ca="1" si="21"/>
        <v>355060</v>
      </c>
      <c r="AG191" s="107">
        <v>0</v>
      </c>
      <c r="AH191" s="107">
        <v>0</v>
      </c>
      <c r="AI191" s="108">
        <f t="shared" ca="1" si="22"/>
        <v>524460</v>
      </c>
      <c r="AJ191" s="109">
        <f t="shared" ca="1" si="23"/>
        <v>6345540</v>
      </c>
    </row>
    <row r="192" spans="1:36" ht="15" customHeight="1" x14ac:dyDescent="0.3">
      <c r="A192" s="98" t="str">
        <f>EMPLOYEE_MASTER!A192</f>
        <v>LAO00189</v>
      </c>
      <c r="B192" s="98" t="str">
        <f>EMPLOYEE_MASTER!C192</f>
        <v>Sengphet</v>
      </c>
      <c r="C192" s="98" t="str">
        <f>EMPLOYEE_MASTER!D192</f>
        <v>Phetsamone</v>
      </c>
      <c r="D192" s="98" t="str">
        <f>EMPLOYEE_MASTER!T192</f>
        <v>Ministry of Education and Sports (MoES)</v>
      </c>
      <c r="E192" s="98" t="str">
        <f>EMPLOYEE_MASTER!M192</f>
        <v>Primary School Teacher</v>
      </c>
      <c r="F192" s="98" t="str">
        <f>EMPLOYEE_MASTER!Z192</f>
        <v>Teacher</v>
      </c>
      <c r="G192" s="99">
        <f>EMPLOYEE_MASTER!P192</f>
        <v>3</v>
      </c>
      <c r="H192" s="99">
        <f>EMPLOYEE_MASTER!Q192</f>
        <v>2</v>
      </c>
      <c r="I192" s="100" t="str">
        <f t="shared" si="16"/>
        <v>G03-S02</v>
      </c>
      <c r="J192" s="100">
        <f>IFERROR(VLOOKUP(I192,LK_GradeStep!$C$4:$D$85,2,0),0)</f>
        <v>277</v>
      </c>
      <c r="K192" s="100">
        <f>IFERROR(VLOOKUP(I192,LK_GradeStep!$C$4:$E$85,3,0),10000)</f>
        <v>10000</v>
      </c>
      <c r="L192" s="100">
        <f t="shared" si="17"/>
        <v>2770000</v>
      </c>
      <c r="M192" s="101">
        <f>IFERROR(VLOOKUP(EMPLOYEE_MASTER!AQ192,LK_AllowanceRates!$A$5:$B$11,2,0),0)</f>
        <v>900000</v>
      </c>
      <c r="N192" s="101">
        <f ca="1">IFERROR(IF(EMPLOYEE_MASTER!J192&lt;=5,  EMPLOYEE_MASTER!J192*LK_AllowanceRates!$B$12,IF(EMPLOYEE_MASTER!J192&lt;=15, EMPLOYEE_MASTER!J192*LK_AllowanceRates!$B$13,IF(EMPLOYEE_MASTER!J192&lt;=25, EMPLOYEE_MASTER!J192*LK_AllowanceRates!$B$14,EMPLOYEE_MASTER!J192*LK_AllowanceRates!$B$15))),0)</f>
        <v>1040000</v>
      </c>
      <c r="O192" s="101">
        <f>IF(EMPLOYEE_MASTER!AS192="Teaching",L192*LK_AllowanceRates!$B$16,0)</f>
        <v>554000</v>
      </c>
      <c r="P192" s="101">
        <f>IF(EMPLOYEE_MASTER!AS192="Medical",LK_AllowanceRates!$B$17,0)</f>
        <v>0</v>
      </c>
      <c r="Q192" s="101">
        <f>IF(EMPLOYEE_MASTER!AR192="Yes",LK_AllowanceRates!$B$18,0)</f>
        <v>0</v>
      </c>
      <c r="R192" s="101">
        <f>IF(EMPLOYEE_MASTER!AC192="Yes",LK_AllowanceRates!$B$19,0)</f>
        <v>1000000</v>
      </c>
      <c r="S192" s="101">
        <f>IF(EMPLOYEE_MASTER!AA192="Yes",L192*LK_AllowanceRates!$B$20,0)</f>
        <v>692500</v>
      </c>
      <c r="T192" s="101">
        <f>IF(EMPLOYEE_MASTER!AB192="Yes",LK_AllowanceRates!$B$21,0)</f>
        <v>0</v>
      </c>
      <c r="U192" s="101">
        <f>IF(EMPLOYEE_MASTER!P192&gt;=6,LK_AllowanceRates!$B$22,0)</f>
        <v>0</v>
      </c>
      <c r="V192" s="101">
        <f>IF(EMPLOYEE_MASTER!AO192="Yes",LK_AllowanceRates!$B$23,0)</f>
        <v>200000</v>
      </c>
      <c r="W192" s="101">
        <f>EMPLOYEE_MASTER!AP192*LK_AllowanceRates!$B$24</f>
        <v>600000</v>
      </c>
      <c r="X192" s="101">
        <v>0</v>
      </c>
      <c r="Y192" s="102">
        <v>0</v>
      </c>
      <c r="Z192" s="102">
        <v>0</v>
      </c>
      <c r="AA192" s="102">
        <v>0</v>
      </c>
      <c r="AB192" s="103">
        <f t="shared" ca="1" si="18"/>
        <v>4986500</v>
      </c>
      <c r="AC192" s="104">
        <f t="shared" ca="1" si="19"/>
        <v>7756500</v>
      </c>
      <c r="AD192" s="105">
        <f>ROUND(L192*LK_AllowanceRates!$B$25/100,0)</f>
        <v>152350</v>
      </c>
      <c r="AE192" s="106">
        <f t="shared" ca="1" si="20"/>
        <v>7604150</v>
      </c>
      <c r="AF192" s="106">
        <f t="shared" ca="1" si="21"/>
        <v>445415</v>
      </c>
      <c r="AG192" s="107">
        <v>0</v>
      </c>
      <c r="AH192" s="107">
        <v>0</v>
      </c>
      <c r="AI192" s="108">
        <f t="shared" ca="1" si="22"/>
        <v>597765</v>
      </c>
      <c r="AJ192" s="109">
        <f t="shared" ca="1" si="23"/>
        <v>7158735</v>
      </c>
    </row>
    <row r="193" spans="1:36" ht="15" customHeight="1" x14ac:dyDescent="0.3">
      <c r="A193" s="98" t="str">
        <f>EMPLOYEE_MASTER!A193</f>
        <v>LAO00190</v>
      </c>
      <c r="B193" s="98" t="str">
        <f>EMPLOYEE_MASTER!C193</f>
        <v>Khampasong</v>
      </c>
      <c r="C193" s="98" t="str">
        <f>EMPLOYEE_MASTER!D193</f>
        <v>Sisoulath</v>
      </c>
      <c r="D193" s="98" t="str">
        <f>EMPLOYEE_MASTER!T193</f>
        <v>Ministry of Public Works &amp; Transport (MPWT)</v>
      </c>
      <c r="E193" s="98" t="str">
        <f>EMPLOYEE_MASTER!M193</f>
        <v>Environmental Officer</v>
      </c>
      <c r="F193" s="98" t="str">
        <f>EMPLOYEE_MASTER!Z193</f>
        <v>Technical</v>
      </c>
      <c r="G193" s="99">
        <f>EMPLOYEE_MASTER!P193</f>
        <v>2</v>
      </c>
      <c r="H193" s="99">
        <f>EMPLOYEE_MASTER!Q193</f>
        <v>1</v>
      </c>
      <c r="I193" s="100" t="str">
        <f t="shared" si="16"/>
        <v>G02-S01</v>
      </c>
      <c r="J193" s="100">
        <f>IFERROR(VLOOKUP(I193,LK_GradeStep!$C$4:$D$85,2,0),0)</f>
        <v>268</v>
      </c>
      <c r="K193" s="100">
        <f>IFERROR(VLOOKUP(I193,LK_GradeStep!$C$4:$E$85,3,0),10000)</f>
        <v>10000</v>
      </c>
      <c r="L193" s="100">
        <f t="shared" si="17"/>
        <v>2680000</v>
      </c>
      <c r="M193" s="101">
        <f>IFERROR(VLOOKUP(EMPLOYEE_MASTER!AQ193,LK_AllowanceRates!$A$5:$B$11,2,0),0)</f>
        <v>900000</v>
      </c>
      <c r="N193" s="101">
        <f ca="1">IFERROR(IF(EMPLOYEE_MASTER!J193&lt;=5,  EMPLOYEE_MASTER!J193*LK_AllowanceRates!$B$12,IF(EMPLOYEE_MASTER!J193&lt;=15, EMPLOYEE_MASTER!J193*LK_AllowanceRates!$B$13,IF(EMPLOYEE_MASTER!J193&lt;=25, EMPLOYEE_MASTER!J193*LK_AllowanceRates!$B$14,EMPLOYEE_MASTER!J193*LK_AllowanceRates!$B$15))),0)</f>
        <v>1240000</v>
      </c>
      <c r="O193" s="101">
        <f>IF(EMPLOYEE_MASTER!AS193="Teaching",L193*LK_AllowanceRates!$B$16,0)</f>
        <v>0</v>
      </c>
      <c r="P193" s="101">
        <f>IF(EMPLOYEE_MASTER!AS193="Medical",LK_AllowanceRates!$B$17,0)</f>
        <v>0</v>
      </c>
      <c r="Q193" s="101">
        <f>IF(EMPLOYEE_MASTER!AR193="Yes",LK_AllowanceRates!$B$18,0)</f>
        <v>0</v>
      </c>
      <c r="R193" s="101">
        <f>IF(EMPLOYEE_MASTER!AC193="Yes",LK_AllowanceRates!$B$19,0)</f>
        <v>0</v>
      </c>
      <c r="S193" s="101">
        <f>IF(EMPLOYEE_MASTER!AA193="Yes",L193*LK_AllowanceRates!$B$20,0)</f>
        <v>0</v>
      </c>
      <c r="T193" s="101">
        <f>IF(EMPLOYEE_MASTER!AB193="Yes",LK_AllowanceRates!$B$21,0)</f>
        <v>0</v>
      </c>
      <c r="U193" s="101">
        <f>IF(EMPLOYEE_MASTER!P193&gt;=6,LK_AllowanceRates!$B$22,0)</f>
        <v>0</v>
      </c>
      <c r="V193" s="101">
        <f>IF(EMPLOYEE_MASTER!AO193="Yes",LK_AllowanceRates!$B$23,0)</f>
        <v>0</v>
      </c>
      <c r="W193" s="101">
        <f>EMPLOYEE_MASTER!AP193*LK_AllowanceRates!$B$24</f>
        <v>0</v>
      </c>
      <c r="X193" s="101">
        <v>0</v>
      </c>
      <c r="Y193" s="102">
        <v>0</v>
      </c>
      <c r="Z193" s="102">
        <v>0</v>
      </c>
      <c r="AA193" s="102">
        <v>0</v>
      </c>
      <c r="AB193" s="103">
        <f t="shared" ca="1" si="18"/>
        <v>2140000</v>
      </c>
      <c r="AC193" s="104">
        <f t="shared" ca="1" si="19"/>
        <v>4820000</v>
      </c>
      <c r="AD193" s="105">
        <f>ROUND(L193*LK_AllowanceRates!$B$25/100,0)</f>
        <v>147400</v>
      </c>
      <c r="AE193" s="106">
        <f t="shared" ca="1" si="20"/>
        <v>4672600</v>
      </c>
      <c r="AF193" s="106">
        <f t="shared" ca="1" si="21"/>
        <v>168630</v>
      </c>
      <c r="AG193" s="107">
        <v>0</v>
      </c>
      <c r="AH193" s="107">
        <v>0</v>
      </c>
      <c r="AI193" s="108">
        <f t="shared" ca="1" si="22"/>
        <v>316030</v>
      </c>
      <c r="AJ193" s="109">
        <f t="shared" ca="1" si="23"/>
        <v>4503970</v>
      </c>
    </row>
    <row r="194" spans="1:36" ht="15" customHeight="1" x14ac:dyDescent="0.3">
      <c r="A194" s="98" t="str">
        <f>EMPLOYEE_MASTER!A194</f>
        <v>LAO00191</v>
      </c>
      <c r="B194" s="98" t="str">
        <f>EMPLOYEE_MASTER!C194</f>
        <v>Sidalay</v>
      </c>
      <c r="C194" s="98" t="str">
        <f>EMPLOYEE_MASTER!D194</f>
        <v>Dalasane</v>
      </c>
      <c r="D194" s="98" t="str">
        <f>EMPLOYEE_MASTER!T194</f>
        <v>Ministry of Justice (MoJ)</v>
      </c>
      <c r="E194" s="98" t="str">
        <f>EMPLOYEE_MASTER!M194</f>
        <v>Senior Legal Advisor</v>
      </c>
      <c r="F194" s="98" t="str">
        <f>EMPLOYEE_MASTER!Z194</f>
        <v>Legal</v>
      </c>
      <c r="G194" s="99">
        <f>EMPLOYEE_MASTER!P194</f>
        <v>5</v>
      </c>
      <c r="H194" s="99">
        <f>EMPLOYEE_MASTER!Q194</f>
        <v>1</v>
      </c>
      <c r="I194" s="100" t="str">
        <f t="shared" si="16"/>
        <v>G05-S01</v>
      </c>
      <c r="J194" s="100">
        <f>IFERROR(VLOOKUP(I194,LK_GradeStep!$C$4:$D$85,2,0),0)</f>
        <v>308</v>
      </c>
      <c r="K194" s="100">
        <f>IFERROR(VLOOKUP(I194,LK_GradeStep!$C$4:$E$85,3,0),10000)</f>
        <v>10000</v>
      </c>
      <c r="L194" s="100">
        <f t="shared" si="17"/>
        <v>3080000</v>
      </c>
      <c r="M194" s="101">
        <f>IFERROR(VLOOKUP(EMPLOYEE_MASTER!AQ194,LK_AllowanceRates!$A$5:$B$11,2,0),0)</f>
        <v>900000</v>
      </c>
      <c r="N194" s="101">
        <f ca="1">IFERROR(IF(EMPLOYEE_MASTER!J194&lt;=5,  EMPLOYEE_MASTER!J194*LK_AllowanceRates!$B$12,IF(EMPLOYEE_MASTER!J194&lt;=15, EMPLOYEE_MASTER!J194*LK_AllowanceRates!$B$13,IF(EMPLOYEE_MASTER!J194&lt;=25, EMPLOYEE_MASTER!J194*LK_AllowanceRates!$B$14,EMPLOYEE_MASTER!J194*LK_AllowanceRates!$B$15))),0)</f>
        <v>750000</v>
      </c>
      <c r="O194" s="101">
        <f>IF(EMPLOYEE_MASTER!AS194="Teaching",L194*LK_AllowanceRates!$B$16,0)</f>
        <v>0</v>
      </c>
      <c r="P194" s="101">
        <f>IF(EMPLOYEE_MASTER!AS194="Medical",LK_AllowanceRates!$B$17,0)</f>
        <v>0</v>
      </c>
      <c r="Q194" s="101">
        <f>IF(EMPLOYEE_MASTER!AR194="Yes",LK_AllowanceRates!$B$18,0)</f>
        <v>0</v>
      </c>
      <c r="R194" s="101">
        <f>IF(EMPLOYEE_MASTER!AC194="Yes",LK_AllowanceRates!$B$19,0)</f>
        <v>0</v>
      </c>
      <c r="S194" s="101">
        <f>IF(EMPLOYEE_MASTER!AA194="Yes",L194*LK_AllowanceRates!$B$20,0)</f>
        <v>770000</v>
      </c>
      <c r="T194" s="101">
        <f>IF(EMPLOYEE_MASTER!AB194="Yes",LK_AllowanceRates!$B$21,0)</f>
        <v>0</v>
      </c>
      <c r="U194" s="101">
        <f>IF(EMPLOYEE_MASTER!P194&gt;=6,LK_AllowanceRates!$B$22,0)</f>
        <v>0</v>
      </c>
      <c r="V194" s="101">
        <f>IF(EMPLOYEE_MASTER!AO194="Yes",LK_AllowanceRates!$B$23,0)</f>
        <v>0</v>
      </c>
      <c r="W194" s="101">
        <f>EMPLOYEE_MASTER!AP194*LK_AllowanceRates!$B$24</f>
        <v>0</v>
      </c>
      <c r="X194" s="101">
        <v>0</v>
      </c>
      <c r="Y194" s="102">
        <v>0</v>
      </c>
      <c r="Z194" s="102">
        <v>0</v>
      </c>
      <c r="AA194" s="102">
        <v>0</v>
      </c>
      <c r="AB194" s="103">
        <f t="shared" ca="1" si="18"/>
        <v>2420000</v>
      </c>
      <c r="AC194" s="104">
        <f t="shared" ca="1" si="19"/>
        <v>5500000</v>
      </c>
      <c r="AD194" s="105">
        <f>ROUND(L194*LK_AllowanceRates!$B$25/100,0)</f>
        <v>169400</v>
      </c>
      <c r="AE194" s="106">
        <f t="shared" ca="1" si="20"/>
        <v>5330600</v>
      </c>
      <c r="AF194" s="106">
        <f t="shared" ca="1" si="21"/>
        <v>218060</v>
      </c>
      <c r="AG194" s="107">
        <v>0</v>
      </c>
      <c r="AH194" s="107">
        <v>0</v>
      </c>
      <c r="AI194" s="108">
        <f t="shared" ca="1" si="22"/>
        <v>387460</v>
      </c>
      <c r="AJ194" s="109">
        <f t="shared" ca="1" si="23"/>
        <v>5112540</v>
      </c>
    </row>
    <row r="195" spans="1:36" ht="15" customHeight="1" x14ac:dyDescent="0.3">
      <c r="A195" s="98" t="str">
        <f>EMPLOYEE_MASTER!A195</f>
        <v>LAO00192</v>
      </c>
      <c r="B195" s="98" t="str">
        <f>EMPLOYEE_MASTER!C195</f>
        <v>Nongkham</v>
      </c>
      <c r="C195" s="98" t="str">
        <f>EMPLOYEE_MASTER!D195</f>
        <v>Keokhamphanh</v>
      </c>
      <c r="D195" s="98" t="str">
        <f>EMPLOYEE_MASTER!T195</f>
        <v>Ministry of Natural Resources &amp; Environment (MoNRE)</v>
      </c>
      <c r="E195" s="98" t="str">
        <f>EMPLOYEE_MASTER!M195</f>
        <v>Infrastructure Officer</v>
      </c>
      <c r="F195" s="98" t="str">
        <f>EMPLOYEE_MASTER!Z195</f>
        <v>Technical</v>
      </c>
      <c r="G195" s="99">
        <f>EMPLOYEE_MASTER!P195</f>
        <v>3</v>
      </c>
      <c r="H195" s="99">
        <f>EMPLOYEE_MASTER!Q195</f>
        <v>1</v>
      </c>
      <c r="I195" s="100" t="str">
        <f t="shared" si="16"/>
        <v>G03-S01</v>
      </c>
      <c r="J195" s="100">
        <f>IFERROR(VLOOKUP(I195,LK_GradeStep!$C$4:$D$85,2,0),0)</f>
        <v>276</v>
      </c>
      <c r="K195" s="100">
        <f>IFERROR(VLOOKUP(I195,LK_GradeStep!$C$4:$E$85,3,0),10000)</f>
        <v>10000</v>
      </c>
      <c r="L195" s="100">
        <f t="shared" si="17"/>
        <v>2760000</v>
      </c>
      <c r="M195" s="101">
        <f>IFERROR(VLOOKUP(EMPLOYEE_MASTER!AQ195,LK_AllowanceRates!$A$5:$B$11,2,0),0)</f>
        <v>900000</v>
      </c>
      <c r="N195" s="101">
        <f ca="1">IFERROR(IF(EMPLOYEE_MASTER!J195&lt;=5,  EMPLOYEE_MASTER!J195*LK_AllowanceRates!$B$12,IF(EMPLOYEE_MASTER!J195&lt;=15, EMPLOYEE_MASTER!J195*LK_AllowanceRates!$B$13,IF(EMPLOYEE_MASTER!J195&lt;=25, EMPLOYEE_MASTER!J195*LK_AllowanceRates!$B$14,EMPLOYEE_MASTER!J195*LK_AllowanceRates!$B$15))),0)</f>
        <v>1080000</v>
      </c>
      <c r="O195" s="101">
        <f>IF(EMPLOYEE_MASTER!AS195="Teaching",L195*LK_AllowanceRates!$B$16,0)</f>
        <v>0</v>
      </c>
      <c r="P195" s="101">
        <f>IF(EMPLOYEE_MASTER!AS195="Medical",LK_AllowanceRates!$B$17,0)</f>
        <v>0</v>
      </c>
      <c r="Q195" s="101">
        <f>IF(EMPLOYEE_MASTER!AR195="Yes",LK_AllowanceRates!$B$18,0)</f>
        <v>0</v>
      </c>
      <c r="R195" s="101">
        <f>IF(EMPLOYEE_MASTER!AC195="Yes",LK_AllowanceRates!$B$19,0)</f>
        <v>0</v>
      </c>
      <c r="S195" s="101">
        <f>IF(EMPLOYEE_MASTER!AA195="Yes",L195*LK_AllowanceRates!$B$20,0)</f>
        <v>690000</v>
      </c>
      <c r="T195" s="101">
        <f>IF(EMPLOYEE_MASTER!AB195="Yes",LK_AllowanceRates!$B$21,0)</f>
        <v>0</v>
      </c>
      <c r="U195" s="101">
        <f>IF(EMPLOYEE_MASTER!P195&gt;=6,LK_AllowanceRates!$B$22,0)</f>
        <v>0</v>
      </c>
      <c r="V195" s="101">
        <f>IF(EMPLOYEE_MASTER!AO195="Yes",LK_AllowanceRates!$B$23,0)</f>
        <v>200000</v>
      </c>
      <c r="W195" s="101">
        <f>EMPLOYEE_MASTER!AP195*LK_AllowanceRates!$B$24</f>
        <v>200000</v>
      </c>
      <c r="X195" s="101">
        <v>0</v>
      </c>
      <c r="Y195" s="102">
        <v>0</v>
      </c>
      <c r="Z195" s="102">
        <v>0</v>
      </c>
      <c r="AA195" s="102">
        <v>0</v>
      </c>
      <c r="AB195" s="103">
        <f t="shared" ca="1" si="18"/>
        <v>3070000</v>
      </c>
      <c r="AC195" s="104">
        <f t="shared" ca="1" si="19"/>
        <v>5830000</v>
      </c>
      <c r="AD195" s="105">
        <f>ROUND(L195*LK_AllowanceRates!$B$25/100,0)</f>
        <v>151800</v>
      </c>
      <c r="AE195" s="106">
        <f t="shared" ca="1" si="20"/>
        <v>5678200</v>
      </c>
      <c r="AF195" s="106">
        <f t="shared" ca="1" si="21"/>
        <v>252820</v>
      </c>
      <c r="AG195" s="107">
        <v>0</v>
      </c>
      <c r="AH195" s="107">
        <v>0</v>
      </c>
      <c r="AI195" s="108">
        <f t="shared" ca="1" si="22"/>
        <v>404620</v>
      </c>
      <c r="AJ195" s="109">
        <f t="shared" ca="1" si="23"/>
        <v>5425380</v>
      </c>
    </row>
    <row r="196" spans="1:36" ht="15" customHeight="1" x14ac:dyDescent="0.3">
      <c r="A196" s="98" t="str">
        <f>EMPLOYEE_MASTER!A196</f>
        <v>LAO00193</v>
      </c>
      <c r="B196" s="98" t="str">
        <f>EMPLOYEE_MASTER!C196</f>
        <v>Soubanh</v>
      </c>
      <c r="C196" s="98" t="str">
        <f>EMPLOYEE_MASTER!D196</f>
        <v>Phetsamone</v>
      </c>
      <c r="D196" s="98" t="str">
        <f>EMPLOYEE_MASTER!T196</f>
        <v>Ministry of Industry &amp; Commerce (MoIC)</v>
      </c>
      <c r="E196" s="98" t="str">
        <f>EMPLOYEE_MASTER!M196</f>
        <v>Senior Administrative Officer</v>
      </c>
      <c r="F196" s="98" t="str">
        <f>EMPLOYEE_MASTER!Z196</f>
        <v>Administration</v>
      </c>
      <c r="G196" s="99">
        <f>EMPLOYEE_MASTER!P196</f>
        <v>4</v>
      </c>
      <c r="H196" s="99">
        <f>EMPLOYEE_MASTER!Q196</f>
        <v>1</v>
      </c>
      <c r="I196" s="100" t="str">
        <f t="shared" ref="I196:I259" si="24">"G"&amp;TEXT(G196,"00")&amp;"-S"&amp;TEXT(H196,"00")</f>
        <v>G04-S01</v>
      </c>
      <c r="J196" s="100">
        <f>IFERROR(VLOOKUP(I196,LK_GradeStep!$C$4:$D$85,2,0),0)</f>
        <v>286</v>
      </c>
      <c r="K196" s="100">
        <f>IFERROR(VLOOKUP(I196,LK_GradeStep!$C$4:$E$85,3,0),10000)</f>
        <v>10000</v>
      </c>
      <c r="L196" s="100">
        <f t="shared" ref="L196:L259" si="25">IFERROR(J196*K196,0)</f>
        <v>2860000</v>
      </c>
      <c r="M196" s="101">
        <f>IFERROR(VLOOKUP(EMPLOYEE_MASTER!AQ196,LK_AllowanceRates!$A$5:$B$11,2,0),0)</f>
        <v>900000</v>
      </c>
      <c r="N196" s="101">
        <f ca="1">IFERROR(IF(EMPLOYEE_MASTER!J196&lt;=5,  EMPLOYEE_MASTER!J196*LK_AllowanceRates!$B$12,IF(EMPLOYEE_MASTER!J196&lt;=15, EMPLOYEE_MASTER!J196*LK_AllowanceRates!$B$13,IF(EMPLOYEE_MASTER!J196&lt;=25, EMPLOYEE_MASTER!J196*LK_AllowanceRates!$B$14,EMPLOYEE_MASTER!J196*LK_AllowanceRates!$B$15))),0)</f>
        <v>1120000</v>
      </c>
      <c r="O196" s="101">
        <f>IF(EMPLOYEE_MASTER!AS196="Teaching",L196*LK_AllowanceRates!$B$16,0)</f>
        <v>0</v>
      </c>
      <c r="P196" s="101">
        <f>IF(EMPLOYEE_MASTER!AS196="Medical",LK_AllowanceRates!$B$17,0)</f>
        <v>0</v>
      </c>
      <c r="Q196" s="101">
        <f>IF(EMPLOYEE_MASTER!AR196="Yes",LK_AllowanceRates!$B$18,0)</f>
        <v>0</v>
      </c>
      <c r="R196" s="101">
        <f>IF(EMPLOYEE_MASTER!AC196="Yes",LK_AllowanceRates!$B$19,0)</f>
        <v>1000000</v>
      </c>
      <c r="S196" s="101">
        <f>IF(EMPLOYEE_MASTER!AA196="Yes",L196*LK_AllowanceRates!$B$20,0)</f>
        <v>715000</v>
      </c>
      <c r="T196" s="101">
        <f>IF(EMPLOYEE_MASTER!AB196="Yes",LK_AllowanceRates!$B$21,0)</f>
        <v>0</v>
      </c>
      <c r="U196" s="101">
        <f>IF(EMPLOYEE_MASTER!P196&gt;=6,LK_AllowanceRates!$B$22,0)</f>
        <v>0</v>
      </c>
      <c r="V196" s="101">
        <f>IF(EMPLOYEE_MASTER!AO196="Yes",LK_AllowanceRates!$B$23,0)</f>
        <v>200000</v>
      </c>
      <c r="W196" s="101">
        <f>EMPLOYEE_MASTER!AP196*LK_AllowanceRates!$B$24</f>
        <v>200000</v>
      </c>
      <c r="X196" s="101">
        <v>0</v>
      </c>
      <c r="Y196" s="102">
        <v>0</v>
      </c>
      <c r="Z196" s="102">
        <v>0</v>
      </c>
      <c r="AA196" s="102">
        <v>0</v>
      </c>
      <c r="AB196" s="103">
        <f t="shared" ref="AB196:AB259" ca="1" si="26">SUM(M196:AA196)</f>
        <v>4135000</v>
      </c>
      <c r="AC196" s="104">
        <f t="shared" ref="AC196:AC259" ca="1" si="27">L196+AB196</f>
        <v>6995000</v>
      </c>
      <c r="AD196" s="105">
        <f>ROUND(L196*LK_AllowanceRates!$B$25/100,0)</f>
        <v>157300</v>
      </c>
      <c r="AE196" s="106">
        <f t="shared" ref="AE196:AE259" ca="1" si="28">IFERROR(AC196-AD196,0)</f>
        <v>6837700</v>
      </c>
      <c r="AF196" s="106">
        <f t="shared" ref="AF196:AF259" ca="1" si="29">IFERROR(IF(AE196&lt;=1300000,0,IF(AE196&lt;=5000000,(AE196-1300000)*0.05,IF(AE196&lt;=10000000,185000+(AE196-5000000)*0.1,IF(AE196&lt;=20000000,685000+(AE196-10000000)*0.15,IF(AE196&lt;=40000000,2185000+(AE196-20000000)*0.2,6185000+(AE196-40000000)*0.24))))),0)</f>
        <v>368770</v>
      </c>
      <c r="AG196" s="107">
        <v>0</v>
      </c>
      <c r="AH196" s="107">
        <v>0</v>
      </c>
      <c r="AI196" s="108">
        <f t="shared" ref="AI196:AI259" ca="1" si="30">AD196+AF196+AG196+AH196</f>
        <v>526070</v>
      </c>
      <c r="AJ196" s="109">
        <f t="shared" ref="AJ196:AJ259" ca="1" si="31">IFERROR(AC196-AI196,0)</f>
        <v>6468930</v>
      </c>
    </row>
    <row r="197" spans="1:36" ht="15" customHeight="1" x14ac:dyDescent="0.3">
      <c r="A197" s="98" t="str">
        <f>EMPLOYEE_MASTER!A197</f>
        <v>LAO00194</v>
      </c>
      <c r="B197" s="98" t="str">
        <f>EMPLOYEE_MASTER!C197</f>
        <v>Phonesiri</v>
      </c>
      <c r="C197" s="98" t="str">
        <f>EMPLOYEE_MASTER!D197</f>
        <v>Khambounheuang</v>
      </c>
      <c r="D197" s="98" t="str">
        <f>EMPLOYEE_MASTER!T197</f>
        <v>Luang Prabang Province Administration</v>
      </c>
      <c r="E197" s="98" t="str">
        <f>EMPLOYEE_MASTER!M197</f>
        <v>Senior Administrative Officer</v>
      </c>
      <c r="F197" s="98" t="str">
        <f>EMPLOYEE_MASTER!Z197</f>
        <v>Administration</v>
      </c>
      <c r="G197" s="99">
        <f>EMPLOYEE_MASTER!P197</f>
        <v>4</v>
      </c>
      <c r="H197" s="99">
        <f>EMPLOYEE_MASTER!Q197</f>
        <v>8</v>
      </c>
      <c r="I197" s="100" t="str">
        <f t="shared" si="24"/>
        <v>G04-S08</v>
      </c>
      <c r="J197" s="100">
        <f>IFERROR(VLOOKUP(I197,LK_GradeStep!$C$4:$D$85,2,0),0)</f>
        <v>303</v>
      </c>
      <c r="K197" s="100">
        <f>IFERROR(VLOOKUP(I197,LK_GradeStep!$C$4:$E$85,3,0),10000)</f>
        <v>10000</v>
      </c>
      <c r="L197" s="100">
        <f t="shared" si="25"/>
        <v>3030000</v>
      </c>
      <c r="M197" s="101">
        <f>IFERROR(VLOOKUP(EMPLOYEE_MASTER!AQ197,LK_AllowanceRates!$A$5:$B$11,2,0),0)</f>
        <v>900000</v>
      </c>
      <c r="N197" s="101">
        <f ca="1">IFERROR(IF(EMPLOYEE_MASTER!J197&lt;=5,  EMPLOYEE_MASTER!J197*LK_AllowanceRates!$B$12,IF(EMPLOYEE_MASTER!J197&lt;=15, EMPLOYEE_MASTER!J197*LK_AllowanceRates!$B$13,IF(EMPLOYEE_MASTER!J197&lt;=25, EMPLOYEE_MASTER!J197*LK_AllowanceRates!$B$14,EMPLOYEE_MASTER!J197*LK_AllowanceRates!$B$15))),0)</f>
        <v>0</v>
      </c>
      <c r="O197" s="101">
        <f>IF(EMPLOYEE_MASTER!AS197="Teaching",L197*LK_AllowanceRates!$B$16,0)</f>
        <v>0</v>
      </c>
      <c r="P197" s="101">
        <f>IF(EMPLOYEE_MASTER!AS197="Medical",LK_AllowanceRates!$B$17,0)</f>
        <v>0</v>
      </c>
      <c r="Q197" s="101">
        <f>IF(EMPLOYEE_MASTER!AR197="Yes",LK_AllowanceRates!$B$18,0)</f>
        <v>0</v>
      </c>
      <c r="R197" s="101">
        <f>IF(EMPLOYEE_MASTER!AC197="Yes",LK_AllowanceRates!$B$19,0)</f>
        <v>0</v>
      </c>
      <c r="S197" s="101">
        <f>IF(EMPLOYEE_MASTER!AA197="Yes",L197*LK_AllowanceRates!$B$20,0)</f>
        <v>0</v>
      </c>
      <c r="T197" s="101">
        <f>IF(EMPLOYEE_MASTER!AB197="Yes",LK_AllowanceRates!$B$21,0)</f>
        <v>0</v>
      </c>
      <c r="U197" s="101">
        <f>IF(EMPLOYEE_MASTER!P197&gt;=6,LK_AllowanceRates!$B$22,0)</f>
        <v>0</v>
      </c>
      <c r="V197" s="101">
        <f>IF(EMPLOYEE_MASTER!AO197="Yes",LK_AllowanceRates!$B$23,0)</f>
        <v>200000</v>
      </c>
      <c r="W197" s="101">
        <f>EMPLOYEE_MASTER!AP197*LK_AllowanceRates!$B$24</f>
        <v>600000</v>
      </c>
      <c r="X197" s="101">
        <v>0</v>
      </c>
      <c r="Y197" s="102">
        <v>0</v>
      </c>
      <c r="Z197" s="102">
        <v>0</v>
      </c>
      <c r="AA197" s="102">
        <v>0</v>
      </c>
      <c r="AB197" s="103">
        <f t="shared" ca="1" si="26"/>
        <v>1700000</v>
      </c>
      <c r="AC197" s="104">
        <f t="shared" ca="1" si="27"/>
        <v>4730000</v>
      </c>
      <c r="AD197" s="105">
        <f>ROUND(L197*LK_AllowanceRates!$B$25/100,0)</f>
        <v>166650</v>
      </c>
      <c r="AE197" s="106">
        <f t="shared" ca="1" si="28"/>
        <v>4563350</v>
      </c>
      <c r="AF197" s="106">
        <f t="shared" ca="1" si="29"/>
        <v>163167.5</v>
      </c>
      <c r="AG197" s="107">
        <v>0</v>
      </c>
      <c r="AH197" s="107">
        <v>0</v>
      </c>
      <c r="AI197" s="108">
        <f t="shared" ca="1" si="30"/>
        <v>329817.5</v>
      </c>
      <c r="AJ197" s="109">
        <f t="shared" ca="1" si="31"/>
        <v>4400182.5</v>
      </c>
    </row>
    <row r="198" spans="1:36" ht="15" customHeight="1" x14ac:dyDescent="0.3">
      <c r="A198" s="98" t="str">
        <f>EMPLOYEE_MASTER!A198</f>
        <v>LAO00195</v>
      </c>
      <c r="B198" s="98" t="str">
        <f>EMPLOYEE_MASTER!C198</f>
        <v>Vixay</v>
      </c>
      <c r="C198" s="98" t="str">
        <f>EMPLOYEE_MASTER!D198</f>
        <v>Chanthavong</v>
      </c>
      <c r="D198" s="98" t="str">
        <f>EMPLOYEE_MASTER!T198</f>
        <v>Ministry of Education and Sports (MoES)</v>
      </c>
      <c r="E198" s="98" t="str">
        <f>EMPLOYEE_MASTER!M198</f>
        <v>Primary School Teacher</v>
      </c>
      <c r="F198" s="98" t="str">
        <f>EMPLOYEE_MASTER!Z198</f>
        <v>Teacher</v>
      </c>
      <c r="G198" s="99">
        <f>EMPLOYEE_MASTER!P198</f>
        <v>4</v>
      </c>
      <c r="H198" s="99">
        <f>EMPLOYEE_MASTER!Q198</f>
        <v>12</v>
      </c>
      <c r="I198" s="100" t="str">
        <f t="shared" si="24"/>
        <v>G04-S12</v>
      </c>
      <c r="J198" s="100">
        <f>IFERROR(VLOOKUP(I198,LK_GradeStep!$C$4:$D$85,2,0),0)</f>
        <v>323</v>
      </c>
      <c r="K198" s="100">
        <f>IFERROR(VLOOKUP(I198,LK_GradeStep!$C$4:$E$85,3,0),10000)</f>
        <v>10000</v>
      </c>
      <c r="L198" s="100">
        <f t="shared" si="25"/>
        <v>3230000</v>
      </c>
      <c r="M198" s="101">
        <f>IFERROR(VLOOKUP(EMPLOYEE_MASTER!AQ198,LK_AllowanceRates!$A$5:$B$11,2,0),0)</f>
        <v>900000</v>
      </c>
      <c r="N198" s="101">
        <f ca="1">IFERROR(IF(EMPLOYEE_MASTER!J198&lt;=5,  EMPLOYEE_MASTER!J198*LK_AllowanceRates!$B$12,IF(EMPLOYEE_MASTER!J198&lt;=15, EMPLOYEE_MASTER!J198*LK_AllowanceRates!$B$13,IF(EMPLOYEE_MASTER!J198&lt;=25, EMPLOYEE_MASTER!J198*LK_AllowanceRates!$B$14,EMPLOYEE_MASTER!J198*LK_AllowanceRates!$B$15))),0)</f>
        <v>20000</v>
      </c>
      <c r="O198" s="101">
        <f>IF(EMPLOYEE_MASTER!AS198="Teaching",L198*LK_AllowanceRates!$B$16,0)</f>
        <v>646000</v>
      </c>
      <c r="P198" s="101">
        <f>IF(EMPLOYEE_MASTER!AS198="Medical",LK_AllowanceRates!$B$17,0)</f>
        <v>0</v>
      </c>
      <c r="Q198" s="101">
        <f>IF(EMPLOYEE_MASTER!AR198="Yes",LK_AllowanceRates!$B$18,0)</f>
        <v>0</v>
      </c>
      <c r="R198" s="101">
        <f>IF(EMPLOYEE_MASTER!AC198="Yes",LK_AllowanceRates!$B$19,0)</f>
        <v>0</v>
      </c>
      <c r="S198" s="101">
        <f>IF(EMPLOYEE_MASTER!AA198="Yes",L198*LK_AllowanceRates!$B$20,0)</f>
        <v>0</v>
      </c>
      <c r="T198" s="101">
        <f>IF(EMPLOYEE_MASTER!AB198="Yes",LK_AllowanceRates!$B$21,0)</f>
        <v>0</v>
      </c>
      <c r="U198" s="101">
        <f>IF(EMPLOYEE_MASTER!P198&gt;=6,LK_AllowanceRates!$B$22,0)</f>
        <v>0</v>
      </c>
      <c r="V198" s="101">
        <f>IF(EMPLOYEE_MASTER!AO198="Yes",LK_AllowanceRates!$B$23,0)</f>
        <v>200000</v>
      </c>
      <c r="W198" s="101">
        <f>EMPLOYEE_MASTER!AP198*LK_AllowanceRates!$B$24</f>
        <v>200000</v>
      </c>
      <c r="X198" s="101">
        <v>0</v>
      </c>
      <c r="Y198" s="102">
        <v>0</v>
      </c>
      <c r="Z198" s="102">
        <v>0</v>
      </c>
      <c r="AA198" s="102">
        <v>0</v>
      </c>
      <c r="AB198" s="103">
        <f t="shared" ca="1" si="26"/>
        <v>1966000</v>
      </c>
      <c r="AC198" s="104">
        <f t="shared" ca="1" si="27"/>
        <v>5196000</v>
      </c>
      <c r="AD198" s="105">
        <f>ROUND(L198*LK_AllowanceRates!$B$25/100,0)</f>
        <v>177650</v>
      </c>
      <c r="AE198" s="106">
        <f t="shared" ca="1" si="28"/>
        <v>5018350</v>
      </c>
      <c r="AF198" s="106">
        <f t="shared" ca="1" si="29"/>
        <v>186835</v>
      </c>
      <c r="AG198" s="107">
        <v>0</v>
      </c>
      <c r="AH198" s="107">
        <v>0</v>
      </c>
      <c r="AI198" s="108">
        <f t="shared" ca="1" si="30"/>
        <v>364485</v>
      </c>
      <c r="AJ198" s="109">
        <f t="shared" ca="1" si="31"/>
        <v>4831515</v>
      </c>
    </row>
    <row r="199" spans="1:36" ht="15" customHeight="1" x14ac:dyDescent="0.3">
      <c r="A199" s="98" t="str">
        <f>EMPLOYEE_MASTER!A199</f>
        <v>LAO00196</v>
      </c>
      <c r="B199" s="98" t="str">
        <f>EMPLOYEE_MASTER!C199</f>
        <v>Phonesavanh</v>
      </c>
      <c r="C199" s="98" t="str">
        <f>EMPLOYEE_MASTER!D199</f>
        <v>Dalasane</v>
      </c>
      <c r="D199" s="98" t="str">
        <f>EMPLOYEE_MASTER!T199</f>
        <v>Ministry of Agriculture and Forestry (MoAF)</v>
      </c>
      <c r="E199" s="98" t="str">
        <f>EMPLOYEE_MASTER!M199</f>
        <v>Environmental Officer</v>
      </c>
      <c r="F199" s="98" t="str">
        <f>EMPLOYEE_MASTER!Z199</f>
        <v>Technical</v>
      </c>
      <c r="G199" s="99">
        <f>EMPLOYEE_MASTER!P199</f>
        <v>3</v>
      </c>
      <c r="H199" s="99">
        <f>EMPLOYEE_MASTER!Q199</f>
        <v>12</v>
      </c>
      <c r="I199" s="100" t="str">
        <f t="shared" si="24"/>
        <v>G03-S12</v>
      </c>
      <c r="J199" s="100">
        <f>IFERROR(VLOOKUP(I199,LK_GradeStep!$C$4:$D$85,2,0),0)</f>
        <v>292</v>
      </c>
      <c r="K199" s="100">
        <f>IFERROR(VLOOKUP(I199,LK_GradeStep!$C$4:$E$85,3,0),10000)</f>
        <v>10000</v>
      </c>
      <c r="L199" s="100">
        <f t="shared" si="25"/>
        <v>2920000</v>
      </c>
      <c r="M199" s="101">
        <f>IFERROR(VLOOKUP(EMPLOYEE_MASTER!AQ199,LK_AllowanceRates!$A$5:$B$11,2,0),0)</f>
        <v>900000</v>
      </c>
      <c r="N199" s="101">
        <f ca="1">IFERROR(IF(EMPLOYEE_MASTER!J199&lt;=5,  EMPLOYEE_MASTER!J199*LK_AllowanceRates!$B$12,IF(EMPLOYEE_MASTER!J199&lt;=15, EMPLOYEE_MASTER!J199*LK_AllowanceRates!$B$13,IF(EMPLOYEE_MASTER!J199&lt;=25, EMPLOYEE_MASTER!J199*LK_AllowanceRates!$B$14,EMPLOYEE_MASTER!J199*LK_AllowanceRates!$B$15))),0)</f>
        <v>40000</v>
      </c>
      <c r="O199" s="101">
        <f>IF(EMPLOYEE_MASTER!AS199="Teaching",L199*LK_AllowanceRates!$B$16,0)</f>
        <v>0</v>
      </c>
      <c r="P199" s="101">
        <f>IF(EMPLOYEE_MASTER!AS199="Medical",LK_AllowanceRates!$B$17,0)</f>
        <v>0</v>
      </c>
      <c r="Q199" s="101">
        <f>IF(EMPLOYEE_MASTER!AR199="Yes",LK_AllowanceRates!$B$18,0)</f>
        <v>0</v>
      </c>
      <c r="R199" s="101">
        <f>IF(EMPLOYEE_MASTER!AC199="Yes",LK_AllowanceRates!$B$19,0)</f>
        <v>0</v>
      </c>
      <c r="S199" s="101">
        <f>IF(EMPLOYEE_MASTER!AA199="Yes",L199*LK_AllowanceRates!$B$20,0)</f>
        <v>730000</v>
      </c>
      <c r="T199" s="101">
        <f>IF(EMPLOYEE_MASTER!AB199="Yes",LK_AllowanceRates!$B$21,0)</f>
        <v>0</v>
      </c>
      <c r="U199" s="101">
        <f>IF(EMPLOYEE_MASTER!P199&gt;=6,LK_AllowanceRates!$B$22,0)</f>
        <v>0</v>
      </c>
      <c r="V199" s="101">
        <f>IF(EMPLOYEE_MASTER!AO199="Yes",LK_AllowanceRates!$B$23,0)</f>
        <v>200000</v>
      </c>
      <c r="W199" s="101">
        <f>EMPLOYEE_MASTER!AP199*LK_AllowanceRates!$B$24</f>
        <v>200000</v>
      </c>
      <c r="X199" s="101">
        <v>0</v>
      </c>
      <c r="Y199" s="102">
        <v>0</v>
      </c>
      <c r="Z199" s="102">
        <v>0</v>
      </c>
      <c r="AA199" s="102">
        <v>0</v>
      </c>
      <c r="AB199" s="103">
        <f t="shared" ca="1" si="26"/>
        <v>2070000</v>
      </c>
      <c r="AC199" s="104">
        <f t="shared" ca="1" si="27"/>
        <v>4990000</v>
      </c>
      <c r="AD199" s="105">
        <f>ROUND(L199*LK_AllowanceRates!$B$25/100,0)</f>
        <v>160600</v>
      </c>
      <c r="AE199" s="106">
        <f t="shared" ca="1" si="28"/>
        <v>4829400</v>
      </c>
      <c r="AF199" s="106">
        <f t="shared" ca="1" si="29"/>
        <v>176470</v>
      </c>
      <c r="AG199" s="107">
        <v>0</v>
      </c>
      <c r="AH199" s="107">
        <v>0</v>
      </c>
      <c r="AI199" s="108">
        <f t="shared" ca="1" si="30"/>
        <v>337070</v>
      </c>
      <c r="AJ199" s="109">
        <f t="shared" ca="1" si="31"/>
        <v>4652930</v>
      </c>
    </row>
    <row r="200" spans="1:36" ht="15" customHeight="1" x14ac:dyDescent="0.3">
      <c r="A200" s="98" t="str">
        <f>EMPLOYEE_MASTER!A200</f>
        <v>LAO00197</v>
      </c>
      <c r="B200" s="98" t="str">
        <f>EMPLOYEE_MASTER!C200</f>
        <v>Khamsouk</v>
      </c>
      <c r="C200" s="98" t="str">
        <f>EMPLOYEE_MASTER!D200</f>
        <v>Phetsamone</v>
      </c>
      <c r="D200" s="98" t="str">
        <f>EMPLOYEE_MASTER!T200</f>
        <v>Ministry of Health (MoH)</v>
      </c>
      <c r="E200" s="98" t="str">
        <f>EMPLOYEE_MASTER!M200</f>
        <v>Medical Specialist</v>
      </c>
      <c r="F200" s="98" t="str">
        <f>EMPLOYEE_MASTER!Z200</f>
        <v>Medical</v>
      </c>
      <c r="G200" s="99">
        <f>EMPLOYEE_MASTER!P200</f>
        <v>5</v>
      </c>
      <c r="H200" s="99">
        <f>EMPLOYEE_MASTER!Q200</f>
        <v>1</v>
      </c>
      <c r="I200" s="100" t="str">
        <f t="shared" si="24"/>
        <v>G05-S01</v>
      </c>
      <c r="J200" s="100">
        <f>IFERROR(VLOOKUP(I200,LK_GradeStep!$C$4:$D$85,2,0),0)</f>
        <v>308</v>
      </c>
      <c r="K200" s="100">
        <f>IFERROR(VLOOKUP(I200,LK_GradeStep!$C$4:$E$85,3,0),10000)</f>
        <v>10000</v>
      </c>
      <c r="L200" s="100">
        <f t="shared" si="25"/>
        <v>3080000</v>
      </c>
      <c r="M200" s="101">
        <f>IFERROR(VLOOKUP(EMPLOYEE_MASTER!AQ200,LK_AllowanceRates!$A$5:$B$11,2,0),0)</f>
        <v>900000</v>
      </c>
      <c r="N200" s="101">
        <f ca="1">IFERROR(IF(EMPLOYEE_MASTER!J200&lt;=5,  EMPLOYEE_MASTER!J200*LK_AllowanceRates!$B$12,IF(EMPLOYEE_MASTER!J200&lt;=15, EMPLOYEE_MASTER!J200*LK_AllowanceRates!$B$13,IF(EMPLOYEE_MASTER!J200&lt;=25, EMPLOYEE_MASTER!J200*LK_AllowanceRates!$B$14,EMPLOYEE_MASTER!J200*LK_AllowanceRates!$B$15))),0)</f>
        <v>1440000</v>
      </c>
      <c r="O200" s="101">
        <f>IF(EMPLOYEE_MASTER!AS200="Teaching",L200*LK_AllowanceRates!$B$16,0)</f>
        <v>0</v>
      </c>
      <c r="P200" s="101">
        <f>IF(EMPLOYEE_MASTER!AS200="Medical",LK_AllowanceRates!$B$17,0)</f>
        <v>500000</v>
      </c>
      <c r="Q200" s="101">
        <f>IF(EMPLOYEE_MASTER!AR200="Yes",LK_AllowanceRates!$B$18,0)</f>
        <v>0</v>
      </c>
      <c r="R200" s="101">
        <f>IF(EMPLOYEE_MASTER!AC200="Yes",LK_AllowanceRates!$B$19,0)</f>
        <v>0</v>
      </c>
      <c r="S200" s="101">
        <f>IF(EMPLOYEE_MASTER!AA200="Yes",L200*LK_AllowanceRates!$B$20,0)</f>
        <v>0</v>
      </c>
      <c r="T200" s="101">
        <f>IF(EMPLOYEE_MASTER!AB200="Yes",LK_AllowanceRates!$B$21,0)</f>
        <v>0</v>
      </c>
      <c r="U200" s="101">
        <f>IF(EMPLOYEE_MASTER!P200&gt;=6,LK_AllowanceRates!$B$22,0)</f>
        <v>0</v>
      </c>
      <c r="V200" s="101">
        <f>IF(EMPLOYEE_MASTER!AO200="Yes",LK_AllowanceRates!$B$23,0)</f>
        <v>200000</v>
      </c>
      <c r="W200" s="101">
        <f>EMPLOYEE_MASTER!AP200*LK_AllowanceRates!$B$24</f>
        <v>0</v>
      </c>
      <c r="X200" s="101">
        <v>0</v>
      </c>
      <c r="Y200" s="102">
        <v>0</v>
      </c>
      <c r="Z200" s="102">
        <v>0</v>
      </c>
      <c r="AA200" s="102">
        <v>0</v>
      </c>
      <c r="AB200" s="103">
        <f t="shared" ca="1" si="26"/>
        <v>3040000</v>
      </c>
      <c r="AC200" s="104">
        <f t="shared" ca="1" si="27"/>
        <v>6120000</v>
      </c>
      <c r="AD200" s="105">
        <f>ROUND(L200*LK_AllowanceRates!$B$25/100,0)</f>
        <v>169400</v>
      </c>
      <c r="AE200" s="106">
        <f t="shared" ca="1" si="28"/>
        <v>5950600</v>
      </c>
      <c r="AF200" s="106">
        <f t="shared" ca="1" si="29"/>
        <v>280060</v>
      </c>
      <c r="AG200" s="107">
        <v>0</v>
      </c>
      <c r="AH200" s="107">
        <v>0</v>
      </c>
      <c r="AI200" s="108">
        <f t="shared" ca="1" si="30"/>
        <v>449460</v>
      </c>
      <c r="AJ200" s="109">
        <f t="shared" ca="1" si="31"/>
        <v>5670540</v>
      </c>
    </row>
    <row r="201" spans="1:36" ht="15" customHeight="1" x14ac:dyDescent="0.3">
      <c r="A201" s="98" t="str">
        <f>EMPLOYEE_MASTER!A201</f>
        <v>LAO00198</v>
      </c>
      <c r="B201" s="98" t="str">
        <f>EMPLOYEE_MASTER!C201</f>
        <v>Sisamone</v>
      </c>
      <c r="C201" s="98" t="str">
        <f>EMPLOYEE_MASTER!D201</f>
        <v>Khambounheuang</v>
      </c>
      <c r="D201" s="98" t="str">
        <f>EMPLOYEE_MASTER!T201</f>
        <v>Ministry of Health (MoH)</v>
      </c>
      <c r="E201" s="98" t="str">
        <f>EMPLOYEE_MASTER!M201</f>
        <v>Medical Doctor</v>
      </c>
      <c r="F201" s="98" t="str">
        <f>EMPLOYEE_MASTER!Z201</f>
        <v>Medical</v>
      </c>
      <c r="G201" s="99">
        <f>EMPLOYEE_MASTER!P201</f>
        <v>4</v>
      </c>
      <c r="H201" s="99">
        <f>EMPLOYEE_MASTER!Q201</f>
        <v>2</v>
      </c>
      <c r="I201" s="100" t="str">
        <f t="shared" si="24"/>
        <v>G04-S02</v>
      </c>
      <c r="J201" s="100">
        <f>IFERROR(VLOOKUP(I201,LK_GradeStep!$C$4:$D$85,2,0),0)</f>
        <v>288</v>
      </c>
      <c r="K201" s="100">
        <f>IFERROR(VLOOKUP(I201,LK_GradeStep!$C$4:$E$85,3,0),10000)</f>
        <v>10000</v>
      </c>
      <c r="L201" s="100">
        <f t="shared" si="25"/>
        <v>2880000</v>
      </c>
      <c r="M201" s="101">
        <f>IFERROR(VLOOKUP(EMPLOYEE_MASTER!AQ201,LK_AllowanceRates!$A$5:$B$11,2,0),0)</f>
        <v>900000</v>
      </c>
      <c r="N201" s="101">
        <f ca="1">IFERROR(IF(EMPLOYEE_MASTER!J201&lt;=5,  EMPLOYEE_MASTER!J201*LK_AllowanceRates!$B$12,IF(EMPLOYEE_MASTER!J201&lt;=15, EMPLOYEE_MASTER!J201*LK_AllowanceRates!$B$13,IF(EMPLOYEE_MASTER!J201&lt;=25, EMPLOYEE_MASTER!J201*LK_AllowanceRates!$B$14,EMPLOYEE_MASTER!J201*LK_AllowanceRates!$B$15))),0)</f>
        <v>510000</v>
      </c>
      <c r="O201" s="101">
        <f>IF(EMPLOYEE_MASTER!AS201="Teaching",L201*LK_AllowanceRates!$B$16,0)</f>
        <v>0</v>
      </c>
      <c r="P201" s="101">
        <f>IF(EMPLOYEE_MASTER!AS201="Medical",LK_AllowanceRates!$B$17,0)</f>
        <v>500000</v>
      </c>
      <c r="Q201" s="101">
        <f>IF(EMPLOYEE_MASTER!AR201="Yes",LK_AllowanceRates!$B$18,0)</f>
        <v>0</v>
      </c>
      <c r="R201" s="101">
        <f>IF(EMPLOYEE_MASTER!AC201="Yes",LK_AllowanceRates!$B$19,0)</f>
        <v>0</v>
      </c>
      <c r="S201" s="101">
        <f>IF(EMPLOYEE_MASTER!AA201="Yes",L201*LK_AllowanceRates!$B$20,0)</f>
        <v>0</v>
      </c>
      <c r="T201" s="101">
        <f>IF(EMPLOYEE_MASTER!AB201="Yes",LK_AllowanceRates!$B$21,0)</f>
        <v>0</v>
      </c>
      <c r="U201" s="101">
        <f>IF(EMPLOYEE_MASTER!P201&gt;=6,LK_AllowanceRates!$B$22,0)</f>
        <v>0</v>
      </c>
      <c r="V201" s="101">
        <f>IF(EMPLOYEE_MASTER!AO201="Yes",LK_AllowanceRates!$B$23,0)</f>
        <v>0</v>
      </c>
      <c r="W201" s="101">
        <f>EMPLOYEE_MASTER!AP201*LK_AllowanceRates!$B$24</f>
        <v>0</v>
      </c>
      <c r="X201" s="101">
        <v>0</v>
      </c>
      <c r="Y201" s="102">
        <v>0</v>
      </c>
      <c r="Z201" s="102">
        <v>0</v>
      </c>
      <c r="AA201" s="102">
        <v>0</v>
      </c>
      <c r="AB201" s="103">
        <f t="shared" ca="1" si="26"/>
        <v>1910000</v>
      </c>
      <c r="AC201" s="104">
        <f t="shared" ca="1" si="27"/>
        <v>4790000</v>
      </c>
      <c r="AD201" s="105">
        <f>ROUND(L201*LK_AllowanceRates!$B$25/100,0)</f>
        <v>158400</v>
      </c>
      <c r="AE201" s="106">
        <f t="shared" ca="1" si="28"/>
        <v>4631600</v>
      </c>
      <c r="AF201" s="106">
        <f t="shared" ca="1" si="29"/>
        <v>166580</v>
      </c>
      <c r="AG201" s="107">
        <v>0</v>
      </c>
      <c r="AH201" s="107">
        <v>0</v>
      </c>
      <c r="AI201" s="108">
        <f t="shared" ca="1" si="30"/>
        <v>324980</v>
      </c>
      <c r="AJ201" s="109">
        <f t="shared" ca="1" si="31"/>
        <v>4465020</v>
      </c>
    </row>
    <row r="202" spans="1:36" ht="15" customHeight="1" x14ac:dyDescent="0.3">
      <c r="A202" s="98" t="str">
        <f>EMPLOYEE_MASTER!A202</f>
        <v>LAO00199</v>
      </c>
      <c r="B202" s="98" t="str">
        <f>EMPLOYEE_MASTER!C202</f>
        <v>Khamphay</v>
      </c>
      <c r="C202" s="98" t="str">
        <f>EMPLOYEE_MASTER!D202</f>
        <v>Souksavanh</v>
      </c>
      <c r="D202" s="98" t="str">
        <f>EMPLOYEE_MASTER!T202</f>
        <v>Ministry of Home Affairs (MoHA)</v>
      </c>
      <c r="E202" s="98" t="str">
        <f>EMPLOYEE_MASTER!M202</f>
        <v>Officer</v>
      </c>
      <c r="F202" s="98" t="str">
        <f>EMPLOYEE_MASTER!Z202</f>
        <v>Administration</v>
      </c>
      <c r="G202" s="99">
        <f>EMPLOYEE_MASTER!P202</f>
        <v>3</v>
      </c>
      <c r="H202" s="99">
        <f>EMPLOYEE_MASTER!Q202</f>
        <v>1</v>
      </c>
      <c r="I202" s="100" t="str">
        <f t="shared" si="24"/>
        <v>G03-S01</v>
      </c>
      <c r="J202" s="100">
        <f>IFERROR(VLOOKUP(I202,LK_GradeStep!$C$4:$D$85,2,0),0)</f>
        <v>276</v>
      </c>
      <c r="K202" s="100">
        <f>IFERROR(VLOOKUP(I202,LK_GradeStep!$C$4:$E$85,3,0),10000)</f>
        <v>10000</v>
      </c>
      <c r="L202" s="100">
        <f t="shared" si="25"/>
        <v>2760000</v>
      </c>
      <c r="M202" s="101">
        <f>IFERROR(VLOOKUP(EMPLOYEE_MASTER!AQ202,LK_AllowanceRates!$A$5:$B$11,2,0),0)</f>
        <v>900000</v>
      </c>
      <c r="N202" s="101">
        <f ca="1">IFERROR(IF(EMPLOYEE_MASTER!J202&lt;=5,  EMPLOYEE_MASTER!J202*LK_AllowanceRates!$B$12,IF(EMPLOYEE_MASTER!J202&lt;=15, EMPLOYEE_MASTER!J202*LK_AllowanceRates!$B$13,IF(EMPLOYEE_MASTER!J202&lt;=25, EMPLOYEE_MASTER!J202*LK_AllowanceRates!$B$14,EMPLOYEE_MASTER!J202*LK_AllowanceRates!$B$15))),0)</f>
        <v>1320000</v>
      </c>
      <c r="O202" s="101">
        <f>IF(EMPLOYEE_MASTER!AS202="Teaching",L202*LK_AllowanceRates!$B$16,0)</f>
        <v>0</v>
      </c>
      <c r="P202" s="101">
        <f>IF(EMPLOYEE_MASTER!AS202="Medical",LK_AllowanceRates!$B$17,0)</f>
        <v>0</v>
      </c>
      <c r="Q202" s="101">
        <f>IF(EMPLOYEE_MASTER!AR202="Yes",LK_AllowanceRates!$B$18,0)</f>
        <v>0</v>
      </c>
      <c r="R202" s="101">
        <f>IF(EMPLOYEE_MASTER!AC202="Yes",LK_AllowanceRates!$B$19,0)</f>
        <v>1000000</v>
      </c>
      <c r="S202" s="101">
        <f>IF(EMPLOYEE_MASTER!AA202="Yes",L202*LK_AllowanceRates!$B$20,0)</f>
        <v>690000</v>
      </c>
      <c r="T202" s="101">
        <f>IF(EMPLOYEE_MASTER!AB202="Yes",LK_AllowanceRates!$B$21,0)</f>
        <v>0</v>
      </c>
      <c r="U202" s="101">
        <f>IF(EMPLOYEE_MASTER!P202&gt;=6,LK_AllowanceRates!$B$22,0)</f>
        <v>0</v>
      </c>
      <c r="V202" s="101">
        <f>IF(EMPLOYEE_MASTER!AO202="Yes",LK_AllowanceRates!$B$23,0)</f>
        <v>0</v>
      </c>
      <c r="W202" s="101">
        <f>EMPLOYEE_MASTER!AP202*LK_AllowanceRates!$B$24</f>
        <v>0</v>
      </c>
      <c r="X202" s="101">
        <v>0</v>
      </c>
      <c r="Y202" s="102">
        <v>0</v>
      </c>
      <c r="Z202" s="102">
        <v>0</v>
      </c>
      <c r="AA202" s="102">
        <v>0</v>
      </c>
      <c r="AB202" s="103">
        <f t="shared" ca="1" si="26"/>
        <v>3910000</v>
      </c>
      <c r="AC202" s="104">
        <f t="shared" ca="1" si="27"/>
        <v>6670000</v>
      </c>
      <c r="AD202" s="105">
        <f>ROUND(L202*LK_AllowanceRates!$B$25/100,0)</f>
        <v>151800</v>
      </c>
      <c r="AE202" s="106">
        <f t="shared" ca="1" si="28"/>
        <v>6518200</v>
      </c>
      <c r="AF202" s="106">
        <f t="shared" ca="1" si="29"/>
        <v>336820</v>
      </c>
      <c r="AG202" s="107">
        <v>0</v>
      </c>
      <c r="AH202" s="107">
        <v>0</v>
      </c>
      <c r="AI202" s="108">
        <f t="shared" ca="1" si="30"/>
        <v>488620</v>
      </c>
      <c r="AJ202" s="109">
        <f t="shared" ca="1" si="31"/>
        <v>6181380</v>
      </c>
    </row>
    <row r="203" spans="1:36" ht="15" customHeight="1" x14ac:dyDescent="0.3">
      <c r="A203" s="98" t="str">
        <f>EMPLOYEE_MASTER!A203</f>
        <v>LAO00200</v>
      </c>
      <c r="B203" s="98" t="str">
        <f>EMPLOYEE_MASTER!C203</f>
        <v>Thongsack</v>
      </c>
      <c r="C203" s="98" t="str">
        <f>EMPLOYEE_MASTER!D203</f>
        <v>Sengkhounmane</v>
      </c>
      <c r="D203" s="98" t="str">
        <f>EMPLOYEE_MASTER!T203</f>
        <v>Vientiane Capital Administration</v>
      </c>
      <c r="E203" s="98" t="str">
        <f>EMPLOYEE_MASTER!M203</f>
        <v>Section Chief</v>
      </c>
      <c r="F203" s="98" t="str">
        <f>EMPLOYEE_MASTER!Z203</f>
        <v>Administration</v>
      </c>
      <c r="G203" s="99">
        <f>EMPLOYEE_MASTER!P203</f>
        <v>4</v>
      </c>
      <c r="H203" s="99">
        <f>EMPLOYEE_MASTER!Q203</f>
        <v>1</v>
      </c>
      <c r="I203" s="100" t="str">
        <f t="shared" si="24"/>
        <v>G04-S01</v>
      </c>
      <c r="J203" s="100">
        <f>IFERROR(VLOOKUP(I203,LK_GradeStep!$C$4:$D$85,2,0),0)</f>
        <v>286</v>
      </c>
      <c r="K203" s="100">
        <f>IFERROR(VLOOKUP(I203,LK_GradeStep!$C$4:$E$85,3,0),10000)</f>
        <v>10000</v>
      </c>
      <c r="L203" s="100">
        <f t="shared" si="25"/>
        <v>2860000</v>
      </c>
      <c r="M203" s="101">
        <f>IFERROR(VLOOKUP(EMPLOYEE_MASTER!AQ203,LK_AllowanceRates!$A$5:$B$11,2,0),0)</f>
        <v>1500000</v>
      </c>
      <c r="N203" s="101">
        <f ca="1">IFERROR(IF(EMPLOYEE_MASTER!J203&lt;=5,  EMPLOYEE_MASTER!J203*LK_AllowanceRates!$B$12,IF(EMPLOYEE_MASTER!J203&lt;=15, EMPLOYEE_MASTER!J203*LK_AllowanceRates!$B$13,IF(EMPLOYEE_MASTER!J203&lt;=25, EMPLOYEE_MASTER!J203*LK_AllowanceRates!$B$14,EMPLOYEE_MASTER!J203*LK_AllowanceRates!$B$15))),0)</f>
        <v>1080000</v>
      </c>
      <c r="O203" s="101">
        <f>IF(EMPLOYEE_MASTER!AS203="Teaching",L203*LK_AllowanceRates!$B$16,0)</f>
        <v>0</v>
      </c>
      <c r="P203" s="101">
        <f>IF(EMPLOYEE_MASTER!AS203="Medical",LK_AllowanceRates!$B$17,0)</f>
        <v>0</v>
      </c>
      <c r="Q203" s="101">
        <f>IF(EMPLOYEE_MASTER!AR203="Yes",LK_AllowanceRates!$B$18,0)</f>
        <v>0</v>
      </c>
      <c r="R203" s="101">
        <f>IF(EMPLOYEE_MASTER!AC203="Yes",LK_AllowanceRates!$B$19,0)</f>
        <v>0</v>
      </c>
      <c r="S203" s="101">
        <f>IF(EMPLOYEE_MASTER!AA203="Yes",L203*LK_AllowanceRates!$B$20,0)</f>
        <v>0</v>
      </c>
      <c r="T203" s="101">
        <f>IF(EMPLOYEE_MASTER!AB203="Yes",LK_AllowanceRates!$B$21,0)</f>
        <v>0</v>
      </c>
      <c r="U203" s="101">
        <f>IF(EMPLOYEE_MASTER!P203&gt;=6,LK_AllowanceRates!$B$22,0)</f>
        <v>0</v>
      </c>
      <c r="V203" s="101">
        <f>IF(EMPLOYEE_MASTER!AO203="Yes",LK_AllowanceRates!$B$23,0)</f>
        <v>200000</v>
      </c>
      <c r="W203" s="101">
        <f>EMPLOYEE_MASTER!AP203*LK_AllowanceRates!$B$24</f>
        <v>0</v>
      </c>
      <c r="X203" s="101">
        <v>0</v>
      </c>
      <c r="Y203" s="102">
        <v>0</v>
      </c>
      <c r="Z203" s="102">
        <v>0</v>
      </c>
      <c r="AA203" s="102">
        <v>0</v>
      </c>
      <c r="AB203" s="103">
        <f t="shared" ca="1" si="26"/>
        <v>2780000</v>
      </c>
      <c r="AC203" s="104">
        <f t="shared" ca="1" si="27"/>
        <v>5640000</v>
      </c>
      <c r="AD203" s="105">
        <f>ROUND(L203*LK_AllowanceRates!$B$25/100,0)</f>
        <v>157300</v>
      </c>
      <c r="AE203" s="106">
        <f t="shared" ca="1" si="28"/>
        <v>5482700</v>
      </c>
      <c r="AF203" s="106">
        <f t="shared" ca="1" si="29"/>
        <v>233270</v>
      </c>
      <c r="AG203" s="107">
        <v>0</v>
      </c>
      <c r="AH203" s="107">
        <v>0</v>
      </c>
      <c r="AI203" s="108">
        <f t="shared" ca="1" si="30"/>
        <v>390570</v>
      </c>
      <c r="AJ203" s="109">
        <f t="shared" ca="1" si="31"/>
        <v>5249430</v>
      </c>
    </row>
    <row r="204" spans="1:36" ht="15" customHeight="1" x14ac:dyDescent="0.3">
      <c r="A204" s="98" t="str">
        <f>EMPLOYEE_MASTER!A204</f>
        <v>LAO00201</v>
      </c>
      <c r="B204" s="98" t="str">
        <f>EMPLOYEE_MASTER!C204</f>
        <v>Sombath</v>
      </c>
      <c r="C204" s="98" t="str">
        <f>EMPLOYEE_MASTER!D204</f>
        <v>Phonemany</v>
      </c>
      <c r="D204" s="98" t="str">
        <f>EMPLOYEE_MASTER!T204</f>
        <v>Ministry of Labour &amp; Social Welfare (MLSW)</v>
      </c>
      <c r="E204" s="98" t="str">
        <f>EMPLOYEE_MASTER!M204</f>
        <v>Section Chief</v>
      </c>
      <c r="F204" s="98" t="str">
        <f>EMPLOYEE_MASTER!Z204</f>
        <v>Administration</v>
      </c>
      <c r="G204" s="99">
        <f>EMPLOYEE_MASTER!P204</f>
        <v>4</v>
      </c>
      <c r="H204" s="99">
        <f>EMPLOYEE_MASTER!Q204</f>
        <v>1</v>
      </c>
      <c r="I204" s="100" t="str">
        <f t="shared" si="24"/>
        <v>G04-S01</v>
      </c>
      <c r="J204" s="100">
        <f>IFERROR(VLOOKUP(I204,LK_GradeStep!$C$4:$D$85,2,0),0)</f>
        <v>286</v>
      </c>
      <c r="K204" s="100">
        <f>IFERROR(VLOOKUP(I204,LK_GradeStep!$C$4:$E$85,3,0),10000)</f>
        <v>10000</v>
      </c>
      <c r="L204" s="100">
        <f t="shared" si="25"/>
        <v>2860000</v>
      </c>
      <c r="M204" s="101">
        <f>IFERROR(VLOOKUP(EMPLOYEE_MASTER!AQ204,LK_AllowanceRates!$A$5:$B$11,2,0),0)</f>
        <v>1500000</v>
      </c>
      <c r="N204" s="101">
        <f ca="1">IFERROR(IF(EMPLOYEE_MASTER!J204&lt;=5,  EMPLOYEE_MASTER!J204*LK_AllowanceRates!$B$12,IF(EMPLOYEE_MASTER!J204&lt;=15, EMPLOYEE_MASTER!J204*LK_AllowanceRates!$B$13,IF(EMPLOYEE_MASTER!J204&lt;=25, EMPLOYEE_MASTER!J204*LK_AllowanceRates!$B$14,EMPLOYEE_MASTER!J204*LK_AllowanceRates!$B$15))),0)</f>
        <v>1320000</v>
      </c>
      <c r="O204" s="101">
        <f>IF(EMPLOYEE_MASTER!AS204="Teaching",L204*LK_AllowanceRates!$B$16,0)</f>
        <v>0</v>
      </c>
      <c r="P204" s="101">
        <f>IF(EMPLOYEE_MASTER!AS204="Medical",LK_AllowanceRates!$B$17,0)</f>
        <v>0</v>
      </c>
      <c r="Q204" s="101">
        <f>IF(EMPLOYEE_MASTER!AR204="Yes",LK_AllowanceRates!$B$18,0)</f>
        <v>0</v>
      </c>
      <c r="R204" s="101">
        <f>IF(EMPLOYEE_MASTER!AC204="Yes",LK_AllowanceRates!$B$19,0)</f>
        <v>1000000</v>
      </c>
      <c r="S204" s="101">
        <f>IF(EMPLOYEE_MASTER!AA204="Yes",L204*LK_AllowanceRates!$B$20,0)</f>
        <v>715000</v>
      </c>
      <c r="T204" s="101">
        <f>IF(EMPLOYEE_MASTER!AB204="Yes",LK_AllowanceRates!$B$21,0)</f>
        <v>0</v>
      </c>
      <c r="U204" s="101">
        <f>IF(EMPLOYEE_MASTER!P204&gt;=6,LK_AllowanceRates!$B$22,0)</f>
        <v>0</v>
      </c>
      <c r="V204" s="101">
        <f>IF(EMPLOYEE_MASTER!AO204="Yes",LK_AllowanceRates!$B$23,0)</f>
        <v>0</v>
      </c>
      <c r="W204" s="101">
        <f>EMPLOYEE_MASTER!AP204*LK_AllowanceRates!$B$24</f>
        <v>0</v>
      </c>
      <c r="X204" s="101">
        <v>0</v>
      </c>
      <c r="Y204" s="102">
        <v>0</v>
      </c>
      <c r="Z204" s="102">
        <v>0</v>
      </c>
      <c r="AA204" s="102">
        <v>0</v>
      </c>
      <c r="AB204" s="103">
        <f t="shared" ca="1" si="26"/>
        <v>4535000</v>
      </c>
      <c r="AC204" s="104">
        <f t="shared" ca="1" si="27"/>
        <v>7395000</v>
      </c>
      <c r="AD204" s="105">
        <f>ROUND(L204*LK_AllowanceRates!$B$25/100,0)</f>
        <v>157300</v>
      </c>
      <c r="AE204" s="106">
        <f t="shared" ca="1" si="28"/>
        <v>7237700</v>
      </c>
      <c r="AF204" s="106">
        <f t="shared" ca="1" si="29"/>
        <v>408770</v>
      </c>
      <c r="AG204" s="107">
        <v>0</v>
      </c>
      <c r="AH204" s="107">
        <v>0</v>
      </c>
      <c r="AI204" s="108">
        <f t="shared" ca="1" si="30"/>
        <v>566070</v>
      </c>
      <c r="AJ204" s="109">
        <f t="shared" ca="1" si="31"/>
        <v>6828930</v>
      </c>
    </row>
    <row r="205" spans="1:36" ht="15" customHeight="1" x14ac:dyDescent="0.3">
      <c r="A205" s="98" t="str">
        <f>EMPLOYEE_MASTER!A205</f>
        <v>LAO00202</v>
      </c>
      <c r="B205" s="98" t="str">
        <f>EMPLOYEE_MASTER!C205</f>
        <v>Bounthong</v>
      </c>
      <c r="C205" s="98" t="str">
        <f>EMPLOYEE_MASTER!D205</f>
        <v>Khamphilavong</v>
      </c>
      <c r="D205" s="98" t="str">
        <f>EMPLOYEE_MASTER!T205</f>
        <v>Ministry of Agriculture and Forestry (MoAF)</v>
      </c>
      <c r="E205" s="98" t="str">
        <f>EMPLOYEE_MASTER!M205</f>
        <v>Infrastructure Officer</v>
      </c>
      <c r="F205" s="98" t="str">
        <f>EMPLOYEE_MASTER!Z205</f>
        <v>Technical</v>
      </c>
      <c r="G205" s="99">
        <f>EMPLOYEE_MASTER!P205</f>
        <v>3</v>
      </c>
      <c r="H205" s="99">
        <f>EMPLOYEE_MASTER!Q205</f>
        <v>10</v>
      </c>
      <c r="I205" s="100" t="str">
        <f t="shared" si="24"/>
        <v>G03-S10</v>
      </c>
      <c r="J205" s="100">
        <f>IFERROR(VLOOKUP(I205,LK_GradeStep!$C$4:$D$85,2,0),0)</f>
        <v>288</v>
      </c>
      <c r="K205" s="100">
        <f>IFERROR(VLOOKUP(I205,LK_GradeStep!$C$4:$E$85,3,0),10000)</f>
        <v>10000</v>
      </c>
      <c r="L205" s="100">
        <f t="shared" si="25"/>
        <v>2880000</v>
      </c>
      <c r="M205" s="101">
        <f>IFERROR(VLOOKUP(EMPLOYEE_MASTER!AQ205,LK_AllowanceRates!$A$5:$B$11,2,0),0)</f>
        <v>900000</v>
      </c>
      <c r="N205" s="101">
        <f ca="1">IFERROR(IF(EMPLOYEE_MASTER!J205&lt;=5,  EMPLOYEE_MASTER!J205*LK_AllowanceRates!$B$12,IF(EMPLOYEE_MASTER!J205&lt;=15, EMPLOYEE_MASTER!J205*LK_AllowanceRates!$B$13,IF(EMPLOYEE_MASTER!J205&lt;=25, EMPLOYEE_MASTER!J205*LK_AllowanceRates!$B$14,EMPLOYEE_MASTER!J205*LK_AllowanceRates!$B$15))),0)</f>
        <v>600000</v>
      </c>
      <c r="O205" s="101">
        <f>IF(EMPLOYEE_MASTER!AS205="Teaching",L205*LK_AllowanceRates!$B$16,0)</f>
        <v>0</v>
      </c>
      <c r="P205" s="101">
        <f>IF(EMPLOYEE_MASTER!AS205="Medical",LK_AllowanceRates!$B$17,0)</f>
        <v>0</v>
      </c>
      <c r="Q205" s="101">
        <f>IF(EMPLOYEE_MASTER!AR205="Yes",LK_AllowanceRates!$B$18,0)</f>
        <v>0</v>
      </c>
      <c r="R205" s="101">
        <f>IF(EMPLOYEE_MASTER!AC205="Yes",LK_AllowanceRates!$B$19,0)</f>
        <v>1000000</v>
      </c>
      <c r="S205" s="101">
        <f>IF(EMPLOYEE_MASTER!AA205="Yes",L205*LK_AllowanceRates!$B$20,0)</f>
        <v>720000</v>
      </c>
      <c r="T205" s="101">
        <f>IF(EMPLOYEE_MASTER!AB205="Yes",LK_AllowanceRates!$B$21,0)</f>
        <v>0</v>
      </c>
      <c r="U205" s="101">
        <f>IF(EMPLOYEE_MASTER!P205&gt;=6,LK_AllowanceRates!$B$22,0)</f>
        <v>0</v>
      </c>
      <c r="V205" s="101">
        <f>IF(EMPLOYEE_MASTER!AO205="Yes",LK_AllowanceRates!$B$23,0)</f>
        <v>200000</v>
      </c>
      <c r="W205" s="101">
        <f>EMPLOYEE_MASTER!AP205*LK_AllowanceRates!$B$24</f>
        <v>600000</v>
      </c>
      <c r="X205" s="101">
        <v>0</v>
      </c>
      <c r="Y205" s="102">
        <v>0</v>
      </c>
      <c r="Z205" s="102">
        <v>0</v>
      </c>
      <c r="AA205" s="102">
        <v>0</v>
      </c>
      <c r="AB205" s="103">
        <f t="shared" ca="1" si="26"/>
        <v>4020000</v>
      </c>
      <c r="AC205" s="104">
        <f t="shared" ca="1" si="27"/>
        <v>6900000</v>
      </c>
      <c r="AD205" s="105">
        <f>ROUND(L205*LK_AllowanceRates!$B$25/100,0)</f>
        <v>158400</v>
      </c>
      <c r="AE205" s="106">
        <f t="shared" ca="1" si="28"/>
        <v>6741600</v>
      </c>
      <c r="AF205" s="106">
        <f t="shared" ca="1" si="29"/>
        <v>359160</v>
      </c>
      <c r="AG205" s="107">
        <v>0</v>
      </c>
      <c r="AH205" s="107">
        <v>0</v>
      </c>
      <c r="AI205" s="108">
        <f t="shared" ca="1" si="30"/>
        <v>517560</v>
      </c>
      <c r="AJ205" s="109">
        <f t="shared" ca="1" si="31"/>
        <v>6382440</v>
      </c>
    </row>
    <row r="206" spans="1:36" ht="15" customHeight="1" x14ac:dyDescent="0.3">
      <c r="A206" s="98" t="str">
        <f>EMPLOYEE_MASTER!A206</f>
        <v>LAO00203</v>
      </c>
      <c r="B206" s="98" t="str">
        <f>EMPLOYEE_MASTER!C206</f>
        <v>Phanida</v>
      </c>
      <c r="C206" s="98" t="str">
        <f>EMPLOYEE_MASTER!D206</f>
        <v>Sengdara</v>
      </c>
      <c r="D206" s="98" t="str">
        <f>EMPLOYEE_MASTER!T206</f>
        <v>National Assembly (NA)</v>
      </c>
      <c r="E206" s="98" t="str">
        <f>EMPLOYEE_MASTER!M206</f>
        <v>Officer</v>
      </c>
      <c r="F206" s="98" t="str">
        <f>EMPLOYEE_MASTER!Z206</f>
        <v>Administration</v>
      </c>
      <c r="G206" s="99">
        <f>EMPLOYEE_MASTER!P206</f>
        <v>2</v>
      </c>
      <c r="H206" s="99">
        <f>EMPLOYEE_MASTER!Q206</f>
        <v>7</v>
      </c>
      <c r="I206" s="100" t="str">
        <f t="shared" si="24"/>
        <v>G02-S07</v>
      </c>
      <c r="J206" s="100">
        <f>IFERROR(VLOOKUP(I206,LK_GradeStep!$C$4:$D$85,2,0),0)</f>
        <v>274</v>
      </c>
      <c r="K206" s="100">
        <f>IFERROR(VLOOKUP(I206,LK_GradeStep!$C$4:$E$85,3,0),10000)</f>
        <v>10000</v>
      </c>
      <c r="L206" s="100">
        <f t="shared" si="25"/>
        <v>2740000</v>
      </c>
      <c r="M206" s="101">
        <f>IFERROR(VLOOKUP(EMPLOYEE_MASTER!AQ206,LK_AllowanceRates!$A$5:$B$11,2,0),0)</f>
        <v>900000</v>
      </c>
      <c r="N206" s="101">
        <f ca="1">IFERROR(IF(EMPLOYEE_MASTER!J206&lt;=5,  EMPLOYEE_MASTER!J206*LK_AllowanceRates!$B$12,IF(EMPLOYEE_MASTER!J206&lt;=15, EMPLOYEE_MASTER!J206*LK_AllowanceRates!$B$13,IF(EMPLOYEE_MASTER!J206&lt;=25, EMPLOYEE_MASTER!J206*LK_AllowanceRates!$B$14,EMPLOYEE_MASTER!J206*LK_AllowanceRates!$B$15))),0)</f>
        <v>10000</v>
      </c>
      <c r="O206" s="101">
        <f>IF(EMPLOYEE_MASTER!AS206="Teaching",L206*LK_AllowanceRates!$B$16,0)</f>
        <v>0</v>
      </c>
      <c r="P206" s="101">
        <f>IF(EMPLOYEE_MASTER!AS206="Medical",LK_AllowanceRates!$B$17,0)</f>
        <v>0</v>
      </c>
      <c r="Q206" s="101">
        <f>IF(EMPLOYEE_MASTER!AR206="Yes",LK_AllowanceRates!$B$18,0)</f>
        <v>1000000</v>
      </c>
      <c r="R206" s="101">
        <f>IF(EMPLOYEE_MASTER!AC206="Yes",LK_AllowanceRates!$B$19,0)</f>
        <v>0</v>
      </c>
      <c r="S206" s="101">
        <f>IF(EMPLOYEE_MASTER!AA206="Yes",L206*LK_AllowanceRates!$B$20,0)</f>
        <v>0</v>
      </c>
      <c r="T206" s="101">
        <f>IF(EMPLOYEE_MASTER!AB206="Yes",LK_AllowanceRates!$B$21,0)</f>
        <v>0</v>
      </c>
      <c r="U206" s="101">
        <f>IF(EMPLOYEE_MASTER!P206&gt;=6,LK_AllowanceRates!$B$22,0)</f>
        <v>0</v>
      </c>
      <c r="V206" s="101">
        <f>IF(EMPLOYEE_MASTER!AO206="Yes",LK_AllowanceRates!$B$23,0)</f>
        <v>200000</v>
      </c>
      <c r="W206" s="101">
        <f>EMPLOYEE_MASTER!AP206*LK_AllowanceRates!$B$24</f>
        <v>600000</v>
      </c>
      <c r="X206" s="101">
        <v>0</v>
      </c>
      <c r="Y206" s="102">
        <v>0</v>
      </c>
      <c r="Z206" s="102">
        <v>0</v>
      </c>
      <c r="AA206" s="102">
        <v>0</v>
      </c>
      <c r="AB206" s="103">
        <f t="shared" ca="1" si="26"/>
        <v>2710000</v>
      </c>
      <c r="AC206" s="104">
        <f t="shared" ca="1" si="27"/>
        <v>5450000</v>
      </c>
      <c r="AD206" s="105">
        <f>ROUND(L206*LK_AllowanceRates!$B$25/100,0)</f>
        <v>150700</v>
      </c>
      <c r="AE206" s="106">
        <f t="shared" ca="1" si="28"/>
        <v>5299300</v>
      </c>
      <c r="AF206" s="106">
        <f t="shared" ca="1" si="29"/>
        <v>214930</v>
      </c>
      <c r="AG206" s="107">
        <v>0</v>
      </c>
      <c r="AH206" s="107">
        <v>0</v>
      </c>
      <c r="AI206" s="108">
        <f t="shared" ca="1" si="30"/>
        <v>365630</v>
      </c>
      <c r="AJ206" s="109">
        <f t="shared" ca="1" si="31"/>
        <v>5084370</v>
      </c>
    </row>
    <row r="207" spans="1:36" ht="15" customHeight="1" x14ac:dyDescent="0.3">
      <c r="A207" s="98" t="str">
        <f>EMPLOYEE_MASTER!A207</f>
        <v>LAO00204</v>
      </c>
      <c r="B207" s="98" t="str">
        <f>EMPLOYEE_MASTER!C207</f>
        <v>Keoviengkham</v>
      </c>
      <c r="C207" s="98" t="str">
        <f>EMPLOYEE_MASTER!D207</f>
        <v>Souksavanh</v>
      </c>
      <c r="D207" s="98" t="str">
        <f>EMPLOYEE_MASTER!T207</f>
        <v>Khammuane Province Administration</v>
      </c>
      <c r="E207" s="98" t="str">
        <f>EMPLOYEE_MASTER!M207</f>
        <v>Officer</v>
      </c>
      <c r="F207" s="98" t="str">
        <f>EMPLOYEE_MASTER!Z207</f>
        <v>Administration</v>
      </c>
      <c r="G207" s="99">
        <f>EMPLOYEE_MASTER!P207</f>
        <v>3</v>
      </c>
      <c r="H207" s="99">
        <f>EMPLOYEE_MASTER!Q207</f>
        <v>2</v>
      </c>
      <c r="I207" s="100" t="str">
        <f t="shared" si="24"/>
        <v>G03-S02</v>
      </c>
      <c r="J207" s="100">
        <f>IFERROR(VLOOKUP(I207,LK_GradeStep!$C$4:$D$85,2,0),0)</f>
        <v>277</v>
      </c>
      <c r="K207" s="100">
        <f>IFERROR(VLOOKUP(I207,LK_GradeStep!$C$4:$E$85,3,0),10000)</f>
        <v>10000</v>
      </c>
      <c r="L207" s="100">
        <f t="shared" si="25"/>
        <v>2770000</v>
      </c>
      <c r="M207" s="101">
        <f>IFERROR(VLOOKUP(EMPLOYEE_MASTER!AQ207,LK_AllowanceRates!$A$5:$B$11,2,0),0)</f>
        <v>900000</v>
      </c>
      <c r="N207" s="101">
        <f ca="1">IFERROR(IF(EMPLOYEE_MASTER!J207&lt;=5,  EMPLOYEE_MASTER!J207*LK_AllowanceRates!$B$12,IF(EMPLOYEE_MASTER!J207&lt;=15, EMPLOYEE_MASTER!J207*LK_AllowanceRates!$B$13,IF(EMPLOYEE_MASTER!J207&lt;=25, EMPLOYEE_MASTER!J207*LK_AllowanceRates!$B$14,EMPLOYEE_MASTER!J207*LK_AllowanceRates!$B$15))),0)</f>
        <v>1200000</v>
      </c>
      <c r="O207" s="101">
        <f>IF(EMPLOYEE_MASTER!AS207="Teaching",L207*LK_AllowanceRates!$B$16,0)</f>
        <v>0</v>
      </c>
      <c r="P207" s="101">
        <f>IF(EMPLOYEE_MASTER!AS207="Medical",LK_AllowanceRates!$B$17,0)</f>
        <v>0</v>
      </c>
      <c r="Q207" s="101">
        <f>IF(EMPLOYEE_MASTER!AR207="Yes",LK_AllowanceRates!$B$18,0)</f>
        <v>0</v>
      </c>
      <c r="R207" s="101">
        <f>IF(EMPLOYEE_MASTER!AC207="Yes",LK_AllowanceRates!$B$19,0)</f>
        <v>1000000</v>
      </c>
      <c r="S207" s="101">
        <f>IF(EMPLOYEE_MASTER!AA207="Yes",L207*LK_AllowanceRates!$B$20,0)</f>
        <v>692500</v>
      </c>
      <c r="T207" s="101">
        <f>IF(EMPLOYEE_MASTER!AB207="Yes",LK_AllowanceRates!$B$21,0)</f>
        <v>0</v>
      </c>
      <c r="U207" s="101">
        <f>IF(EMPLOYEE_MASTER!P207&gt;=6,LK_AllowanceRates!$B$22,0)</f>
        <v>0</v>
      </c>
      <c r="V207" s="101">
        <f>IF(EMPLOYEE_MASTER!AO207="Yes",LK_AllowanceRates!$B$23,0)</f>
        <v>0</v>
      </c>
      <c r="W207" s="101">
        <f>EMPLOYEE_MASTER!AP207*LK_AllowanceRates!$B$24</f>
        <v>0</v>
      </c>
      <c r="X207" s="101">
        <v>0</v>
      </c>
      <c r="Y207" s="102">
        <v>0</v>
      </c>
      <c r="Z207" s="102">
        <v>0</v>
      </c>
      <c r="AA207" s="102">
        <v>0</v>
      </c>
      <c r="AB207" s="103">
        <f t="shared" ca="1" si="26"/>
        <v>3792500</v>
      </c>
      <c r="AC207" s="104">
        <f t="shared" ca="1" si="27"/>
        <v>6562500</v>
      </c>
      <c r="AD207" s="105">
        <f>ROUND(L207*LK_AllowanceRates!$B$25/100,0)</f>
        <v>152350</v>
      </c>
      <c r="AE207" s="106">
        <f t="shared" ca="1" si="28"/>
        <v>6410150</v>
      </c>
      <c r="AF207" s="106">
        <f t="shared" ca="1" si="29"/>
        <v>326015</v>
      </c>
      <c r="AG207" s="107">
        <v>0</v>
      </c>
      <c r="AH207" s="107">
        <v>0</v>
      </c>
      <c r="AI207" s="108">
        <f t="shared" ca="1" si="30"/>
        <v>478365</v>
      </c>
      <c r="AJ207" s="109">
        <f t="shared" ca="1" si="31"/>
        <v>6084135</v>
      </c>
    </row>
    <row r="208" spans="1:36" ht="15" customHeight="1" x14ac:dyDescent="0.3">
      <c r="A208" s="98" t="str">
        <f>EMPLOYEE_MASTER!A208</f>
        <v>LAO00205</v>
      </c>
      <c r="B208" s="98" t="str">
        <f>EMPLOYEE_MASTER!C208</f>
        <v>Khankham</v>
      </c>
      <c r="C208" s="98" t="str">
        <f>EMPLOYEE_MASTER!D208</f>
        <v>Luanglath</v>
      </c>
      <c r="D208" s="98" t="str">
        <f>EMPLOYEE_MASTER!T208</f>
        <v>Ministry of Foreign Affairs (MFA)</v>
      </c>
      <c r="E208" s="98" t="str">
        <f>EMPLOYEE_MASTER!M208</f>
        <v>Second Secretary</v>
      </c>
      <c r="F208" s="98" t="str">
        <f>EMPLOYEE_MASTER!Z208</f>
        <v>Diplomatic</v>
      </c>
      <c r="G208" s="99">
        <f>EMPLOYEE_MASTER!P208</f>
        <v>4</v>
      </c>
      <c r="H208" s="99">
        <f>EMPLOYEE_MASTER!Q208</f>
        <v>11</v>
      </c>
      <c r="I208" s="100" t="str">
        <f t="shared" si="24"/>
        <v>G04-S11</v>
      </c>
      <c r="J208" s="100">
        <f>IFERROR(VLOOKUP(I208,LK_GradeStep!$C$4:$D$85,2,0),0)</f>
        <v>318</v>
      </c>
      <c r="K208" s="100">
        <f>IFERROR(VLOOKUP(I208,LK_GradeStep!$C$4:$E$85,3,0),10000)</f>
        <v>10000</v>
      </c>
      <c r="L208" s="100">
        <f t="shared" si="25"/>
        <v>3180000</v>
      </c>
      <c r="M208" s="101">
        <f>IFERROR(VLOOKUP(EMPLOYEE_MASTER!AQ208,LK_AllowanceRates!$A$5:$B$11,2,0),0)</f>
        <v>900000</v>
      </c>
      <c r="N208" s="101">
        <f ca="1">IFERROR(IF(EMPLOYEE_MASTER!J208&lt;=5,  EMPLOYEE_MASTER!J208*LK_AllowanceRates!$B$12,IF(EMPLOYEE_MASTER!J208&lt;=15, EMPLOYEE_MASTER!J208*LK_AllowanceRates!$B$13,IF(EMPLOYEE_MASTER!J208&lt;=25, EMPLOYEE_MASTER!J208*LK_AllowanceRates!$B$14,EMPLOYEE_MASTER!J208*LK_AllowanceRates!$B$15))),0)</f>
        <v>120000</v>
      </c>
      <c r="O208" s="101">
        <f>IF(EMPLOYEE_MASTER!AS208="Teaching",L208*LK_AllowanceRates!$B$16,0)</f>
        <v>0</v>
      </c>
      <c r="P208" s="101">
        <f>IF(EMPLOYEE_MASTER!AS208="Medical",LK_AllowanceRates!$B$17,0)</f>
        <v>0</v>
      </c>
      <c r="Q208" s="101">
        <f>IF(EMPLOYEE_MASTER!AR208="Yes",LK_AllowanceRates!$B$18,0)</f>
        <v>0</v>
      </c>
      <c r="R208" s="101">
        <f>IF(EMPLOYEE_MASTER!AC208="Yes",LK_AllowanceRates!$B$19,0)</f>
        <v>1000000</v>
      </c>
      <c r="S208" s="101">
        <f>IF(EMPLOYEE_MASTER!AA208="Yes",L208*LK_AllowanceRates!$B$20,0)</f>
        <v>0</v>
      </c>
      <c r="T208" s="101">
        <f>IF(EMPLOYEE_MASTER!AB208="Yes",LK_AllowanceRates!$B$21,0)</f>
        <v>0</v>
      </c>
      <c r="U208" s="101">
        <f>IF(EMPLOYEE_MASTER!P208&gt;=6,LK_AllowanceRates!$B$22,0)</f>
        <v>0</v>
      </c>
      <c r="V208" s="101">
        <f>IF(EMPLOYEE_MASTER!AO208="Yes",LK_AllowanceRates!$B$23,0)</f>
        <v>200000</v>
      </c>
      <c r="W208" s="101">
        <f>EMPLOYEE_MASTER!AP208*LK_AllowanceRates!$B$24</f>
        <v>200000</v>
      </c>
      <c r="X208" s="101">
        <v>0</v>
      </c>
      <c r="Y208" s="102">
        <v>0</v>
      </c>
      <c r="Z208" s="102">
        <v>0</v>
      </c>
      <c r="AA208" s="102">
        <v>0</v>
      </c>
      <c r="AB208" s="103">
        <f t="shared" ca="1" si="26"/>
        <v>2420000</v>
      </c>
      <c r="AC208" s="104">
        <f t="shared" ca="1" si="27"/>
        <v>5600000</v>
      </c>
      <c r="AD208" s="105">
        <f>ROUND(L208*LK_AllowanceRates!$B$25/100,0)</f>
        <v>174900</v>
      </c>
      <c r="AE208" s="106">
        <f t="shared" ca="1" si="28"/>
        <v>5425100</v>
      </c>
      <c r="AF208" s="106">
        <f t="shared" ca="1" si="29"/>
        <v>227510</v>
      </c>
      <c r="AG208" s="107">
        <v>0</v>
      </c>
      <c r="AH208" s="107">
        <v>0</v>
      </c>
      <c r="AI208" s="108">
        <f t="shared" ca="1" si="30"/>
        <v>402410</v>
      </c>
      <c r="AJ208" s="109">
        <f t="shared" ca="1" si="31"/>
        <v>5197590</v>
      </c>
    </row>
    <row r="209" spans="1:36" ht="15" customHeight="1" x14ac:dyDescent="0.3">
      <c r="A209" s="98" t="str">
        <f>EMPLOYEE_MASTER!A209</f>
        <v>LAO00206</v>
      </c>
      <c r="B209" s="98" t="str">
        <f>EMPLOYEE_MASTER!C209</f>
        <v>Bounthieng</v>
      </c>
      <c r="C209" s="98" t="str">
        <f>EMPLOYEE_MASTER!D209</f>
        <v>Phaymany</v>
      </c>
      <c r="D209" s="98" t="str">
        <f>EMPLOYEE_MASTER!T209</f>
        <v>Khammuane Province Administration</v>
      </c>
      <c r="E209" s="98" t="str">
        <f>EMPLOYEE_MASTER!M209</f>
        <v>Deputy Department Director</v>
      </c>
      <c r="F209" s="98" t="str">
        <f>EMPLOYEE_MASTER!Z209</f>
        <v>Administration</v>
      </c>
      <c r="G209" s="99">
        <f>EMPLOYEE_MASTER!P209</f>
        <v>5</v>
      </c>
      <c r="H209" s="99">
        <f>EMPLOYEE_MASTER!Q209</f>
        <v>1</v>
      </c>
      <c r="I209" s="100" t="str">
        <f t="shared" si="24"/>
        <v>G05-S01</v>
      </c>
      <c r="J209" s="100">
        <f>IFERROR(VLOOKUP(I209,LK_GradeStep!$C$4:$D$85,2,0),0)</f>
        <v>308</v>
      </c>
      <c r="K209" s="100">
        <f>IFERROR(VLOOKUP(I209,LK_GradeStep!$C$4:$E$85,3,0),10000)</f>
        <v>10000</v>
      </c>
      <c r="L209" s="100">
        <f t="shared" si="25"/>
        <v>3080000</v>
      </c>
      <c r="M209" s="101">
        <f>IFERROR(VLOOKUP(EMPLOYEE_MASTER!AQ209,LK_AllowanceRates!$A$5:$B$11,2,0),0)</f>
        <v>900000</v>
      </c>
      <c r="N209" s="101">
        <f ca="1">IFERROR(IF(EMPLOYEE_MASTER!J209&lt;=5,  EMPLOYEE_MASTER!J209*LK_AllowanceRates!$B$12,IF(EMPLOYEE_MASTER!J209&lt;=15, EMPLOYEE_MASTER!J209*LK_AllowanceRates!$B$13,IF(EMPLOYEE_MASTER!J209&lt;=25, EMPLOYEE_MASTER!J209*LK_AllowanceRates!$B$14,EMPLOYEE_MASTER!J209*LK_AllowanceRates!$B$15))),0)</f>
        <v>1160000</v>
      </c>
      <c r="O209" s="101">
        <f>IF(EMPLOYEE_MASTER!AS209="Teaching",L209*LK_AllowanceRates!$B$16,0)</f>
        <v>0</v>
      </c>
      <c r="P209" s="101">
        <f>IF(EMPLOYEE_MASTER!AS209="Medical",LK_AllowanceRates!$B$17,0)</f>
        <v>0</v>
      </c>
      <c r="Q209" s="101">
        <f>IF(EMPLOYEE_MASTER!AR209="Yes",LK_AllowanceRates!$B$18,0)</f>
        <v>0</v>
      </c>
      <c r="R209" s="101">
        <f>IF(EMPLOYEE_MASTER!AC209="Yes",LK_AllowanceRates!$B$19,0)</f>
        <v>0</v>
      </c>
      <c r="S209" s="101">
        <f>IF(EMPLOYEE_MASTER!AA209="Yes",L209*LK_AllowanceRates!$B$20,0)</f>
        <v>0</v>
      </c>
      <c r="T209" s="101">
        <f>IF(EMPLOYEE_MASTER!AB209="Yes",LK_AllowanceRates!$B$21,0)</f>
        <v>0</v>
      </c>
      <c r="U209" s="101">
        <f>IF(EMPLOYEE_MASTER!P209&gt;=6,LK_AllowanceRates!$B$22,0)</f>
        <v>0</v>
      </c>
      <c r="V209" s="101">
        <f>IF(EMPLOYEE_MASTER!AO209="Yes",LK_AllowanceRates!$B$23,0)</f>
        <v>0</v>
      </c>
      <c r="W209" s="101">
        <f>EMPLOYEE_MASTER!AP209*LK_AllowanceRates!$B$24</f>
        <v>0</v>
      </c>
      <c r="X209" s="101">
        <v>0</v>
      </c>
      <c r="Y209" s="102">
        <v>0</v>
      </c>
      <c r="Z209" s="102">
        <v>0</v>
      </c>
      <c r="AA209" s="102">
        <v>0</v>
      </c>
      <c r="AB209" s="103">
        <f t="shared" ca="1" si="26"/>
        <v>2060000</v>
      </c>
      <c r="AC209" s="104">
        <f t="shared" ca="1" si="27"/>
        <v>5140000</v>
      </c>
      <c r="AD209" s="105">
        <f>ROUND(L209*LK_AllowanceRates!$B$25/100,0)</f>
        <v>169400</v>
      </c>
      <c r="AE209" s="106">
        <f t="shared" ca="1" si="28"/>
        <v>4970600</v>
      </c>
      <c r="AF209" s="106">
        <f t="shared" ca="1" si="29"/>
        <v>183530</v>
      </c>
      <c r="AG209" s="107">
        <v>0</v>
      </c>
      <c r="AH209" s="107">
        <v>0</v>
      </c>
      <c r="AI209" s="108">
        <f t="shared" ca="1" si="30"/>
        <v>352930</v>
      </c>
      <c r="AJ209" s="109">
        <f t="shared" ca="1" si="31"/>
        <v>4787070</v>
      </c>
    </row>
    <row r="210" spans="1:36" ht="15" customHeight="1" x14ac:dyDescent="0.3">
      <c r="A210" s="98" t="str">
        <f>EMPLOYEE_MASTER!A210</f>
        <v>LAO00207</v>
      </c>
      <c r="B210" s="98" t="str">
        <f>EMPLOYEE_MASTER!C210</f>
        <v>Bounthieng</v>
      </c>
      <c r="C210" s="98" t="str">
        <f>EMPLOYEE_MASTER!D210</f>
        <v>Xaysomboun</v>
      </c>
      <c r="D210" s="98" t="str">
        <f>EMPLOYEE_MASTER!T210</f>
        <v>Ministry of Education and Sports (MoES)</v>
      </c>
      <c r="E210" s="98" t="str">
        <f>EMPLOYEE_MASTER!M210</f>
        <v>Deputy Principal</v>
      </c>
      <c r="F210" s="98" t="str">
        <f>EMPLOYEE_MASTER!Z210</f>
        <v>Teacher</v>
      </c>
      <c r="G210" s="99">
        <f>EMPLOYEE_MASTER!P210</f>
        <v>3</v>
      </c>
      <c r="H210" s="99">
        <f>EMPLOYEE_MASTER!Q210</f>
        <v>1</v>
      </c>
      <c r="I210" s="100" t="str">
        <f t="shared" si="24"/>
        <v>G03-S01</v>
      </c>
      <c r="J210" s="100">
        <f>IFERROR(VLOOKUP(I210,LK_GradeStep!$C$4:$D$85,2,0),0)</f>
        <v>276</v>
      </c>
      <c r="K210" s="100">
        <f>IFERROR(VLOOKUP(I210,LK_GradeStep!$C$4:$E$85,3,0),10000)</f>
        <v>10000</v>
      </c>
      <c r="L210" s="100">
        <f t="shared" si="25"/>
        <v>2760000</v>
      </c>
      <c r="M210" s="101">
        <f>IFERROR(VLOOKUP(EMPLOYEE_MASTER!AQ210,LK_AllowanceRates!$A$5:$B$11,2,0),0)</f>
        <v>900000</v>
      </c>
      <c r="N210" s="101">
        <f ca="1">IFERROR(IF(EMPLOYEE_MASTER!J210&lt;=5,  EMPLOYEE_MASTER!J210*LK_AllowanceRates!$B$12,IF(EMPLOYEE_MASTER!J210&lt;=15, EMPLOYEE_MASTER!J210*LK_AllowanceRates!$B$13,IF(EMPLOYEE_MASTER!J210&lt;=25, EMPLOYEE_MASTER!J210*LK_AllowanceRates!$B$14,EMPLOYEE_MASTER!J210*LK_AllowanceRates!$B$15))),0)</f>
        <v>1440000</v>
      </c>
      <c r="O210" s="101">
        <f>IF(EMPLOYEE_MASTER!AS210="Teaching",L210*LK_AllowanceRates!$B$16,0)</f>
        <v>552000</v>
      </c>
      <c r="P210" s="101">
        <f>IF(EMPLOYEE_MASTER!AS210="Medical",LK_AllowanceRates!$B$17,0)</f>
        <v>0</v>
      </c>
      <c r="Q210" s="101">
        <f>IF(EMPLOYEE_MASTER!AR210="Yes",LK_AllowanceRates!$B$18,0)</f>
        <v>0</v>
      </c>
      <c r="R210" s="101">
        <f>IF(EMPLOYEE_MASTER!AC210="Yes",LK_AllowanceRates!$B$19,0)</f>
        <v>0</v>
      </c>
      <c r="S210" s="101">
        <f>IF(EMPLOYEE_MASTER!AA210="Yes",L210*LK_AllowanceRates!$B$20,0)</f>
        <v>0</v>
      </c>
      <c r="T210" s="101">
        <f>IF(EMPLOYEE_MASTER!AB210="Yes",LK_AllowanceRates!$B$21,0)</f>
        <v>0</v>
      </c>
      <c r="U210" s="101">
        <f>IF(EMPLOYEE_MASTER!P210&gt;=6,LK_AllowanceRates!$B$22,0)</f>
        <v>0</v>
      </c>
      <c r="V210" s="101">
        <f>IF(EMPLOYEE_MASTER!AO210="Yes",LK_AllowanceRates!$B$23,0)</f>
        <v>200000</v>
      </c>
      <c r="W210" s="101">
        <f>EMPLOYEE_MASTER!AP210*LK_AllowanceRates!$B$24</f>
        <v>600000</v>
      </c>
      <c r="X210" s="101">
        <v>0</v>
      </c>
      <c r="Y210" s="102">
        <v>0</v>
      </c>
      <c r="Z210" s="102">
        <v>0</v>
      </c>
      <c r="AA210" s="102">
        <v>0</v>
      </c>
      <c r="AB210" s="103">
        <f t="shared" ca="1" si="26"/>
        <v>3692000</v>
      </c>
      <c r="AC210" s="104">
        <f t="shared" ca="1" si="27"/>
        <v>6452000</v>
      </c>
      <c r="AD210" s="105">
        <f>ROUND(L210*LK_AllowanceRates!$B$25/100,0)</f>
        <v>151800</v>
      </c>
      <c r="AE210" s="106">
        <f t="shared" ca="1" si="28"/>
        <v>6300200</v>
      </c>
      <c r="AF210" s="106">
        <f t="shared" ca="1" si="29"/>
        <v>315020</v>
      </c>
      <c r="AG210" s="107">
        <v>0</v>
      </c>
      <c r="AH210" s="107">
        <v>0</v>
      </c>
      <c r="AI210" s="108">
        <f t="shared" ca="1" si="30"/>
        <v>466820</v>
      </c>
      <c r="AJ210" s="109">
        <f t="shared" ca="1" si="31"/>
        <v>5985180</v>
      </c>
    </row>
    <row r="211" spans="1:36" ht="15" customHeight="1" x14ac:dyDescent="0.3">
      <c r="A211" s="98" t="str">
        <f>EMPLOYEE_MASTER!A211</f>
        <v>LAO00208</v>
      </c>
      <c r="B211" s="98" t="str">
        <f>EMPLOYEE_MASTER!C211</f>
        <v>Santisouk</v>
      </c>
      <c r="C211" s="98" t="str">
        <f>EMPLOYEE_MASTER!D211</f>
        <v>Luanglath</v>
      </c>
      <c r="D211" s="98" t="str">
        <f>EMPLOYEE_MASTER!T211</f>
        <v>Ministry of Finance (MoF)</v>
      </c>
      <c r="E211" s="98" t="str">
        <f>EMPLOYEE_MASTER!M211</f>
        <v>Accountant</v>
      </c>
      <c r="F211" s="98" t="str">
        <f>EMPLOYEE_MASTER!Z211</f>
        <v>Finance</v>
      </c>
      <c r="G211" s="99">
        <f>EMPLOYEE_MASTER!P211</f>
        <v>3</v>
      </c>
      <c r="H211" s="99">
        <f>EMPLOYEE_MASTER!Q211</f>
        <v>5</v>
      </c>
      <c r="I211" s="100" t="str">
        <f t="shared" si="24"/>
        <v>G03-S05</v>
      </c>
      <c r="J211" s="100">
        <f>IFERROR(VLOOKUP(I211,LK_GradeStep!$C$4:$D$85,2,0),0)</f>
        <v>280</v>
      </c>
      <c r="K211" s="100">
        <f>IFERROR(VLOOKUP(I211,LK_GradeStep!$C$4:$E$85,3,0),10000)</f>
        <v>10000</v>
      </c>
      <c r="L211" s="100">
        <f t="shared" si="25"/>
        <v>2800000</v>
      </c>
      <c r="M211" s="101">
        <f>IFERROR(VLOOKUP(EMPLOYEE_MASTER!AQ211,LK_AllowanceRates!$A$5:$B$11,2,0),0)</f>
        <v>900000</v>
      </c>
      <c r="N211" s="101">
        <f ca="1">IFERROR(IF(EMPLOYEE_MASTER!J211&lt;=5,  EMPLOYEE_MASTER!J211*LK_AllowanceRates!$B$12,IF(EMPLOYEE_MASTER!J211&lt;=15, EMPLOYEE_MASTER!J211*LK_AllowanceRates!$B$13,IF(EMPLOYEE_MASTER!J211&lt;=25, EMPLOYEE_MASTER!J211*LK_AllowanceRates!$B$14,EMPLOYEE_MASTER!J211*LK_AllowanceRates!$B$15))),0)</f>
        <v>600000</v>
      </c>
      <c r="O211" s="101">
        <f>IF(EMPLOYEE_MASTER!AS211="Teaching",L211*LK_AllowanceRates!$B$16,0)</f>
        <v>0</v>
      </c>
      <c r="P211" s="101">
        <f>IF(EMPLOYEE_MASTER!AS211="Medical",LK_AllowanceRates!$B$17,0)</f>
        <v>0</v>
      </c>
      <c r="Q211" s="101">
        <f>IF(EMPLOYEE_MASTER!AR211="Yes",LK_AllowanceRates!$B$18,0)</f>
        <v>0</v>
      </c>
      <c r="R211" s="101">
        <f>IF(EMPLOYEE_MASTER!AC211="Yes",LK_AllowanceRates!$B$19,0)</f>
        <v>1000000</v>
      </c>
      <c r="S211" s="101">
        <f>IF(EMPLOYEE_MASTER!AA211="Yes",L211*LK_AllowanceRates!$B$20,0)</f>
        <v>700000</v>
      </c>
      <c r="T211" s="101">
        <f>IF(EMPLOYEE_MASTER!AB211="Yes",LK_AllowanceRates!$B$21,0)</f>
        <v>0</v>
      </c>
      <c r="U211" s="101">
        <f>IF(EMPLOYEE_MASTER!P211&gt;=6,LK_AllowanceRates!$B$22,0)</f>
        <v>0</v>
      </c>
      <c r="V211" s="101">
        <f>IF(EMPLOYEE_MASTER!AO211="Yes",LK_AllowanceRates!$B$23,0)</f>
        <v>200000</v>
      </c>
      <c r="W211" s="101">
        <f>EMPLOYEE_MASTER!AP211*LK_AllowanceRates!$B$24</f>
        <v>600000</v>
      </c>
      <c r="X211" s="101">
        <v>0</v>
      </c>
      <c r="Y211" s="102">
        <v>0</v>
      </c>
      <c r="Z211" s="102">
        <v>0</v>
      </c>
      <c r="AA211" s="102">
        <v>0</v>
      </c>
      <c r="AB211" s="103">
        <f t="shared" ca="1" si="26"/>
        <v>4000000</v>
      </c>
      <c r="AC211" s="104">
        <f t="shared" ca="1" si="27"/>
        <v>6800000</v>
      </c>
      <c r="AD211" s="105">
        <f>ROUND(L211*LK_AllowanceRates!$B$25/100,0)</f>
        <v>154000</v>
      </c>
      <c r="AE211" s="106">
        <f t="shared" ca="1" si="28"/>
        <v>6646000</v>
      </c>
      <c r="AF211" s="106">
        <f t="shared" ca="1" si="29"/>
        <v>349600</v>
      </c>
      <c r="AG211" s="107">
        <v>0</v>
      </c>
      <c r="AH211" s="107">
        <v>0</v>
      </c>
      <c r="AI211" s="108">
        <f t="shared" ca="1" si="30"/>
        <v>503600</v>
      </c>
      <c r="AJ211" s="109">
        <f t="shared" ca="1" si="31"/>
        <v>6296400</v>
      </c>
    </row>
    <row r="212" spans="1:36" ht="15" customHeight="1" x14ac:dyDescent="0.3">
      <c r="A212" s="98" t="str">
        <f>EMPLOYEE_MASTER!A212</f>
        <v>LAO00209</v>
      </c>
      <c r="B212" s="98" t="str">
        <f>EMPLOYEE_MASTER!C212</f>
        <v>Sounthone</v>
      </c>
      <c r="C212" s="98" t="str">
        <f>EMPLOYEE_MASTER!D212</f>
        <v>Thammavong</v>
      </c>
      <c r="D212" s="98" t="str">
        <f>EMPLOYEE_MASTER!T212</f>
        <v>Ministry of Foreign Affairs (MFA)</v>
      </c>
      <c r="E212" s="98" t="str">
        <f>EMPLOYEE_MASTER!M212</f>
        <v>Second Secretary</v>
      </c>
      <c r="F212" s="98" t="str">
        <f>EMPLOYEE_MASTER!Z212</f>
        <v>Diplomatic</v>
      </c>
      <c r="G212" s="99">
        <f>EMPLOYEE_MASTER!P212</f>
        <v>4</v>
      </c>
      <c r="H212" s="99">
        <f>EMPLOYEE_MASTER!Q212</f>
        <v>1</v>
      </c>
      <c r="I212" s="100" t="str">
        <f t="shared" si="24"/>
        <v>G04-S01</v>
      </c>
      <c r="J212" s="100">
        <f>IFERROR(VLOOKUP(I212,LK_GradeStep!$C$4:$D$85,2,0),0)</f>
        <v>286</v>
      </c>
      <c r="K212" s="100">
        <f>IFERROR(VLOOKUP(I212,LK_GradeStep!$C$4:$E$85,3,0),10000)</f>
        <v>10000</v>
      </c>
      <c r="L212" s="100">
        <f t="shared" si="25"/>
        <v>2860000</v>
      </c>
      <c r="M212" s="101">
        <f>IFERROR(VLOOKUP(EMPLOYEE_MASTER!AQ212,LK_AllowanceRates!$A$5:$B$11,2,0),0)</f>
        <v>900000</v>
      </c>
      <c r="N212" s="101">
        <f ca="1">IFERROR(IF(EMPLOYEE_MASTER!J212&lt;=5,  EMPLOYEE_MASTER!J212*LK_AllowanceRates!$B$12,IF(EMPLOYEE_MASTER!J212&lt;=15, EMPLOYEE_MASTER!J212*LK_AllowanceRates!$B$13,IF(EMPLOYEE_MASTER!J212&lt;=25, EMPLOYEE_MASTER!J212*LK_AllowanceRates!$B$14,EMPLOYEE_MASTER!J212*LK_AllowanceRates!$B$15))),0)</f>
        <v>1040000</v>
      </c>
      <c r="O212" s="101">
        <f>IF(EMPLOYEE_MASTER!AS212="Teaching",L212*LK_AllowanceRates!$B$16,0)</f>
        <v>0</v>
      </c>
      <c r="P212" s="101">
        <f>IF(EMPLOYEE_MASTER!AS212="Medical",LK_AllowanceRates!$B$17,0)</f>
        <v>0</v>
      </c>
      <c r="Q212" s="101">
        <f>IF(EMPLOYEE_MASTER!AR212="Yes",LK_AllowanceRates!$B$18,0)</f>
        <v>0</v>
      </c>
      <c r="R212" s="101">
        <f>IF(EMPLOYEE_MASTER!AC212="Yes",LK_AllowanceRates!$B$19,0)</f>
        <v>1000000</v>
      </c>
      <c r="S212" s="101">
        <f>IF(EMPLOYEE_MASTER!AA212="Yes",L212*LK_AllowanceRates!$B$20,0)</f>
        <v>715000</v>
      </c>
      <c r="T212" s="101">
        <f>IF(EMPLOYEE_MASTER!AB212="Yes",LK_AllowanceRates!$B$21,0)</f>
        <v>0</v>
      </c>
      <c r="U212" s="101">
        <f>IF(EMPLOYEE_MASTER!P212&gt;=6,LK_AllowanceRates!$B$22,0)</f>
        <v>0</v>
      </c>
      <c r="V212" s="101">
        <f>IF(EMPLOYEE_MASTER!AO212="Yes",LK_AllowanceRates!$B$23,0)</f>
        <v>200000</v>
      </c>
      <c r="W212" s="101">
        <f>EMPLOYEE_MASTER!AP212*LK_AllowanceRates!$B$24</f>
        <v>200000</v>
      </c>
      <c r="X212" s="101">
        <v>0</v>
      </c>
      <c r="Y212" s="102">
        <v>0</v>
      </c>
      <c r="Z212" s="102">
        <v>0</v>
      </c>
      <c r="AA212" s="102">
        <v>0</v>
      </c>
      <c r="AB212" s="103">
        <f t="shared" ca="1" si="26"/>
        <v>4055000</v>
      </c>
      <c r="AC212" s="104">
        <f t="shared" ca="1" si="27"/>
        <v>6915000</v>
      </c>
      <c r="AD212" s="105">
        <f>ROUND(L212*LK_AllowanceRates!$B$25/100,0)</f>
        <v>157300</v>
      </c>
      <c r="AE212" s="106">
        <f t="shared" ca="1" si="28"/>
        <v>6757700</v>
      </c>
      <c r="AF212" s="106">
        <f t="shared" ca="1" si="29"/>
        <v>360770</v>
      </c>
      <c r="AG212" s="107">
        <v>0</v>
      </c>
      <c r="AH212" s="107">
        <v>0</v>
      </c>
      <c r="AI212" s="108">
        <f t="shared" ca="1" si="30"/>
        <v>518070</v>
      </c>
      <c r="AJ212" s="109">
        <f t="shared" ca="1" si="31"/>
        <v>6396930</v>
      </c>
    </row>
    <row r="213" spans="1:36" ht="15" customHeight="1" x14ac:dyDescent="0.3">
      <c r="A213" s="98" t="str">
        <f>EMPLOYEE_MASTER!A213</f>
        <v>LAO00210</v>
      </c>
      <c r="B213" s="98" t="str">
        <f>EMPLOYEE_MASTER!C213</f>
        <v>Khamphanh</v>
      </c>
      <c r="C213" s="98" t="str">
        <f>EMPLOYEE_MASTER!D213</f>
        <v>Kheudkham</v>
      </c>
      <c r="D213" s="98" t="str">
        <f>EMPLOYEE_MASTER!T213</f>
        <v>Ministry of Education and Sports (MoES)</v>
      </c>
      <c r="E213" s="98" t="str">
        <f>EMPLOYEE_MASTER!M213</f>
        <v>Education Officer</v>
      </c>
      <c r="F213" s="98" t="str">
        <f>EMPLOYEE_MASTER!Z213</f>
        <v>Teacher</v>
      </c>
      <c r="G213" s="99">
        <f>EMPLOYEE_MASTER!P213</f>
        <v>2</v>
      </c>
      <c r="H213" s="99">
        <f>EMPLOYEE_MASTER!Q213</f>
        <v>13</v>
      </c>
      <c r="I213" s="100" t="str">
        <f t="shared" si="24"/>
        <v>G02-S13</v>
      </c>
      <c r="J213" s="100">
        <f>IFERROR(VLOOKUP(I213,LK_GradeStep!$C$4:$D$85,2,0),0)</f>
        <v>280</v>
      </c>
      <c r="K213" s="100">
        <f>IFERROR(VLOOKUP(I213,LK_GradeStep!$C$4:$E$85,3,0),10000)</f>
        <v>10000</v>
      </c>
      <c r="L213" s="100">
        <f t="shared" si="25"/>
        <v>2800000</v>
      </c>
      <c r="M213" s="101">
        <f>IFERROR(VLOOKUP(EMPLOYEE_MASTER!AQ213,LK_AllowanceRates!$A$5:$B$11,2,0),0)</f>
        <v>900000</v>
      </c>
      <c r="N213" s="101">
        <f ca="1">IFERROR(IF(EMPLOYEE_MASTER!J213&lt;=5,  EMPLOYEE_MASTER!J213*LK_AllowanceRates!$B$12,IF(EMPLOYEE_MASTER!J213&lt;=15, EMPLOYEE_MASTER!J213*LK_AllowanceRates!$B$13,IF(EMPLOYEE_MASTER!J213&lt;=25, EMPLOYEE_MASTER!J213*LK_AllowanceRates!$B$14,EMPLOYEE_MASTER!J213*LK_AllowanceRates!$B$15))),0)</f>
        <v>50000</v>
      </c>
      <c r="O213" s="101">
        <f>IF(EMPLOYEE_MASTER!AS213="Teaching",L213*LK_AllowanceRates!$B$16,0)</f>
        <v>560000</v>
      </c>
      <c r="P213" s="101">
        <f>IF(EMPLOYEE_MASTER!AS213="Medical",LK_AllowanceRates!$B$17,0)</f>
        <v>0</v>
      </c>
      <c r="Q213" s="101">
        <f>IF(EMPLOYEE_MASTER!AR213="Yes",LK_AllowanceRates!$B$18,0)</f>
        <v>0</v>
      </c>
      <c r="R213" s="101">
        <f>IF(EMPLOYEE_MASTER!AC213="Yes",LK_AllowanceRates!$B$19,0)</f>
        <v>1000000</v>
      </c>
      <c r="S213" s="101">
        <f>IF(EMPLOYEE_MASTER!AA213="Yes",L213*LK_AllowanceRates!$B$20,0)</f>
        <v>700000</v>
      </c>
      <c r="T213" s="101">
        <f>IF(EMPLOYEE_MASTER!AB213="Yes",LK_AllowanceRates!$B$21,0)</f>
        <v>0</v>
      </c>
      <c r="U213" s="101">
        <f>IF(EMPLOYEE_MASTER!P213&gt;=6,LK_AllowanceRates!$B$22,0)</f>
        <v>0</v>
      </c>
      <c r="V213" s="101">
        <f>IF(EMPLOYEE_MASTER!AO213="Yes",LK_AllowanceRates!$B$23,0)</f>
        <v>0</v>
      </c>
      <c r="W213" s="101">
        <f>EMPLOYEE_MASTER!AP213*LK_AllowanceRates!$B$24</f>
        <v>0</v>
      </c>
      <c r="X213" s="101">
        <v>0</v>
      </c>
      <c r="Y213" s="102">
        <v>0</v>
      </c>
      <c r="Z213" s="102">
        <v>0</v>
      </c>
      <c r="AA213" s="102">
        <v>0</v>
      </c>
      <c r="AB213" s="103">
        <f t="shared" ca="1" si="26"/>
        <v>3210000</v>
      </c>
      <c r="AC213" s="104">
        <f t="shared" ca="1" si="27"/>
        <v>6010000</v>
      </c>
      <c r="AD213" s="105">
        <f>ROUND(L213*LK_AllowanceRates!$B$25/100,0)</f>
        <v>154000</v>
      </c>
      <c r="AE213" s="106">
        <f t="shared" ca="1" si="28"/>
        <v>5856000</v>
      </c>
      <c r="AF213" s="106">
        <f t="shared" ca="1" si="29"/>
        <v>270600</v>
      </c>
      <c r="AG213" s="107">
        <v>0</v>
      </c>
      <c r="AH213" s="107">
        <v>0</v>
      </c>
      <c r="AI213" s="108">
        <f t="shared" ca="1" si="30"/>
        <v>424600</v>
      </c>
      <c r="AJ213" s="109">
        <f t="shared" ca="1" si="31"/>
        <v>5585400</v>
      </c>
    </row>
    <row r="214" spans="1:36" ht="15" customHeight="1" x14ac:dyDescent="0.3">
      <c r="A214" s="98" t="str">
        <f>EMPLOYEE_MASTER!A214</f>
        <v>LAO00211</v>
      </c>
      <c r="B214" s="98" t="str">
        <f>EMPLOYEE_MASTER!C214</f>
        <v>Souvanny</v>
      </c>
      <c r="C214" s="98" t="str">
        <f>EMPLOYEE_MASTER!D214</f>
        <v>Souksavanh</v>
      </c>
      <c r="D214" s="98" t="str">
        <f>EMPLOYEE_MASTER!T214</f>
        <v>Ministry of Planning &amp; Investment (MPI)</v>
      </c>
      <c r="E214" s="98" t="str">
        <f>EMPLOYEE_MASTER!M214</f>
        <v>Deputy Department Director</v>
      </c>
      <c r="F214" s="98" t="str">
        <f>EMPLOYEE_MASTER!Z214</f>
        <v>Administration</v>
      </c>
      <c r="G214" s="99">
        <f>EMPLOYEE_MASTER!P214</f>
        <v>5</v>
      </c>
      <c r="H214" s="99">
        <f>EMPLOYEE_MASTER!Q214</f>
        <v>2</v>
      </c>
      <c r="I214" s="100" t="str">
        <f t="shared" si="24"/>
        <v>G05-S02</v>
      </c>
      <c r="J214" s="100">
        <f>IFERROR(VLOOKUP(I214,LK_GradeStep!$C$4:$D$85,2,0),0)</f>
        <v>313</v>
      </c>
      <c r="K214" s="100">
        <f>IFERROR(VLOOKUP(I214,LK_GradeStep!$C$4:$E$85,3,0),10000)</f>
        <v>10000</v>
      </c>
      <c r="L214" s="100">
        <f t="shared" si="25"/>
        <v>3130000</v>
      </c>
      <c r="M214" s="101">
        <f>IFERROR(VLOOKUP(EMPLOYEE_MASTER!AQ214,LK_AllowanceRates!$A$5:$B$11,2,0),0)</f>
        <v>900000</v>
      </c>
      <c r="N214" s="101">
        <f ca="1">IFERROR(IF(EMPLOYEE_MASTER!J214&lt;=5,  EMPLOYEE_MASTER!J214*LK_AllowanceRates!$B$12,IF(EMPLOYEE_MASTER!J214&lt;=15, EMPLOYEE_MASTER!J214*LK_AllowanceRates!$B$13,IF(EMPLOYEE_MASTER!J214&lt;=25, EMPLOYEE_MASTER!J214*LK_AllowanceRates!$B$14,EMPLOYEE_MASTER!J214*LK_AllowanceRates!$B$15))),0)</f>
        <v>660000</v>
      </c>
      <c r="O214" s="101">
        <f>IF(EMPLOYEE_MASTER!AS214="Teaching",L214*LK_AllowanceRates!$B$16,0)</f>
        <v>0</v>
      </c>
      <c r="P214" s="101">
        <f>IF(EMPLOYEE_MASTER!AS214="Medical",LK_AllowanceRates!$B$17,0)</f>
        <v>0</v>
      </c>
      <c r="Q214" s="101">
        <f>IF(EMPLOYEE_MASTER!AR214="Yes",LK_AllowanceRates!$B$18,0)</f>
        <v>0</v>
      </c>
      <c r="R214" s="101">
        <f>IF(EMPLOYEE_MASTER!AC214="Yes",LK_AllowanceRates!$B$19,0)</f>
        <v>0</v>
      </c>
      <c r="S214" s="101">
        <f>IF(EMPLOYEE_MASTER!AA214="Yes",L214*LK_AllowanceRates!$B$20,0)</f>
        <v>0</v>
      </c>
      <c r="T214" s="101">
        <f>IF(EMPLOYEE_MASTER!AB214="Yes",LK_AllowanceRates!$B$21,0)</f>
        <v>0</v>
      </c>
      <c r="U214" s="101">
        <f>IF(EMPLOYEE_MASTER!P214&gt;=6,LK_AllowanceRates!$B$22,0)</f>
        <v>0</v>
      </c>
      <c r="V214" s="101">
        <f>IF(EMPLOYEE_MASTER!AO214="Yes",LK_AllowanceRates!$B$23,0)</f>
        <v>200000</v>
      </c>
      <c r="W214" s="101">
        <f>EMPLOYEE_MASTER!AP214*LK_AllowanceRates!$B$24</f>
        <v>0</v>
      </c>
      <c r="X214" s="101">
        <v>0</v>
      </c>
      <c r="Y214" s="102">
        <v>0</v>
      </c>
      <c r="Z214" s="102">
        <v>0</v>
      </c>
      <c r="AA214" s="102">
        <v>0</v>
      </c>
      <c r="AB214" s="103">
        <f t="shared" ca="1" si="26"/>
        <v>1760000</v>
      </c>
      <c r="AC214" s="104">
        <f t="shared" ca="1" si="27"/>
        <v>4890000</v>
      </c>
      <c r="AD214" s="105">
        <f>ROUND(L214*LK_AllowanceRates!$B$25/100,0)</f>
        <v>172150</v>
      </c>
      <c r="AE214" s="106">
        <f t="shared" ca="1" si="28"/>
        <v>4717850</v>
      </c>
      <c r="AF214" s="106">
        <f t="shared" ca="1" si="29"/>
        <v>170892.5</v>
      </c>
      <c r="AG214" s="107">
        <v>0</v>
      </c>
      <c r="AH214" s="107">
        <v>0</v>
      </c>
      <c r="AI214" s="108">
        <f t="shared" ca="1" si="30"/>
        <v>343042.5</v>
      </c>
      <c r="AJ214" s="109">
        <f t="shared" ca="1" si="31"/>
        <v>4546957.5</v>
      </c>
    </row>
    <row r="215" spans="1:36" ht="15" customHeight="1" x14ac:dyDescent="0.3">
      <c r="A215" s="98" t="str">
        <f>EMPLOYEE_MASTER!A215</f>
        <v>LAO00212</v>
      </c>
      <c r="B215" s="98" t="str">
        <f>EMPLOYEE_MASTER!C215</f>
        <v>Phonevilay</v>
      </c>
      <c r="C215" s="98" t="str">
        <f>EMPLOYEE_MASTER!D215</f>
        <v>Phongphichith</v>
      </c>
      <c r="D215" s="98" t="str">
        <f>EMPLOYEE_MASTER!T215</f>
        <v>National Assembly (NA)</v>
      </c>
      <c r="E215" s="98" t="str">
        <f>EMPLOYEE_MASTER!M215</f>
        <v>Division Chief</v>
      </c>
      <c r="F215" s="98" t="str">
        <f>EMPLOYEE_MASTER!Z215</f>
        <v>Administration</v>
      </c>
      <c r="G215" s="99">
        <f>EMPLOYEE_MASTER!P215</f>
        <v>5</v>
      </c>
      <c r="H215" s="99">
        <f>EMPLOYEE_MASTER!Q215</f>
        <v>1</v>
      </c>
      <c r="I215" s="100" t="str">
        <f t="shared" si="24"/>
        <v>G05-S01</v>
      </c>
      <c r="J215" s="100">
        <f>IFERROR(VLOOKUP(I215,LK_GradeStep!$C$4:$D$85,2,0),0)</f>
        <v>308</v>
      </c>
      <c r="K215" s="100">
        <f>IFERROR(VLOOKUP(I215,LK_GradeStep!$C$4:$E$85,3,0),10000)</f>
        <v>10000</v>
      </c>
      <c r="L215" s="100">
        <f t="shared" si="25"/>
        <v>3080000</v>
      </c>
      <c r="M215" s="101">
        <f>IFERROR(VLOOKUP(EMPLOYEE_MASTER!AQ215,LK_AllowanceRates!$A$5:$B$11,2,0),0)</f>
        <v>1900000</v>
      </c>
      <c r="N215" s="101">
        <f ca="1">IFERROR(IF(EMPLOYEE_MASTER!J215&lt;=5,  EMPLOYEE_MASTER!J215*LK_AllowanceRates!$B$12,IF(EMPLOYEE_MASTER!J215&lt;=15, EMPLOYEE_MASTER!J215*LK_AllowanceRates!$B$13,IF(EMPLOYEE_MASTER!J215&lt;=25, EMPLOYEE_MASTER!J215*LK_AllowanceRates!$B$14,EMPLOYEE_MASTER!J215*LK_AllowanceRates!$B$15))),0)</f>
        <v>140000</v>
      </c>
      <c r="O215" s="101">
        <f>IF(EMPLOYEE_MASTER!AS215="Teaching",L215*LK_AllowanceRates!$B$16,0)</f>
        <v>0</v>
      </c>
      <c r="P215" s="101">
        <f>IF(EMPLOYEE_MASTER!AS215="Medical",LK_AllowanceRates!$B$17,0)</f>
        <v>0</v>
      </c>
      <c r="Q215" s="101">
        <f>IF(EMPLOYEE_MASTER!AR215="Yes",LK_AllowanceRates!$B$18,0)</f>
        <v>1000000</v>
      </c>
      <c r="R215" s="101">
        <f>IF(EMPLOYEE_MASTER!AC215="Yes",LK_AllowanceRates!$B$19,0)</f>
        <v>0</v>
      </c>
      <c r="S215" s="101">
        <f>IF(EMPLOYEE_MASTER!AA215="Yes",L215*LK_AllowanceRates!$B$20,0)</f>
        <v>0</v>
      </c>
      <c r="T215" s="101">
        <f>IF(EMPLOYEE_MASTER!AB215="Yes",LK_AllowanceRates!$B$21,0)</f>
        <v>0</v>
      </c>
      <c r="U215" s="101">
        <f>IF(EMPLOYEE_MASTER!P215&gt;=6,LK_AllowanceRates!$B$22,0)</f>
        <v>0</v>
      </c>
      <c r="V215" s="101">
        <f>IF(EMPLOYEE_MASTER!AO215="Yes",LK_AllowanceRates!$B$23,0)</f>
        <v>200000</v>
      </c>
      <c r="W215" s="101">
        <f>EMPLOYEE_MASTER!AP215*LK_AllowanceRates!$B$24</f>
        <v>200000</v>
      </c>
      <c r="X215" s="101">
        <v>0</v>
      </c>
      <c r="Y215" s="102">
        <v>0</v>
      </c>
      <c r="Z215" s="102">
        <v>0</v>
      </c>
      <c r="AA215" s="102">
        <v>0</v>
      </c>
      <c r="AB215" s="103">
        <f t="shared" ca="1" si="26"/>
        <v>3440000</v>
      </c>
      <c r="AC215" s="104">
        <f t="shared" ca="1" si="27"/>
        <v>6520000</v>
      </c>
      <c r="AD215" s="105">
        <f>ROUND(L215*LK_AllowanceRates!$B$25/100,0)</f>
        <v>169400</v>
      </c>
      <c r="AE215" s="106">
        <f t="shared" ca="1" si="28"/>
        <v>6350600</v>
      </c>
      <c r="AF215" s="106">
        <f t="shared" ca="1" si="29"/>
        <v>320060</v>
      </c>
      <c r="AG215" s="107">
        <v>0</v>
      </c>
      <c r="AH215" s="107">
        <v>0</v>
      </c>
      <c r="AI215" s="108">
        <f t="shared" ca="1" si="30"/>
        <v>489460</v>
      </c>
      <c r="AJ215" s="109">
        <f t="shared" ca="1" si="31"/>
        <v>6030540</v>
      </c>
    </row>
    <row r="216" spans="1:36" ht="15" customHeight="1" x14ac:dyDescent="0.3">
      <c r="A216" s="98" t="str">
        <f>EMPLOYEE_MASTER!A216</f>
        <v>LAO00213</v>
      </c>
      <c r="B216" s="98" t="str">
        <f>EMPLOYEE_MASTER!C216</f>
        <v>Vanhkham</v>
      </c>
      <c r="C216" s="98" t="str">
        <f>EMPLOYEE_MASTER!D216</f>
        <v>Phaymany</v>
      </c>
      <c r="D216" s="98" t="str">
        <f>EMPLOYEE_MASTER!T216</f>
        <v>Champasak Province Administration</v>
      </c>
      <c r="E216" s="98" t="str">
        <f>EMPLOYEE_MASTER!M216</f>
        <v>Department Director</v>
      </c>
      <c r="F216" s="98" t="str">
        <f>EMPLOYEE_MASTER!Z216</f>
        <v>Administration</v>
      </c>
      <c r="G216" s="99">
        <f>EMPLOYEE_MASTER!P216</f>
        <v>4</v>
      </c>
      <c r="H216" s="99">
        <f>EMPLOYEE_MASTER!Q216</f>
        <v>11</v>
      </c>
      <c r="I216" s="100" t="str">
        <f t="shared" si="24"/>
        <v>G04-S11</v>
      </c>
      <c r="J216" s="100">
        <f>IFERROR(VLOOKUP(I216,LK_GradeStep!$C$4:$D$85,2,0),0)</f>
        <v>318</v>
      </c>
      <c r="K216" s="100">
        <f>IFERROR(VLOOKUP(I216,LK_GradeStep!$C$4:$E$85,3,0),10000)</f>
        <v>10000</v>
      </c>
      <c r="L216" s="100">
        <f t="shared" si="25"/>
        <v>3180000</v>
      </c>
      <c r="M216" s="101">
        <f>IFERROR(VLOOKUP(EMPLOYEE_MASTER!AQ216,LK_AllowanceRates!$A$5:$B$11,2,0),0)</f>
        <v>2500000</v>
      </c>
      <c r="N216" s="101">
        <f ca="1">IFERROR(IF(EMPLOYEE_MASTER!J216&lt;=5,  EMPLOYEE_MASTER!J216*LK_AllowanceRates!$B$12,IF(EMPLOYEE_MASTER!J216&lt;=15, EMPLOYEE_MASTER!J216*LK_AllowanceRates!$B$13,IF(EMPLOYEE_MASTER!J216&lt;=25, EMPLOYEE_MASTER!J216*LK_AllowanceRates!$B$14,EMPLOYEE_MASTER!J216*LK_AllowanceRates!$B$15))),0)</f>
        <v>30000</v>
      </c>
      <c r="O216" s="101">
        <f>IF(EMPLOYEE_MASTER!AS216="Teaching",L216*LK_AllowanceRates!$B$16,0)</f>
        <v>0</v>
      </c>
      <c r="P216" s="101">
        <f>IF(EMPLOYEE_MASTER!AS216="Medical",LK_AllowanceRates!$B$17,0)</f>
        <v>0</v>
      </c>
      <c r="Q216" s="101">
        <f>IF(EMPLOYEE_MASTER!AR216="Yes",LK_AllowanceRates!$B$18,0)</f>
        <v>0</v>
      </c>
      <c r="R216" s="101">
        <f>IF(EMPLOYEE_MASTER!AC216="Yes",LK_AllowanceRates!$B$19,0)</f>
        <v>1000000</v>
      </c>
      <c r="S216" s="101">
        <f>IF(EMPLOYEE_MASTER!AA216="Yes",L216*LK_AllowanceRates!$B$20,0)</f>
        <v>0</v>
      </c>
      <c r="T216" s="101">
        <f>IF(EMPLOYEE_MASTER!AB216="Yes",LK_AllowanceRates!$B$21,0)</f>
        <v>0</v>
      </c>
      <c r="U216" s="101">
        <f>IF(EMPLOYEE_MASTER!P216&gt;=6,LK_AllowanceRates!$B$22,0)</f>
        <v>0</v>
      </c>
      <c r="V216" s="101">
        <f>IF(EMPLOYEE_MASTER!AO216="Yes",LK_AllowanceRates!$B$23,0)</f>
        <v>0</v>
      </c>
      <c r="W216" s="101">
        <f>EMPLOYEE_MASTER!AP216*LK_AllowanceRates!$B$24</f>
        <v>0</v>
      </c>
      <c r="X216" s="101">
        <v>0</v>
      </c>
      <c r="Y216" s="102">
        <v>0</v>
      </c>
      <c r="Z216" s="102">
        <v>0</v>
      </c>
      <c r="AA216" s="102">
        <v>0</v>
      </c>
      <c r="AB216" s="103">
        <f t="shared" ca="1" si="26"/>
        <v>3530000</v>
      </c>
      <c r="AC216" s="104">
        <f t="shared" ca="1" si="27"/>
        <v>6710000</v>
      </c>
      <c r="AD216" s="105">
        <f>ROUND(L216*LK_AllowanceRates!$B$25/100,0)</f>
        <v>174900</v>
      </c>
      <c r="AE216" s="106">
        <f t="shared" ca="1" si="28"/>
        <v>6535100</v>
      </c>
      <c r="AF216" s="106">
        <f t="shared" ca="1" si="29"/>
        <v>338510</v>
      </c>
      <c r="AG216" s="107">
        <v>0</v>
      </c>
      <c r="AH216" s="107">
        <v>0</v>
      </c>
      <c r="AI216" s="108">
        <f t="shared" ca="1" si="30"/>
        <v>513410</v>
      </c>
      <c r="AJ216" s="109">
        <f t="shared" ca="1" si="31"/>
        <v>6196590</v>
      </c>
    </row>
    <row r="217" spans="1:36" ht="15" customHeight="1" x14ac:dyDescent="0.3">
      <c r="A217" s="98" t="str">
        <f>EMPLOYEE_MASTER!A217</f>
        <v>LAO00214</v>
      </c>
      <c r="B217" s="98" t="str">
        <f>EMPLOYEE_MASTER!C217</f>
        <v>Keovilay</v>
      </c>
      <c r="C217" s="98" t="str">
        <f>EMPLOYEE_MASTER!D217</f>
        <v>Bouavong</v>
      </c>
      <c r="D217" s="98" t="str">
        <f>EMPLOYEE_MASTER!T217</f>
        <v>Ministry of Natural Resources &amp; Environment (MoNRE)</v>
      </c>
      <c r="E217" s="98" t="str">
        <f>EMPLOYEE_MASTER!M217</f>
        <v>Environmental Officer</v>
      </c>
      <c r="F217" s="98" t="str">
        <f>EMPLOYEE_MASTER!Z217</f>
        <v>Technical</v>
      </c>
      <c r="G217" s="99">
        <f>EMPLOYEE_MASTER!P217</f>
        <v>4</v>
      </c>
      <c r="H217" s="99">
        <f>EMPLOYEE_MASTER!Q217</f>
        <v>1</v>
      </c>
      <c r="I217" s="100" t="str">
        <f t="shared" si="24"/>
        <v>G04-S01</v>
      </c>
      <c r="J217" s="100">
        <f>IFERROR(VLOOKUP(I217,LK_GradeStep!$C$4:$D$85,2,0),0)</f>
        <v>286</v>
      </c>
      <c r="K217" s="100">
        <f>IFERROR(VLOOKUP(I217,LK_GradeStep!$C$4:$E$85,3,0),10000)</f>
        <v>10000</v>
      </c>
      <c r="L217" s="100">
        <f t="shared" si="25"/>
        <v>2860000</v>
      </c>
      <c r="M217" s="101">
        <f>IFERROR(VLOOKUP(EMPLOYEE_MASTER!AQ217,LK_AllowanceRates!$A$5:$B$11,2,0),0)</f>
        <v>900000</v>
      </c>
      <c r="N217" s="101">
        <f ca="1">IFERROR(IF(EMPLOYEE_MASTER!J217&lt;=5,  EMPLOYEE_MASTER!J217*LK_AllowanceRates!$B$12,IF(EMPLOYEE_MASTER!J217&lt;=15, EMPLOYEE_MASTER!J217*LK_AllowanceRates!$B$13,IF(EMPLOYEE_MASTER!J217&lt;=25, EMPLOYEE_MASTER!J217*LK_AllowanceRates!$B$14,EMPLOYEE_MASTER!J217*LK_AllowanceRates!$B$15))),0)</f>
        <v>120000</v>
      </c>
      <c r="O217" s="101">
        <f>IF(EMPLOYEE_MASTER!AS217="Teaching",L217*LK_AllowanceRates!$B$16,0)</f>
        <v>0</v>
      </c>
      <c r="P217" s="101">
        <f>IF(EMPLOYEE_MASTER!AS217="Medical",LK_AllowanceRates!$B$17,0)</f>
        <v>0</v>
      </c>
      <c r="Q217" s="101">
        <f>IF(EMPLOYEE_MASTER!AR217="Yes",LK_AllowanceRates!$B$18,0)</f>
        <v>0</v>
      </c>
      <c r="R217" s="101">
        <f>IF(EMPLOYEE_MASTER!AC217="Yes",LK_AllowanceRates!$B$19,0)</f>
        <v>1000000</v>
      </c>
      <c r="S217" s="101">
        <f>IF(EMPLOYEE_MASTER!AA217="Yes",L217*LK_AllowanceRates!$B$20,0)</f>
        <v>715000</v>
      </c>
      <c r="T217" s="101">
        <f>IF(EMPLOYEE_MASTER!AB217="Yes",LK_AllowanceRates!$B$21,0)</f>
        <v>0</v>
      </c>
      <c r="U217" s="101">
        <f>IF(EMPLOYEE_MASTER!P217&gt;=6,LK_AllowanceRates!$B$22,0)</f>
        <v>0</v>
      </c>
      <c r="V217" s="101">
        <f>IF(EMPLOYEE_MASTER!AO217="Yes",LK_AllowanceRates!$B$23,0)</f>
        <v>200000</v>
      </c>
      <c r="W217" s="101">
        <f>EMPLOYEE_MASTER!AP217*LK_AllowanceRates!$B$24</f>
        <v>600000</v>
      </c>
      <c r="X217" s="101">
        <v>0</v>
      </c>
      <c r="Y217" s="102">
        <v>0</v>
      </c>
      <c r="Z217" s="102">
        <v>0</v>
      </c>
      <c r="AA217" s="102">
        <v>0</v>
      </c>
      <c r="AB217" s="103">
        <f t="shared" ca="1" si="26"/>
        <v>3535000</v>
      </c>
      <c r="AC217" s="104">
        <f t="shared" ca="1" si="27"/>
        <v>6395000</v>
      </c>
      <c r="AD217" s="105">
        <f>ROUND(L217*LK_AllowanceRates!$B$25/100,0)</f>
        <v>157300</v>
      </c>
      <c r="AE217" s="106">
        <f t="shared" ca="1" si="28"/>
        <v>6237700</v>
      </c>
      <c r="AF217" s="106">
        <f t="shared" ca="1" si="29"/>
        <v>308770</v>
      </c>
      <c r="AG217" s="107">
        <v>0</v>
      </c>
      <c r="AH217" s="107">
        <v>0</v>
      </c>
      <c r="AI217" s="108">
        <f t="shared" ca="1" si="30"/>
        <v>466070</v>
      </c>
      <c r="AJ217" s="109">
        <f t="shared" ca="1" si="31"/>
        <v>5928930</v>
      </c>
    </row>
    <row r="218" spans="1:36" ht="15" customHeight="1" x14ac:dyDescent="0.3">
      <c r="A218" s="98" t="str">
        <f>EMPLOYEE_MASTER!A218</f>
        <v>LAO00215</v>
      </c>
      <c r="B218" s="98" t="str">
        <f>EMPLOYEE_MASTER!C218</f>
        <v>Sisamone</v>
      </c>
      <c r="C218" s="98" t="str">
        <f>EMPLOYEE_MASTER!D218</f>
        <v>Phommavong</v>
      </c>
      <c r="D218" s="98" t="str">
        <f>EMPLOYEE_MASTER!T218</f>
        <v>Khammuane Province Administration</v>
      </c>
      <c r="E218" s="98" t="str">
        <f>EMPLOYEE_MASTER!M218</f>
        <v>Administrative Officer</v>
      </c>
      <c r="F218" s="98" t="str">
        <f>EMPLOYEE_MASTER!Z218</f>
        <v>Administration</v>
      </c>
      <c r="G218" s="99">
        <f>EMPLOYEE_MASTER!P218</f>
        <v>2</v>
      </c>
      <c r="H218" s="99">
        <f>EMPLOYEE_MASTER!Q218</f>
        <v>1</v>
      </c>
      <c r="I218" s="100" t="str">
        <f t="shared" si="24"/>
        <v>G02-S01</v>
      </c>
      <c r="J218" s="100">
        <f>IFERROR(VLOOKUP(I218,LK_GradeStep!$C$4:$D$85,2,0),0)</f>
        <v>268</v>
      </c>
      <c r="K218" s="100">
        <f>IFERROR(VLOOKUP(I218,LK_GradeStep!$C$4:$E$85,3,0),10000)</f>
        <v>10000</v>
      </c>
      <c r="L218" s="100">
        <f t="shared" si="25"/>
        <v>2680000</v>
      </c>
      <c r="M218" s="101">
        <f>IFERROR(VLOOKUP(EMPLOYEE_MASTER!AQ218,LK_AllowanceRates!$A$5:$B$11,2,0),0)</f>
        <v>900000</v>
      </c>
      <c r="N218" s="101">
        <f ca="1">IFERROR(IF(EMPLOYEE_MASTER!J218&lt;=5,  EMPLOYEE_MASTER!J218*LK_AllowanceRates!$B$12,IF(EMPLOYEE_MASTER!J218&lt;=15, EMPLOYEE_MASTER!J218*LK_AllowanceRates!$B$13,IF(EMPLOYEE_MASTER!J218&lt;=25, EMPLOYEE_MASTER!J218*LK_AllowanceRates!$B$14,EMPLOYEE_MASTER!J218*LK_AllowanceRates!$B$15))),0)</f>
        <v>1080000</v>
      </c>
      <c r="O218" s="101">
        <f>IF(EMPLOYEE_MASTER!AS218="Teaching",L218*LK_AllowanceRates!$B$16,0)</f>
        <v>0</v>
      </c>
      <c r="P218" s="101">
        <f>IF(EMPLOYEE_MASTER!AS218="Medical",LK_AllowanceRates!$B$17,0)</f>
        <v>0</v>
      </c>
      <c r="Q218" s="101">
        <f>IF(EMPLOYEE_MASTER!AR218="Yes",LK_AllowanceRates!$B$18,0)</f>
        <v>0</v>
      </c>
      <c r="R218" s="101">
        <f>IF(EMPLOYEE_MASTER!AC218="Yes",LK_AllowanceRates!$B$19,0)</f>
        <v>0</v>
      </c>
      <c r="S218" s="101">
        <f>IF(EMPLOYEE_MASTER!AA218="Yes",L218*LK_AllowanceRates!$B$20,0)</f>
        <v>670000</v>
      </c>
      <c r="T218" s="101">
        <f>IF(EMPLOYEE_MASTER!AB218="Yes",LK_AllowanceRates!$B$21,0)</f>
        <v>0</v>
      </c>
      <c r="U218" s="101">
        <f>IF(EMPLOYEE_MASTER!P218&gt;=6,LK_AllowanceRates!$B$22,0)</f>
        <v>0</v>
      </c>
      <c r="V218" s="101">
        <f>IF(EMPLOYEE_MASTER!AO218="Yes",LK_AllowanceRates!$B$23,0)</f>
        <v>200000</v>
      </c>
      <c r="W218" s="101">
        <f>EMPLOYEE_MASTER!AP218*LK_AllowanceRates!$B$24</f>
        <v>0</v>
      </c>
      <c r="X218" s="101">
        <v>0</v>
      </c>
      <c r="Y218" s="102">
        <v>0</v>
      </c>
      <c r="Z218" s="102">
        <v>0</v>
      </c>
      <c r="AA218" s="102">
        <v>0</v>
      </c>
      <c r="AB218" s="103">
        <f t="shared" ca="1" si="26"/>
        <v>2850000</v>
      </c>
      <c r="AC218" s="104">
        <f t="shared" ca="1" si="27"/>
        <v>5530000</v>
      </c>
      <c r="AD218" s="105">
        <f>ROUND(L218*LK_AllowanceRates!$B$25/100,0)</f>
        <v>147400</v>
      </c>
      <c r="AE218" s="106">
        <f t="shared" ca="1" si="28"/>
        <v>5382600</v>
      </c>
      <c r="AF218" s="106">
        <f t="shared" ca="1" si="29"/>
        <v>223260</v>
      </c>
      <c r="AG218" s="107">
        <v>0</v>
      </c>
      <c r="AH218" s="107">
        <v>0</v>
      </c>
      <c r="AI218" s="108">
        <f t="shared" ca="1" si="30"/>
        <v>370660</v>
      </c>
      <c r="AJ218" s="109">
        <f t="shared" ca="1" si="31"/>
        <v>5159340</v>
      </c>
    </row>
    <row r="219" spans="1:36" ht="15" customHeight="1" x14ac:dyDescent="0.3">
      <c r="A219" s="98" t="str">
        <f>EMPLOYEE_MASTER!A219</f>
        <v>LAO00216</v>
      </c>
      <c r="B219" s="98" t="str">
        <f>EMPLOYEE_MASTER!C219</f>
        <v>Phonevieng</v>
      </c>
      <c r="C219" s="98" t="str">
        <f>EMPLOYEE_MASTER!D219</f>
        <v>Xayavong</v>
      </c>
      <c r="D219" s="98" t="str">
        <f>EMPLOYEE_MASTER!T219</f>
        <v>National Assembly (NA)</v>
      </c>
      <c r="E219" s="98" t="str">
        <f>EMPLOYEE_MASTER!M219</f>
        <v>Deputy Department Director</v>
      </c>
      <c r="F219" s="98" t="str">
        <f>EMPLOYEE_MASTER!Z219</f>
        <v>Administration</v>
      </c>
      <c r="G219" s="99">
        <f>EMPLOYEE_MASTER!P219</f>
        <v>4</v>
      </c>
      <c r="H219" s="99">
        <f>EMPLOYEE_MASTER!Q219</f>
        <v>1</v>
      </c>
      <c r="I219" s="100" t="str">
        <f t="shared" si="24"/>
        <v>G04-S01</v>
      </c>
      <c r="J219" s="100">
        <f>IFERROR(VLOOKUP(I219,LK_GradeStep!$C$4:$D$85,2,0),0)</f>
        <v>286</v>
      </c>
      <c r="K219" s="100">
        <f>IFERROR(VLOOKUP(I219,LK_GradeStep!$C$4:$E$85,3,0),10000)</f>
        <v>10000</v>
      </c>
      <c r="L219" s="100">
        <f t="shared" si="25"/>
        <v>2860000</v>
      </c>
      <c r="M219" s="101">
        <f>IFERROR(VLOOKUP(EMPLOYEE_MASTER!AQ219,LK_AllowanceRates!$A$5:$B$11,2,0),0)</f>
        <v>900000</v>
      </c>
      <c r="N219" s="101">
        <f ca="1">IFERROR(IF(EMPLOYEE_MASTER!J219&lt;=5,  EMPLOYEE_MASTER!J219*LK_AllowanceRates!$B$12,IF(EMPLOYEE_MASTER!J219&lt;=15, EMPLOYEE_MASTER!J219*LK_AllowanceRates!$B$13,IF(EMPLOYEE_MASTER!J219&lt;=25, EMPLOYEE_MASTER!J219*LK_AllowanceRates!$B$14,EMPLOYEE_MASTER!J219*LK_AllowanceRates!$B$15))),0)</f>
        <v>220000</v>
      </c>
      <c r="O219" s="101">
        <f>IF(EMPLOYEE_MASTER!AS219="Teaching",L219*LK_AllowanceRates!$B$16,0)</f>
        <v>0</v>
      </c>
      <c r="P219" s="101">
        <f>IF(EMPLOYEE_MASTER!AS219="Medical",LK_AllowanceRates!$B$17,0)</f>
        <v>0</v>
      </c>
      <c r="Q219" s="101">
        <f>IF(EMPLOYEE_MASTER!AR219="Yes",LK_AllowanceRates!$B$18,0)</f>
        <v>1000000</v>
      </c>
      <c r="R219" s="101">
        <f>IF(EMPLOYEE_MASTER!AC219="Yes",LK_AllowanceRates!$B$19,0)</f>
        <v>0</v>
      </c>
      <c r="S219" s="101">
        <f>IF(EMPLOYEE_MASTER!AA219="Yes",L219*LK_AllowanceRates!$B$20,0)</f>
        <v>0</v>
      </c>
      <c r="T219" s="101">
        <f>IF(EMPLOYEE_MASTER!AB219="Yes",LK_AllowanceRates!$B$21,0)</f>
        <v>0</v>
      </c>
      <c r="U219" s="101">
        <f>IF(EMPLOYEE_MASTER!P219&gt;=6,LK_AllowanceRates!$B$22,0)</f>
        <v>0</v>
      </c>
      <c r="V219" s="101">
        <f>IF(EMPLOYEE_MASTER!AO219="Yes",LK_AllowanceRates!$B$23,0)</f>
        <v>200000</v>
      </c>
      <c r="W219" s="101">
        <f>EMPLOYEE_MASTER!AP219*LK_AllowanceRates!$B$24</f>
        <v>400000</v>
      </c>
      <c r="X219" s="101">
        <v>0</v>
      </c>
      <c r="Y219" s="102">
        <v>0</v>
      </c>
      <c r="Z219" s="102">
        <v>0</v>
      </c>
      <c r="AA219" s="102">
        <v>0</v>
      </c>
      <c r="AB219" s="103">
        <f t="shared" ca="1" si="26"/>
        <v>2720000</v>
      </c>
      <c r="AC219" s="104">
        <f t="shared" ca="1" si="27"/>
        <v>5580000</v>
      </c>
      <c r="AD219" s="105">
        <f>ROUND(L219*LK_AllowanceRates!$B$25/100,0)</f>
        <v>157300</v>
      </c>
      <c r="AE219" s="106">
        <f t="shared" ca="1" si="28"/>
        <v>5422700</v>
      </c>
      <c r="AF219" s="106">
        <f t="shared" ca="1" si="29"/>
        <v>227270</v>
      </c>
      <c r="AG219" s="107">
        <v>0</v>
      </c>
      <c r="AH219" s="107">
        <v>0</v>
      </c>
      <c r="AI219" s="108">
        <f t="shared" ca="1" si="30"/>
        <v>384570</v>
      </c>
      <c r="AJ219" s="109">
        <f t="shared" ca="1" si="31"/>
        <v>5195430</v>
      </c>
    </row>
    <row r="220" spans="1:36" ht="15" customHeight="1" x14ac:dyDescent="0.3">
      <c r="A220" s="98" t="str">
        <f>EMPLOYEE_MASTER!A220</f>
        <v>LAO00217</v>
      </c>
      <c r="B220" s="98" t="str">
        <f>EMPLOYEE_MASTER!C220</f>
        <v>Phouthasack</v>
      </c>
      <c r="C220" s="98" t="str">
        <f>EMPLOYEE_MASTER!D220</f>
        <v>Chanthavong</v>
      </c>
      <c r="D220" s="98" t="str">
        <f>EMPLOYEE_MASTER!T220</f>
        <v>Ministry of Agriculture and Forestry (MoAF)</v>
      </c>
      <c r="E220" s="98" t="str">
        <f>EMPLOYEE_MASTER!M220</f>
        <v>Senior Engineer</v>
      </c>
      <c r="F220" s="98" t="str">
        <f>EMPLOYEE_MASTER!Z220</f>
        <v>Technical</v>
      </c>
      <c r="G220" s="99">
        <f>EMPLOYEE_MASTER!P220</f>
        <v>5</v>
      </c>
      <c r="H220" s="99">
        <f>EMPLOYEE_MASTER!Q220</f>
        <v>1</v>
      </c>
      <c r="I220" s="100" t="str">
        <f t="shared" si="24"/>
        <v>G05-S01</v>
      </c>
      <c r="J220" s="100">
        <f>IFERROR(VLOOKUP(I220,LK_GradeStep!$C$4:$D$85,2,0),0)</f>
        <v>308</v>
      </c>
      <c r="K220" s="100">
        <f>IFERROR(VLOOKUP(I220,LK_GradeStep!$C$4:$E$85,3,0),10000)</f>
        <v>10000</v>
      </c>
      <c r="L220" s="100">
        <f t="shared" si="25"/>
        <v>3080000</v>
      </c>
      <c r="M220" s="101">
        <f>IFERROR(VLOOKUP(EMPLOYEE_MASTER!AQ220,LK_AllowanceRates!$A$5:$B$11,2,0),0)</f>
        <v>900000</v>
      </c>
      <c r="N220" s="101">
        <f ca="1">IFERROR(IF(EMPLOYEE_MASTER!J220&lt;=5,  EMPLOYEE_MASTER!J220*LK_AllowanceRates!$B$12,IF(EMPLOYEE_MASTER!J220&lt;=15, EMPLOYEE_MASTER!J220*LK_AllowanceRates!$B$13,IF(EMPLOYEE_MASTER!J220&lt;=25, EMPLOYEE_MASTER!J220*LK_AllowanceRates!$B$14,EMPLOYEE_MASTER!J220*LK_AllowanceRates!$B$15))),0)</f>
        <v>750000</v>
      </c>
      <c r="O220" s="101">
        <f>IF(EMPLOYEE_MASTER!AS220="Teaching",L220*LK_AllowanceRates!$B$16,0)</f>
        <v>0</v>
      </c>
      <c r="P220" s="101">
        <f>IF(EMPLOYEE_MASTER!AS220="Medical",LK_AllowanceRates!$B$17,0)</f>
        <v>0</v>
      </c>
      <c r="Q220" s="101">
        <f>IF(EMPLOYEE_MASTER!AR220="Yes",LK_AllowanceRates!$B$18,0)</f>
        <v>0</v>
      </c>
      <c r="R220" s="101">
        <f>IF(EMPLOYEE_MASTER!AC220="Yes",LK_AllowanceRates!$B$19,0)</f>
        <v>0</v>
      </c>
      <c r="S220" s="101">
        <f>IF(EMPLOYEE_MASTER!AA220="Yes",L220*LK_AllowanceRates!$B$20,0)</f>
        <v>0</v>
      </c>
      <c r="T220" s="101">
        <f>IF(EMPLOYEE_MASTER!AB220="Yes",LK_AllowanceRates!$B$21,0)</f>
        <v>0</v>
      </c>
      <c r="U220" s="101">
        <f>IF(EMPLOYEE_MASTER!P220&gt;=6,LK_AllowanceRates!$B$22,0)</f>
        <v>0</v>
      </c>
      <c r="V220" s="101">
        <f>IF(EMPLOYEE_MASTER!AO220="Yes",LK_AllowanceRates!$B$23,0)</f>
        <v>0</v>
      </c>
      <c r="W220" s="101">
        <f>EMPLOYEE_MASTER!AP220*LK_AllowanceRates!$B$24</f>
        <v>0</v>
      </c>
      <c r="X220" s="101">
        <v>0</v>
      </c>
      <c r="Y220" s="102">
        <v>0</v>
      </c>
      <c r="Z220" s="102">
        <v>0</v>
      </c>
      <c r="AA220" s="102">
        <v>0</v>
      </c>
      <c r="AB220" s="103">
        <f t="shared" ca="1" si="26"/>
        <v>1650000</v>
      </c>
      <c r="AC220" s="104">
        <f t="shared" ca="1" si="27"/>
        <v>4730000</v>
      </c>
      <c r="AD220" s="105">
        <f>ROUND(L220*LK_AllowanceRates!$B$25/100,0)</f>
        <v>169400</v>
      </c>
      <c r="AE220" s="106">
        <f t="shared" ca="1" si="28"/>
        <v>4560600</v>
      </c>
      <c r="AF220" s="106">
        <f t="shared" ca="1" si="29"/>
        <v>163030</v>
      </c>
      <c r="AG220" s="107">
        <v>0</v>
      </c>
      <c r="AH220" s="107">
        <v>0</v>
      </c>
      <c r="AI220" s="108">
        <f t="shared" ca="1" si="30"/>
        <v>332430</v>
      </c>
      <c r="AJ220" s="109">
        <f t="shared" ca="1" si="31"/>
        <v>4397570</v>
      </c>
    </row>
    <row r="221" spans="1:36" ht="15" customHeight="1" x14ac:dyDescent="0.3">
      <c r="A221" s="98" t="str">
        <f>EMPLOYEE_MASTER!A221</f>
        <v>LAO00218</v>
      </c>
      <c r="B221" s="98" t="str">
        <f>EMPLOYEE_MASTER!C221</f>
        <v>Khamphanh</v>
      </c>
      <c r="C221" s="98" t="str">
        <f>EMPLOYEE_MASTER!D221</f>
        <v>Phaymany</v>
      </c>
      <c r="D221" s="98" t="str">
        <f>EMPLOYEE_MASTER!T221</f>
        <v>Champasak Province Administration</v>
      </c>
      <c r="E221" s="98" t="str">
        <f>EMPLOYEE_MASTER!M221</f>
        <v>Division Chief</v>
      </c>
      <c r="F221" s="98" t="str">
        <f>EMPLOYEE_MASTER!Z221</f>
        <v>Administration</v>
      </c>
      <c r="G221" s="99">
        <f>EMPLOYEE_MASTER!P221</f>
        <v>4</v>
      </c>
      <c r="H221" s="99">
        <f>EMPLOYEE_MASTER!Q221</f>
        <v>1</v>
      </c>
      <c r="I221" s="100" t="str">
        <f t="shared" si="24"/>
        <v>G04-S01</v>
      </c>
      <c r="J221" s="100">
        <f>IFERROR(VLOOKUP(I221,LK_GradeStep!$C$4:$D$85,2,0),0)</f>
        <v>286</v>
      </c>
      <c r="K221" s="100">
        <f>IFERROR(VLOOKUP(I221,LK_GradeStep!$C$4:$E$85,3,0),10000)</f>
        <v>10000</v>
      </c>
      <c r="L221" s="100">
        <f t="shared" si="25"/>
        <v>2860000</v>
      </c>
      <c r="M221" s="101">
        <f>IFERROR(VLOOKUP(EMPLOYEE_MASTER!AQ221,LK_AllowanceRates!$A$5:$B$11,2,0),0)</f>
        <v>1900000</v>
      </c>
      <c r="N221" s="101">
        <f ca="1">IFERROR(IF(EMPLOYEE_MASTER!J221&lt;=5,  EMPLOYEE_MASTER!J221*LK_AllowanceRates!$B$12,IF(EMPLOYEE_MASTER!J221&lt;=15, EMPLOYEE_MASTER!J221*LK_AllowanceRates!$B$13,IF(EMPLOYEE_MASTER!J221&lt;=25, EMPLOYEE_MASTER!J221*LK_AllowanceRates!$B$14,EMPLOYEE_MASTER!J221*LK_AllowanceRates!$B$15))),0)</f>
        <v>750000</v>
      </c>
      <c r="O221" s="101">
        <f>IF(EMPLOYEE_MASTER!AS221="Teaching",L221*LK_AllowanceRates!$B$16,0)</f>
        <v>0</v>
      </c>
      <c r="P221" s="101">
        <f>IF(EMPLOYEE_MASTER!AS221="Medical",LK_AllowanceRates!$B$17,0)</f>
        <v>0</v>
      </c>
      <c r="Q221" s="101">
        <f>IF(EMPLOYEE_MASTER!AR221="Yes",LK_AllowanceRates!$B$18,0)</f>
        <v>0</v>
      </c>
      <c r="R221" s="101">
        <f>IF(EMPLOYEE_MASTER!AC221="Yes",LK_AllowanceRates!$B$19,0)</f>
        <v>0</v>
      </c>
      <c r="S221" s="101">
        <f>IF(EMPLOYEE_MASTER!AA221="Yes",L221*LK_AllowanceRates!$B$20,0)</f>
        <v>0</v>
      </c>
      <c r="T221" s="101">
        <f>IF(EMPLOYEE_MASTER!AB221="Yes",LK_AllowanceRates!$B$21,0)</f>
        <v>0</v>
      </c>
      <c r="U221" s="101">
        <f>IF(EMPLOYEE_MASTER!P221&gt;=6,LK_AllowanceRates!$B$22,0)</f>
        <v>0</v>
      </c>
      <c r="V221" s="101">
        <f>IF(EMPLOYEE_MASTER!AO221="Yes",LK_AllowanceRates!$B$23,0)</f>
        <v>0</v>
      </c>
      <c r="W221" s="101">
        <f>EMPLOYEE_MASTER!AP221*LK_AllowanceRates!$B$24</f>
        <v>0</v>
      </c>
      <c r="X221" s="101">
        <v>0</v>
      </c>
      <c r="Y221" s="102">
        <v>0</v>
      </c>
      <c r="Z221" s="102">
        <v>0</v>
      </c>
      <c r="AA221" s="102">
        <v>0</v>
      </c>
      <c r="AB221" s="103">
        <f t="shared" ca="1" si="26"/>
        <v>2650000</v>
      </c>
      <c r="AC221" s="104">
        <f t="shared" ca="1" si="27"/>
        <v>5510000</v>
      </c>
      <c r="AD221" s="105">
        <f>ROUND(L221*LK_AllowanceRates!$B$25/100,0)</f>
        <v>157300</v>
      </c>
      <c r="AE221" s="106">
        <f t="shared" ca="1" si="28"/>
        <v>5352700</v>
      </c>
      <c r="AF221" s="106">
        <f t="shared" ca="1" si="29"/>
        <v>220270</v>
      </c>
      <c r="AG221" s="107">
        <v>0</v>
      </c>
      <c r="AH221" s="107">
        <v>0</v>
      </c>
      <c r="AI221" s="108">
        <f t="shared" ca="1" si="30"/>
        <v>377570</v>
      </c>
      <c r="AJ221" s="109">
        <f t="shared" ca="1" si="31"/>
        <v>5132430</v>
      </c>
    </row>
    <row r="222" spans="1:36" ht="15" customHeight="1" x14ac:dyDescent="0.3">
      <c r="A222" s="98" t="str">
        <f>EMPLOYEE_MASTER!A222</f>
        <v>LAO00219</v>
      </c>
      <c r="B222" s="98" t="str">
        <f>EMPLOYEE_MASTER!C222</f>
        <v>Sidalay</v>
      </c>
      <c r="C222" s="98" t="str">
        <f>EMPLOYEE_MASTER!D222</f>
        <v>Bouphanouvong</v>
      </c>
      <c r="D222" s="98" t="str">
        <f>EMPLOYEE_MASTER!T222</f>
        <v>Champasak Province Administration</v>
      </c>
      <c r="E222" s="98" t="str">
        <f>EMPLOYEE_MASTER!M222</f>
        <v>Senior Administrative Officer</v>
      </c>
      <c r="F222" s="98" t="str">
        <f>EMPLOYEE_MASTER!Z222</f>
        <v>Administration</v>
      </c>
      <c r="G222" s="99">
        <f>EMPLOYEE_MASTER!P222</f>
        <v>5</v>
      </c>
      <c r="H222" s="99">
        <f>EMPLOYEE_MASTER!Q222</f>
        <v>6</v>
      </c>
      <c r="I222" s="100" t="str">
        <f t="shared" si="24"/>
        <v>G05-S06</v>
      </c>
      <c r="J222" s="100">
        <f>IFERROR(VLOOKUP(I222,LK_GradeStep!$C$4:$D$85,2,0),0)</f>
        <v>333</v>
      </c>
      <c r="K222" s="100">
        <f>IFERROR(VLOOKUP(I222,LK_GradeStep!$C$4:$E$85,3,0),10000)</f>
        <v>10000</v>
      </c>
      <c r="L222" s="100">
        <f t="shared" si="25"/>
        <v>3330000</v>
      </c>
      <c r="M222" s="101">
        <f>IFERROR(VLOOKUP(EMPLOYEE_MASTER!AQ222,LK_AllowanceRates!$A$5:$B$11,2,0),0)</f>
        <v>900000</v>
      </c>
      <c r="N222" s="101">
        <f ca="1">IFERROR(IF(EMPLOYEE_MASTER!J222&lt;=5,  EMPLOYEE_MASTER!J222*LK_AllowanceRates!$B$12,IF(EMPLOYEE_MASTER!J222&lt;=15, EMPLOYEE_MASTER!J222*LK_AllowanceRates!$B$13,IF(EMPLOYEE_MASTER!J222&lt;=25, EMPLOYEE_MASTER!J222*LK_AllowanceRates!$B$14,EMPLOYEE_MASTER!J222*LK_AllowanceRates!$B$15))),0)</f>
        <v>660000</v>
      </c>
      <c r="O222" s="101">
        <f>IF(EMPLOYEE_MASTER!AS222="Teaching",L222*LK_AllowanceRates!$B$16,0)</f>
        <v>0</v>
      </c>
      <c r="P222" s="101">
        <f>IF(EMPLOYEE_MASTER!AS222="Medical",LK_AllowanceRates!$B$17,0)</f>
        <v>0</v>
      </c>
      <c r="Q222" s="101">
        <f>IF(EMPLOYEE_MASTER!AR222="Yes",LK_AllowanceRates!$B$18,0)</f>
        <v>0</v>
      </c>
      <c r="R222" s="101">
        <f>IF(EMPLOYEE_MASTER!AC222="Yes",LK_AllowanceRates!$B$19,0)</f>
        <v>1000000</v>
      </c>
      <c r="S222" s="101">
        <f>IF(EMPLOYEE_MASTER!AA222="Yes",L222*LK_AllowanceRates!$B$20,0)</f>
        <v>832500</v>
      </c>
      <c r="T222" s="101">
        <f>IF(EMPLOYEE_MASTER!AB222="Yes",LK_AllowanceRates!$B$21,0)</f>
        <v>0</v>
      </c>
      <c r="U222" s="101">
        <f>IF(EMPLOYEE_MASTER!P222&gt;=6,LK_AllowanceRates!$B$22,0)</f>
        <v>0</v>
      </c>
      <c r="V222" s="101">
        <f>IF(EMPLOYEE_MASTER!AO222="Yes",LK_AllowanceRates!$B$23,0)</f>
        <v>0</v>
      </c>
      <c r="W222" s="101">
        <f>EMPLOYEE_MASTER!AP222*LK_AllowanceRates!$B$24</f>
        <v>0</v>
      </c>
      <c r="X222" s="101">
        <v>0</v>
      </c>
      <c r="Y222" s="102">
        <v>0</v>
      </c>
      <c r="Z222" s="102">
        <v>0</v>
      </c>
      <c r="AA222" s="102">
        <v>0</v>
      </c>
      <c r="AB222" s="103">
        <f t="shared" ca="1" si="26"/>
        <v>3392500</v>
      </c>
      <c r="AC222" s="104">
        <f t="shared" ca="1" si="27"/>
        <v>6722500</v>
      </c>
      <c r="AD222" s="105">
        <f>ROUND(L222*LK_AllowanceRates!$B$25/100,0)</f>
        <v>183150</v>
      </c>
      <c r="AE222" s="106">
        <f t="shared" ca="1" si="28"/>
        <v>6539350</v>
      </c>
      <c r="AF222" s="106">
        <f t="shared" ca="1" si="29"/>
        <v>338935</v>
      </c>
      <c r="AG222" s="107">
        <v>0</v>
      </c>
      <c r="AH222" s="107">
        <v>0</v>
      </c>
      <c r="AI222" s="108">
        <f t="shared" ca="1" si="30"/>
        <v>522085</v>
      </c>
      <c r="AJ222" s="109">
        <f t="shared" ca="1" si="31"/>
        <v>6200415</v>
      </c>
    </row>
    <row r="223" spans="1:36" ht="15" customHeight="1" x14ac:dyDescent="0.3">
      <c r="A223" s="98" t="str">
        <f>EMPLOYEE_MASTER!A223</f>
        <v>LAO00220</v>
      </c>
      <c r="B223" s="98" t="str">
        <f>EMPLOYEE_MASTER!C223</f>
        <v>Vilaysack</v>
      </c>
      <c r="C223" s="98" t="str">
        <f>EMPLOYEE_MASTER!D223</f>
        <v>Sisavath</v>
      </c>
      <c r="D223" s="98" t="str">
        <f>EMPLOYEE_MASTER!T223</f>
        <v>Ministry of Health (MoH)</v>
      </c>
      <c r="E223" s="98" t="str">
        <f>EMPLOYEE_MASTER!M223</f>
        <v>Medical Doctor</v>
      </c>
      <c r="F223" s="98" t="str">
        <f>EMPLOYEE_MASTER!Z223</f>
        <v>Medical</v>
      </c>
      <c r="G223" s="99">
        <f>EMPLOYEE_MASTER!P223</f>
        <v>4</v>
      </c>
      <c r="H223" s="99">
        <f>EMPLOYEE_MASTER!Q223</f>
        <v>5</v>
      </c>
      <c r="I223" s="100" t="str">
        <f t="shared" si="24"/>
        <v>G04-S05</v>
      </c>
      <c r="J223" s="100">
        <f>IFERROR(VLOOKUP(I223,LK_GradeStep!$C$4:$D$85,2,0),0)</f>
        <v>294</v>
      </c>
      <c r="K223" s="100">
        <f>IFERROR(VLOOKUP(I223,LK_GradeStep!$C$4:$E$85,3,0),10000)</f>
        <v>10000</v>
      </c>
      <c r="L223" s="100">
        <f t="shared" si="25"/>
        <v>2940000</v>
      </c>
      <c r="M223" s="101">
        <f>IFERROR(VLOOKUP(EMPLOYEE_MASTER!AQ223,LK_AllowanceRates!$A$5:$B$11,2,0),0)</f>
        <v>900000</v>
      </c>
      <c r="N223" s="101">
        <f ca="1">IFERROR(IF(EMPLOYEE_MASTER!J223&lt;=5,  EMPLOYEE_MASTER!J223*LK_AllowanceRates!$B$12,IF(EMPLOYEE_MASTER!J223&lt;=15, EMPLOYEE_MASTER!J223*LK_AllowanceRates!$B$13,IF(EMPLOYEE_MASTER!J223&lt;=25, EMPLOYEE_MASTER!J223*LK_AllowanceRates!$B$14,EMPLOYEE_MASTER!J223*LK_AllowanceRates!$B$15))),0)</f>
        <v>750000</v>
      </c>
      <c r="O223" s="101">
        <f>IF(EMPLOYEE_MASTER!AS223="Teaching",L223*LK_AllowanceRates!$B$16,0)</f>
        <v>0</v>
      </c>
      <c r="P223" s="101">
        <f>IF(EMPLOYEE_MASTER!AS223="Medical",LK_AllowanceRates!$B$17,0)</f>
        <v>500000</v>
      </c>
      <c r="Q223" s="101">
        <f>IF(EMPLOYEE_MASTER!AR223="Yes",LK_AllowanceRates!$B$18,0)</f>
        <v>0</v>
      </c>
      <c r="R223" s="101">
        <f>IF(EMPLOYEE_MASTER!AC223="Yes",LK_AllowanceRates!$B$19,0)</f>
        <v>1000000</v>
      </c>
      <c r="S223" s="101">
        <f>IF(EMPLOYEE_MASTER!AA223="Yes",L223*LK_AllowanceRates!$B$20,0)</f>
        <v>735000</v>
      </c>
      <c r="T223" s="101">
        <f>IF(EMPLOYEE_MASTER!AB223="Yes",LK_AllowanceRates!$B$21,0)</f>
        <v>0</v>
      </c>
      <c r="U223" s="101">
        <f>IF(EMPLOYEE_MASTER!P223&gt;=6,LK_AllowanceRates!$B$22,0)</f>
        <v>0</v>
      </c>
      <c r="V223" s="101">
        <f>IF(EMPLOYEE_MASTER!AO223="Yes",LK_AllowanceRates!$B$23,0)</f>
        <v>200000</v>
      </c>
      <c r="W223" s="101">
        <f>EMPLOYEE_MASTER!AP223*LK_AllowanceRates!$B$24</f>
        <v>0</v>
      </c>
      <c r="X223" s="101">
        <v>0</v>
      </c>
      <c r="Y223" s="102">
        <v>0</v>
      </c>
      <c r="Z223" s="102">
        <v>0</v>
      </c>
      <c r="AA223" s="102">
        <v>0</v>
      </c>
      <c r="AB223" s="103">
        <f t="shared" ca="1" si="26"/>
        <v>4085000</v>
      </c>
      <c r="AC223" s="104">
        <f t="shared" ca="1" si="27"/>
        <v>7025000</v>
      </c>
      <c r="AD223" s="105">
        <f>ROUND(L223*LK_AllowanceRates!$B$25/100,0)</f>
        <v>161700</v>
      </c>
      <c r="AE223" s="106">
        <f t="shared" ca="1" si="28"/>
        <v>6863300</v>
      </c>
      <c r="AF223" s="106">
        <f t="shared" ca="1" si="29"/>
        <v>371330</v>
      </c>
      <c r="AG223" s="107">
        <v>0</v>
      </c>
      <c r="AH223" s="107">
        <v>0</v>
      </c>
      <c r="AI223" s="108">
        <f t="shared" ca="1" si="30"/>
        <v>533030</v>
      </c>
      <c r="AJ223" s="109">
        <f t="shared" ca="1" si="31"/>
        <v>6491970</v>
      </c>
    </row>
    <row r="224" spans="1:36" ht="15" customHeight="1" x14ac:dyDescent="0.3">
      <c r="A224" s="98" t="str">
        <f>EMPLOYEE_MASTER!A224</f>
        <v>LAO00221</v>
      </c>
      <c r="B224" s="98" t="str">
        <f>EMPLOYEE_MASTER!C224</f>
        <v>Khamphanh</v>
      </c>
      <c r="C224" s="98" t="str">
        <f>EMPLOYEE_MASTER!D224</f>
        <v>Keobounphan</v>
      </c>
      <c r="D224" s="98" t="str">
        <f>EMPLOYEE_MASTER!T224</f>
        <v>Ministry of Foreign Affairs (MFA)</v>
      </c>
      <c r="E224" s="98" t="str">
        <f>EMPLOYEE_MASTER!M224</f>
        <v>Charge d'Affaires</v>
      </c>
      <c r="F224" s="98" t="str">
        <f>EMPLOYEE_MASTER!Z224</f>
        <v>Diplomatic</v>
      </c>
      <c r="G224" s="99">
        <f>EMPLOYEE_MASTER!P224</f>
        <v>4</v>
      </c>
      <c r="H224" s="99">
        <f>EMPLOYEE_MASTER!Q224</f>
        <v>13</v>
      </c>
      <c r="I224" s="100" t="str">
        <f t="shared" si="24"/>
        <v>G04-S13</v>
      </c>
      <c r="J224" s="100">
        <f>IFERROR(VLOOKUP(I224,LK_GradeStep!$C$4:$D$85,2,0),0)</f>
        <v>328</v>
      </c>
      <c r="K224" s="100">
        <f>IFERROR(VLOOKUP(I224,LK_GradeStep!$C$4:$E$85,3,0),10000)</f>
        <v>10000</v>
      </c>
      <c r="L224" s="100">
        <f t="shared" si="25"/>
        <v>3280000</v>
      </c>
      <c r="M224" s="101">
        <f>IFERROR(VLOOKUP(EMPLOYEE_MASTER!AQ224,LK_AllowanceRates!$A$5:$B$11,2,0),0)</f>
        <v>900000</v>
      </c>
      <c r="N224" s="101">
        <f ca="1">IFERROR(IF(EMPLOYEE_MASTER!J224&lt;=5,  EMPLOYEE_MASTER!J224*LK_AllowanceRates!$B$12,IF(EMPLOYEE_MASTER!J224&lt;=15, EMPLOYEE_MASTER!J224*LK_AllowanceRates!$B$13,IF(EMPLOYEE_MASTER!J224&lt;=25, EMPLOYEE_MASTER!J224*LK_AllowanceRates!$B$14,EMPLOYEE_MASTER!J224*LK_AllowanceRates!$B$15))),0)</f>
        <v>20000</v>
      </c>
      <c r="O224" s="101">
        <f>IF(EMPLOYEE_MASTER!AS224="Teaching",L224*LK_AllowanceRates!$B$16,0)</f>
        <v>0</v>
      </c>
      <c r="P224" s="101">
        <f>IF(EMPLOYEE_MASTER!AS224="Medical",LK_AllowanceRates!$B$17,0)</f>
        <v>0</v>
      </c>
      <c r="Q224" s="101">
        <f>IF(EMPLOYEE_MASTER!AR224="Yes",LK_AllowanceRates!$B$18,0)</f>
        <v>0</v>
      </c>
      <c r="R224" s="101">
        <f>IF(EMPLOYEE_MASTER!AC224="Yes",LK_AllowanceRates!$B$19,0)</f>
        <v>0</v>
      </c>
      <c r="S224" s="101">
        <f>IF(EMPLOYEE_MASTER!AA224="Yes",L224*LK_AllowanceRates!$B$20,0)</f>
        <v>0</v>
      </c>
      <c r="T224" s="101">
        <f>IF(EMPLOYEE_MASTER!AB224="Yes",LK_AllowanceRates!$B$21,0)</f>
        <v>20240000</v>
      </c>
      <c r="U224" s="101">
        <f>IF(EMPLOYEE_MASTER!P224&gt;=6,LK_AllowanceRates!$B$22,0)</f>
        <v>0</v>
      </c>
      <c r="V224" s="101">
        <f>IF(EMPLOYEE_MASTER!AO224="Yes",LK_AllowanceRates!$B$23,0)</f>
        <v>200000</v>
      </c>
      <c r="W224" s="101">
        <f>EMPLOYEE_MASTER!AP224*LK_AllowanceRates!$B$24</f>
        <v>600000</v>
      </c>
      <c r="X224" s="101">
        <v>0</v>
      </c>
      <c r="Y224" s="102">
        <v>0</v>
      </c>
      <c r="Z224" s="102">
        <v>0</v>
      </c>
      <c r="AA224" s="102">
        <v>0</v>
      </c>
      <c r="AB224" s="103">
        <f t="shared" ca="1" si="26"/>
        <v>21960000</v>
      </c>
      <c r="AC224" s="104">
        <f t="shared" ca="1" si="27"/>
        <v>25240000</v>
      </c>
      <c r="AD224" s="105">
        <f>ROUND(L224*LK_AllowanceRates!$B$25/100,0)</f>
        <v>180400</v>
      </c>
      <c r="AE224" s="106">
        <f t="shared" ca="1" si="28"/>
        <v>25059600</v>
      </c>
      <c r="AF224" s="106">
        <f t="shared" ca="1" si="29"/>
        <v>3196920</v>
      </c>
      <c r="AG224" s="107">
        <v>0</v>
      </c>
      <c r="AH224" s="107">
        <v>0</v>
      </c>
      <c r="AI224" s="108">
        <f t="shared" ca="1" si="30"/>
        <v>3377320</v>
      </c>
      <c r="AJ224" s="109">
        <f t="shared" ca="1" si="31"/>
        <v>21862680</v>
      </c>
    </row>
    <row r="225" spans="1:36" ht="15" customHeight="1" x14ac:dyDescent="0.3">
      <c r="A225" s="98" t="str">
        <f>EMPLOYEE_MASTER!A225</f>
        <v>LAO00222</v>
      </c>
      <c r="B225" s="98" t="str">
        <f>EMPLOYEE_MASTER!C225</f>
        <v>Khamphout</v>
      </c>
      <c r="C225" s="98" t="str">
        <f>EMPLOYEE_MASTER!D225</f>
        <v>Khonesavanh</v>
      </c>
      <c r="D225" s="98" t="str">
        <f>EMPLOYEE_MASTER!T225</f>
        <v>Luang Prabang Province Administration</v>
      </c>
      <c r="E225" s="98" t="str">
        <f>EMPLOYEE_MASTER!M225</f>
        <v>Section Chief</v>
      </c>
      <c r="F225" s="98" t="str">
        <f>EMPLOYEE_MASTER!Z225</f>
        <v>Administration</v>
      </c>
      <c r="G225" s="99">
        <f>EMPLOYEE_MASTER!P225</f>
        <v>4</v>
      </c>
      <c r="H225" s="99">
        <f>EMPLOYEE_MASTER!Q225</f>
        <v>13</v>
      </c>
      <c r="I225" s="100" t="str">
        <f t="shared" si="24"/>
        <v>G04-S13</v>
      </c>
      <c r="J225" s="100">
        <f>IFERROR(VLOOKUP(I225,LK_GradeStep!$C$4:$D$85,2,0),0)</f>
        <v>328</v>
      </c>
      <c r="K225" s="100">
        <f>IFERROR(VLOOKUP(I225,LK_GradeStep!$C$4:$E$85,3,0),10000)</f>
        <v>10000</v>
      </c>
      <c r="L225" s="100">
        <f t="shared" si="25"/>
        <v>3280000</v>
      </c>
      <c r="M225" s="101">
        <f>IFERROR(VLOOKUP(EMPLOYEE_MASTER!AQ225,LK_AllowanceRates!$A$5:$B$11,2,0),0)</f>
        <v>1500000</v>
      </c>
      <c r="N225" s="101">
        <f ca="1">IFERROR(IF(EMPLOYEE_MASTER!J225&lt;=5,  EMPLOYEE_MASTER!J225*LK_AllowanceRates!$B$12,IF(EMPLOYEE_MASTER!J225&lt;=15, EMPLOYEE_MASTER!J225*LK_AllowanceRates!$B$13,IF(EMPLOYEE_MASTER!J225&lt;=25, EMPLOYEE_MASTER!J225*LK_AllowanceRates!$B$14,EMPLOYEE_MASTER!J225*LK_AllowanceRates!$B$15))),0)</f>
        <v>160000</v>
      </c>
      <c r="O225" s="101">
        <f>IF(EMPLOYEE_MASTER!AS225="Teaching",L225*LK_AllowanceRates!$B$16,0)</f>
        <v>0</v>
      </c>
      <c r="P225" s="101">
        <f>IF(EMPLOYEE_MASTER!AS225="Medical",LK_AllowanceRates!$B$17,0)</f>
        <v>0</v>
      </c>
      <c r="Q225" s="101">
        <f>IF(EMPLOYEE_MASTER!AR225="Yes",LK_AllowanceRates!$B$18,0)</f>
        <v>0</v>
      </c>
      <c r="R225" s="101">
        <f>IF(EMPLOYEE_MASTER!AC225="Yes",LK_AllowanceRates!$B$19,0)</f>
        <v>0</v>
      </c>
      <c r="S225" s="101">
        <f>IF(EMPLOYEE_MASTER!AA225="Yes",L225*LK_AllowanceRates!$B$20,0)</f>
        <v>820000</v>
      </c>
      <c r="T225" s="101">
        <f>IF(EMPLOYEE_MASTER!AB225="Yes",LK_AllowanceRates!$B$21,0)</f>
        <v>0</v>
      </c>
      <c r="U225" s="101">
        <f>IF(EMPLOYEE_MASTER!P225&gt;=6,LK_AllowanceRates!$B$22,0)</f>
        <v>0</v>
      </c>
      <c r="V225" s="101">
        <f>IF(EMPLOYEE_MASTER!AO225="Yes",LK_AllowanceRates!$B$23,0)</f>
        <v>200000</v>
      </c>
      <c r="W225" s="101">
        <f>EMPLOYEE_MASTER!AP225*LK_AllowanceRates!$B$24</f>
        <v>600000</v>
      </c>
      <c r="X225" s="101">
        <v>0</v>
      </c>
      <c r="Y225" s="102">
        <v>0</v>
      </c>
      <c r="Z225" s="102">
        <v>0</v>
      </c>
      <c r="AA225" s="102">
        <v>0</v>
      </c>
      <c r="AB225" s="103">
        <f t="shared" ca="1" si="26"/>
        <v>3280000</v>
      </c>
      <c r="AC225" s="104">
        <f t="shared" ca="1" si="27"/>
        <v>6560000</v>
      </c>
      <c r="AD225" s="105">
        <f>ROUND(L225*LK_AllowanceRates!$B$25/100,0)</f>
        <v>180400</v>
      </c>
      <c r="AE225" s="106">
        <f t="shared" ca="1" si="28"/>
        <v>6379600</v>
      </c>
      <c r="AF225" s="106">
        <f t="shared" ca="1" si="29"/>
        <v>322960</v>
      </c>
      <c r="AG225" s="107">
        <v>0</v>
      </c>
      <c r="AH225" s="107">
        <v>0</v>
      </c>
      <c r="AI225" s="108">
        <f t="shared" ca="1" si="30"/>
        <v>503360</v>
      </c>
      <c r="AJ225" s="109">
        <f t="shared" ca="1" si="31"/>
        <v>6056640</v>
      </c>
    </row>
    <row r="226" spans="1:36" ht="15" customHeight="1" x14ac:dyDescent="0.3">
      <c r="A226" s="98" t="str">
        <f>EMPLOYEE_MASTER!A226</f>
        <v>LAO00223</v>
      </c>
      <c r="B226" s="98" t="str">
        <f>EMPLOYEE_MASTER!C226</f>
        <v>Sengdavanh</v>
      </c>
      <c r="C226" s="98" t="str">
        <f>EMPLOYEE_MASTER!D226</f>
        <v>Phouthavong</v>
      </c>
      <c r="D226" s="98" t="str">
        <f>EMPLOYEE_MASTER!T226</f>
        <v>Ministry of Health (MoH)</v>
      </c>
      <c r="E226" s="98" t="str">
        <f>EMPLOYEE_MASTER!M226</f>
        <v>Dental Officer</v>
      </c>
      <c r="F226" s="98" t="str">
        <f>EMPLOYEE_MASTER!Z226</f>
        <v>Medical</v>
      </c>
      <c r="G226" s="99">
        <f>EMPLOYEE_MASTER!P226</f>
        <v>2</v>
      </c>
      <c r="H226" s="99">
        <f>EMPLOYEE_MASTER!Q226</f>
        <v>3</v>
      </c>
      <c r="I226" s="100" t="str">
        <f t="shared" si="24"/>
        <v>G02-S03</v>
      </c>
      <c r="J226" s="100">
        <f>IFERROR(VLOOKUP(I226,LK_GradeStep!$C$4:$D$85,2,0),0)</f>
        <v>270</v>
      </c>
      <c r="K226" s="100">
        <f>IFERROR(VLOOKUP(I226,LK_GradeStep!$C$4:$E$85,3,0),10000)</f>
        <v>10000</v>
      </c>
      <c r="L226" s="100">
        <f t="shared" si="25"/>
        <v>2700000</v>
      </c>
      <c r="M226" s="101">
        <f>IFERROR(VLOOKUP(EMPLOYEE_MASTER!AQ226,LK_AllowanceRates!$A$5:$B$11,2,0),0)</f>
        <v>900000</v>
      </c>
      <c r="N226" s="101">
        <f ca="1">IFERROR(IF(EMPLOYEE_MASTER!J226&lt;=5,  EMPLOYEE_MASTER!J226*LK_AllowanceRates!$B$12,IF(EMPLOYEE_MASTER!J226&lt;=15, EMPLOYEE_MASTER!J226*LK_AllowanceRates!$B$13,IF(EMPLOYEE_MASTER!J226&lt;=25, EMPLOYEE_MASTER!J226*LK_AllowanceRates!$B$14,EMPLOYEE_MASTER!J226*LK_AllowanceRates!$B$15))),0)</f>
        <v>10000</v>
      </c>
      <c r="O226" s="101">
        <f>IF(EMPLOYEE_MASTER!AS226="Teaching",L226*LK_AllowanceRates!$B$16,0)</f>
        <v>0</v>
      </c>
      <c r="P226" s="101">
        <f>IF(EMPLOYEE_MASTER!AS226="Medical",LK_AllowanceRates!$B$17,0)</f>
        <v>500000</v>
      </c>
      <c r="Q226" s="101">
        <f>IF(EMPLOYEE_MASTER!AR226="Yes",LK_AllowanceRates!$B$18,0)</f>
        <v>0</v>
      </c>
      <c r="R226" s="101">
        <f>IF(EMPLOYEE_MASTER!AC226="Yes",LK_AllowanceRates!$B$19,0)</f>
        <v>0</v>
      </c>
      <c r="S226" s="101">
        <f>IF(EMPLOYEE_MASTER!AA226="Yes",L226*LK_AllowanceRates!$B$20,0)</f>
        <v>0</v>
      </c>
      <c r="T226" s="101">
        <f>IF(EMPLOYEE_MASTER!AB226="Yes",LK_AllowanceRates!$B$21,0)</f>
        <v>0</v>
      </c>
      <c r="U226" s="101">
        <f>IF(EMPLOYEE_MASTER!P226&gt;=6,LK_AllowanceRates!$B$22,0)</f>
        <v>0</v>
      </c>
      <c r="V226" s="101">
        <f>IF(EMPLOYEE_MASTER!AO226="Yes",LK_AllowanceRates!$B$23,0)</f>
        <v>200000</v>
      </c>
      <c r="W226" s="101">
        <f>EMPLOYEE_MASTER!AP226*LK_AllowanceRates!$B$24</f>
        <v>600000</v>
      </c>
      <c r="X226" s="101">
        <v>0</v>
      </c>
      <c r="Y226" s="102">
        <v>0</v>
      </c>
      <c r="Z226" s="102">
        <v>0</v>
      </c>
      <c r="AA226" s="102">
        <v>0</v>
      </c>
      <c r="AB226" s="103">
        <f t="shared" ca="1" si="26"/>
        <v>2210000</v>
      </c>
      <c r="AC226" s="104">
        <f t="shared" ca="1" si="27"/>
        <v>4910000</v>
      </c>
      <c r="AD226" s="105">
        <f>ROUND(L226*LK_AllowanceRates!$B$25/100,0)</f>
        <v>148500</v>
      </c>
      <c r="AE226" s="106">
        <f t="shared" ca="1" si="28"/>
        <v>4761500</v>
      </c>
      <c r="AF226" s="106">
        <f t="shared" ca="1" si="29"/>
        <v>173075</v>
      </c>
      <c r="AG226" s="107">
        <v>0</v>
      </c>
      <c r="AH226" s="107">
        <v>0</v>
      </c>
      <c r="AI226" s="108">
        <f t="shared" ca="1" si="30"/>
        <v>321575</v>
      </c>
      <c r="AJ226" s="109">
        <f t="shared" ca="1" si="31"/>
        <v>4588425</v>
      </c>
    </row>
    <row r="227" spans="1:36" ht="15" customHeight="1" x14ac:dyDescent="0.3">
      <c r="A227" s="98" t="str">
        <f>EMPLOYEE_MASTER!A227</f>
        <v>LAO00224</v>
      </c>
      <c r="B227" s="98" t="str">
        <f>EMPLOYEE_MASTER!C227</f>
        <v>Khamsone</v>
      </c>
      <c r="C227" s="98" t="str">
        <f>EMPLOYEE_MASTER!D227</f>
        <v>Vongsamphanh</v>
      </c>
      <c r="D227" s="98" t="str">
        <f>EMPLOYEE_MASTER!T227</f>
        <v>Ministry of Planning &amp; Investment (MPI)</v>
      </c>
      <c r="E227" s="98" t="str">
        <f>EMPLOYEE_MASTER!M227</f>
        <v>Clerk</v>
      </c>
      <c r="F227" s="98" t="str">
        <f>EMPLOYEE_MASTER!Z227</f>
        <v>Administration</v>
      </c>
      <c r="G227" s="99">
        <f>EMPLOYEE_MASTER!P227</f>
        <v>2</v>
      </c>
      <c r="H227" s="99">
        <f>EMPLOYEE_MASTER!Q227</f>
        <v>6</v>
      </c>
      <c r="I227" s="100" t="str">
        <f t="shared" si="24"/>
        <v>G02-S06</v>
      </c>
      <c r="J227" s="100">
        <f>IFERROR(VLOOKUP(I227,LK_GradeStep!$C$4:$D$85,2,0),0)</f>
        <v>273</v>
      </c>
      <c r="K227" s="100">
        <f>IFERROR(VLOOKUP(I227,LK_GradeStep!$C$4:$E$85,3,0),10000)</f>
        <v>10000</v>
      </c>
      <c r="L227" s="100">
        <f t="shared" si="25"/>
        <v>2730000</v>
      </c>
      <c r="M227" s="101">
        <f>IFERROR(VLOOKUP(EMPLOYEE_MASTER!AQ227,LK_AllowanceRates!$A$5:$B$11,2,0),0)</f>
        <v>900000</v>
      </c>
      <c r="N227" s="101">
        <f ca="1">IFERROR(IF(EMPLOYEE_MASTER!J227&lt;=5,  EMPLOYEE_MASTER!J227*LK_AllowanceRates!$B$12,IF(EMPLOYEE_MASTER!J227&lt;=15, EMPLOYEE_MASTER!J227*LK_AllowanceRates!$B$13,IF(EMPLOYEE_MASTER!J227&lt;=25, EMPLOYEE_MASTER!J227*LK_AllowanceRates!$B$14,EMPLOYEE_MASTER!J227*LK_AllowanceRates!$B$15))),0)</f>
        <v>140000</v>
      </c>
      <c r="O227" s="101">
        <f>IF(EMPLOYEE_MASTER!AS227="Teaching",L227*LK_AllowanceRates!$B$16,0)</f>
        <v>0</v>
      </c>
      <c r="P227" s="101">
        <f>IF(EMPLOYEE_MASTER!AS227="Medical",LK_AllowanceRates!$B$17,0)</f>
        <v>0</v>
      </c>
      <c r="Q227" s="101">
        <f>IF(EMPLOYEE_MASTER!AR227="Yes",LK_AllowanceRates!$B$18,0)</f>
        <v>0</v>
      </c>
      <c r="R227" s="101">
        <f>IF(EMPLOYEE_MASTER!AC227="Yes",LK_AllowanceRates!$B$19,0)</f>
        <v>1000000</v>
      </c>
      <c r="S227" s="101">
        <f>IF(EMPLOYEE_MASTER!AA227="Yes",L227*LK_AllowanceRates!$B$20,0)</f>
        <v>682500</v>
      </c>
      <c r="T227" s="101">
        <f>IF(EMPLOYEE_MASTER!AB227="Yes",LK_AllowanceRates!$B$21,0)</f>
        <v>0</v>
      </c>
      <c r="U227" s="101">
        <f>IF(EMPLOYEE_MASTER!P227&gt;=6,LK_AllowanceRates!$B$22,0)</f>
        <v>0</v>
      </c>
      <c r="V227" s="101">
        <f>IF(EMPLOYEE_MASTER!AO227="Yes",LK_AllowanceRates!$B$23,0)</f>
        <v>0</v>
      </c>
      <c r="W227" s="101">
        <f>EMPLOYEE_MASTER!AP227*LK_AllowanceRates!$B$24</f>
        <v>0</v>
      </c>
      <c r="X227" s="101">
        <v>0</v>
      </c>
      <c r="Y227" s="102">
        <v>0</v>
      </c>
      <c r="Z227" s="102">
        <v>0</v>
      </c>
      <c r="AA227" s="102">
        <v>0</v>
      </c>
      <c r="AB227" s="103">
        <f t="shared" ca="1" si="26"/>
        <v>2722500</v>
      </c>
      <c r="AC227" s="104">
        <f t="shared" ca="1" si="27"/>
        <v>5452500</v>
      </c>
      <c r="AD227" s="105">
        <f>ROUND(L227*LK_AllowanceRates!$B$25/100,0)</f>
        <v>150150</v>
      </c>
      <c r="AE227" s="106">
        <f t="shared" ca="1" si="28"/>
        <v>5302350</v>
      </c>
      <c r="AF227" s="106">
        <f t="shared" ca="1" si="29"/>
        <v>215235</v>
      </c>
      <c r="AG227" s="107">
        <v>0</v>
      </c>
      <c r="AH227" s="107">
        <v>0</v>
      </c>
      <c r="AI227" s="108">
        <f t="shared" ca="1" si="30"/>
        <v>365385</v>
      </c>
      <c r="AJ227" s="109">
        <f t="shared" ca="1" si="31"/>
        <v>5087115</v>
      </c>
    </row>
    <row r="228" spans="1:36" ht="15" customHeight="1" x14ac:dyDescent="0.3">
      <c r="A228" s="98" t="str">
        <f>EMPLOYEE_MASTER!A228</f>
        <v>LAO00225</v>
      </c>
      <c r="B228" s="98" t="str">
        <f>EMPLOYEE_MASTER!C228</f>
        <v>Vixay</v>
      </c>
      <c r="C228" s="98" t="str">
        <f>EMPLOYEE_MASTER!D228</f>
        <v>Soulinthong</v>
      </c>
      <c r="D228" s="98" t="str">
        <f>EMPLOYEE_MASTER!T228</f>
        <v>Ministry of Education and Sports (MoES)</v>
      </c>
      <c r="E228" s="98" t="str">
        <f>EMPLOYEE_MASTER!M228</f>
        <v>Associate Professor</v>
      </c>
      <c r="F228" s="98" t="str">
        <f>EMPLOYEE_MASTER!Z228</f>
        <v>Teacher</v>
      </c>
      <c r="G228" s="99">
        <f>EMPLOYEE_MASTER!P228</f>
        <v>5</v>
      </c>
      <c r="H228" s="99">
        <f>EMPLOYEE_MASTER!Q228</f>
        <v>5</v>
      </c>
      <c r="I228" s="100" t="str">
        <f t="shared" si="24"/>
        <v>G05-S05</v>
      </c>
      <c r="J228" s="100">
        <f>IFERROR(VLOOKUP(I228,LK_GradeStep!$C$4:$D$85,2,0),0)</f>
        <v>328</v>
      </c>
      <c r="K228" s="100">
        <f>IFERROR(VLOOKUP(I228,LK_GradeStep!$C$4:$E$85,3,0),10000)</f>
        <v>10000</v>
      </c>
      <c r="L228" s="100">
        <f t="shared" si="25"/>
        <v>3280000</v>
      </c>
      <c r="M228" s="101">
        <f>IFERROR(VLOOKUP(EMPLOYEE_MASTER!AQ228,LK_AllowanceRates!$A$5:$B$11,2,0),0)</f>
        <v>900000</v>
      </c>
      <c r="N228" s="101">
        <f ca="1">IFERROR(IF(EMPLOYEE_MASTER!J228&lt;=5,  EMPLOYEE_MASTER!J228*LK_AllowanceRates!$B$12,IF(EMPLOYEE_MASTER!J228&lt;=15, EMPLOYEE_MASTER!J228*LK_AllowanceRates!$B$13,IF(EMPLOYEE_MASTER!J228&lt;=25, EMPLOYEE_MASTER!J228*LK_AllowanceRates!$B$14,EMPLOYEE_MASTER!J228*LK_AllowanceRates!$B$15))),0)</f>
        <v>480000</v>
      </c>
      <c r="O228" s="101">
        <f>IF(EMPLOYEE_MASTER!AS228="Teaching",L228*LK_AllowanceRates!$B$16,0)</f>
        <v>656000</v>
      </c>
      <c r="P228" s="101">
        <f>IF(EMPLOYEE_MASTER!AS228="Medical",LK_AllowanceRates!$B$17,0)</f>
        <v>0</v>
      </c>
      <c r="Q228" s="101">
        <f>IF(EMPLOYEE_MASTER!AR228="Yes",LK_AllowanceRates!$B$18,0)</f>
        <v>0</v>
      </c>
      <c r="R228" s="101">
        <f>IF(EMPLOYEE_MASTER!AC228="Yes",LK_AllowanceRates!$B$19,0)</f>
        <v>0</v>
      </c>
      <c r="S228" s="101">
        <f>IF(EMPLOYEE_MASTER!AA228="Yes",L228*LK_AllowanceRates!$B$20,0)</f>
        <v>820000</v>
      </c>
      <c r="T228" s="101">
        <f>IF(EMPLOYEE_MASTER!AB228="Yes",LK_AllowanceRates!$B$21,0)</f>
        <v>0</v>
      </c>
      <c r="U228" s="101">
        <f>IF(EMPLOYEE_MASTER!P228&gt;=6,LK_AllowanceRates!$B$22,0)</f>
        <v>0</v>
      </c>
      <c r="V228" s="101">
        <f>IF(EMPLOYEE_MASTER!AO228="Yes",LK_AllowanceRates!$B$23,0)</f>
        <v>200000</v>
      </c>
      <c r="W228" s="101">
        <f>EMPLOYEE_MASTER!AP228*LK_AllowanceRates!$B$24</f>
        <v>600000</v>
      </c>
      <c r="X228" s="101">
        <v>0</v>
      </c>
      <c r="Y228" s="102">
        <v>0</v>
      </c>
      <c r="Z228" s="102">
        <v>0</v>
      </c>
      <c r="AA228" s="102">
        <v>0</v>
      </c>
      <c r="AB228" s="103">
        <f t="shared" ca="1" si="26"/>
        <v>3656000</v>
      </c>
      <c r="AC228" s="104">
        <f t="shared" ca="1" si="27"/>
        <v>6936000</v>
      </c>
      <c r="AD228" s="105">
        <f>ROUND(L228*LK_AllowanceRates!$B$25/100,0)</f>
        <v>180400</v>
      </c>
      <c r="AE228" s="106">
        <f t="shared" ca="1" si="28"/>
        <v>6755600</v>
      </c>
      <c r="AF228" s="106">
        <f t="shared" ca="1" si="29"/>
        <v>360560</v>
      </c>
      <c r="AG228" s="107">
        <v>0</v>
      </c>
      <c r="AH228" s="107">
        <v>0</v>
      </c>
      <c r="AI228" s="108">
        <f t="shared" ca="1" si="30"/>
        <v>540960</v>
      </c>
      <c r="AJ228" s="109">
        <f t="shared" ca="1" si="31"/>
        <v>6395040</v>
      </c>
    </row>
    <row r="229" spans="1:36" ht="15" customHeight="1" x14ac:dyDescent="0.3">
      <c r="A229" s="98" t="str">
        <f>EMPLOYEE_MASTER!A229</f>
        <v>LAO00226</v>
      </c>
      <c r="B229" s="98" t="str">
        <f>EMPLOYEE_MASTER!C229</f>
        <v>Khamphone</v>
      </c>
      <c r="C229" s="98" t="str">
        <f>EMPLOYEE_MASTER!D229</f>
        <v>Dalasane</v>
      </c>
      <c r="D229" s="98" t="str">
        <f>EMPLOYEE_MASTER!T229</f>
        <v>Savannakhet Province Administration</v>
      </c>
      <c r="E229" s="98" t="str">
        <f>EMPLOYEE_MASTER!M229</f>
        <v>Section Chief</v>
      </c>
      <c r="F229" s="98" t="str">
        <f>EMPLOYEE_MASTER!Z229</f>
        <v>Administration</v>
      </c>
      <c r="G229" s="99">
        <f>EMPLOYEE_MASTER!P229</f>
        <v>4</v>
      </c>
      <c r="H229" s="99">
        <f>EMPLOYEE_MASTER!Q229</f>
        <v>1</v>
      </c>
      <c r="I229" s="100" t="str">
        <f t="shared" si="24"/>
        <v>G04-S01</v>
      </c>
      <c r="J229" s="100">
        <f>IFERROR(VLOOKUP(I229,LK_GradeStep!$C$4:$D$85,2,0),0)</f>
        <v>286</v>
      </c>
      <c r="K229" s="100">
        <f>IFERROR(VLOOKUP(I229,LK_GradeStep!$C$4:$E$85,3,0),10000)</f>
        <v>10000</v>
      </c>
      <c r="L229" s="100">
        <f t="shared" si="25"/>
        <v>2860000</v>
      </c>
      <c r="M229" s="101">
        <f>IFERROR(VLOOKUP(EMPLOYEE_MASTER!AQ229,LK_AllowanceRates!$A$5:$B$11,2,0),0)</f>
        <v>1500000</v>
      </c>
      <c r="N229" s="101">
        <f ca="1">IFERROR(IF(EMPLOYEE_MASTER!J229&lt;=5,  EMPLOYEE_MASTER!J229*LK_AllowanceRates!$B$12,IF(EMPLOYEE_MASTER!J229&lt;=15, EMPLOYEE_MASTER!J229*LK_AllowanceRates!$B$13,IF(EMPLOYEE_MASTER!J229&lt;=25, EMPLOYEE_MASTER!J229*LK_AllowanceRates!$B$14,EMPLOYEE_MASTER!J229*LK_AllowanceRates!$B$15))),0)</f>
        <v>300000</v>
      </c>
      <c r="O229" s="101">
        <f>IF(EMPLOYEE_MASTER!AS229="Teaching",L229*LK_AllowanceRates!$B$16,0)</f>
        <v>0</v>
      </c>
      <c r="P229" s="101">
        <f>IF(EMPLOYEE_MASTER!AS229="Medical",LK_AllowanceRates!$B$17,0)</f>
        <v>0</v>
      </c>
      <c r="Q229" s="101">
        <f>IF(EMPLOYEE_MASTER!AR229="Yes",LK_AllowanceRates!$B$18,0)</f>
        <v>0</v>
      </c>
      <c r="R229" s="101">
        <f>IF(EMPLOYEE_MASTER!AC229="Yes",LK_AllowanceRates!$B$19,0)</f>
        <v>0</v>
      </c>
      <c r="S229" s="101">
        <f>IF(EMPLOYEE_MASTER!AA229="Yes",L229*LK_AllowanceRates!$B$20,0)</f>
        <v>715000</v>
      </c>
      <c r="T229" s="101">
        <f>IF(EMPLOYEE_MASTER!AB229="Yes",LK_AllowanceRates!$B$21,0)</f>
        <v>0</v>
      </c>
      <c r="U229" s="101">
        <f>IF(EMPLOYEE_MASTER!P229&gt;=6,LK_AllowanceRates!$B$22,0)</f>
        <v>0</v>
      </c>
      <c r="V229" s="101">
        <f>IF(EMPLOYEE_MASTER!AO229="Yes",LK_AllowanceRates!$B$23,0)</f>
        <v>0</v>
      </c>
      <c r="W229" s="101">
        <f>EMPLOYEE_MASTER!AP229*LK_AllowanceRates!$B$24</f>
        <v>0</v>
      </c>
      <c r="X229" s="101">
        <v>0</v>
      </c>
      <c r="Y229" s="102">
        <v>0</v>
      </c>
      <c r="Z229" s="102">
        <v>0</v>
      </c>
      <c r="AA229" s="102">
        <v>0</v>
      </c>
      <c r="AB229" s="103">
        <f t="shared" ca="1" si="26"/>
        <v>2515000</v>
      </c>
      <c r="AC229" s="104">
        <f t="shared" ca="1" si="27"/>
        <v>5375000</v>
      </c>
      <c r="AD229" s="105">
        <f>ROUND(L229*LK_AllowanceRates!$B$25/100,0)</f>
        <v>157300</v>
      </c>
      <c r="AE229" s="106">
        <f t="shared" ca="1" si="28"/>
        <v>5217700</v>
      </c>
      <c r="AF229" s="106">
        <f t="shared" ca="1" si="29"/>
        <v>206770</v>
      </c>
      <c r="AG229" s="107">
        <v>0</v>
      </c>
      <c r="AH229" s="107">
        <v>0</v>
      </c>
      <c r="AI229" s="108">
        <f t="shared" ca="1" si="30"/>
        <v>364070</v>
      </c>
      <c r="AJ229" s="109">
        <f t="shared" ca="1" si="31"/>
        <v>5010930</v>
      </c>
    </row>
    <row r="230" spans="1:36" ht="15" customHeight="1" x14ac:dyDescent="0.3">
      <c r="A230" s="98" t="str">
        <f>EMPLOYEE_MASTER!A230</f>
        <v>LAO00227</v>
      </c>
      <c r="B230" s="98" t="str">
        <f>EMPLOYEE_MASTER!C230</f>
        <v>Sinorath</v>
      </c>
      <c r="C230" s="98" t="str">
        <f>EMPLOYEE_MASTER!D230</f>
        <v>Khamphilavong</v>
      </c>
      <c r="D230" s="98" t="str">
        <f>EMPLOYEE_MASTER!T230</f>
        <v>Ministry of Health (MoH)</v>
      </c>
      <c r="E230" s="98" t="str">
        <f>EMPLOYEE_MASTER!M230</f>
        <v>Pharmacist</v>
      </c>
      <c r="F230" s="98" t="str">
        <f>EMPLOYEE_MASTER!Z230</f>
        <v>Medical</v>
      </c>
      <c r="G230" s="99">
        <f>EMPLOYEE_MASTER!P230</f>
        <v>2</v>
      </c>
      <c r="H230" s="99">
        <f>EMPLOYEE_MASTER!Q230</f>
        <v>1</v>
      </c>
      <c r="I230" s="100" t="str">
        <f t="shared" si="24"/>
        <v>G02-S01</v>
      </c>
      <c r="J230" s="100">
        <f>IFERROR(VLOOKUP(I230,LK_GradeStep!$C$4:$D$85,2,0),0)</f>
        <v>268</v>
      </c>
      <c r="K230" s="100">
        <f>IFERROR(VLOOKUP(I230,LK_GradeStep!$C$4:$E$85,3,0),10000)</f>
        <v>10000</v>
      </c>
      <c r="L230" s="100">
        <f t="shared" si="25"/>
        <v>2680000</v>
      </c>
      <c r="M230" s="101">
        <f>IFERROR(VLOOKUP(EMPLOYEE_MASTER!AQ230,LK_AllowanceRates!$A$5:$B$11,2,0),0)</f>
        <v>900000</v>
      </c>
      <c r="N230" s="101">
        <f ca="1">IFERROR(IF(EMPLOYEE_MASTER!J230&lt;=5,  EMPLOYEE_MASTER!J230*LK_AllowanceRates!$B$12,IF(EMPLOYEE_MASTER!J230&lt;=15, EMPLOYEE_MASTER!J230*LK_AllowanceRates!$B$13,IF(EMPLOYEE_MASTER!J230&lt;=25, EMPLOYEE_MASTER!J230*LK_AllowanceRates!$B$14,EMPLOYEE_MASTER!J230*LK_AllowanceRates!$B$15))),0)</f>
        <v>540000</v>
      </c>
      <c r="O230" s="101">
        <f>IF(EMPLOYEE_MASTER!AS230="Teaching",L230*LK_AllowanceRates!$B$16,0)</f>
        <v>0</v>
      </c>
      <c r="P230" s="101">
        <f>IF(EMPLOYEE_MASTER!AS230="Medical",LK_AllowanceRates!$B$17,0)</f>
        <v>500000</v>
      </c>
      <c r="Q230" s="101">
        <f>IF(EMPLOYEE_MASTER!AR230="Yes",LK_AllowanceRates!$B$18,0)</f>
        <v>0</v>
      </c>
      <c r="R230" s="101">
        <f>IF(EMPLOYEE_MASTER!AC230="Yes",LK_AllowanceRates!$B$19,0)</f>
        <v>0</v>
      </c>
      <c r="S230" s="101">
        <f>IF(EMPLOYEE_MASTER!AA230="Yes",L230*LK_AllowanceRates!$B$20,0)</f>
        <v>0</v>
      </c>
      <c r="T230" s="101">
        <f>IF(EMPLOYEE_MASTER!AB230="Yes",LK_AllowanceRates!$B$21,0)</f>
        <v>0</v>
      </c>
      <c r="U230" s="101">
        <f>IF(EMPLOYEE_MASTER!P230&gt;=6,LK_AllowanceRates!$B$22,0)</f>
        <v>0</v>
      </c>
      <c r="V230" s="101">
        <f>IF(EMPLOYEE_MASTER!AO230="Yes",LK_AllowanceRates!$B$23,0)</f>
        <v>0</v>
      </c>
      <c r="W230" s="101">
        <f>EMPLOYEE_MASTER!AP230*LK_AllowanceRates!$B$24</f>
        <v>0</v>
      </c>
      <c r="X230" s="101">
        <v>0</v>
      </c>
      <c r="Y230" s="102">
        <v>0</v>
      </c>
      <c r="Z230" s="102">
        <v>0</v>
      </c>
      <c r="AA230" s="102">
        <v>0</v>
      </c>
      <c r="AB230" s="103">
        <f t="shared" ca="1" si="26"/>
        <v>1940000</v>
      </c>
      <c r="AC230" s="104">
        <f t="shared" ca="1" si="27"/>
        <v>4620000</v>
      </c>
      <c r="AD230" s="105">
        <f>ROUND(L230*LK_AllowanceRates!$B$25/100,0)</f>
        <v>147400</v>
      </c>
      <c r="AE230" s="106">
        <f t="shared" ca="1" si="28"/>
        <v>4472600</v>
      </c>
      <c r="AF230" s="106">
        <f t="shared" ca="1" si="29"/>
        <v>158630</v>
      </c>
      <c r="AG230" s="107">
        <v>0</v>
      </c>
      <c r="AH230" s="107">
        <v>0</v>
      </c>
      <c r="AI230" s="108">
        <f t="shared" ca="1" si="30"/>
        <v>306030</v>
      </c>
      <c r="AJ230" s="109">
        <f t="shared" ca="1" si="31"/>
        <v>4313970</v>
      </c>
    </row>
    <row r="231" spans="1:36" ht="15" customHeight="1" x14ac:dyDescent="0.3">
      <c r="A231" s="98" t="str">
        <f>EMPLOYEE_MASTER!A231</f>
        <v>LAO00228</v>
      </c>
      <c r="B231" s="98" t="str">
        <f>EMPLOYEE_MASTER!C231</f>
        <v>Sivilay</v>
      </c>
      <c r="C231" s="98" t="str">
        <f>EMPLOYEE_MASTER!D231</f>
        <v>Bounseng</v>
      </c>
      <c r="D231" s="98" t="str">
        <f>EMPLOYEE_MASTER!T231</f>
        <v>Ministry of Industry &amp; Commerce (MoIC)</v>
      </c>
      <c r="E231" s="98" t="str">
        <f>EMPLOYEE_MASTER!M231</f>
        <v>Deputy Director</v>
      </c>
      <c r="F231" s="98" t="str">
        <f>EMPLOYEE_MASTER!Z231</f>
        <v>Administration</v>
      </c>
      <c r="G231" s="99">
        <f>EMPLOYEE_MASTER!P231</f>
        <v>4</v>
      </c>
      <c r="H231" s="99">
        <f>EMPLOYEE_MASTER!Q231</f>
        <v>1</v>
      </c>
      <c r="I231" s="100" t="str">
        <f t="shared" si="24"/>
        <v>G04-S01</v>
      </c>
      <c r="J231" s="100">
        <f>IFERROR(VLOOKUP(I231,LK_GradeStep!$C$4:$D$85,2,0),0)</f>
        <v>286</v>
      </c>
      <c r="K231" s="100">
        <f>IFERROR(VLOOKUP(I231,LK_GradeStep!$C$4:$E$85,3,0),10000)</f>
        <v>10000</v>
      </c>
      <c r="L231" s="100">
        <f t="shared" si="25"/>
        <v>2860000</v>
      </c>
      <c r="M231" s="101">
        <f>IFERROR(VLOOKUP(EMPLOYEE_MASTER!AQ231,LK_AllowanceRates!$A$5:$B$11,2,0),0)</f>
        <v>2300000</v>
      </c>
      <c r="N231" s="101">
        <f ca="1">IFERROR(IF(EMPLOYEE_MASTER!J231&lt;=5,  EMPLOYEE_MASTER!J231*LK_AllowanceRates!$B$12,IF(EMPLOYEE_MASTER!J231&lt;=15, EMPLOYEE_MASTER!J231*LK_AllowanceRates!$B$13,IF(EMPLOYEE_MASTER!J231&lt;=25, EMPLOYEE_MASTER!J231*LK_AllowanceRates!$B$14,EMPLOYEE_MASTER!J231*LK_AllowanceRates!$B$15))),0)</f>
        <v>1080000</v>
      </c>
      <c r="O231" s="101">
        <f>IF(EMPLOYEE_MASTER!AS231="Teaching",L231*LK_AllowanceRates!$B$16,0)</f>
        <v>0</v>
      </c>
      <c r="P231" s="101">
        <f>IF(EMPLOYEE_MASTER!AS231="Medical",LK_AllowanceRates!$B$17,0)</f>
        <v>0</v>
      </c>
      <c r="Q231" s="101">
        <f>IF(EMPLOYEE_MASTER!AR231="Yes",LK_AllowanceRates!$B$18,0)</f>
        <v>0</v>
      </c>
      <c r="R231" s="101">
        <f>IF(EMPLOYEE_MASTER!AC231="Yes",LK_AllowanceRates!$B$19,0)</f>
        <v>0</v>
      </c>
      <c r="S231" s="101">
        <f>IF(EMPLOYEE_MASTER!AA231="Yes",L231*LK_AllowanceRates!$B$20,0)</f>
        <v>0</v>
      </c>
      <c r="T231" s="101">
        <f>IF(EMPLOYEE_MASTER!AB231="Yes",LK_AllowanceRates!$B$21,0)</f>
        <v>0</v>
      </c>
      <c r="U231" s="101">
        <f>IF(EMPLOYEE_MASTER!P231&gt;=6,LK_AllowanceRates!$B$22,0)</f>
        <v>0</v>
      </c>
      <c r="V231" s="101">
        <f>IF(EMPLOYEE_MASTER!AO231="Yes",LK_AllowanceRates!$B$23,0)</f>
        <v>0</v>
      </c>
      <c r="W231" s="101">
        <f>EMPLOYEE_MASTER!AP231*LK_AllowanceRates!$B$24</f>
        <v>0</v>
      </c>
      <c r="X231" s="101">
        <v>0</v>
      </c>
      <c r="Y231" s="102">
        <v>0</v>
      </c>
      <c r="Z231" s="102">
        <v>0</v>
      </c>
      <c r="AA231" s="102">
        <v>0</v>
      </c>
      <c r="AB231" s="103">
        <f t="shared" ca="1" si="26"/>
        <v>3380000</v>
      </c>
      <c r="AC231" s="104">
        <f t="shared" ca="1" si="27"/>
        <v>6240000</v>
      </c>
      <c r="AD231" s="105">
        <f>ROUND(L231*LK_AllowanceRates!$B$25/100,0)</f>
        <v>157300</v>
      </c>
      <c r="AE231" s="106">
        <f t="shared" ca="1" si="28"/>
        <v>6082700</v>
      </c>
      <c r="AF231" s="106">
        <f t="shared" ca="1" si="29"/>
        <v>293270</v>
      </c>
      <c r="AG231" s="107">
        <v>0</v>
      </c>
      <c r="AH231" s="107">
        <v>0</v>
      </c>
      <c r="AI231" s="108">
        <f t="shared" ca="1" si="30"/>
        <v>450570</v>
      </c>
      <c r="AJ231" s="109">
        <f t="shared" ca="1" si="31"/>
        <v>5789430</v>
      </c>
    </row>
    <row r="232" spans="1:36" ht="15" customHeight="1" x14ac:dyDescent="0.3">
      <c r="A232" s="98" t="str">
        <f>EMPLOYEE_MASTER!A232</f>
        <v>LAO00229</v>
      </c>
      <c r="B232" s="98" t="str">
        <f>EMPLOYEE_MASTER!C232</f>
        <v>Vilayphon</v>
      </c>
      <c r="C232" s="98" t="str">
        <f>EMPLOYEE_MASTER!D232</f>
        <v>Xayavong</v>
      </c>
      <c r="D232" s="98" t="str">
        <f>EMPLOYEE_MASTER!T232</f>
        <v>Ministry of Education and Sports (MoES)</v>
      </c>
      <c r="E232" s="98" t="str">
        <f>EMPLOYEE_MASTER!M232</f>
        <v>School Principal</v>
      </c>
      <c r="F232" s="98" t="str">
        <f>EMPLOYEE_MASTER!Z232</f>
        <v>Teacher</v>
      </c>
      <c r="G232" s="99">
        <f>EMPLOYEE_MASTER!P232</f>
        <v>2</v>
      </c>
      <c r="H232" s="99">
        <f>EMPLOYEE_MASTER!Q232</f>
        <v>1</v>
      </c>
      <c r="I232" s="100" t="str">
        <f t="shared" si="24"/>
        <v>G02-S01</v>
      </c>
      <c r="J232" s="100">
        <f>IFERROR(VLOOKUP(I232,LK_GradeStep!$C$4:$D$85,2,0),0)</f>
        <v>268</v>
      </c>
      <c r="K232" s="100">
        <f>IFERROR(VLOOKUP(I232,LK_GradeStep!$C$4:$E$85,3,0),10000)</f>
        <v>10000</v>
      </c>
      <c r="L232" s="100">
        <f t="shared" si="25"/>
        <v>2680000</v>
      </c>
      <c r="M232" s="101">
        <f>IFERROR(VLOOKUP(EMPLOYEE_MASTER!AQ232,LK_AllowanceRates!$A$5:$B$11,2,0),0)</f>
        <v>900000</v>
      </c>
      <c r="N232" s="101">
        <f ca="1">IFERROR(IF(EMPLOYEE_MASTER!J232&lt;=5,  EMPLOYEE_MASTER!J232*LK_AllowanceRates!$B$12,IF(EMPLOYEE_MASTER!J232&lt;=15, EMPLOYEE_MASTER!J232*LK_AllowanceRates!$B$13,IF(EMPLOYEE_MASTER!J232&lt;=25, EMPLOYEE_MASTER!J232*LK_AllowanceRates!$B$14,EMPLOYEE_MASTER!J232*LK_AllowanceRates!$B$15))),0)</f>
        <v>660000</v>
      </c>
      <c r="O232" s="101">
        <f>IF(EMPLOYEE_MASTER!AS232="Teaching",L232*LK_AllowanceRates!$B$16,0)</f>
        <v>536000</v>
      </c>
      <c r="P232" s="101">
        <f>IF(EMPLOYEE_MASTER!AS232="Medical",LK_AllowanceRates!$B$17,0)</f>
        <v>0</v>
      </c>
      <c r="Q232" s="101">
        <f>IF(EMPLOYEE_MASTER!AR232="Yes",LK_AllowanceRates!$B$18,0)</f>
        <v>0</v>
      </c>
      <c r="R232" s="101">
        <f>IF(EMPLOYEE_MASTER!AC232="Yes",LK_AllowanceRates!$B$19,0)</f>
        <v>0</v>
      </c>
      <c r="S232" s="101">
        <f>IF(EMPLOYEE_MASTER!AA232="Yes",L232*LK_AllowanceRates!$B$20,0)</f>
        <v>670000</v>
      </c>
      <c r="T232" s="101">
        <f>IF(EMPLOYEE_MASTER!AB232="Yes",LK_AllowanceRates!$B$21,0)</f>
        <v>0</v>
      </c>
      <c r="U232" s="101">
        <f>IF(EMPLOYEE_MASTER!P232&gt;=6,LK_AllowanceRates!$B$22,0)</f>
        <v>0</v>
      </c>
      <c r="V232" s="101">
        <f>IF(EMPLOYEE_MASTER!AO232="Yes",LK_AllowanceRates!$B$23,0)</f>
        <v>200000</v>
      </c>
      <c r="W232" s="101">
        <f>EMPLOYEE_MASTER!AP232*LK_AllowanceRates!$B$24</f>
        <v>200000</v>
      </c>
      <c r="X232" s="101">
        <v>0</v>
      </c>
      <c r="Y232" s="102">
        <v>0</v>
      </c>
      <c r="Z232" s="102">
        <v>0</v>
      </c>
      <c r="AA232" s="102">
        <v>0</v>
      </c>
      <c r="AB232" s="103">
        <f t="shared" ca="1" si="26"/>
        <v>3166000</v>
      </c>
      <c r="AC232" s="104">
        <f t="shared" ca="1" si="27"/>
        <v>5846000</v>
      </c>
      <c r="AD232" s="105">
        <f>ROUND(L232*LK_AllowanceRates!$B$25/100,0)</f>
        <v>147400</v>
      </c>
      <c r="AE232" s="106">
        <f t="shared" ca="1" si="28"/>
        <v>5698600</v>
      </c>
      <c r="AF232" s="106">
        <f t="shared" ca="1" si="29"/>
        <v>254860</v>
      </c>
      <c r="AG232" s="107">
        <v>0</v>
      </c>
      <c r="AH232" s="107">
        <v>0</v>
      </c>
      <c r="AI232" s="108">
        <f t="shared" ca="1" si="30"/>
        <v>402260</v>
      </c>
      <c r="AJ232" s="109">
        <f t="shared" ca="1" si="31"/>
        <v>5443740</v>
      </c>
    </row>
    <row r="233" spans="1:36" ht="15" customHeight="1" x14ac:dyDescent="0.3">
      <c r="A233" s="98" t="str">
        <f>EMPLOYEE_MASTER!A233</f>
        <v>LAO00230</v>
      </c>
      <c r="B233" s="98" t="str">
        <f>EMPLOYEE_MASTER!C233</f>
        <v>Khammoune</v>
      </c>
      <c r="C233" s="98" t="str">
        <f>EMPLOYEE_MASTER!D233</f>
        <v>Xayavong</v>
      </c>
      <c r="D233" s="98" t="str">
        <f>EMPLOYEE_MASTER!T233</f>
        <v>Luang Prabang Province Administration</v>
      </c>
      <c r="E233" s="98" t="str">
        <f>EMPLOYEE_MASTER!M233</f>
        <v>Deputy Department Director</v>
      </c>
      <c r="F233" s="98" t="str">
        <f>EMPLOYEE_MASTER!Z233</f>
        <v>Administration</v>
      </c>
      <c r="G233" s="99">
        <f>EMPLOYEE_MASTER!P233</f>
        <v>4</v>
      </c>
      <c r="H233" s="99">
        <f>EMPLOYEE_MASTER!Q233</f>
        <v>1</v>
      </c>
      <c r="I233" s="100" t="str">
        <f t="shared" si="24"/>
        <v>G04-S01</v>
      </c>
      <c r="J233" s="100">
        <f>IFERROR(VLOOKUP(I233,LK_GradeStep!$C$4:$D$85,2,0),0)</f>
        <v>286</v>
      </c>
      <c r="K233" s="100">
        <f>IFERROR(VLOOKUP(I233,LK_GradeStep!$C$4:$E$85,3,0),10000)</f>
        <v>10000</v>
      </c>
      <c r="L233" s="100">
        <f t="shared" si="25"/>
        <v>2860000</v>
      </c>
      <c r="M233" s="101">
        <f>IFERROR(VLOOKUP(EMPLOYEE_MASTER!AQ233,LK_AllowanceRates!$A$5:$B$11,2,0),0)</f>
        <v>900000</v>
      </c>
      <c r="N233" s="101">
        <f ca="1">IFERROR(IF(EMPLOYEE_MASTER!J233&lt;=5,  EMPLOYEE_MASTER!J233*LK_AllowanceRates!$B$12,IF(EMPLOYEE_MASTER!J233&lt;=15, EMPLOYEE_MASTER!J233*LK_AllowanceRates!$B$13,IF(EMPLOYEE_MASTER!J233&lt;=25, EMPLOYEE_MASTER!J233*LK_AllowanceRates!$B$14,EMPLOYEE_MASTER!J233*LK_AllowanceRates!$B$15))),0)</f>
        <v>630000</v>
      </c>
      <c r="O233" s="101">
        <f>IF(EMPLOYEE_MASTER!AS233="Teaching",L233*LK_AllowanceRates!$B$16,0)</f>
        <v>0</v>
      </c>
      <c r="P233" s="101">
        <f>IF(EMPLOYEE_MASTER!AS233="Medical",LK_AllowanceRates!$B$17,0)</f>
        <v>0</v>
      </c>
      <c r="Q233" s="101">
        <f>IF(EMPLOYEE_MASTER!AR233="Yes",LK_AllowanceRates!$B$18,0)</f>
        <v>0</v>
      </c>
      <c r="R233" s="101">
        <f>IF(EMPLOYEE_MASTER!AC233="Yes",LK_AllowanceRates!$B$19,0)</f>
        <v>0</v>
      </c>
      <c r="S233" s="101">
        <f>IF(EMPLOYEE_MASTER!AA233="Yes",L233*LK_AllowanceRates!$B$20,0)</f>
        <v>715000</v>
      </c>
      <c r="T233" s="101">
        <f>IF(EMPLOYEE_MASTER!AB233="Yes",LK_AllowanceRates!$B$21,0)</f>
        <v>0</v>
      </c>
      <c r="U233" s="101">
        <f>IF(EMPLOYEE_MASTER!P233&gt;=6,LK_AllowanceRates!$B$22,0)</f>
        <v>0</v>
      </c>
      <c r="V233" s="101">
        <f>IF(EMPLOYEE_MASTER!AO233="Yes",LK_AllowanceRates!$B$23,0)</f>
        <v>200000</v>
      </c>
      <c r="W233" s="101">
        <f>EMPLOYEE_MASTER!AP233*LK_AllowanceRates!$B$24</f>
        <v>400000</v>
      </c>
      <c r="X233" s="101">
        <v>0</v>
      </c>
      <c r="Y233" s="102">
        <v>0</v>
      </c>
      <c r="Z233" s="102">
        <v>0</v>
      </c>
      <c r="AA233" s="102">
        <v>0</v>
      </c>
      <c r="AB233" s="103">
        <f t="shared" ca="1" si="26"/>
        <v>2845000</v>
      </c>
      <c r="AC233" s="104">
        <f t="shared" ca="1" si="27"/>
        <v>5705000</v>
      </c>
      <c r="AD233" s="105">
        <f>ROUND(L233*LK_AllowanceRates!$B$25/100,0)</f>
        <v>157300</v>
      </c>
      <c r="AE233" s="106">
        <f t="shared" ca="1" si="28"/>
        <v>5547700</v>
      </c>
      <c r="AF233" s="106">
        <f t="shared" ca="1" si="29"/>
        <v>239770</v>
      </c>
      <c r="AG233" s="107">
        <v>0</v>
      </c>
      <c r="AH233" s="107">
        <v>0</v>
      </c>
      <c r="AI233" s="108">
        <f t="shared" ca="1" si="30"/>
        <v>397070</v>
      </c>
      <c r="AJ233" s="109">
        <f t="shared" ca="1" si="31"/>
        <v>5307930</v>
      </c>
    </row>
    <row r="234" spans="1:36" ht="15" customHeight="1" x14ac:dyDescent="0.3">
      <c r="A234" s="98" t="str">
        <f>EMPLOYEE_MASTER!A234</f>
        <v>LAO00231</v>
      </c>
      <c r="B234" s="98" t="str">
        <f>EMPLOYEE_MASTER!C234</f>
        <v>Khamphout</v>
      </c>
      <c r="C234" s="98" t="str">
        <f>EMPLOYEE_MASTER!D234</f>
        <v>Xayavong</v>
      </c>
      <c r="D234" s="98" t="str">
        <f>EMPLOYEE_MASTER!T234</f>
        <v>Savannakhet Province Administration</v>
      </c>
      <c r="E234" s="98" t="str">
        <f>EMPLOYEE_MASTER!M234</f>
        <v>Deputy Director</v>
      </c>
      <c r="F234" s="98" t="str">
        <f>EMPLOYEE_MASTER!Z234</f>
        <v>Administration</v>
      </c>
      <c r="G234" s="99">
        <f>EMPLOYEE_MASTER!P234</f>
        <v>4</v>
      </c>
      <c r="H234" s="99">
        <f>EMPLOYEE_MASTER!Q234</f>
        <v>1</v>
      </c>
      <c r="I234" s="100" t="str">
        <f t="shared" si="24"/>
        <v>G04-S01</v>
      </c>
      <c r="J234" s="100">
        <f>IFERROR(VLOOKUP(I234,LK_GradeStep!$C$4:$D$85,2,0),0)</f>
        <v>286</v>
      </c>
      <c r="K234" s="100">
        <f>IFERROR(VLOOKUP(I234,LK_GradeStep!$C$4:$E$85,3,0),10000)</f>
        <v>10000</v>
      </c>
      <c r="L234" s="100">
        <f t="shared" si="25"/>
        <v>2860000</v>
      </c>
      <c r="M234" s="101">
        <f>IFERROR(VLOOKUP(EMPLOYEE_MASTER!AQ234,LK_AllowanceRates!$A$5:$B$11,2,0),0)</f>
        <v>2300000</v>
      </c>
      <c r="N234" s="101">
        <f ca="1">IFERROR(IF(EMPLOYEE_MASTER!J234&lt;=5,  EMPLOYEE_MASTER!J234*LK_AllowanceRates!$B$12,IF(EMPLOYEE_MASTER!J234&lt;=15, EMPLOYEE_MASTER!J234*LK_AllowanceRates!$B$13,IF(EMPLOYEE_MASTER!J234&lt;=25, EMPLOYEE_MASTER!J234*LK_AllowanceRates!$B$14,EMPLOYEE_MASTER!J234*LK_AllowanceRates!$B$15))),0)</f>
        <v>660000</v>
      </c>
      <c r="O234" s="101">
        <f>IF(EMPLOYEE_MASTER!AS234="Teaching",L234*LK_AllowanceRates!$B$16,0)</f>
        <v>0</v>
      </c>
      <c r="P234" s="101">
        <f>IF(EMPLOYEE_MASTER!AS234="Medical",LK_AllowanceRates!$B$17,0)</f>
        <v>0</v>
      </c>
      <c r="Q234" s="101">
        <f>IF(EMPLOYEE_MASTER!AR234="Yes",LK_AllowanceRates!$B$18,0)</f>
        <v>0</v>
      </c>
      <c r="R234" s="101">
        <f>IF(EMPLOYEE_MASTER!AC234="Yes",LK_AllowanceRates!$B$19,0)</f>
        <v>0</v>
      </c>
      <c r="S234" s="101">
        <f>IF(EMPLOYEE_MASTER!AA234="Yes",L234*LK_AllowanceRates!$B$20,0)</f>
        <v>715000</v>
      </c>
      <c r="T234" s="101">
        <f>IF(EMPLOYEE_MASTER!AB234="Yes",LK_AllowanceRates!$B$21,0)</f>
        <v>0</v>
      </c>
      <c r="U234" s="101">
        <f>IF(EMPLOYEE_MASTER!P234&gt;=6,LK_AllowanceRates!$B$22,0)</f>
        <v>0</v>
      </c>
      <c r="V234" s="101">
        <f>IF(EMPLOYEE_MASTER!AO234="Yes",LK_AllowanceRates!$B$23,0)</f>
        <v>200000</v>
      </c>
      <c r="W234" s="101">
        <f>EMPLOYEE_MASTER!AP234*LK_AllowanceRates!$B$24</f>
        <v>0</v>
      </c>
      <c r="X234" s="101">
        <v>0</v>
      </c>
      <c r="Y234" s="102">
        <v>0</v>
      </c>
      <c r="Z234" s="102">
        <v>0</v>
      </c>
      <c r="AA234" s="102">
        <v>0</v>
      </c>
      <c r="AB234" s="103">
        <f t="shared" ca="1" si="26"/>
        <v>3875000</v>
      </c>
      <c r="AC234" s="104">
        <f t="shared" ca="1" si="27"/>
        <v>6735000</v>
      </c>
      <c r="AD234" s="105">
        <f>ROUND(L234*LK_AllowanceRates!$B$25/100,0)</f>
        <v>157300</v>
      </c>
      <c r="AE234" s="106">
        <f t="shared" ca="1" si="28"/>
        <v>6577700</v>
      </c>
      <c r="AF234" s="106">
        <f t="shared" ca="1" si="29"/>
        <v>342770</v>
      </c>
      <c r="AG234" s="107">
        <v>0</v>
      </c>
      <c r="AH234" s="107">
        <v>0</v>
      </c>
      <c r="AI234" s="108">
        <f t="shared" ca="1" si="30"/>
        <v>500070</v>
      </c>
      <c r="AJ234" s="109">
        <f t="shared" ca="1" si="31"/>
        <v>6234930</v>
      </c>
    </row>
    <row r="235" spans="1:36" ht="15" customHeight="1" x14ac:dyDescent="0.3">
      <c r="A235" s="98" t="str">
        <f>EMPLOYEE_MASTER!A235</f>
        <v>LAO00232</v>
      </c>
      <c r="B235" s="98" t="str">
        <f>EMPLOYEE_MASTER!C235</f>
        <v>Soudabout</v>
      </c>
      <c r="C235" s="98" t="str">
        <f>EMPLOYEE_MASTER!D235</f>
        <v>Chanthavong</v>
      </c>
      <c r="D235" s="98" t="str">
        <f>EMPLOYEE_MASTER!T235</f>
        <v>Vientiane Capital Administration</v>
      </c>
      <c r="E235" s="98" t="str">
        <f>EMPLOYEE_MASTER!M235</f>
        <v>Senior Administrative Officer</v>
      </c>
      <c r="F235" s="98" t="str">
        <f>EMPLOYEE_MASTER!Z235</f>
        <v>Administration</v>
      </c>
      <c r="G235" s="99">
        <f>EMPLOYEE_MASTER!P235</f>
        <v>4</v>
      </c>
      <c r="H235" s="99">
        <f>EMPLOYEE_MASTER!Q235</f>
        <v>1</v>
      </c>
      <c r="I235" s="100" t="str">
        <f t="shared" si="24"/>
        <v>G04-S01</v>
      </c>
      <c r="J235" s="100">
        <f>IFERROR(VLOOKUP(I235,LK_GradeStep!$C$4:$D$85,2,0),0)</f>
        <v>286</v>
      </c>
      <c r="K235" s="100">
        <f>IFERROR(VLOOKUP(I235,LK_GradeStep!$C$4:$E$85,3,0),10000)</f>
        <v>10000</v>
      </c>
      <c r="L235" s="100">
        <f t="shared" si="25"/>
        <v>2860000</v>
      </c>
      <c r="M235" s="101">
        <f>IFERROR(VLOOKUP(EMPLOYEE_MASTER!AQ235,LK_AllowanceRates!$A$5:$B$11,2,0),0)</f>
        <v>900000</v>
      </c>
      <c r="N235" s="101">
        <f ca="1">IFERROR(IF(EMPLOYEE_MASTER!J235&lt;=5,  EMPLOYEE_MASTER!J235*LK_AllowanceRates!$B$12,IF(EMPLOYEE_MASTER!J235&lt;=15, EMPLOYEE_MASTER!J235*LK_AllowanceRates!$B$13,IF(EMPLOYEE_MASTER!J235&lt;=25, EMPLOYEE_MASTER!J235*LK_AllowanceRates!$B$14,EMPLOYEE_MASTER!J235*LK_AllowanceRates!$B$15))),0)</f>
        <v>540000</v>
      </c>
      <c r="O235" s="101">
        <f>IF(EMPLOYEE_MASTER!AS235="Teaching",L235*LK_AllowanceRates!$B$16,0)</f>
        <v>0</v>
      </c>
      <c r="P235" s="101">
        <f>IF(EMPLOYEE_MASTER!AS235="Medical",LK_AllowanceRates!$B$17,0)</f>
        <v>0</v>
      </c>
      <c r="Q235" s="101">
        <f>IF(EMPLOYEE_MASTER!AR235="Yes",LK_AllowanceRates!$B$18,0)</f>
        <v>0</v>
      </c>
      <c r="R235" s="101">
        <f>IF(EMPLOYEE_MASTER!AC235="Yes",LK_AllowanceRates!$B$19,0)</f>
        <v>0</v>
      </c>
      <c r="S235" s="101">
        <f>IF(EMPLOYEE_MASTER!AA235="Yes",L235*LK_AllowanceRates!$B$20,0)</f>
        <v>0</v>
      </c>
      <c r="T235" s="101">
        <f>IF(EMPLOYEE_MASTER!AB235="Yes",LK_AllowanceRates!$B$21,0)</f>
        <v>0</v>
      </c>
      <c r="U235" s="101">
        <f>IF(EMPLOYEE_MASTER!P235&gt;=6,LK_AllowanceRates!$B$22,0)</f>
        <v>0</v>
      </c>
      <c r="V235" s="101">
        <f>IF(EMPLOYEE_MASTER!AO235="Yes",LK_AllowanceRates!$B$23,0)</f>
        <v>200000</v>
      </c>
      <c r="W235" s="101">
        <f>EMPLOYEE_MASTER!AP235*LK_AllowanceRates!$B$24</f>
        <v>600000</v>
      </c>
      <c r="X235" s="101">
        <v>0</v>
      </c>
      <c r="Y235" s="102">
        <v>0</v>
      </c>
      <c r="Z235" s="102">
        <v>0</v>
      </c>
      <c r="AA235" s="102">
        <v>0</v>
      </c>
      <c r="AB235" s="103">
        <f t="shared" ca="1" si="26"/>
        <v>2240000</v>
      </c>
      <c r="AC235" s="104">
        <f t="shared" ca="1" si="27"/>
        <v>5100000</v>
      </c>
      <c r="AD235" s="105">
        <f>ROUND(L235*LK_AllowanceRates!$B$25/100,0)</f>
        <v>157300</v>
      </c>
      <c r="AE235" s="106">
        <f t="shared" ca="1" si="28"/>
        <v>4942700</v>
      </c>
      <c r="AF235" s="106">
        <f t="shared" ca="1" si="29"/>
        <v>182135</v>
      </c>
      <c r="AG235" s="107">
        <v>0</v>
      </c>
      <c r="AH235" s="107">
        <v>0</v>
      </c>
      <c r="AI235" s="108">
        <f t="shared" ca="1" si="30"/>
        <v>339435</v>
      </c>
      <c r="AJ235" s="109">
        <f t="shared" ca="1" si="31"/>
        <v>4760565</v>
      </c>
    </row>
    <row r="236" spans="1:36" ht="15" customHeight="1" x14ac:dyDescent="0.3">
      <c r="A236" s="98" t="str">
        <f>EMPLOYEE_MASTER!A236</f>
        <v>LAO00233</v>
      </c>
      <c r="B236" s="98" t="str">
        <f>EMPLOYEE_MASTER!C236</f>
        <v>Sengmany</v>
      </c>
      <c r="C236" s="98" t="str">
        <f>EMPLOYEE_MASTER!D236</f>
        <v>Soulinthong</v>
      </c>
      <c r="D236" s="98" t="str">
        <f>EMPLOYEE_MASTER!T236</f>
        <v>Ministry of Foreign Affairs (MFA)</v>
      </c>
      <c r="E236" s="98" t="str">
        <f>EMPLOYEE_MASTER!M236</f>
        <v>Consul</v>
      </c>
      <c r="F236" s="98" t="str">
        <f>EMPLOYEE_MASTER!Z236</f>
        <v>Diplomatic</v>
      </c>
      <c r="G236" s="99">
        <f>EMPLOYEE_MASTER!P236</f>
        <v>5</v>
      </c>
      <c r="H236" s="99">
        <f>EMPLOYEE_MASTER!Q236</f>
        <v>1</v>
      </c>
      <c r="I236" s="100" t="str">
        <f t="shared" si="24"/>
        <v>G05-S01</v>
      </c>
      <c r="J236" s="100">
        <f>IFERROR(VLOOKUP(I236,LK_GradeStep!$C$4:$D$85,2,0),0)</f>
        <v>308</v>
      </c>
      <c r="K236" s="100">
        <f>IFERROR(VLOOKUP(I236,LK_GradeStep!$C$4:$E$85,3,0),10000)</f>
        <v>10000</v>
      </c>
      <c r="L236" s="100">
        <f t="shared" si="25"/>
        <v>3080000</v>
      </c>
      <c r="M236" s="101">
        <f>IFERROR(VLOOKUP(EMPLOYEE_MASTER!AQ236,LK_AllowanceRates!$A$5:$B$11,2,0),0)</f>
        <v>900000</v>
      </c>
      <c r="N236" s="101">
        <f ca="1">IFERROR(IF(EMPLOYEE_MASTER!J236&lt;=5,  EMPLOYEE_MASTER!J236*LK_AllowanceRates!$B$12,IF(EMPLOYEE_MASTER!J236&lt;=15, EMPLOYEE_MASTER!J236*LK_AllowanceRates!$B$13,IF(EMPLOYEE_MASTER!J236&lt;=25, EMPLOYEE_MASTER!J236*LK_AllowanceRates!$B$14,EMPLOYEE_MASTER!J236*LK_AllowanceRates!$B$15))),0)</f>
        <v>1240000</v>
      </c>
      <c r="O236" s="101">
        <f>IF(EMPLOYEE_MASTER!AS236="Teaching",L236*LK_AllowanceRates!$B$16,0)</f>
        <v>0</v>
      </c>
      <c r="P236" s="101">
        <f>IF(EMPLOYEE_MASTER!AS236="Medical",LK_AllowanceRates!$B$17,0)</f>
        <v>0</v>
      </c>
      <c r="Q236" s="101">
        <f>IF(EMPLOYEE_MASTER!AR236="Yes",LK_AllowanceRates!$B$18,0)</f>
        <v>0</v>
      </c>
      <c r="R236" s="101">
        <f>IF(EMPLOYEE_MASTER!AC236="Yes",LK_AllowanceRates!$B$19,0)</f>
        <v>0</v>
      </c>
      <c r="S236" s="101">
        <f>IF(EMPLOYEE_MASTER!AA236="Yes",L236*LK_AllowanceRates!$B$20,0)</f>
        <v>0</v>
      </c>
      <c r="T236" s="101">
        <f>IF(EMPLOYEE_MASTER!AB236="Yes",LK_AllowanceRates!$B$21,0)</f>
        <v>0</v>
      </c>
      <c r="U236" s="101">
        <f>IF(EMPLOYEE_MASTER!P236&gt;=6,LK_AllowanceRates!$B$22,0)</f>
        <v>0</v>
      </c>
      <c r="V236" s="101">
        <f>IF(EMPLOYEE_MASTER!AO236="Yes",LK_AllowanceRates!$B$23,0)</f>
        <v>200000</v>
      </c>
      <c r="W236" s="101">
        <f>EMPLOYEE_MASTER!AP236*LK_AllowanceRates!$B$24</f>
        <v>600000</v>
      </c>
      <c r="X236" s="101">
        <v>0</v>
      </c>
      <c r="Y236" s="102">
        <v>0</v>
      </c>
      <c r="Z236" s="102">
        <v>0</v>
      </c>
      <c r="AA236" s="102">
        <v>0</v>
      </c>
      <c r="AB236" s="103">
        <f t="shared" ca="1" si="26"/>
        <v>2940000</v>
      </c>
      <c r="AC236" s="104">
        <f t="shared" ca="1" si="27"/>
        <v>6020000</v>
      </c>
      <c r="AD236" s="105">
        <f>ROUND(L236*LK_AllowanceRates!$B$25/100,0)</f>
        <v>169400</v>
      </c>
      <c r="AE236" s="106">
        <f t="shared" ca="1" si="28"/>
        <v>5850600</v>
      </c>
      <c r="AF236" s="106">
        <f t="shared" ca="1" si="29"/>
        <v>270060</v>
      </c>
      <c r="AG236" s="107">
        <v>0</v>
      </c>
      <c r="AH236" s="107">
        <v>0</v>
      </c>
      <c r="AI236" s="108">
        <f t="shared" ca="1" si="30"/>
        <v>439460</v>
      </c>
      <c r="AJ236" s="109">
        <f t="shared" ca="1" si="31"/>
        <v>5580540</v>
      </c>
    </row>
    <row r="237" spans="1:36" ht="15" customHeight="1" x14ac:dyDescent="0.3">
      <c r="A237" s="98" t="str">
        <f>EMPLOYEE_MASTER!A237</f>
        <v>LAO00234</v>
      </c>
      <c r="B237" s="98" t="str">
        <f>EMPLOYEE_MASTER!C237</f>
        <v>Bounmy</v>
      </c>
      <c r="C237" s="98" t="str">
        <f>EMPLOYEE_MASTER!D237</f>
        <v>Chanthavong</v>
      </c>
      <c r="D237" s="98" t="str">
        <f>EMPLOYEE_MASTER!T237</f>
        <v>Vientiane Capital Administration</v>
      </c>
      <c r="E237" s="98" t="str">
        <f>EMPLOYEE_MASTER!M237</f>
        <v>Department Director</v>
      </c>
      <c r="F237" s="98" t="str">
        <f>EMPLOYEE_MASTER!Z237</f>
        <v>Administration</v>
      </c>
      <c r="G237" s="99">
        <f>EMPLOYEE_MASTER!P237</f>
        <v>4</v>
      </c>
      <c r="H237" s="99">
        <f>EMPLOYEE_MASTER!Q237</f>
        <v>5</v>
      </c>
      <c r="I237" s="100" t="str">
        <f t="shared" si="24"/>
        <v>G04-S05</v>
      </c>
      <c r="J237" s="100">
        <f>IFERROR(VLOOKUP(I237,LK_GradeStep!$C$4:$D$85,2,0),0)</f>
        <v>294</v>
      </c>
      <c r="K237" s="100">
        <f>IFERROR(VLOOKUP(I237,LK_GradeStep!$C$4:$E$85,3,0),10000)</f>
        <v>10000</v>
      </c>
      <c r="L237" s="100">
        <f t="shared" si="25"/>
        <v>2940000</v>
      </c>
      <c r="M237" s="101">
        <f>IFERROR(VLOOKUP(EMPLOYEE_MASTER!AQ237,LK_AllowanceRates!$A$5:$B$11,2,0),0)</f>
        <v>2500000</v>
      </c>
      <c r="N237" s="101">
        <f ca="1">IFERROR(IF(EMPLOYEE_MASTER!J237&lt;=5,  EMPLOYEE_MASTER!J237*LK_AllowanceRates!$B$12,IF(EMPLOYEE_MASTER!J237&lt;=15, EMPLOYEE_MASTER!J237*LK_AllowanceRates!$B$13,IF(EMPLOYEE_MASTER!J237&lt;=25, EMPLOYEE_MASTER!J237*LK_AllowanceRates!$B$14,EMPLOYEE_MASTER!J237*LK_AllowanceRates!$B$15))),0)</f>
        <v>160000</v>
      </c>
      <c r="O237" s="101">
        <f>IF(EMPLOYEE_MASTER!AS237="Teaching",L237*LK_AllowanceRates!$B$16,0)</f>
        <v>0</v>
      </c>
      <c r="P237" s="101">
        <f>IF(EMPLOYEE_MASTER!AS237="Medical",LK_AllowanceRates!$B$17,0)</f>
        <v>0</v>
      </c>
      <c r="Q237" s="101">
        <f>IF(EMPLOYEE_MASTER!AR237="Yes",LK_AllowanceRates!$B$18,0)</f>
        <v>0</v>
      </c>
      <c r="R237" s="101">
        <f>IF(EMPLOYEE_MASTER!AC237="Yes",LK_AllowanceRates!$B$19,0)</f>
        <v>0</v>
      </c>
      <c r="S237" s="101">
        <f>IF(EMPLOYEE_MASTER!AA237="Yes",L237*LK_AllowanceRates!$B$20,0)</f>
        <v>0</v>
      </c>
      <c r="T237" s="101">
        <f>IF(EMPLOYEE_MASTER!AB237="Yes",LK_AllowanceRates!$B$21,0)</f>
        <v>0</v>
      </c>
      <c r="U237" s="101">
        <f>IF(EMPLOYEE_MASTER!P237&gt;=6,LK_AllowanceRates!$B$22,0)</f>
        <v>0</v>
      </c>
      <c r="V237" s="101">
        <f>IF(EMPLOYEE_MASTER!AO237="Yes",LK_AllowanceRates!$B$23,0)</f>
        <v>200000</v>
      </c>
      <c r="W237" s="101">
        <f>EMPLOYEE_MASTER!AP237*LK_AllowanceRates!$B$24</f>
        <v>0</v>
      </c>
      <c r="X237" s="101">
        <v>0</v>
      </c>
      <c r="Y237" s="102">
        <v>0</v>
      </c>
      <c r="Z237" s="102">
        <v>0</v>
      </c>
      <c r="AA237" s="102">
        <v>0</v>
      </c>
      <c r="AB237" s="103">
        <f t="shared" ca="1" si="26"/>
        <v>2860000</v>
      </c>
      <c r="AC237" s="104">
        <f t="shared" ca="1" si="27"/>
        <v>5800000</v>
      </c>
      <c r="AD237" s="105">
        <f>ROUND(L237*LK_AllowanceRates!$B$25/100,0)</f>
        <v>161700</v>
      </c>
      <c r="AE237" s="106">
        <f t="shared" ca="1" si="28"/>
        <v>5638300</v>
      </c>
      <c r="AF237" s="106">
        <f t="shared" ca="1" si="29"/>
        <v>248830</v>
      </c>
      <c r="AG237" s="107">
        <v>0</v>
      </c>
      <c r="AH237" s="107">
        <v>0</v>
      </c>
      <c r="AI237" s="108">
        <f t="shared" ca="1" si="30"/>
        <v>410530</v>
      </c>
      <c r="AJ237" s="109">
        <f t="shared" ca="1" si="31"/>
        <v>5389470</v>
      </c>
    </row>
    <row r="238" spans="1:36" ht="15" customHeight="1" x14ac:dyDescent="0.3">
      <c r="A238" s="98" t="str">
        <f>EMPLOYEE_MASTER!A238</f>
        <v>LAO00235</v>
      </c>
      <c r="B238" s="98" t="str">
        <f>EMPLOYEE_MASTER!C238</f>
        <v>Soudabout</v>
      </c>
      <c r="C238" s="98" t="str">
        <f>EMPLOYEE_MASTER!D238</f>
        <v>Thammavong</v>
      </c>
      <c r="D238" s="98" t="str">
        <f>EMPLOYEE_MASTER!T238</f>
        <v>Ministry of Education and Sports (MoES)</v>
      </c>
      <c r="E238" s="98" t="str">
        <f>EMPLOYEE_MASTER!M238</f>
        <v>Technical Vocational Trainer</v>
      </c>
      <c r="F238" s="98" t="str">
        <f>EMPLOYEE_MASTER!Z238</f>
        <v>Teacher</v>
      </c>
      <c r="G238" s="99">
        <f>EMPLOYEE_MASTER!P238</f>
        <v>3</v>
      </c>
      <c r="H238" s="99">
        <f>EMPLOYEE_MASTER!Q238</f>
        <v>7</v>
      </c>
      <c r="I238" s="100" t="str">
        <f t="shared" si="24"/>
        <v>G03-S07</v>
      </c>
      <c r="J238" s="100">
        <f>IFERROR(VLOOKUP(I238,LK_GradeStep!$C$4:$D$85,2,0),0)</f>
        <v>282</v>
      </c>
      <c r="K238" s="100">
        <f>IFERROR(VLOOKUP(I238,LK_GradeStep!$C$4:$E$85,3,0),10000)</f>
        <v>10000</v>
      </c>
      <c r="L238" s="100">
        <f t="shared" si="25"/>
        <v>2820000</v>
      </c>
      <c r="M238" s="101">
        <f>IFERROR(VLOOKUP(EMPLOYEE_MASTER!AQ238,LK_AllowanceRates!$A$5:$B$11,2,0),0)</f>
        <v>900000</v>
      </c>
      <c r="N238" s="101">
        <f ca="1">IFERROR(IF(EMPLOYEE_MASTER!J238&lt;=5,  EMPLOYEE_MASTER!J238*LK_AllowanceRates!$B$12,IF(EMPLOYEE_MASTER!J238&lt;=15, EMPLOYEE_MASTER!J238*LK_AllowanceRates!$B$13,IF(EMPLOYEE_MASTER!J238&lt;=25, EMPLOYEE_MASTER!J238*LK_AllowanceRates!$B$14,EMPLOYEE_MASTER!J238*LK_AllowanceRates!$B$15))),0)</f>
        <v>0</v>
      </c>
      <c r="O238" s="101">
        <f>IF(EMPLOYEE_MASTER!AS238="Teaching",L238*LK_AllowanceRates!$B$16,0)</f>
        <v>564000</v>
      </c>
      <c r="P238" s="101">
        <f>IF(EMPLOYEE_MASTER!AS238="Medical",LK_AllowanceRates!$B$17,0)</f>
        <v>0</v>
      </c>
      <c r="Q238" s="101">
        <f>IF(EMPLOYEE_MASTER!AR238="Yes",LK_AllowanceRates!$B$18,0)</f>
        <v>0</v>
      </c>
      <c r="R238" s="101">
        <f>IF(EMPLOYEE_MASTER!AC238="Yes",LK_AllowanceRates!$B$19,0)</f>
        <v>0</v>
      </c>
      <c r="S238" s="101">
        <f>IF(EMPLOYEE_MASTER!AA238="Yes",L238*LK_AllowanceRates!$B$20,0)</f>
        <v>0</v>
      </c>
      <c r="T238" s="101">
        <f>IF(EMPLOYEE_MASTER!AB238="Yes",LK_AllowanceRates!$B$21,0)</f>
        <v>0</v>
      </c>
      <c r="U238" s="101">
        <f>IF(EMPLOYEE_MASTER!P238&gt;=6,LK_AllowanceRates!$B$22,0)</f>
        <v>0</v>
      </c>
      <c r="V238" s="101">
        <f>IF(EMPLOYEE_MASTER!AO238="Yes",LK_AllowanceRates!$B$23,0)</f>
        <v>0</v>
      </c>
      <c r="W238" s="101">
        <f>EMPLOYEE_MASTER!AP238*LK_AllowanceRates!$B$24</f>
        <v>0</v>
      </c>
      <c r="X238" s="101">
        <v>0</v>
      </c>
      <c r="Y238" s="102">
        <v>0</v>
      </c>
      <c r="Z238" s="102">
        <v>0</v>
      </c>
      <c r="AA238" s="102">
        <v>0</v>
      </c>
      <c r="AB238" s="103">
        <f t="shared" ca="1" si="26"/>
        <v>1464000</v>
      </c>
      <c r="AC238" s="104">
        <f t="shared" ca="1" si="27"/>
        <v>4284000</v>
      </c>
      <c r="AD238" s="105">
        <f>ROUND(L238*LK_AllowanceRates!$B$25/100,0)</f>
        <v>155100</v>
      </c>
      <c r="AE238" s="106">
        <f t="shared" ca="1" si="28"/>
        <v>4128900</v>
      </c>
      <c r="AF238" s="106">
        <f t="shared" ca="1" si="29"/>
        <v>141445</v>
      </c>
      <c r="AG238" s="107">
        <v>0</v>
      </c>
      <c r="AH238" s="107">
        <v>0</v>
      </c>
      <c r="AI238" s="108">
        <f t="shared" ca="1" si="30"/>
        <v>296545</v>
      </c>
      <c r="AJ238" s="109">
        <f t="shared" ca="1" si="31"/>
        <v>3987455</v>
      </c>
    </row>
    <row r="239" spans="1:36" ht="15" customHeight="1" x14ac:dyDescent="0.3">
      <c r="A239" s="98" t="str">
        <f>EMPLOYEE_MASTER!A239</f>
        <v>LAO00236</v>
      </c>
      <c r="B239" s="98" t="str">
        <f>EMPLOYEE_MASTER!C239</f>
        <v>Khamsone</v>
      </c>
      <c r="C239" s="98" t="str">
        <f>EMPLOYEE_MASTER!D239</f>
        <v>Phommasack</v>
      </c>
      <c r="D239" s="98" t="str">
        <f>EMPLOYEE_MASTER!T239</f>
        <v>Ministry of Planning &amp; Investment (MPI)</v>
      </c>
      <c r="E239" s="98" t="str">
        <f>EMPLOYEE_MASTER!M239</f>
        <v>Administrative Officer</v>
      </c>
      <c r="F239" s="98" t="str">
        <f>EMPLOYEE_MASTER!Z239</f>
        <v>Administration</v>
      </c>
      <c r="G239" s="99">
        <f>EMPLOYEE_MASTER!P239</f>
        <v>4</v>
      </c>
      <c r="H239" s="99">
        <f>EMPLOYEE_MASTER!Q239</f>
        <v>1</v>
      </c>
      <c r="I239" s="100" t="str">
        <f t="shared" si="24"/>
        <v>G04-S01</v>
      </c>
      <c r="J239" s="100">
        <f>IFERROR(VLOOKUP(I239,LK_GradeStep!$C$4:$D$85,2,0),0)</f>
        <v>286</v>
      </c>
      <c r="K239" s="100">
        <f>IFERROR(VLOOKUP(I239,LK_GradeStep!$C$4:$E$85,3,0),10000)</f>
        <v>10000</v>
      </c>
      <c r="L239" s="100">
        <f t="shared" si="25"/>
        <v>2860000</v>
      </c>
      <c r="M239" s="101">
        <f>IFERROR(VLOOKUP(EMPLOYEE_MASTER!AQ239,LK_AllowanceRates!$A$5:$B$11,2,0),0)</f>
        <v>900000</v>
      </c>
      <c r="N239" s="101">
        <f ca="1">IFERROR(IF(EMPLOYEE_MASTER!J239&lt;=5,  EMPLOYEE_MASTER!J239*LK_AllowanceRates!$B$12,IF(EMPLOYEE_MASTER!J239&lt;=15, EMPLOYEE_MASTER!J239*LK_AllowanceRates!$B$13,IF(EMPLOYEE_MASTER!J239&lt;=25, EMPLOYEE_MASTER!J239*LK_AllowanceRates!$B$14,EMPLOYEE_MASTER!J239*LK_AllowanceRates!$B$15))),0)</f>
        <v>1320000</v>
      </c>
      <c r="O239" s="101">
        <f>IF(EMPLOYEE_MASTER!AS239="Teaching",L239*LK_AllowanceRates!$B$16,0)</f>
        <v>0</v>
      </c>
      <c r="P239" s="101">
        <f>IF(EMPLOYEE_MASTER!AS239="Medical",LK_AllowanceRates!$B$17,0)</f>
        <v>0</v>
      </c>
      <c r="Q239" s="101">
        <f>IF(EMPLOYEE_MASTER!AR239="Yes",LK_AllowanceRates!$B$18,0)</f>
        <v>0</v>
      </c>
      <c r="R239" s="101">
        <f>IF(EMPLOYEE_MASTER!AC239="Yes",LK_AllowanceRates!$B$19,0)</f>
        <v>1000000</v>
      </c>
      <c r="S239" s="101">
        <f>IF(EMPLOYEE_MASTER!AA239="Yes",L239*LK_AllowanceRates!$B$20,0)</f>
        <v>715000</v>
      </c>
      <c r="T239" s="101">
        <f>IF(EMPLOYEE_MASTER!AB239="Yes",LK_AllowanceRates!$B$21,0)</f>
        <v>0</v>
      </c>
      <c r="U239" s="101">
        <f>IF(EMPLOYEE_MASTER!P239&gt;=6,LK_AllowanceRates!$B$22,0)</f>
        <v>0</v>
      </c>
      <c r="V239" s="101">
        <f>IF(EMPLOYEE_MASTER!AO239="Yes",LK_AllowanceRates!$B$23,0)</f>
        <v>200000</v>
      </c>
      <c r="W239" s="101">
        <f>EMPLOYEE_MASTER!AP239*LK_AllowanceRates!$B$24</f>
        <v>600000</v>
      </c>
      <c r="X239" s="101">
        <v>0</v>
      </c>
      <c r="Y239" s="102">
        <v>0</v>
      </c>
      <c r="Z239" s="102">
        <v>0</v>
      </c>
      <c r="AA239" s="102">
        <v>0</v>
      </c>
      <c r="AB239" s="103">
        <f t="shared" ca="1" si="26"/>
        <v>4735000</v>
      </c>
      <c r="AC239" s="104">
        <f t="shared" ca="1" si="27"/>
        <v>7595000</v>
      </c>
      <c r="AD239" s="105">
        <f>ROUND(L239*LK_AllowanceRates!$B$25/100,0)</f>
        <v>157300</v>
      </c>
      <c r="AE239" s="106">
        <f t="shared" ca="1" si="28"/>
        <v>7437700</v>
      </c>
      <c r="AF239" s="106">
        <f t="shared" ca="1" si="29"/>
        <v>428770</v>
      </c>
      <c r="AG239" s="107">
        <v>0</v>
      </c>
      <c r="AH239" s="107">
        <v>0</v>
      </c>
      <c r="AI239" s="108">
        <f t="shared" ca="1" si="30"/>
        <v>586070</v>
      </c>
      <c r="AJ239" s="109">
        <f t="shared" ca="1" si="31"/>
        <v>7008930</v>
      </c>
    </row>
    <row r="240" spans="1:36" ht="15" customHeight="1" x14ac:dyDescent="0.3">
      <c r="A240" s="98" t="str">
        <f>EMPLOYEE_MASTER!A240</f>
        <v>LAO00237</v>
      </c>
      <c r="B240" s="98" t="str">
        <f>EMPLOYEE_MASTER!C240</f>
        <v>Khamsone</v>
      </c>
      <c r="C240" s="98" t="str">
        <f>EMPLOYEE_MASTER!D240</f>
        <v>Bounphanixay</v>
      </c>
      <c r="D240" s="98" t="str">
        <f>EMPLOYEE_MASTER!T240</f>
        <v>Ministry of Education and Sports (MoES)</v>
      </c>
      <c r="E240" s="98" t="str">
        <f>EMPLOYEE_MASTER!M240</f>
        <v>Technical Vocational Trainer</v>
      </c>
      <c r="F240" s="98" t="str">
        <f>EMPLOYEE_MASTER!Z240</f>
        <v>Teacher</v>
      </c>
      <c r="G240" s="99">
        <f>EMPLOYEE_MASTER!P240</f>
        <v>4</v>
      </c>
      <c r="H240" s="99">
        <f>EMPLOYEE_MASTER!Q240</f>
        <v>1</v>
      </c>
      <c r="I240" s="100" t="str">
        <f t="shared" si="24"/>
        <v>G04-S01</v>
      </c>
      <c r="J240" s="100">
        <f>IFERROR(VLOOKUP(I240,LK_GradeStep!$C$4:$D$85,2,0),0)</f>
        <v>286</v>
      </c>
      <c r="K240" s="100">
        <f>IFERROR(VLOOKUP(I240,LK_GradeStep!$C$4:$E$85,3,0),10000)</f>
        <v>10000</v>
      </c>
      <c r="L240" s="100">
        <f t="shared" si="25"/>
        <v>2860000</v>
      </c>
      <c r="M240" s="101">
        <f>IFERROR(VLOOKUP(EMPLOYEE_MASTER!AQ240,LK_AllowanceRates!$A$5:$B$11,2,0),0)</f>
        <v>900000</v>
      </c>
      <c r="N240" s="101">
        <f ca="1">IFERROR(IF(EMPLOYEE_MASTER!J240&lt;=5,  EMPLOYEE_MASTER!J240*LK_AllowanceRates!$B$12,IF(EMPLOYEE_MASTER!J240&lt;=15, EMPLOYEE_MASTER!J240*LK_AllowanceRates!$B$13,IF(EMPLOYEE_MASTER!J240&lt;=25, EMPLOYEE_MASTER!J240*LK_AllowanceRates!$B$14,EMPLOYEE_MASTER!J240*LK_AllowanceRates!$B$15))),0)</f>
        <v>260000</v>
      </c>
      <c r="O240" s="101">
        <f>IF(EMPLOYEE_MASTER!AS240="Teaching",L240*LK_AllowanceRates!$B$16,0)</f>
        <v>572000</v>
      </c>
      <c r="P240" s="101">
        <f>IF(EMPLOYEE_MASTER!AS240="Medical",LK_AllowanceRates!$B$17,0)</f>
        <v>0</v>
      </c>
      <c r="Q240" s="101">
        <f>IF(EMPLOYEE_MASTER!AR240="Yes",LK_AllowanceRates!$B$18,0)</f>
        <v>0</v>
      </c>
      <c r="R240" s="101">
        <f>IF(EMPLOYEE_MASTER!AC240="Yes",LK_AllowanceRates!$B$19,0)</f>
        <v>0</v>
      </c>
      <c r="S240" s="101">
        <f>IF(EMPLOYEE_MASTER!AA240="Yes",L240*LK_AllowanceRates!$B$20,0)</f>
        <v>0</v>
      </c>
      <c r="T240" s="101">
        <f>IF(EMPLOYEE_MASTER!AB240="Yes",LK_AllowanceRates!$B$21,0)</f>
        <v>0</v>
      </c>
      <c r="U240" s="101">
        <f>IF(EMPLOYEE_MASTER!P240&gt;=6,LK_AllowanceRates!$B$22,0)</f>
        <v>0</v>
      </c>
      <c r="V240" s="101">
        <f>IF(EMPLOYEE_MASTER!AO240="Yes",LK_AllowanceRates!$B$23,0)</f>
        <v>0</v>
      </c>
      <c r="W240" s="101">
        <f>EMPLOYEE_MASTER!AP240*LK_AllowanceRates!$B$24</f>
        <v>0</v>
      </c>
      <c r="X240" s="101">
        <v>0</v>
      </c>
      <c r="Y240" s="102">
        <v>0</v>
      </c>
      <c r="Z240" s="102">
        <v>0</v>
      </c>
      <c r="AA240" s="102">
        <v>0</v>
      </c>
      <c r="AB240" s="103">
        <f t="shared" ca="1" si="26"/>
        <v>1732000</v>
      </c>
      <c r="AC240" s="104">
        <f t="shared" ca="1" si="27"/>
        <v>4592000</v>
      </c>
      <c r="AD240" s="105">
        <f>ROUND(L240*LK_AllowanceRates!$B$25/100,0)</f>
        <v>157300</v>
      </c>
      <c r="AE240" s="106">
        <f t="shared" ca="1" si="28"/>
        <v>4434700</v>
      </c>
      <c r="AF240" s="106">
        <f t="shared" ca="1" si="29"/>
        <v>156735</v>
      </c>
      <c r="AG240" s="107">
        <v>0</v>
      </c>
      <c r="AH240" s="107">
        <v>0</v>
      </c>
      <c r="AI240" s="108">
        <f t="shared" ca="1" si="30"/>
        <v>314035</v>
      </c>
      <c r="AJ240" s="109">
        <f t="shared" ca="1" si="31"/>
        <v>4277965</v>
      </c>
    </row>
    <row r="241" spans="1:36" ht="15" customHeight="1" x14ac:dyDescent="0.3">
      <c r="A241" s="98" t="str">
        <f>EMPLOYEE_MASTER!A241</f>
        <v>LAO00238</v>
      </c>
      <c r="B241" s="98" t="str">
        <f>EMPLOYEE_MASTER!C241</f>
        <v>Bounthon</v>
      </c>
      <c r="C241" s="98" t="str">
        <f>EMPLOYEE_MASTER!D241</f>
        <v>Khambounheuang</v>
      </c>
      <c r="D241" s="98" t="str">
        <f>EMPLOYEE_MASTER!T241</f>
        <v>Luang Prabang Province Administration</v>
      </c>
      <c r="E241" s="98" t="str">
        <f>EMPLOYEE_MASTER!M241</f>
        <v>Senior Officer</v>
      </c>
      <c r="F241" s="98" t="str">
        <f>EMPLOYEE_MASTER!Z241</f>
        <v>Administration</v>
      </c>
      <c r="G241" s="99">
        <f>EMPLOYEE_MASTER!P241</f>
        <v>4</v>
      </c>
      <c r="H241" s="99">
        <f>EMPLOYEE_MASTER!Q241</f>
        <v>5</v>
      </c>
      <c r="I241" s="100" t="str">
        <f t="shared" si="24"/>
        <v>G04-S05</v>
      </c>
      <c r="J241" s="100">
        <f>IFERROR(VLOOKUP(I241,LK_GradeStep!$C$4:$D$85,2,0),0)</f>
        <v>294</v>
      </c>
      <c r="K241" s="100">
        <f>IFERROR(VLOOKUP(I241,LK_GradeStep!$C$4:$E$85,3,0),10000)</f>
        <v>10000</v>
      </c>
      <c r="L241" s="100">
        <f t="shared" si="25"/>
        <v>2940000</v>
      </c>
      <c r="M241" s="101">
        <f>IFERROR(VLOOKUP(EMPLOYEE_MASTER!AQ241,LK_AllowanceRates!$A$5:$B$11,2,0),0)</f>
        <v>900000</v>
      </c>
      <c r="N241" s="101">
        <f ca="1">IFERROR(IF(EMPLOYEE_MASTER!J241&lt;=5,  EMPLOYEE_MASTER!J241*LK_AllowanceRates!$B$12,IF(EMPLOYEE_MASTER!J241&lt;=15, EMPLOYEE_MASTER!J241*LK_AllowanceRates!$B$13,IF(EMPLOYEE_MASTER!J241&lt;=25, EMPLOYEE_MASTER!J241*LK_AllowanceRates!$B$14,EMPLOYEE_MASTER!J241*LK_AllowanceRates!$B$15))),0)</f>
        <v>1160000</v>
      </c>
      <c r="O241" s="101">
        <f>IF(EMPLOYEE_MASTER!AS241="Teaching",L241*LK_AllowanceRates!$B$16,0)</f>
        <v>0</v>
      </c>
      <c r="P241" s="101">
        <f>IF(EMPLOYEE_MASTER!AS241="Medical",LK_AllowanceRates!$B$17,0)</f>
        <v>0</v>
      </c>
      <c r="Q241" s="101">
        <f>IF(EMPLOYEE_MASTER!AR241="Yes",LK_AllowanceRates!$B$18,0)</f>
        <v>0</v>
      </c>
      <c r="R241" s="101">
        <f>IF(EMPLOYEE_MASTER!AC241="Yes",LK_AllowanceRates!$B$19,0)</f>
        <v>1000000</v>
      </c>
      <c r="S241" s="101">
        <f>IF(EMPLOYEE_MASTER!AA241="Yes",L241*LK_AllowanceRates!$B$20,0)</f>
        <v>0</v>
      </c>
      <c r="T241" s="101">
        <f>IF(EMPLOYEE_MASTER!AB241="Yes",LK_AllowanceRates!$B$21,0)</f>
        <v>0</v>
      </c>
      <c r="U241" s="101">
        <f>IF(EMPLOYEE_MASTER!P241&gt;=6,LK_AllowanceRates!$B$22,0)</f>
        <v>0</v>
      </c>
      <c r="V241" s="101">
        <f>IF(EMPLOYEE_MASTER!AO241="Yes",LK_AllowanceRates!$B$23,0)</f>
        <v>0</v>
      </c>
      <c r="W241" s="101">
        <f>EMPLOYEE_MASTER!AP241*LK_AllowanceRates!$B$24</f>
        <v>0</v>
      </c>
      <c r="X241" s="101">
        <v>0</v>
      </c>
      <c r="Y241" s="102">
        <v>0</v>
      </c>
      <c r="Z241" s="102">
        <v>0</v>
      </c>
      <c r="AA241" s="102">
        <v>0</v>
      </c>
      <c r="AB241" s="103">
        <f t="shared" ca="1" si="26"/>
        <v>3060000</v>
      </c>
      <c r="AC241" s="104">
        <f t="shared" ca="1" si="27"/>
        <v>6000000</v>
      </c>
      <c r="AD241" s="105">
        <f>ROUND(L241*LK_AllowanceRates!$B$25/100,0)</f>
        <v>161700</v>
      </c>
      <c r="AE241" s="106">
        <f t="shared" ca="1" si="28"/>
        <v>5838300</v>
      </c>
      <c r="AF241" s="106">
        <f t="shared" ca="1" si="29"/>
        <v>268830</v>
      </c>
      <c r="AG241" s="107">
        <v>0</v>
      </c>
      <c r="AH241" s="107">
        <v>0</v>
      </c>
      <c r="AI241" s="108">
        <f t="shared" ca="1" si="30"/>
        <v>430530</v>
      </c>
      <c r="AJ241" s="109">
        <f t="shared" ca="1" si="31"/>
        <v>5569470</v>
      </c>
    </row>
    <row r="242" spans="1:36" ht="15" customHeight="1" x14ac:dyDescent="0.3">
      <c r="A242" s="98" t="str">
        <f>EMPLOYEE_MASTER!A242</f>
        <v>LAO00239</v>
      </c>
      <c r="B242" s="98" t="str">
        <f>EMPLOYEE_MASTER!C242</f>
        <v>Bounthanh</v>
      </c>
      <c r="C242" s="98" t="str">
        <f>EMPLOYEE_MASTER!D242</f>
        <v>Khambounheuang</v>
      </c>
      <c r="D242" s="98" t="str">
        <f>EMPLOYEE_MASTER!T242</f>
        <v>Ministry of Education and Sports (MoES)</v>
      </c>
      <c r="E242" s="98" t="str">
        <f>EMPLOYEE_MASTER!M242</f>
        <v>Technical Vocational Trainer</v>
      </c>
      <c r="F242" s="98" t="str">
        <f>EMPLOYEE_MASTER!Z242</f>
        <v>Teacher</v>
      </c>
      <c r="G242" s="99">
        <f>EMPLOYEE_MASTER!P242</f>
        <v>2</v>
      </c>
      <c r="H242" s="99">
        <f>EMPLOYEE_MASTER!Q242</f>
        <v>1</v>
      </c>
      <c r="I242" s="100" t="str">
        <f t="shared" si="24"/>
        <v>G02-S01</v>
      </c>
      <c r="J242" s="100">
        <f>IFERROR(VLOOKUP(I242,LK_GradeStep!$C$4:$D$85,2,0),0)</f>
        <v>268</v>
      </c>
      <c r="K242" s="100">
        <f>IFERROR(VLOOKUP(I242,LK_GradeStep!$C$4:$E$85,3,0),10000)</f>
        <v>10000</v>
      </c>
      <c r="L242" s="100">
        <f t="shared" si="25"/>
        <v>2680000</v>
      </c>
      <c r="M242" s="101">
        <f>IFERROR(VLOOKUP(EMPLOYEE_MASTER!AQ242,LK_AllowanceRates!$A$5:$B$11,2,0),0)</f>
        <v>900000</v>
      </c>
      <c r="N242" s="101">
        <f ca="1">IFERROR(IF(EMPLOYEE_MASTER!J242&lt;=5,  EMPLOYEE_MASTER!J242*LK_AllowanceRates!$B$12,IF(EMPLOYEE_MASTER!J242&lt;=15, EMPLOYEE_MASTER!J242*LK_AllowanceRates!$B$13,IF(EMPLOYEE_MASTER!J242&lt;=25, EMPLOYEE_MASTER!J242*LK_AllowanceRates!$B$14,EMPLOYEE_MASTER!J242*LK_AllowanceRates!$B$15))),0)</f>
        <v>1080000</v>
      </c>
      <c r="O242" s="101">
        <f>IF(EMPLOYEE_MASTER!AS242="Teaching",L242*LK_AllowanceRates!$B$16,0)</f>
        <v>536000</v>
      </c>
      <c r="P242" s="101">
        <f>IF(EMPLOYEE_MASTER!AS242="Medical",LK_AllowanceRates!$B$17,0)</f>
        <v>0</v>
      </c>
      <c r="Q242" s="101">
        <f>IF(EMPLOYEE_MASTER!AR242="Yes",LK_AllowanceRates!$B$18,0)</f>
        <v>0</v>
      </c>
      <c r="R242" s="101">
        <f>IF(EMPLOYEE_MASTER!AC242="Yes",LK_AllowanceRates!$B$19,0)</f>
        <v>0</v>
      </c>
      <c r="S242" s="101">
        <f>IF(EMPLOYEE_MASTER!AA242="Yes",L242*LK_AllowanceRates!$B$20,0)</f>
        <v>0</v>
      </c>
      <c r="T242" s="101">
        <f>IF(EMPLOYEE_MASTER!AB242="Yes",LK_AllowanceRates!$B$21,0)</f>
        <v>0</v>
      </c>
      <c r="U242" s="101">
        <f>IF(EMPLOYEE_MASTER!P242&gt;=6,LK_AllowanceRates!$B$22,0)</f>
        <v>0</v>
      </c>
      <c r="V242" s="101">
        <f>IF(EMPLOYEE_MASTER!AO242="Yes",LK_AllowanceRates!$B$23,0)</f>
        <v>200000</v>
      </c>
      <c r="W242" s="101">
        <f>EMPLOYEE_MASTER!AP242*LK_AllowanceRates!$B$24</f>
        <v>400000</v>
      </c>
      <c r="X242" s="101">
        <v>0</v>
      </c>
      <c r="Y242" s="102">
        <v>0</v>
      </c>
      <c r="Z242" s="102">
        <v>0</v>
      </c>
      <c r="AA242" s="102">
        <v>0</v>
      </c>
      <c r="AB242" s="103">
        <f t="shared" ca="1" si="26"/>
        <v>3116000</v>
      </c>
      <c r="AC242" s="104">
        <f t="shared" ca="1" si="27"/>
        <v>5796000</v>
      </c>
      <c r="AD242" s="105">
        <f>ROUND(L242*LK_AllowanceRates!$B$25/100,0)</f>
        <v>147400</v>
      </c>
      <c r="AE242" s="106">
        <f t="shared" ca="1" si="28"/>
        <v>5648600</v>
      </c>
      <c r="AF242" s="106">
        <f t="shared" ca="1" si="29"/>
        <v>249860</v>
      </c>
      <c r="AG242" s="107">
        <v>0</v>
      </c>
      <c r="AH242" s="107">
        <v>0</v>
      </c>
      <c r="AI242" s="108">
        <f t="shared" ca="1" si="30"/>
        <v>397260</v>
      </c>
      <c r="AJ242" s="109">
        <f t="shared" ca="1" si="31"/>
        <v>5398740</v>
      </c>
    </row>
    <row r="243" spans="1:36" ht="15" customHeight="1" x14ac:dyDescent="0.3">
      <c r="A243" s="98" t="str">
        <f>EMPLOYEE_MASTER!A243</f>
        <v>LAO00240</v>
      </c>
      <c r="B243" s="98" t="str">
        <f>EMPLOYEE_MASTER!C243</f>
        <v>Khankham</v>
      </c>
      <c r="C243" s="98" t="str">
        <f>EMPLOYEE_MASTER!D243</f>
        <v>Vongsack</v>
      </c>
      <c r="D243" s="98" t="str">
        <f>EMPLOYEE_MASTER!T243</f>
        <v>Ministry of Agriculture and Forestry (MoAF)</v>
      </c>
      <c r="E243" s="98" t="str">
        <f>EMPLOYEE_MASTER!M243</f>
        <v>Technical Officer</v>
      </c>
      <c r="F243" s="98" t="str">
        <f>EMPLOYEE_MASTER!Z243</f>
        <v>Technical</v>
      </c>
      <c r="G243" s="99">
        <f>EMPLOYEE_MASTER!P243</f>
        <v>3</v>
      </c>
      <c r="H243" s="99">
        <f>EMPLOYEE_MASTER!Q243</f>
        <v>13</v>
      </c>
      <c r="I243" s="100" t="str">
        <f t="shared" si="24"/>
        <v>G03-S13</v>
      </c>
      <c r="J243" s="100">
        <f>IFERROR(VLOOKUP(I243,LK_GradeStep!$C$4:$D$85,2,0),0)</f>
        <v>294</v>
      </c>
      <c r="K243" s="100">
        <f>IFERROR(VLOOKUP(I243,LK_GradeStep!$C$4:$E$85,3,0),10000)</f>
        <v>10000</v>
      </c>
      <c r="L243" s="100">
        <f t="shared" si="25"/>
        <v>2940000</v>
      </c>
      <c r="M243" s="101">
        <f>IFERROR(VLOOKUP(EMPLOYEE_MASTER!AQ243,LK_AllowanceRates!$A$5:$B$11,2,0),0)</f>
        <v>900000</v>
      </c>
      <c r="N243" s="101">
        <f ca="1">IFERROR(IF(EMPLOYEE_MASTER!J243&lt;=5,  EMPLOYEE_MASTER!J243*LK_AllowanceRates!$B$12,IF(EMPLOYEE_MASTER!J243&lt;=15, EMPLOYEE_MASTER!J243*LK_AllowanceRates!$B$13,IF(EMPLOYEE_MASTER!J243&lt;=25, EMPLOYEE_MASTER!J243*LK_AllowanceRates!$B$14,EMPLOYEE_MASTER!J243*LK_AllowanceRates!$B$15))),0)</f>
        <v>160000</v>
      </c>
      <c r="O243" s="101">
        <f>IF(EMPLOYEE_MASTER!AS243="Teaching",L243*LK_AllowanceRates!$B$16,0)</f>
        <v>0</v>
      </c>
      <c r="P243" s="101">
        <f>IF(EMPLOYEE_MASTER!AS243="Medical",LK_AllowanceRates!$B$17,0)</f>
        <v>0</v>
      </c>
      <c r="Q243" s="101">
        <f>IF(EMPLOYEE_MASTER!AR243="Yes",LK_AllowanceRates!$B$18,0)</f>
        <v>0</v>
      </c>
      <c r="R243" s="101">
        <f>IF(EMPLOYEE_MASTER!AC243="Yes",LK_AllowanceRates!$B$19,0)</f>
        <v>1000000</v>
      </c>
      <c r="S243" s="101">
        <f>IF(EMPLOYEE_MASTER!AA243="Yes",L243*LK_AllowanceRates!$B$20,0)</f>
        <v>0</v>
      </c>
      <c r="T243" s="101">
        <f>IF(EMPLOYEE_MASTER!AB243="Yes",LK_AllowanceRates!$B$21,0)</f>
        <v>0</v>
      </c>
      <c r="U243" s="101">
        <f>IF(EMPLOYEE_MASTER!P243&gt;=6,LK_AllowanceRates!$B$22,0)</f>
        <v>0</v>
      </c>
      <c r="V243" s="101">
        <f>IF(EMPLOYEE_MASTER!AO243="Yes",LK_AllowanceRates!$B$23,0)</f>
        <v>0</v>
      </c>
      <c r="W243" s="101">
        <f>EMPLOYEE_MASTER!AP243*LK_AllowanceRates!$B$24</f>
        <v>0</v>
      </c>
      <c r="X243" s="101">
        <v>0</v>
      </c>
      <c r="Y243" s="102">
        <v>0</v>
      </c>
      <c r="Z243" s="102">
        <v>0</v>
      </c>
      <c r="AA243" s="102">
        <v>0</v>
      </c>
      <c r="AB243" s="103">
        <f t="shared" ca="1" si="26"/>
        <v>2060000</v>
      </c>
      <c r="AC243" s="104">
        <f t="shared" ca="1" si="27"/>
        <v>5000000</v>
      </c>
      <c r="AD243" s="105">
        <f>ROUND(L243*LK_AllowanceRates!$B$25/100,0)</f>
        <v>161700</v>
      </c>
      <c r="AE243" s="106">
        <f t="shared" ca="1" si="28"/>
        <v>4838300</v>
      </c>
      <c r="AF243" s="106">
        <f t="shared" ca="1" si="29"/>
        <v>176915</v>
      </c>
      <c r="AG243" s="107">
        <v>0</v>
      </c>
      <c r="AH243" s="107">
        <v>0</v>
      </c>
      <c r="AI243" s="108">
        <f t="shared" ca="1" si="30"/>
        <v>338615</v>
      </c>
      <c r="AJ243" s="109">
        <f t="shared" ca="1" si="31"/>
        <v>4661385</v>
      </c>
    </row>
    <row r="244" spans="1:36" ht="15" customHeight="1" x14ac:dyDescent="0.3">
      <c r="A244" s="98" t="str">
        <f>EMPLOYEE_MASTER!A244</f>
        <v>LAO00241</v>
      </c>
      <c r="B244" s="98" t="str">
        <f>EMPLOYEE_MASTER!C244</f>
        <v>Senglavanh</v>
      </c>
      <c r="C244" s="98" t="str">
        <f>EMPLOYEE_MASTER!D244</f>
        <v>Vilayphitak</v>
      </c>
      <c r="D244" s="98" t="str">
        <f>EMPLOYEE_MASTER!T244</f>
        <v>Vientiane Capital Administration</v>
      </c>
      <c r="E244" s="98" t="str">
        <f>EMPLOYEE_MASTER!M244</f>
        <v>Section Chief</v>
      </c>
      <c r="F244" s="98" t="str">
        <f>EMPLOYEE_MASTER!Z244</f>
        <v>Administration</v>
      </c>
      <c r="G244" s="99">
        <f>EMPLOYEE_MASTER!P244</f>
        <v>4</v>
      </c>
      <c r="H244" s="99">
        <f>EMPLOYEE_MASTER!Q244</f>
        <v>7</v>
      </c>
      <c r="I244" s="100" t="str">
        <f t="shared" si="24"/>
        <v>G04-S07</v>
      </c>
      <c r="J244" s="100">
        <f>IFERROR(VLOOKUP(I244,LK_GradeStep!$C$4:$D$85,2,0),0)</f>
        <v>298</v>
      </c>
      <c r="K244" s="100">
        <f>IFERROR(VLOOKUP(I244,LK_GradeStep!$C$4:$E$85,3,0),10000)</f>
        <v>10000</v>
      </c>
      <c r="L244" s="100">
        <f t="shared" si="25"/>
        <v>2980000</v>
      </c>
      <c r="M244" s="101">
        <f>IFERROR(VLOOKUP(EMPLOYEE_MASTER!AQ244,LK_AllowanceRates!$A$5:$B$11,2,0),0)</f>
        <v>1500000</v>
      </c>
      <c r="N244" s="101">
        <f ca="1">IFERROR(IF(EMPLOYEE_MASTER!J244&lt;=5,  EMPLOYEE_MASTER!J244*LK_AllowanceRates!$B$12,IF(EMPLOYEE_MASTER!J244&lt;=15, EMPLOYEE_MASTER!J244*LK_AllowanceRates!$B$13,IF(EMPLOYEE_MASTER!J244&lt;=25, EMPLOYEE_MASTER!J244*LK_AllowanceRates!$B$14,EMPLOYEE_MASTER!J244*LK_AllowanceRates!$B$15))),0)</f>
        <v>690000</v>
      </c>
      <c r="O244" s="101">
        <f>IF(EMPLOYEE_MASTER!AS244="Teaching",L244*LK_AllowanceRates!$B$16,0)</f>
        <v>0</v>
      </c>
      <c r="P244" s="101">
        <f>IF(EMPLOYEE_MASTER!AS244="Medical",LK_AllowanceRates!$B$17,0)</f>
        <v>0</v>
      </c>
      <c r="Q244" s="101">
        <f>IF(EMPLOYEE_MASTER!AR244="Yes",LK_AllowanceRates!$B$18,0)</f>
        <v>0</v>
      </c>
      <c r="R244" s="101">
        <f>IF(EMPLOYEE_MASTER!AC244="Yes",LK_AllowanceRates!$B$19,0)</f>
        <v>0</v>
      </c>
      <c r="S244" s="101">
        <f>IF(EMPLOYEE_MASTER!AA244="Yes",L244*LK_AllowanceRates!$B$20,0)</f>
        <v>0</v>
      </c>
      <c r="T244" s="101">
        <f>IF(EMPLOYEE_MASTER!AB244="Yes",LK_AllowanceRates!$B$21,0)</f>
        <v>0</v>
      </c>
      <c r="U244" s="101">
        <f>IF(EMPLOYEE_MASTER!P244&gt;=6,LK_AllowanceRates!$B$22,0)</f>
        <v>0</v>
      </c>
      <c r="V244" s="101">
        <f>IF(EMPLOYEE_MASTER!AO244="Yes",LK_AllowanceRates!$B$23,0)</f>
        <v>200000</v>
      </c>
      <c r="W244" s="101">
        <f>EMPLOYEE_MASTER!AP244*LK_AllowanceRates!$B$24</f>
        <v>200000</v>
      </c>
      <c r="X244" s="101">
        <v>0</v>
      </c>
      <c r="Y244" s="102">
        <v>0</v>
      </c>
      <c r="Z244" s="102">
        <v>0</v>
      </c>
      <c r="AA244" s="102">
        <v>0</v>
      </c>
      <c r="AB244" s="103">
        <f t="shared" ca="1" si="26"/>
        <v>2590000</v>
      </c>
      <c r="AC244" s="104">
        <f t="shared" ca="1" si="27"/>
        <v>5570000</v>
      </c>
      <c r="AD244" s="105">
        <f>ROUND(L244*LK_AllowanceRates!$B$25/100,0)</f>
        <v>163900</v>
      </c>
      <c r="AE244" s="106">
        <f t="shared" ca="1" si="28"/>
        <v>5406100</v>
      </c>
      <c r="AF244" s="106">
        <f t="shared" ca="1" si="29"/>
        <v>225610</v>
      </c>
      <c r="AG244" s="107">
        <v>0</v>
      </c>
      <c r="AH244" s="107">
        <v>0</v>
      </c>
      <c r="AI244" s="108">
        <f t="shared" ca="1" si="30"/>
        <v>389510</v>
      </c>
      <c r="AJ244" s="109">
        <f t="shared" ca="1" si="31"/>
        <v>5180490</v>
      </c>
    </row>
    <row r="245" spans="1:36" ht="15" customHeight="1" x14ac:dyDescent="0.3">
      <c r="A245" s="98" t="str">
        <f>EMPLOYEE_MASTER!A245</f>
        <v>LAO00242</v>
      </c>
      <c r="B245" s="98" t="str">
        <f>EMPLOYEE_MASTER!C245</f>
        <v>Manyvone</v>
      </c>
      <c r="C245" s="98" t="str">
        <f>EMPLOYEE_MASTER!D245</f>
        <v>Khounkham</v>
      </c>
      <c r="D245" s="98" t="str">
        <f>EMPLOYEE_MASTER!T245</f>
        <v>Ministry of Health (MoH)</v>
      </c>
      <c r="E245" s="98" t="str">
        <f>EMPLOYEE_MASTER!M245</f>
        <v>Pharmacist</v>
      </c>
      <c r="F245" s="98" t="str">
        <f>EMPLOYEE_MASTER!Z245</f>
        <v>Medical</v>
      </c>
      <c r="G245" s="99">
        <f>EMPLOYEE_MASTER!P245</f>
        <v>2</v>
      </c>
      <c r="H245" s="99">
        <f>EMPLOYEE_MASTER!Q245</f>
        <v>7</v>
      </c>
      <c r="I245" s="100" t="str">
        <f t="shared" si="24"/>
        <v>G02-S07</v>
      </c>
      <c r="J245" s="100">
        <f>IFERROR(VLOOKUP(I245,LK_GradeStep!$C$4:$D$85,2,0),0)</f>
        <v>274</v>
      </c>
      <c r="K245" s="100">
        <f>IFERROR(VLOOKUP(I245,LK_GradeStep!$C$4:$E$85,3,0),10000)</f>
        <v>10000</v>
      </c>
      <c r="L245" s="100">
        <f t="shared" si="25"/>
        <v>2740000</v>
      </c>
      <c r="M245" s="101">
        <f>IFERROR(VLOOKUP(EMPLOYEE_MASTER!AQ245,LK_AllowanceRates!$A$5:$B$11,2,0),0)</f>
        <v>900000</v>
      </c>
      <c r="N245" s="101">
        <f ca="1">IFERROR(IF(EMPLOYEE_MASTER!J245&lt;=5,  EMPLOYEE_MASTER!J245*LK_AllowanceRates!$B$12,IF(EMPLOYEE_MASTER!J245&lt;=15, EMPLOYEE_MASTER!J245*LK_AllowanceRates!$B$13,IF(EMPLOYEE_MASTER!J245&lt;=25, EMPLOYEE_MASTER!J245*LK_AllowanceRates!$B$14,EMPLOYEE_MASTER!J245*LK_AllowanceRates!$B$15))),0)</f>
        <v>660000</v>
      </c>
      <c r="O245" s="101">
        <f>IF(EMPLOYEE_MASTER!AS245="Teaching",L245*LK_AllowanceRates!$B$16,0)</f>
        <v>0</v>
      </c>
      <c r="P245" s="101">
        <f>IF(EMPLOYEE_MASTER!AS245="Medical",LK_AllowanceRates!$B$17,0)</f>
        <v>500000</v>
      </c>
      <c r="Q245" s="101">
        <f>IF(EMPLOYEE_MASTER!AR245="Yes",LK_AllowanceRates!$B$18,0)</f>
        <v>0</v>
      </c>
      <c r="R245" s="101">
        <f>IF(EMPLOYEE_MASTER!AC245="Yes",LK_AllowanceRates!$B$19,0)</f>
        <v>1000000</v>
      </c>
      <c r="S245" s="101">
        <f>IF(EMPLOYEE_MASTER!AA245="Yes",L245*LK_AllowanceRates!$B$20,0)</f>
        <v>685000</v>
      </c>
      <c r="T245" s="101">
        <f>IF(EMPLOYEE_MASTER!AB245="Yes",LK_AllowanceRates!$B$21,0)</f>
        <v>0</v>
      </c>
      <c r="U245" s="101">
        <f>IF(EMPLOYEE_MASTER!P245&gt;=6,LK_AllowanceRates!$B$22,0)</f>
        <v>0</v>
      </c>
      <c r="V245" s="101">
        <f>IF(EMPLOYEE_MASTER!AO245="Yes",LK_AllowanceRates!$B$23,0)</f>
        <v>0</v>
      </c>
      <c r="W245" s="101">
        <f>EMPLOYEE_MASTER!AP245*LK_AllowanceRates!$B$24</f>
        <v>0</v>
      </c>
      <c r="X245" s="101">
        <v>0</v>
      </c>
      <c r="Y245" s="102">
        <v>0</v>
      </c>
      <c r="Z245" s="102">
        <v>0</v>
      </c>
      <c r="AA245" s="102">
        <v>0</v>
      </c>
      <c r="AB245" s="103">
        <f t="shared" ca="1" si="26"/>
        <v>3745000</v>
      </c>
      <c r="AC245" s="104">
        <f t="shared" ca="1" si="27"/>
        <v>6485000</v>
      </c>
      <c r="AD245" s="105">
        <f>ROUND(L245*LK_AllowanceRates!$B$25/100,0)</f>
        <v>150700</v>
      </c>
      <c r="AE245" s="106">
        <f t="shared" ca="1" si="28"/>
        <v>6334300</v>
      </c>
      <c r="AF245" s="106">
        <f t="shared" ca="1" si="29"/>
        <v>318430</v>
      </c>
      <c r="AG245" s="107">
        <v>0</v>
      </c>
      <c r="AH245" s="107">
        <v>0</v>
      </c>
      <c r="AI245" s="108">
        <f t="shared" ca="1" si="30"/>
        <v>469130</v>
      </c>
      <c r="AJ245" s="109">
        <f t="shared" ca="1" si="31"/>
        <v>6015870</v>
      </c>
    </row>
    <row r="246" spans="1:36" ht="15" customHeight="1" x14ac:dyDescent="0.3">
      <c r="A246" s="98" t="str">
        <f>EMPLOYEE_MASTER!A246</f>
        <v>LAO00243</v>
      </c>
      <c r="B246" s="98" t="str">
        <f>EMPLOYEE_MASTER!C246</f>
        <v>Phonesavanh</v>
      </c>
      <c r="C246" s="98" t="str">
        <f>EMPLOYEE_MASTER!D246</f>
        <v>Phiaylack</v>
      </c>
      <c r="D246" s="98" t="str">
        <f>EMPLOYEE_MASTER!T246</f>
        <v>Ministry of Education and Sports (MoES)</v>
      </c>
      <c r="E246" s="98" t="str">
        <f>EMPLOYEE_MASTER!M246</f>
        <v>Secondary School Teacher</v>
      </c>
      <c r="F246" s="98" t="str">
        <f>EMPLOYEE_MASTER!Z246</f>
        <v>Teacher</v>
      </c>
      <c r="G246" s="99">
        <f>EMPLOYEE_MASTER!P246</f>
        <v>2</v>
      </c>
      <c r="H246" s="99">
        <f>EMPLOYEE_MASTER!Q246</f>
        <v>5</v>
      </c>
      <c r="I246" s="100" t="str">
        <f t="shared" si="24"/>
        <v>G02-S05</v>
      </c>
      <c r="J246" s="100">
        <f>IFERROR(VLOOKUP(I246,LK_GradeStep!$C$4:$D$85,2,0),0)</f>
        <v>272</v>
      </c>
      <c r="K246" s="100">
        <f>IFERROR(VLOOKUP(I246,LK_GradeStep!$C$4:$E$85,3,0),10000)</f>
        <v>10000</v>
      </c>
      <c r="L246" s="100">
        <f t="shared" si="25"/>
        <v>2720000</v>
      </c>
      <c r="M246" s="101">
        <f>IFERROR(VLOOKUP(EMPLOYEE_MASTER!AQ246,LK_AllowanceRates!$A$5:$B$11,2,0),0)</f>
        <v>900000</v>
      </c>
      <c r="N246" s="101">
        <f ca="1">IFERROR(IF(EMPLOYEE_MASTER!J246&lt;=5,  EMPLOYEE_MASTER!J246*LK_AllowanceRates!$B$12,IF(EMPLOYEE_MASTER!J246&lt;=15, EMPLOYEE_MASTER!J246*LK_AllowanceRates!$B$13,IF(EMPLOYEE_MASTER!J246&lt;=25, EMPLOYEE_MASTER!J246*LK_AllowanceRates!$B$14,EMPLOYEE_MASTER!J246*LK_AllowanceRates!$B$15))),0)</f>
        <v>1120000</v>
      </c>
      <c r="O246" s="101">
        <f>IF(EMPLOYEE_MASTER!AS246="Teaching",L246*LK_AllowanceRates!$B$16,0)</f>
        <v>544000</v>
      </c>
      <c r="P246" s="101">
        <f>IF(EMPLOYEE_MASTER!AS246="Medical",LK_AllowanceRates!$B$17,0)</f>
        <v>0</v>
      </c>
      <c r="Q246" s="101">
        <f>IF(EMPLOYEE_MASTER!AR246="Yes",LK_AllowanceRates!$B$18,0)</f>
        <v>0</v>
      </c>
      <c r="R246" s="101">
        <f>IF(EMPLOYEE_MASTER!AC246="Yes",LK_AllowanceRates!$B$19,0)</f>
        <v>1000000</v>
      </c>
      <c r="S246" s="101">
        <f>IF(EMPLOYEE_MASTER!AA246="Yes",L246*LK_AllowanceRates!$B$20,0)</f>
        <v>680000</v>
      </c>
      <c r="T246" s="101">
        <f>IF(EMPLOYEE_MASTER!AB246="Yes",LK_AllowanceRates!$B$21,0)</f>
        <v>0</v>
      </c>
      <c r="U246" s="101">
        <f>IF(EMPLOYEE_MASTER!P246&gt;=6,LK_AllowanceRates!$B$22,0)</f>
        <v>0</v>
      </c>
      <c r="V246" s="101">
        <f>IF(EMPLOYEE_MASTER!AO246="Yes",LK_AllowanceRates!$B$23,0)</f>
        <v>0</v>
      </c>
      <c r="W246" s="101">
        <f>EMPLOYEE_MASTER!AP246*LK_AllowanceRates!$B$24</f>
        <v>0</v>
      </c>
      <c r="X246" s="101">
        <v>0</v>
      </c>
      <c r="Y246" s="102">
        <v>0</v>
      </c>
      <c r="Z246" s="102">
        <v>0</v>
      </c>
      <c r="AA246" s="102">
        <v>0</v>
      </c>
      <c r="AB246" s="103">
        <f t="shared" ca="1" si="26"/>
        <v>4244000</v>
      </c>
      <c r="AC246" s="104">
        <f t="shared" ca="1" si="27"/>
        <v>6964000</v>
      </c>
      <c r="AD246" s="105">
        <f>ROUND(L246*LK_AllowanceRates!$B$25/100,0)</f>
        <v>149600</v>
      </c>
      <c r="AE246" s="106">
        <f t="shared" ca="1" si="28"/>
        <v>6814400</v>
      </c>
      <c r="AF246" s="106">
        <f t="shared" ca="1" si="29"/>
        <v>366440</v>
      </c>
      <c r="AG246" s="107">
        <v>0</v>
      </c>
      <c r="AH246" s="107">
        <v>0</v>
      </c>
      <c r="AI246" s="108">
        <f t="shared" ca="1" si="30"/>
        <v>516040</v>
      </c>
      <c r="AJ246" s="109">
        <f t="shared" ca="1" si="31"/>
        <v>6447960</v>
      </c>
    </row>
    <row r="247" spans="1:36" ht="15" customHeight="1" x14ac:dyDescent="0.3">
      <c r="A247" s="98" t="str">
        <f>EMPLOYEE_MASTER!A247</f>
        <v>LAO00244</v>
      </c>
      <c r="B247" s="98" t="str">
        <f>EMPLOYEE_MASTER!C247</f>
        <v>Bounthieng</v>
      </c>
      <c r="C247" s="98" t="str">
        <f>EMPLOYEE_MASTER!D247</f>
        <v>Bounphanixay</v>
      </c>
      <c r="D247" s="98" t="str">
        <f>EMPLOYEE_MASTER!T247</f>
        <v>Ministry of Public Works &amp; Transport (MPWT)</v>
      </c>
      <c r="E247" s="98" t="str">
        <f>EMPLOYEE_MASTER!M247</f>
        <v>Senior Engineer</v>
      </c>
      <c r="F247" s="98" t="str">
        <f>EMPLOYEE_MASTER!Z247</f>
        <v>Technical</v>
      </c>
      <c r="G247" s="99">
        <f>EMPLOYEE_MASTER!P247</f>
        <v>4</v>
      </c>
      <c r="H247" s="99">
        <f>EMPLOYEE_MASTER!Q247</f>
        <v>1</v>
      </c>
      <c r="I247" s="100" t="str">
        <f t="shared" si="24"/>
        <v>G04-S01</v>
      </c>
      <c r="J247" s="100">
        <f>IFERROR(VLOOKUP(I247,LK_GradeStep!$C$4:$D$85,2,0),0)</f>
        <v>286</v>
      </c>
      <c r="K247" s="100">
        <f>IFERROR(VLOOKUP(I247,LK_GradeStep!$C$4:$E$85,3,0),10000)</f>
        <v>10000</v>
      </c>
      <c r="L247" s="100">
        <f t="shared" si="25"/>
        <v>2860000</v>
      </c>
      <c r="M247" s="101">
        <f>IFERROR(VLOOKUP(EMPLOYEE_MASTER!AQ247,LK_AllowanceRates!$A$5:$B$11,2,0),0)</f>
        <v>900000</v>
      </c>
      <c r="N247" s="101">
        <f ca="1">IFERROR(IF(EMPLOYEE_MASTER!J247&lt;=5,  EMPLOYEE_MASTER!J247*LK_AllowanceRates!$B$12,IF(EMPLOYEE_MASTER!J247&lt;=15, EMPLOYEE_MASTER!J247*LK_AllowanceRates!$B$13,IF(EMPLOYEE_MASTER!J247&lt;=25, EMPLOYEE_MASTER!J247*LK_AllowanceRates!$B$14,EMPLOYEE_MASTER!J247*LK_AllowanceRates!$B$15))),0)</f>
        <v>660000</v>
      </c>
      <c r="O247" s="101">
        <f>IF(EMPLOYEE_MASTER!AS247="Teaching",L247*LK_AllowanceRates!$B$16,0)</f>
        <v>0</v>
      </c>
      <c r="P247" s="101">
        <f>IF(EMPLOYEE_MASTER!AS247="Medical",LK_AllowanceRates!$B$17,0)</f>
        <v>0</v>
      </c>
      <c r="Q247" s="101">
        <f>IF(EMPLOYEE_MASTER!AR247="Yes",LK_AllowanceRates!$B$18,0)</f>
        <v>0</v>
      </c>
      <c r="R247" s="101">
        <f>IF(EMPLOYEE_MASTER!AC247="Yes",LK_AllowanceRates!$B$19,0)</f>
        <v>0</v>
      </c>
      <c r="S247" s="101">
        <f>IF(EMPLOYEE_MASTER!AA247="Yes",L247*LK_AllowanceRates!$B$20,0)</f>
        <v>715000</v>
      </c>
      <c r="T247" s="101">
        <f>IF(EMPLOYEE_MASTER!AB247="Yes",LK_AllowanceRates!$B$21,0)</f>
        <v>0</v>
      </c>
      <c r="U247" s="101">
        <f>IF(EMPLOYEE_MASTER!P247&gt;=6,LK_AllowanceRates!$B$22,0)</f>
        <v>0</v>
      </c>
      <c r="V247" s="101">
        <f>IF(EMPLOYEE_MASTER!AO247="Yes",LK_AllowanceRates!$B$23,0)</f>
        <v>0</v>
      </c>
      <c r="W247" s="101">
        <f>EMPLOYEE_MASTER!AP247*LK_AllowanceRates!$B$24</f>
        <v>0</v>
      </c>
      <c r="X247" s="101">
        <v>0</v>
      </c>
      <c r="Y247" s="102">
        <v>0</v>
      </c>
      <c r="Z247" s="102">
        <v>0</v>
      </c>
      <c r="AA247" s="102">
        <v>0</v>
      </c>
      <c r="AB247" s="103">
        <f t="shared" ca="1" si="26"/>
        <v>2275000</v>
      </c>
      <c r="AC247" s="104">
        <f t="shared" ca="1" si="27"/>
        <v>5135000</v>
      </c>
      <c r="AD247" s="105">
        <f>ROUND(L247*LK_AllowanceRates!$B$25/100,0)</f>
        <v>157300</v>
      </c>
      <c r="AE247" s="106">
        <f t="shared" ca="1" si="28"/>
        <v>4977700</v>
      </c>
      <c r="AF247" s="106">
        <f t="shared" ca="1" si="29"/>
        <v>183885</v>
      </c>
      <c r="AG247" s="107">
        <v>0</v>
      </c>
      <c r="AH247" s="107">
        <v>0</v>
      </c>
      <c r="AI247" s="108">
        <f t="shared" ca="1" si="30"/>
        <v>341185</v>
      </c>
      <c r="AJ247" s="109">
        <f t="shared" ca="1" si="31"/>
        <v>4793815</v>
      </c>
    </row>
    <row r="248" spans="1:36" ht="15" customHeight="1" x14ac:dyDescent="0.3">
      <c r="A248" s="98" t="str">
        <f>EMPLOYEE_MASTER!A248</f>
        <v>LAO00245</v>
      </c>
      <c r="B248" s="98" t="str">
        <f>EMPLOYEE_MASTER!C248</f>
        <v>Khampasong</v>
      </c>
      <c r="C248" s="98" t="str">
        <f>EMPLOYEE_MASTER!D248</f>
        <v>Phomthong</v>
      </c>
      <c r="D248" s="98" t="str">
        <f>EMPLOYEE_MASTER!T248</f>
        <v>Ministry of Agriculture and Forestry (MoAF)</v>
      </c>
      <c r="E248" s="98" t="str">
        <f>EMPLOYEE_MASTER!M248</f>
        <v>Environmental Officer</v>
      </c>
      <c r="F248" s="98" t="str">
        <f>EMPLOYEE_MASTER!Z248</f>
        <v>Technical</v>
      </c>
      <c r="G248" s="99">
        <f>EMPLOYEE_MASTER!P248</f>
        <v>4</v>
      </c>
      <c r="H248" s="99">
        <f>EMPLOYEE_MASTER!Q248</f>
        <v>1</v>
      </c>
      <c r="I248" s="100" t="str">
        <f t="shared" si="24"/>
        <v>G04-S01</v>
      </c>
      <c r="J248" s="100">
        <f>IFERROR(VLOOKUP(I248,LK_GradeStep!$C$4:$D$85,2,0),0)</f>
        <v>286</v>
      </c>
      <c r="K248" s="100">
        <f>IFERROR(VLOOKUP(I248,LK_GradeStep!$C$4:$E$85,3,0),10000)</f>
        <v>10000</v>
      </c>
      <c r="L248" s="100">
        <f t="shared" si="25"/>
        <v>2860000</v>
      </c>
      <c r="M248" s="101">
        <f>IFERROR(VLOOKUP(EMPLOYEE_MASTER!AQ248,LK_AllowanceRates!$A$5:$B$11,2,0),0)</f>
        <v>900000</v>
      </c>
      <c r="N248" s="101">
        <f ca="1">IFERROR(IF(EMPLOYEE_MASTER!J248&lt;=5,  EMPLOYEE_MASTER!J248*LK_AllowanceRates!$B$12,IF(EMPLOYEE_MASTER!J248&lt;=15, EMPLOYEE_MASTER!J248*LK_AllowanceRates!$B$13,IF(EMPLOYEE_MASTER!J248&lt;=25, EMPLOYEE_MASTER!J248*LK_AllowanceRates!$B$14,EMPLOYEE_MASTER!J248*LK_AllowanceRates!$B$15))),0)</f>
        <v>1120000</v>
      </c>
      <c r="O248" s="101">
        <f>IF(EMPLOYEE_MASTER!AS248="Teaching",L248*LK_AllowanceRates!$B$16,0)</f>
        <v>0</v>
      </c>
      <c r="P248" s="101">
        <f>IF(EMPLOYEE_MASTER!AS248="Medical",LK_AllowanceRates!$B$17,0)</f>
        <v>0</v>
      </c>
      <c r="Q248" s="101">
        <f>IF(EMPLOYEE_MASTER!AR248="Yes",LK_AllowanceRates!$B$18,0)</f>
        <v>0</v>
      </c>
      <c r="R248" s="101">
        <f>IF(EMPLOYEE_MASTER!AC248="Yes",LK_AllowanceRates!$B$19,0)</f>
        <v>1000000</v>
      </c>
      <c r="S248" s="101">
        <f>IF(EMPLOYEE_MASTER!AA248="Yes",L248*LK_AllowanceRates!$B$20,0)</f>
        <v>0</v>
      </c>
      <c r="T248" s="101">
        <f>IF(EMPLOYEE_MASTER!AB248="Yes",LK_AllowanceRates!$B$21,0)</f>
        <v>0</v>
      </c>
      <c r="U248" s="101">
        <f>IF(EMPLOYEE_MASTER!P248&gt;=6,LK_AllowanceRates!$B$22,0)</f>
        <v>0</v>
      </c>
      <c r="V248" s="101">
        <f>IF(EMPLOYEE_MASTER!AO248="Yes",LK_AllowanceRates!$B$23,0)</f>
        <v>200000</v>
      </c>
      <c r="W248" s="101">
        <f>EMPLOYEE_MASTER!AP248*LK_AllowanceRates!$B$24</f>
        <v>400000</v>
      </c>
      <c r="X248" s="101">
        <v>0</v>
      </c>
      <c r="Y248" s="102">
        <v>0</v>
      </c>
      <c r="Z248" s="102">
        <v>0</v>
      </c>
      <c r="AA248" s="102">
        <v>0</v>
      </c>
      <c r="AB248" s="103">
        <f t="shared" ca="1" si="26"/>
        <v>3620000</v>
      </c>
      <c r="AC248" s="104">
        <f t="shared" ca="1" si="27"/>
        <v>6480000</v>
      </c>
      <c r="AD248" s="105">
        <f>ROUND(L248*LK_AllowanceRates!$B$25/100,0)</f>
        <v>157300</v>
      </c>
      <c r="AE248" s="106">
        <f t="shared" ca="1" si="28"/>
        <v>6322700</v>
      </c>
      <c r="AF248" s="106">
        <f t="shared" ca="1" si="29"/>
        <v>317270</v>
      </c>
      <c r="AG248" s="107">
        <v>0</v>
      </c>
      <c r="AH248" s="107">
        <v>0</v>
      </c>
      <c r="AI248" s="108">
        <f t="shared" ca="1" si="30"/>
        <v>474570</v>
      </c>
      <c r="AJ248" s="109">
        <f t="shared" ca="1" si="31"/>
        <v>6005430</v>
      </c>
    </row>
    <row r="249" spans="1:36" ht="15" customHeight="1" x14ac:dyDescent="0.3">
      <c r="A249" s="98" t="str">
        <f>EMPLOYEE_MASTER!A249</f>
        <v>LAO00246</v>
      </c>
      <c r="B249" s="98" t="str">
        <f>EMPLOYEE_MASTER!C249</f>
        <v>Bounthong</v>
      </c>
      <c r="C249" s="98" t="str">
        <f>EMPLOYEE_MASTER!D249</f>
        <v>Thammavong</v>
      </c>
      <c r="D249" s="98" t="str">
        <f>EMPLOYEE_MASTER!T249</f>
        <v>Ministry of Public Works &amp; Transport (MPWT)</v>
      </c>
      <c r="E249" s="98" t="str">
        <f>EMPLOYEE_MASTER!M249</f>
        <v>Survey Officer</v>
      </c>
      <c r="F249" s="98" t="str">
        <f>EMPLOYEE_MASTER!Z249</f>
        <v>Technical</v>
      </c>
      <c r="G249" s="99">
        <f>EMPLOYEE_MASTER!P249</f>
        <v>3</v>
      </c>
      <c r="H249" s="99">
        <f>EMPLOYEE_MASTER!Q249</f>
        <v>8</v>
      </c>
      <c r="I249" s="100" t="str">
        <f t="shared" si="24"/>
        <v>G03-S08</v>
      </c>
      <c r="J249" s="100">
        <f>IFERROR(VLOOKUP(I249,LK_GradeStep!$C$4:$D$85,2,0),0)</f>
        <v>284</v>
      </c>
      <c r="K249" s="100">
        <f>IFERROR(VLOOKUP(I249,LK_GradeStep!$C$4:$E$85,3,0),10000)</f>
        <v>10000</v>
      </c>
      <c r="L249" s="100">
        <f t="shared" si="25"/>
        <v>2840000</v>
      </c>
      <c r="M249" s="101">
        <f>IFERROR(VLOOKUP(EMPLOYEE_MASTER!AQ249,LK_AllowanceRates!$A$5:$B$11,2,0),0)</f>
        <v>900000</v>
      </c>
      <c r="N249" s="101">
        <f ca="1">IFERROR(IF(EMPLOYEE_MASTER!J249&lt;=5,  EMPLOYEE_MASTER!J249*LK_AllowanceRates!$B$12,IF(EMPLOYEE_MASTER!J249&lt;=15, EMPLOYEE_MASTER!J249*LK_AllowanceRates!$B$13,IF(EMPLOYEE_MASTER!J249&lt;=25, EMPLOYEE_MASTER!J249*LK_AllowanceRates!$B$14,EMPLOYEE_MASTER!J249*LK_AllowanceRates!$B$15))),0)</f>
        <v>570000</v>
      </c>
      <c r="O249" s="101">
        <f>IF(EMPLOYEE_MASTER!AS249="Teaching",L249*LK_AllowanceRates!$B$16,0)</f>
        <v>0</v>
      </c>
      <c r="P249" s="101">
        <f>IF(EMPLOYEE_MASTER!AS249="Medical",LK_AllowanceRates!$B$17,0)</f>
        <v>0</v>
      </c>
      <c r="Q249" s="101">
        <f>IF(EMPLOYEE_MASTER!AR249="Yes",LK_AllowanceRates!$B$18,0)</f>
        <v>0</v>
      </c>
      <c r="R249" s="101">
        <f>IF(EMPLOYEE_MASTER!AC249="Yes",LK_AllowanceRates!$B$19,0)</f>
        <v>0</v>
      </c>
      <c r="S249" s="101">
        <f>IF(EMPLOYEE_MASTER!AA249="Yes",L249*LK_AllowanceRates!$B$20,0)</f>
        <v>0</v>
      </c>
      <c r="T249" s="101">
        <f>IF(EMPLOYEE_MASTER!AB249="Yes",LK_AllowanceRates!$B$21,0)</f>
        <v>0</v>
      </c>
      <c r="U249" s="101">
        <f>IF(EMPLOYEE_MASTER!P249&gt;=6,LK_AllowanceRates!$B$22,0)</f>
        <v>0</v>
      </c>
      <c r="V249" s="101">
        <f>IF(EMPLOYEE_MASTER!AO249="Yes",LK_AllowanceRates!$B$23,0)</f>
        <v>200000</v>
      </c>
      <c r="W249" s="101">
        <f>EMPLOYEE_MASTER!AP249*LK_AllowanceRates!$B$24</f>
        <v>400000</v>
      </c>
      <c r="X249" s="101">
        <v>0</v>
      </c>
      <c r="Y249" s="102">
        <v>0</v>
      </c>
      <c r="Z249" s="102">
        <v>0</v>
      </c>
      <c r="AA249" s="102">
        <v>0</v>
      </c>
      <c r="AB249" s="103">
        <f t="shared" ca="1" si="26"/>
        <v>2070000</v>
      </c>
      <c r="AC249" s="104">
        <f t="shared" ca="1" si="27"/>
        <v>4910000</v>
      </c>
      <c r="AD249" s="105">
        <f>ROUND(L249*LK_AllowanceRates!$B$25/100,0)</f>
        <v>156200</v>
      </c>
      <c r="AE249" s="106">
        <f t="shared" ca="1" si="28"/>
        <v>4753800</v>
      </c>
      <c r="AF249" s="106">
        <f t="shared" ca="1" si="29"/>
        <v>172690</v>
      </c>
      <c r="AG249" s="107">
        <v>0</v>
      </c>
      <c r="AH249" s="107">
        <v>0</v>
      </c>
      <c r="AI249" s="108">
        <f t="shared" ca="1" si="30"/>
        <v>328890</v>
      </c>
      <c r="AJ249" s="109">
        <f t="shared" ca="1" si="31"/>
        <v>4581110</v>
      </c>
    </row>
    <row r="250" spans="1:36" ht="15" customHeight="1" x14ac:dyDescent="0.3">
      <c r="A250" s="98" t="str">
        <f>EMPLOYEE_MASTER!A250</f>
        <v>LAO00247</v>
      </c>
      <c r="B250" s="98" t="str">
        <f>EMPLOYEE_MASTER!C250</f>
        <v>Sommay</v>
      </c>
      <c r="C250" s="98" t="str">
        <f>EMPLOYEE_MASTER!D250</f>
        <v>Keokhamphanh</v>
      </c>
      <c r="D250" s="98" t="str">
        <f>EMPLOYEE_MASTER!T250</f>
        <v>Ministry of Health (MoH)</v>
      </c>
      <c r="E250" s="98" t="str">
        <f>EMPLOYEE_MASTER!M250</f>
        <v>Laboratory Technician</v>
      </c>
      <c r="F250" s="98" t="str">
        <f>EMPLOYEE_MASTER!Z250</f>
        <v>Medical</v>
      </c>
      <c r="G250" s="99">
        <f>EMPLOYEE_MASTER!P250</f>
        <v>4</v>
      </c>
      <c r="H250" s="99">
        <f>EMPLOYEE_MASTER!Q250</f>
        <v>1</v>
      </c>
      <c r="I250" s="100" t="str">
        <f t="shared" si="24"/>
        <v>G04-S01</v>
      </c>
      <c r="J250" s="100">
        <f>IFERROR(VLOOKUP(I250,LK_GradeStep!$C$4:$D$85,2,0),0)</f>
        <v>286</v>
      </c>
      <c r="K250" s="100">
        <f>IFERROR(VLOOKUP(I250,LK_GradeStep!$C$4:$E$85,3,0),10000)</f>
        <v>10000</v>
      </c>
      <c r="L250" s="100">
        <f t="shared" si="25"/>
        <v>2860000</v>
      </c>
      <c r="M250" s="101">
        <f>IFERROR(VLOOKUP(EMPLOYEE_MASTER!AQ250,LK_AllowanceRates!$A$5:$B$11,2,0),0)</f>
        <v>900000</v>
      </c>
      <c r="N250" s="101">
        <f ca="1">IFERROR(IF(EMPLOYEE_MASTER!J250&lt;=5,  EMPLOYEE_MASTER!J250*LK_AllowanceRates!$B$12,IF(EMPLOYEE_MASTER!J250&lt;=15, EMPLOYEE_MASTER!J250*LK_AllowanceRates!$B$13,IF(EMPLOYEE_MASTER!J250&lt;=25, EMPLOYEE_MASTER!J250*LK_AllowanceRates!$B$14,EMPLOYEE_MASTER!J250*LK_AllowanceRates!$B$15))),0)</f>
        <v>220000</v>
      </c>
      <c r="O250" s="101">
        <f>IF(EMPLOYEE_MASTER!AS250="Teaching",L250*LK_AllowanceRates!$B$16,0)</f>
        <v>0</v>
      </c>
      <c r="P250" s="101">
        <f>IF(EMPLOYEE_MASTER!AS250="Medical",LK_AllowanceRates!$B$17,0)</f>
        <v>500000</v>
      </c>
      <c r="Q250" s="101">
        <f>IF(EMPLOYEE_MASTER!AR250="Yes",LK_AllowanceRates!$B$18,0)</f>
        <v>0</v>
      </c>
      <c r="R250" s="101">
        <f>IF(EMPLOYEE_MASTER!AC250="Yes",LK_AllowanceRates!$B$19,0)</f>
        <v>1000000</v>
      </c>
      <c r="S250" s="101">
        <f>IF(EMPLOYEE_MASTER!AA250="Yes",L250*LK_AllowanceRates!$B$20,0)</f>
        <v>0</v>
      </c>
      <c r="T250" s="101">
        <f>IF(EMPLOYEE_MASTER!AB250="Yes",LK_AllowanceRates!$B$21,0)</f>
        <v>0</v>
      </c>
      <c r="U250" s="101">
        <f>IF(EMPLOYEE_MASTER!P250&gt;=6,LK_AllowanceRates!$B$22,0)</f>
        <v>0</v>
      </c>
      <c r="V250" s="101">
        <f>IF(EMPLOYEE_MASTER!AO250="Yes",LK_AllowanceRates!$B$23,0)</f>
        <v>200000</v>
      </c>
      <c r="W250" s="101">
        <f>EMPLOYEE_MASTER!AP250*LK_AllowanceRates!$B$24</f>
        <v>600000</v>
      </c>
      <c r="X250" s="101">
        <v>0</v>
      </c>
      <c r="Y250" s="102">
        <v>0</v>
      </c>
      <c r="Z250" s="102">
        <v>0</v>
      </c>
      <c r="AA250" s="102">
        <v>0</v>
      </c>
      <c r="AB250" s="103">
        <f t="shared" ca="1" si="26"/>
        <v>3420000</v>
      </c>
      <c r="AC250" s="104">
        <f t="shared" ca="1" si="27"/>
        <v>6280000</v>
      </c>
      <c r="AD250" s="105">
        <f>ROUND(L250*LK_AllowanceRates!$B$25/100,0)</f>
        <v>157300</v>
      </c>
      <c r="AE250" s="106">
        <f t="shared" ca="1" si="28"/>
        <v>6122700</v>
      </c>
      <c r="AF250" s="106">
        <f t="shared" ca="1" si="29"/>
        <v>297270</v>
      </c>
      <c r="AG250" s="107">
        <v>0</v>
      </c>
      <c r="AH250" s="107">
        <v>0</v>
      </c>
      <c r="AI250" s="108">
        <f t="shared" ca="1" si="30"/>
        <v>454570</v>
      </c>
      <c r="AJ250" s="109">
        <f t="shared" ca="1" si="31"/>
        <v>5825430</v>
      </c>
    </row>
    <row r="251" spans="1:36" ht="15" customHeight="1" x14ac:dyDescent="0.3">
      <c r="A251" s="98" t="str">
        <f>EMPLOYEE_MASTER!A251</f>
        <v>LAO00248</v>
      </c>
      <c r="B251" s="98" t="str">
        <f>EMPLOYEE_MASTER!C251</f>
        <v>Vilayhong</v>
      </c>
      <c r="C251" s="98" t="str">
        <f>EMPLOYEE_MASTER!D251</f>
        <v>Sengkhounmane</v>
      </c>
      <c r="D251" s="98" t="str">
        <f>EMPLOYEE_MASTER!T251</f>
        <v>Savannakhet Province Administration</v>
      </c>
      <c r="E251" s="98" t="str">
        <f>EMPLOYEE_MASTER!M251</f>
        <v>Officer</v>
      </c>
      <c r="F251" s="98" t="str">
        <f>EMPLOYEE_MASTER!Z251</f>
        <v>Administration</v>
      </c>
      <c r="G251" s="99">
        <f>EMPLOYEE_MASTER!P251</f>
        <v>3</v>
      </c>
      <c r="H251" s="99">
        <f>EMPLOYEE_MASTER!Q251</f>
        <v>5</v>
      </c>
      <c r="I251" s="100" t="str">
        <f t="shared" si="24"/>
        <v>G03-S05</v>
      </c>
      <c r="J251" s="100">
        <f>IFERROR(VLOOKUP(I251,LK_GradeStep!$C$4:$D$85,2,0),0)</f>
        <v>280</v>
      </c>
      <c r="K251" s="100">
        <f>IFERROR(VLOOKUP(I251,LK_GradeStep!$C$4:$E$85,3,0),10000)</f>
        <v>10000</v>
      </c>
      <c r="L251" s="100">
        <f t="shared" si="25"/>
        <v>2800000</v>
      </c>
      <c r="M251" s="101">
        <f>IFERROR(VLOOKUP(EMPLOYEE_MASTER!AQ251,LK_AllowanceRates!$A$5:$B$11,2,0),0)</f>
        <v>900000</v>
      </c>
      <c r="N251" s="101">
        <f ca="1">IFERROR(IF(EMPLOYEE_MASTER!J251&lt;=5,  EMPLOYEE_MASTER!J251*LK_AllowanceRates!$B$12,IF(EMPLOYEE_MASTER!J251&lt;=15, EMPLOYEE_MASTER!J251*LK_AllowanceRates!$B$13,IF(EMPLOYEE_MASTER!J251&lt;=25, EMPLOYEE_MASTER!J251*LK_AllowanceRates!$B$14,EMPLOYEE_MASTER!J251*LK_AllowanceRates!$B$15))),0)</f>
        <v>180000</v>
      </c>
      <c r="O251" s="101">
        <f>IF(EMPLOYEE_MASTER!AS251="Teaching",L251*LK_AllowanceRates!$B$16,0)</f>
        <v>0</v>
      </c>
      <c r="P251" s="101">
        <f>IF(EMPLOYEE_MASTER!AS251="Medical",LK_AllowanceRates!$B$17,0)</f>
        <v>0</v>
      </c>
      <c r="Q251" s="101">
        <f>IF(EMPLOYEE_MASTER!AR251="Yes",LK_AllowanceRates!$B$18,0)</f>
        <v>0</v>
      </c>
      <c r="R251" s="101">
        <f>IF(EMPLOYEE_MASTER!AC251="Yes",LK_AllowanceRates!$B$19,0)</f>
        <v>0</v>
      </c>
      <c r="S251" s="101">
        <f>IF(EMPLOYEE_MASTER!AA251="Yes",L251*LK_AllowanceRates!$B$20,0)</f>
        <v>0</v>
      </c>
      <c r="T251" s="101">
        <f>IF(EMPLOYEE_MASTER!AB251="Yes",LK_AllowanceRates!$B$21,0)</f>
        <v>0</v>
      </c>
      <c r="U251" s="101">
        <f>IF(EMPLOYEE_MASTER!P251&gt;=6,LK_AllowanceRates!$B$22,0)</f>
        <v>0</v>
      </c>
      <c r="V251" s="101">
        <f>IF(EMPLOYEE_MASTER!AO251="Yes",LK_AllowanceRates!$B$23,0)</f>
        <v>0</v>
      </c>
      <c r="W251" s="101">
        <f>EMPLOYEE_MASTER!AP251*LK_AllowanceRates!$B$24</f>
        <v>0</v>
      </c>
      <c r="X251" s="101">
        <v>0</v>
      </c>
      <c r="Y251" s="102">
        <v>0</v>
      </c>
      <c r="Z251" s="102">
        <v>0</v>
      </c>
      <c r="AA251" s="102">
        <v>0</v>
      </c>
      <c r="AB251" s="103">
        <f t="shared" ca="1" si="26"/>
        <v>1080000</v>
      </c>
      <c r="AC251" s="104">
        <f t="shared" ca="1" si="27"/>
        <v>3880000</v>
      </c>
      <c r="AD251" s="105">
        <f>ROUND(L251*LK_AllowanceRates!$B$25/100,0)</f>
        <v>154000</v>
      </c>
      <c r="AE251" s="106">
        <f t="shared" ca="1" si="28"/>
        <v>3726000</v>
      </c>
      <c r="AF251" s="106">
        <f t="shared" ca="1" si="29"/>
        <v>121300</v>
      </c>
      <c r="AG251" s="107">
        <v>0</v>
      </c>
      <c r="AH251" s="107">
        <v>0</v>
      </c>
      <c r="AI251" s="108">
        <f t="shared" ca="1" si="30"/>
        <v>275300</v>
      </c>
      <c r="AJ251" s="109">
        <f t="shared" ca="1" si="31"/>
        <v>3604700</v>
      </c>
    </row>
    <row r="252" spans="1:36" ht="15" customHeight="1" x14ac:dyDescent="0.3">
      <c r="A252" s="98" t="str">
        <f>EMPLOYEE_MASTER!A252</f>
        <v>LAO00249</v>
      </c>
      <c r="B252" s="98" t="str">
        <f>EMPLOYEE_MASTER!C252</f>
        <v>Boutsady</v>
      </c>
      <c r="C252" s="98" t="str">
        <f>EMPLOYEE_MASTER!D252</f>
        <v>Sisouvath</v>
      </c>
      <c r="D252" s="98" t="str">
        <f>EMPLOYEE_MASTER!T252</f>
        <v>Ministry of Education and Sports (MoES)</v>
      </c>
      <c r="E252" s="98" t="str">
        <f>EMPLOYEE_MASTER!M252</f>
        <v>Deputy Principal</v>
      </c>
      <c r="F252" s="98" t="str">
        <f>EMPLOYEE_MASTER!Z252</f>
        <v>Teacher</v>
      </c>
      <c r="G252" s="99">
        <f>EMPLOYEE_MASTER!P252</f>
        <v>3</v>
      </c>
      <c r="H252" s="99">
        <f>EMPLOYEE_MASTER!Q252</f>
        <v>3</v>
      </c>
      <c r="I252" s="100" t="str">
        <f t="shared" si="24"/>
        <v>G03-S03</v>
      </c>
      <c r="J252" s="100">
        <f>IFERROR(VLOOKUP(I252,LK_GradeStep!$C$4:$D$85,2,0),0)</f>
        <v>278</v>
      </c>
      <c r="K252" s="100">
        <f>IFERROR(VLOOKUP(I252,LK_GradeStep!$C$4:$E$85,3,0),10000)</f>
        <v>10000</v>
      </c>
      <c r="L252" s="100">
        <f t="shared" si="25"/>
        <v>2780000</v>
      </c>
      <c r="M252" s="101">
        <f>IFERROR(VLOOKUP(EMPLOYEE_MASTER!AQ252,LK_AllowanceRates!$A$5:$B$11,2,0),0)</f>
        <v>900000</v>
      </c>
      <c r="N252" s="101">
        <f ca="1">IFERROR(IF(EMPLOYEE_MASTER!J252&lt;=5,  EMPLOYEE_MASTER!J252*LK_AllowanceRates!$B$12,IF(EMPLOYEE_MASTER!J252&lt;=15, EMPLOYEE_MASTER!J252*LK_AllowanceRates!$B$13,IF(EMPLOYEE_MASTER!J252&lt;=25, EMPLOYEE_MASTER!J252*LK_AllowanceRates!$B$14,EMPLOYEE_MASTER!J252*LK_AllowanceRates!$B$15))),0)</f>
        <v>1400000</v>
      </c>
      <c r="O252" s="101">
        <f>IF(EMPLOYEE_MASTER!AS252="Teaching",L252*LK_AllowanceRates!$B$16,0)</f>
        <v>556000</v>
      </c>
      <c r="P252" s="101">
        <f>IF(EMPLOYEE_MASTER!AS252="Medical",LK_AllowanceRates!$B$17,0)</f>
        <v>0</v>
      </c>
      <c r="Q252" s="101">
        <f>IF(EMPLOYEE_MASTER!AR252="Yes",LK_AllowanceRates!$B$18,0)</f>
        <v>0</v>
      </c>
      <c r="R252" s="101">
        <f>IF(EMPLOYEE_MASTER!AC252="Yes",LK_AllowanceRates!$B$19,0)</f>
        <v>0</v>
      </c>
      <c r="S252" s="101">
        <f>IF(EMPLOYEE_MASTER!AA252="Yes",L252*LK_AllowanceRates!$B$20,0)</f>
        <v>0</v>
      </c>
      <c r="T252" s="101">
        <f>IF(EMPLOYEE_MASTER!AB252="Yes",LK_AllowanceRates!$B$21,0)</f>
        <v>0</v>
      </c>
      <c r="U252" s="101">
        <f>IF(EMPLOYEE_MASTER!P252&gt;=6,LK_AllowanceRates!$B$22,0)</f>
        <v>0</v>
      </c>
      <c r="V252" s="101">
        <f>IF(EMPLOYEE_MASTER!AO252="Yes",LK_AllowanceRates!$B$23,0)</f>
        <v>200000</v>
      </c>
      <c r="W252" s="101">
        <f>EMPLOYEE_MASTER!AP252*LK_AllowanceRates!$B$24</f>
        <v>0</v>
      </c>
      <c r="X252" s="101">
        <v>0</v>
      </c>
      <c r="Y252" s="102">
        <v>0</v>
      </c>
      <c r="Z252" s="102">
        <v>0</v>
      </c>
      <c r="AA252" s="102">
        <v>0</v>
      </c>
      <c r="AB252" s="103">
        <f t="shared" ca="1" si="26"/>
        <v>3056000</v>
      </c>
      <c r="AC252" s="104">
        <f t="shared" ca="1" si="27"/>
        <v>5836000</v>
      </c>
      <c r="AD252" s="105">
        <f>ROUND(L252*LK_AllowanceRates!$B$25/100,0)</f>
        <v>152900</v>
      </c>
      <c r="AE252" s="106">
        <f t="shared" ca="1" si="28"/>
        <v>5683100</v>
      </c>
      <c r="AF252" s="106">
        <f t="shared" ca="1" si="29"/>
        <v>253310</v>
      </c>
      <c r="AG252" s="107">
        <v>0</v>
      </c>
      <c r="AH252" s="107">
        <v>0</v>
      </c>
      <c r="AI252" s="108">
        <f t="shared" ca="1" si="30"/>
        <v>406210</v>
      </c>
      <c r="AJ252" s="109">
        <f t="shared" ca="1" si="31"/>
        <v>5429790</v>
      </c>
    </row>
    <row r="253" spans="1:36" ht="15" customHeight="1" x14ac:dyDescent="0.3">
      <c r="A253" s="98" t="str">
        <f>EMPLOYEE_MASTER!A253</f>
        <v>LAO00250</v>
      </c>
      <c r="B253" s="98" t="str">
        <f>EMPLOYEE_MASTER!C253</f>
        <v>Boutsady</v>
      </c>
      <c r="C253" s="98" t="str">
        <f>EMPLOYEE_MASTER!D253</f>
        <v>Xayavong</v>
      </c>
      <c r="D253" s="98" t="str">
        <f>EMPLOYEE_MASTER!T253</f>
        <v>Ministry of Education and Sports (MoES)</v>
      </c>
      <c r="E253" s="98" t="str">
        <f>EMPLOYEE_MASTER!M253</f>
        <v>Technical Vocational Trainer</v>
      </c>
      <c r="F253" s="98" t="str">
        <f>EMPLOYEE_MASTER!Z253</f>
        <v>Teacher</v>
      </c>
      <c r="G253" s="99">
        <f>EMPLOYEE_MASTER!P253</f>
        <v>4</v>
      </c>
      <c r="H253" s="99">
        <f>EMPLOYEE_MASTER!Q253</f>
        <v>2</v>
      </c>
      <c r="I253" s="100" t="str">
        <f t="shared" si="24"/>
        <v>G04-S02</v>
      </c>
      <c r="J253" s="100">
        <f>IFERROR(VLOOKUP(I253,LK_GradeStep!$C$4:$D$85,2,0),0)</f>
        <v>288</v>
      </c>
      <c r="K253" s="100">
        <f>IFERROR(VLOOKUP(I253,LK_GradeStep!$C$4:$E$85,3,0),10000)</f>
        <v>10000</v>
      </c>
      <c r="L253" s="100">
        <f t="shared" si="25"/>
        <v>2880000</v>
      </c>
      <c r="M253" s="101">
        <f>IFERROR(VLOOKUP(EMPLOYEE_MASTER!AQ253,LK_AllowanceRates!$A$5:$B$11,2,0),0)</f>
        <v>900000</v>
      </c>
      <c r="N253" s="101">
        <f ca="1">IFERROR(IF(EMPLOYEE_MASTER!J253&lt;=5,  EMPLOYEE_MASTER!J253*LK_AllowanceRates!$B$12,IF(EMPLOYEE_MASTER!J253&lt;=15, EMPLOYEE_MASTER!J253*LK_AllowanceRates!$B$13,IF(EMPLOYEE_MASTER!J253&lt;=25, EMPLOYEE_MASTER!J253*LK_AllowanceRates!$B$14,EMPLOYEE_MASTER!J253*LK_AllowanceRates!$B$15))),0)</f>
        <v>1360000</v>
      </c>
      <c r="O253" s="101">
        <f>IF(EMPLOYEE_MASTER!AS253="Teaching",L253*LK_AllowanceRates!$B$16,0)</f>
        <v>576000</v>
      </c>
      <c r="P253" s="101">
        <f>IF(EMPLOYEE_MASTER!AS253="Medical",LK_AllowanceRates!$B$17,0)</f>
        <v>0</v>
      </c>
      <c r="Q253" s="101">
        <f>IF(EMPLOYEE_MASTER!AR253="Yes",LK_AllowanceRates!$B$18,0)</f>
        <v>0</v>
      </c>
      <c r="R253" s="101">
        <f>IF(EMPLOYEE_MASTER!AC253="Yes",LK_AllowanceRates!$B$19,0)</f>
        <v>1000000</v>
      </c>
      <c r="S253" s="101">
        <f>IF(EMPLOYEE_MASTER!AA253="Yes",L253*LK_AllowanceRates!$B$20,0)</f>
        <v>720000</v>
      </c>
      <c r="T253" s="101">
        <f>IF(EMPLOYEE_MASTER!AB253="Yes",LK_AllowanceRates!$B$21,0)</f>
        <v>0</v>
      </c>
      <c r="U253" s="101">
        <f>IF(EMPLOYEE_MASTER!P253&gt;=6,LK_AllowanceRates!$B$22,0)</f>
        <v>0</v>
      </c>
      <c r="V253" s="101">
        <f>IF(EMPLOYEE_MASTER!AO253="Yes",LK_AllowanceRates!$B$23,0)</f>
        <v>200000</v>
      </c>
      <c r="W253" s="101">
        <f>EMPLOYEE_MASTER!AP253*LK_AllowanceRates!$B$24</f>
        <v>600000</v>
      </c>
      <c r="X253" s="101">
        <v>0</v>
      </c>
      <c r="Y253" s="102">
        <v>0</v>
      </c>
      <c r="Z253" s="102">
        <v>0</v>
      </c>
      <c r="AA253" s="102">
        <v>0</v>
      </c>
      <c r="AB253" s="103">
        <f t="shared" ca="1" si="26"/>
        <v>5356000</v>
      </c>
      <c r="AC253" s="104">
        <f t="shared" ca="1" si="27"/>
        <v>8236000</v>
      </c>
      <c r="AD253" s="105">
        <f>ROUND(L253*LK_AllowanceRates!$B$25/100,0)</f>
        <v>158400</v>
      </c>
      <c r="AE253" s="106">
        <f t="shared" ca="1" si="28"/>
        <v>8077600</v>
      </c>
      <c r="AF253" s="106">
        <f t="shared" ca="1" si="29"/>
        <v>492760</v>
      </c>
      <c r="AG253" s="107">
        <v>0</v>
      </c>
      <c r="AH253" s="107">
        <v>0</v>
      </c>
      <c r="AI253" s="108">
        <f t="shared" ca="1" si="30"/>
        <v>651160</v>
      </c>
      <c r="AJ253" s="109">
        <f t="shared" ca="1" si="31"/>
        <v>7584840</v>
      </c>
    </row>
    <row r="254" spans="1:36" ht="15" customHeight="1" x14ac:dyDescent="0.3">
      <c r="A254" s="98" t="str">
        <f>EMPLOYEE_MASTER!A254</f>
        <v>LAO00251</v>
      </c>
      <c r="B254" s="98" t="str">
        <f>EMPLOYEE_MASTER!C254</f>
        <v>Bounlert</v>
      </c>
      <c r="C254" s="98" t="str">
        <f>EMPLOYEE_MASTER!D254</f>
        <v>Khambounheuang</v>
      </c>
      <c r="D254" s="98" t="str">
        <f>EMPLOYEE_MASTER!T254</f>
        <v>Ministry of Foreign Affairs (MFA)</v>
      </c>
      <c r="E254" s="98" t="str">
        <f>EMPLOYEE_MASTER!M254</f>
        <v>Consul</v>
      </c>
      <c r="F254" s="98" t="str">
        <f>EMPLOYEE_MASTER!Z254</f>
        <v>Diplomatic</v>
      </c>
      <c r="G254" s="99">
        <f>EMPLOYEE_MASTER!P254</f>
        <v>4</v>
      </c>
      <c r="H254" s="99">
        <f>EMPLOYEE_MASTER!Q254</f>
        <v>4</v>
      </c>
      <c r="I254" s="100" t="str">
        <f t="shared" si="24"/>
        <v>G04-S04</v>
      </c>
      <c r="J254" s="100">
        <f>IFERROR(VLOOKUP(I254,LK_GradeStep!$C$4:$D$85,2,0),0)</f>
        <v>292</v>
      </c>
      <c r="K254" s="100">
        <f>IFERROR(VLOOKUP(I254,LK_GradeStep!$C$4:$E$85,3,0),10000)</f>
        <v>10000</v>
      </c>
      <c r="L254" s="100">
        <f t="shared" si="25"/>
        <v>2920000</v>
      </c>
      <c r="M254" s="101">
        <f>IFERROR(VLOOKUP(EMPLOYEE_MASTER!AQ254,LK_AllowanceRates!$A$5:$B$11,2,0),0)</f>
        <v>900000</v>
      </c>
      <c r="N254" s="101">
        <f ca="1">IFERROR(IF(EMPLOYEE_MASTER!J254&lt;=5,  EMPLOYEE_MASTER!J254*LK_AllowanceRates!$B$12,IF(EMPLOYEE_MASTER!J254&lt;=15, EMPLOYEE_MASTER!J254*LK_AllowanceRates!$B$13,IF(EMPLOYEE_MASTER!J254&lt;=25, EMPLOYEE_MASTER!J254*LK_AllowanceRates!$B$14,EMPLOYEE_MASTER!J254*LK_AllowanceRates!$B$15))),0)</f>
        <v>660000</v>
      </c>
      <c r="O254" s="101">
        <f>IF(EMPLOYEE_MASTER!AS254="Teaching",L254*LK_AllowanceRates!$B$16,0)</f>
        <v>0</v>
      </c>
      <c r="P254" s="101">
        <f>IF(EMPLOYEE_MASTER!AS254="Medical",LK_AllowanceRates!$B$17,0)</f>
        <v>0</v>
      </c>
      <c r="Q254" s="101">
        <f>IF(EMPLOYEE_MASTER!AR254="Yes",LK_AllowanceRates!$B$18,0)</f>
        <v>0</v>
      </c>
      <c r="R254" s="101">
        <f>IF(EMPLOYEE_MASTER!AC254="Yes",LK_AllowanceRates!$B$19,0)</f>
        <v>0</v>
      </c>
      <c r="S254" s="101">
        <f>IF(EMPLOYEE_MASTER!AA254="Yes",L254*LK_AllowanceRates!$B$20,0)</f>
        <v>0</v>
      </c>
      <c r="T254" s="101">
        <f>IF(EMPLOYEE_MASTER!AB254="Yes",LK_AllowanceRates!$B$21,0)</f>
        <v>0</v>
      </c>
      <c r="U254" s="101">
        <f>IF(EMPLOYEE_MASTER!P254&gt;=6,LK_AllowanceRates!$B$22,0)</f>
        <v>0</v>
      </c>
      <c r="V254" s="101">
        <f>IF(EMPLOYEE_MASTER!AO254="Yes",LK_AllowanceRates!$B$23,0)</f>
        <v>200000</v>
      </c>
      <c r="W254" s="101">
        <f>EMPLOYEE_MASTER!AP254*LK_AllowanceRates!$B$24</f>
        <v>0</v>
      </c>
      <c r="X254" s="101">
        <v>0</v>
      </c>
      <c r="Y254" s="102">
        <v>0</v>
      </c>
      <c r="Z254" s="102">
        <v>0</v>
      </c>
      <c r="AA254" s="102">
        <v>0</v>
      </c>
      <c r="AB254" s="103">
        <f t="shared" ca="1" si="26"/>
        <v>1760000</v>
      </c>
      <c r="AC254" s="104">
        <f t="shared" ca="1" si="27"/>
        <v>4680000</v>
      </c>
      <c r="AD254" s="105">
        <f>ROUND(L254*LK_AllowanceRates!$B$25/100,0)</f>
        <v>160600</v>
      </c>
      <c r="AE254" s="106">
        <f t="shared" ca="1" si="28"/>
        <v>4519400</v>
      </c>
      <c r="AF254" s="106">
        <f t="shared" ca="1" si="29"/>
        <v>160970</v>
      </c>
      <c r="AG254" s="107">
        <v>0</v>
      </c>
      <c r="AH254" s="107">
        <v>0</v>
      </c>
      <c r="AI254" s="108">
        <f t="shared" ca="1" si="30"/>
        <v>321570</v>
      </c>
      <c r="AJ254" s="109">
        <f t="shared" ca="1" si="31"/>
        <v>4358430</v>
      </c>
    </row>
    <row r="255" spans="1:36" ht="15" customHeight="1" x14ac:dyDescent="0.3">
      <c r="A255" s="98" t="str">
        <f>EMPLOYEE_MASTER!A255</f>
        <v>LAO00252</v>
      </c>
      <c r="B255" s="98" t="str">
        <f>EMPLOYEE_MASTER!C255</f>
        <v>Khamphet</v>
      </c>
      <c r="C255" s="98" t="str">
        <f>EMPLOYEE_MASTER!D255</f>
        <v>Vongkhamphanh</v>
      </c>
      <c r="D255" s="98" t="str">
        <f>EMPLOYEE_MASTER!T255</f>
        <v>Vientiane Capital Administration</v>
      </c>
      <c r="E255" s="98" t="str">
        <f>EMPLOYEE_MASTER!M255</f>
        <v>Senior Officer</v>
      </c>
      <c r="F255" s="98" t="str">
        <f>EMPLOYEE_MASTER!Z255</f>
        <v>Administration</v>
      </c>
      <c r="G255" s="99">
        <f>EMPLOYEE_MASTER!P255</f>
        <v>5</v>
      </c>
      <c r="H255" s="99">
        <f>EMPLOYEE_MASTER!Q255</f>
        <v>1</v>
      </c>
      <c r="I255" s="100" t="str">
        <f t="shared" si="24"/>
        <v>G05-S01</v>
      </c>
      <c r="J255" s="100">
        <f>IFERROR(VLOOKUP(I255,LK_GradeStep!$C$4:$D$85,2,0),0)</f>
        <v>308</v>
      </c>
      <c r="K255" s="100">
        <f>IFERROR(VLOOKUP(I255,LK_GradeStep!$C$4:$E$85,3,0),10000)</f>
        <v>10000</v>
      </c>
      <c r="L255" s="100">
        <f t="shared" si="25"/>
        <v>3080000</v>
      </c>
      <c r="M255" s="101">
        <f>IFERROR(VLOOKUP(EMPLOYEE_MASTER!AQ255,LK_AllowanceRates!$A$5:$B$11,2,0),0)</f>
        <v>900000</v>
      </c>
      <c r="N255" s="101">
        <f ca="1">IFERROR(IF(EMPLOYEE_MASTER!J255&lt;=5,  EMPLOYEE_MASTER!J255*LK_AllowanceRates!$B$12,IF(EMPLOYEE_MASTER!J255&lt;=15, EMPLOYEE_MASTER!J255*LK_AllowanceRates!$B$13,IF(EMPLOYEE_MASTER!J255&lt;=25, EMPLOYEE_MASTER!J255*LK_AllowanceRates!$B$14,EMPLOYEE_MASTER!J255*LK_AllowanceRates!$B$15))),0)</f>
        <v>1480000</v>
      </c>
      <c r="O255" s="101">
        <f>IF(EMPLOYEE_MASTER!AS255="Teaching",L255*LK_AllowanceRates!$B$16,0)</f>
        <v>0</v>
      </c>
      <c r="P255" s="101">
        <f>IF(EMPLOYEE_MASTER!AS255="Medical",LK_AllowanceRates!$B$17,0)</f>
        <v>0</v>
      </c>
      <c r="Q255" s="101">
        <f>IF(EMPLOYEE_MASTER!AR255="Yes",LK_AllowanceRates!$B$18,0)</f>
        <v>0</v>
      </c>
      <c r="R255" s="101">
        <f>IF(EMPLOYEE_MASTER!AC255="Yes",LK_AllowanceRates!$B$19,0)</f>
        <v>0</v>
      </c>
      <c r="S255" s="101">
        <f>IF(EMPLOYEE_MASTER!AA255="Yes",L255*LK_AllowanceRates!$B$20,0)</f>
        <v>0</v>
      </c>
      <c r="T255" s="101">
        <f>IF(EMPLOYEE_MASTER!AB255="Yes",LK_AllowanceRates!$B$21,0)</f>
        <v>0</v>
      </c>
      <c r="U255" s="101">
        <f>IF(EMPLOYEE_MASTER!P255&gt;=6,LK_AllowanceRates!$B$22,0)</f>
        <v>0</v>
      </c>
      <c r="V255" s="101">
        <f>IF(EMPLOYEE_MASTER!AO255="Yes",LK_AllowanceRates!$B$23,0)</f>
        <v>0</v>
      </c>
      <c r="W255" s="101">
        <f>EMPLOYEE_MASTER!AP255*LK_AllowanceRates!$B$24</f>
        <v>0</v>
      </c>
      <c r="X255" s="101">
        <v>0</v>
      </c>
      <c r="Y255" s="102">
        <v>0</v>
      </c>
      <c r="Z255" s="102">
        <v>0</v>
      </c>
      <c r="AA255" s="102">
        <v>0</v>
      </c>
      <c r="AB255" s="103">
        <f t="shared" ca="1" si="26"/>
        <v>2380000</v>
      </c>
      <c r="AC255" s="104">
        <f t="shared" ca="1" si="27"/>
        <v>5460000</v>
      </c>
      <c r="AD255" s="105">
        <f>ROUND(L255*LK_AllowanceRates!$B$25/100,0)</f>
        <v>169400</v>
      </c>
      <c r="AE255" s="106">
        <f t="shared" ca="1" si="28"/>
        <v>5290600</v>
      </c>
      <c r="AF255" s="106">
        <f t="shared" ca="1" si="29"/>
        <v>214060</v>
      </c>
      <c r="AG255" s="107">
        <v>0</v>
      </c>
      <c r="AH255" s="107">
        <v>0</v>
      </c>
      <c r="AI255" s="108">
        <f t="shared" ca="1" si="30"/>
        <v>383460</v>
      </c>
      <c r="AJ255" s="109">
        <f t="shared" ca="1" si="31"/>
        <v>5076540</v>
      </c>
    </row>
    <row r="256" spans="1:36" ht="15" customHeight="1" x14ac:dyDescent="0.3">
      <c r="A256" s="98" t="str">
        <f>EMPLOYEE_MASTER!A256</f>
        <v>LAO00253</v>
      </c>
      <c r="B256" s="98" t="str">
        <f>EMPLOYEE_MASTER!C256</f>
        <v>Phonepasert</v>
      </c>
      <c r="C256" s="98" t="str">
        <f>EMPLOYEE_MASTER!D256</f>
        <v>Vilayphitak</v>
      </c>
      <c r="D256" s="98" t="str">
        <f>EMPLOYEE_MASTER!T256</f>
        <v>Savannakhet Province Administration</v>
      </c>
      <c r="E256" s="98" t="str">
        <f>EMPLOYEE_MASTER!M256</f>
        <v>Senior Officer</v>
      </c>
      <c r="F256" s="98" t="str">
        <f>EMPLOYEE_MASTER!Z256</f>
        <v>Administration</v>
      </c>
      <c r="G256" s="99">
        <f>EMPLOYEE_MASTER!P256</f>
        <v>4</v>
      </c>
      <c r="H256" s="99">
        <f>EMPLOYEE_MASTER!Q256</f>
        <v>1</v>
      </c>
      <c r="I256" s="100" t="str">
        <f t="shared" si="24"/>
        <v>G04-S01</v>
      </c>
      <c r="J256" s="100">
        <f>IFERROR(VLOOKUP(I256,LK_GradeStep!$C$4:$D$85,2,0),0)</f>
        <v>286</v>
      </c>
      <c r="K256" s="100">
        <f>IFERROR(VLOOKUP(I256,LK_GradeStep!$C$4:$E$85,3,0),10000)</f>
        <v>10000</v>
      </c>
      <c r="L256" s="100">
        <f t="shared" si="25"/>
        <v>2860000</v>
      </c>
      <c r="M256" s="101">
        <f>IFERROR(VLOOKUP(EMPLOYEE_MASTER!AQ256,LK_AllowanceRates!$A$5:$B$11,2,0),0)</f>
        <v>900000</v>
      </c>
      <c r="N256" s="101">
        <f ca="1">IFERROR(IF(EMPLOYEE_MASTER!J256&lt;=5,  EMPLOYEE_MASTER!J256*LK_AllowanceRates!$B$12,IF(EMPLOYEE_MASTER!J256&lt;=15, EMPLOYEE_MASTER!J256*LK_AllowanceRates!$B$13,IF(EMPLOYEE_MASTER!J256&lt;=25, EMPLOYEE_MASTER!J256*LK_AllowanceRates!$B$14,EMPLOYEE_MASTER!J256*LK_AllowanceRates!$B$15))),0)</f>
        <v>120000</v>
      </c>
      <c r="O256" s="101">
        <f>IF(EMPLOYEE_MASTER!AS256="Teaching",L256*LK_AllowanceRates!$B$16,0)</f>
        <v>0</v>
      </c>
      <c r="P256" s="101">
        <f>IF(EMPLOYEE_MASTER!AS256="Medical",LK_AllowanceRates!$B$17,0)</f>
        <v>0</v>
      </c>
      <c r="Q256" s="101">
        <f>IF(EMPLOYEE_MASTER!AR256="Yes",LK_AllowanceRates!$B$18,0)</f>
        <v>0</v>
      </c>
      <c r="R256" s="101">
        <f>IF(EMPLOYEE_MASTER!AC256="Yes",LK_AllowanceRates!$B$19,0)</f>
        <v>1000000</v>
      </c>
      <c r="S256" s="101">
        <f>IF(EMPLOYEE_MASTER!AA256="Yes",L256*LK_AllowanceRates!$B$20,0)</f>
        <v>715000</v>
      </c>
      <c r="T256" s="101">
        <f>IF(EMPLOYEE_MASTER!AB256="Yes",LK_AllowanceRates!$B$21,0)</f>
        <v>0</v>
      </c>
      <c r="U256" s="101">
        <f>IF(EMPLOYEE_MASTER!P256&gt;=6,LK_AllowanceRates!$B$22,0)</f>
        <v>0</v>
      </c>
      <c r="V256" s="101">
        <f>IF(EMPLOYEE_MASTER!AO256="Yes",LK_AllowanceRates!$B$23,0)</f>
        <v>0</v>
      </c>
      <c r="W256" s="101">
        <f>EMPLOYEE_MASTER!AP256*LK_AllowanceRates!$B$24</f>
        <v>0</v>
      </c>
      <c r="X256" s="101">
        <v>0</v>
      </c>
      <c r="Y256" s="102">
        <v>0</v>
      </c>
      <c r="Z256" s="102">
        <v>0</v>
      </c>
      <c r="AA256" s="102">
        <v>0</v>
      </c>
      <c r="AB256" s="103">
        <f t="shared" ca="1" si="26"/>
        <v>2735000</v>
      </c>
      <c r="AC256" s="104">
        <f t="shared" ca="1" si="27"/>
        <v>5595000</v>
      </c>
      <c r="AD256" s="105">
        <f>ROUND(L256*LK_AllowanceRates!$B$25/100,0)</f>
        <v>157300</v>
      </c>
      <c r="AE256" s="106">
        <f t="shared" ca="1" si="28"/>
        <v>5437700</v>
      </c>
      <c r="AF256" s="106">
        <f t="shared" ca="1" si="29"/>
        <v>228770</v>
      </c>
      <c r="AG256" s="107">
        <v>0</v>
      </c>
      <c r="AH256" s="107">
        <v>0</v>
      </c>
      <c r="AI256" s="108">
        <f t="shared" ca="1" si="30"/>
        <v>386070</v>
      </c>
      <c r="AJ256" s="109">
        <f t="shared" ca="1" si="31"/>
        <v>5208930</v>
      </c>
    </row>
    <row r="257" spans="1:36" ht="15" customHeight="1" x14ac:dyDescent="0.3">
      <c r="A257" s="98" t="str">
        <f>EMPLOYEE_MASTER!A257</f>
        <v>LAO00254</v>
      </c>
      <c r="B257" s="98" t="str">
        <f>EMPLOYEE_MASTER!C257</f>
        <v>Phanida</v>
      </c>
      <c r="C257" s="98" t="str">
        <f>EMPLOYEE_MASTER!D257</f>
        <v>Sisouvath</v>
      </c>
      <c r="D257" s="98" t="str">
        <f>EMPLOYEE_MASTER!T257</f>
        <v>Savannakhet Province Administration</v>
      </c>
      <c r="E257" s="98" t="str">
        <f>EMPLOYEE_MASTER!M257</f>
        <v>Clerk</v>
      </c>
      <c r="F257" s="98" t="str">
        <f>EMPLOYEE_MASTER!Z257</f>
        <v>Administration</v>
      </c>
      <c r="G257" s="99">
        <f>EMPLOYEE_MASTER!P257</f>
        <v>2</v>
      </c>
      <c r="H257" s="99">
        <f>EMPLOYEE_MASTER!Q257</f>
        <v>1</v>
      </c>
      <c r="I257" s="100" t="str">
        <f t="shared" si="24"/>
        <v>G02-S01</v>
      </c>
      <c r="J257" s="100">
        <f>IFERROR(VLOOKUP(I257,LK_GradeStep!$C$4:$D$85,2,0),0)</f>
        <v>268</v>
      </c>
      <c r="K257" s="100">
        <f>IFERROR(VLOOKUP(I257,LK_GradeStep!$C$4:$E$85,3,0),10000)</f>
        <v>10000</v>
      </c>
      <c r="L257" s="100">
        <f t="shared" si="25"/>
        <v>2680000</v>
      </c>
      <c r="M257" s="101">
        <f>IFERROR(VLOOKUP(EMPLOYEE_MASTER!AQ257,LK_AllowanceRates!$A$5:$B$11,2,0),0)</f>
        <v>900000</v>
      </c>
      <c r="N257" s="101">
        <f ca="1">IFERROR(IF(EMPLOYEE_MASTER!J257&lt;=5,  EMPLOYEE_MASTER!J257*LK_AllowanceRates!$B$12,IF(EMPLOYEE_MASTER!J257&lt;=15, EMPLOYEE_MASTER!J257*LK_AllowanceRates!$B$13,IF(EMPLOYEE_MASTER!J257&lt;=25, EMPLOYEE_MASTER!J257*LK_AllowanceRates!$B$14,EMPLOYEE_MASTER!J257*LK_AllowanceRates!$B$15))),0)</f>
        <v>1320000</v>
      </c>
      <c r="O257" s="101">
        <f>IF(EMPLOYEE_MASTER!AS257="Teaching",L257*LK_AllowanceRates!$B$16,0)</f>
        <v>0</v>
      </c>
      <c r="P257" s="101">
        <f>IF(EMPLOYEE_MASTER!AS257="Medical",LK_AllowanceRates!$B$17,0)</f>
        <v>0</v>
      </c>
      <c r="Q257" s="101">
        <f>IF(EMPLOYEE_MASTER!AR257="Yes",LK_AllowanceRates!$B$18,0)</f>
        <v>0</v>
      </c>
      <c r="R257" s="101">
        <f>IF(EMPLOYEE_MASTER!AC257="Yes",LK_AllowanceRates!$B$19,0)</f>
        <v>1000000</v>
      </c>
      <c r="S257" s="101">
        <f>IF(EMPLOYEE_MASTER!AA257="Yes",L257*LK_AllowanceRates!$B$20,0)</f>
        <v>670000</v>
      </c>
      <c r="T257" s="101">
        <f>IF(EMPLOYEE_MASTER!AB257="Yes",LK_AllowanceRates!$B$21,0)</f>
        <v>0</v>
      </c>
      <c r="U257" s="101">
        <f>IF(EMPLOYEE_MASTER!P257&gt;=6,LK_AllowanceRates!$B$22,0)</f>
        <v>0</v>
      </c>
      <c r="V257" s="101">
        <f>IF(EMPLOYEE_MASTER!AO257="Yes",LK_AllowanceRates!$B$23,0)</f>
        <v>0</v>
      </c>
      <c r="W257" s="101">
        <f>EMPLOYEE_MASTER!AP257*LK_AllowanceRates!$B$24</f>
        <v>0</v>
      </c>
      <c r="X257" s="101">
        <v>0</v>
      </c>
      <c r="Y257" s="102">
        <v>0</v>
      </c>
      <c r="Z257" s="102">
        <v>0</v>
      </c>
      <c r="AA257" s="102">
        <v>0</v>
      </c>
      <c r="AB257" s="103">
        <f t="shared" ca="1" si="26"/>
        <v>3890000</v>
      </c>
      <c r="AC257" s="104">
        <f t="shared" ca="1" si="27"/>
        <v>6570000</v>
      </c>
      <c r="AD257" s="105">
        <f>ROUND(L257*LK_AllowanceRates!$B$25/100,0)</f>
        <v>147400</v>
      </c>
      <c r="AE257" s="106">
        <f t="shared" ca="1" si="28"/>
        <v>6422600</v>
      </c>
      <c r="AF257" s="106">
        <f t="shared" ca="1" si="29"/>
        <v>327260</v>
      </c>
      <c r="AG257" s="107">
        <v>0</v>
      </c>
      <c r="AH257" s="107">
        <v>0</v>
      </c>
      <c r="AI257" s="108">
        <f t="shared" ca="1" si="30"/>
        <v>474660</v>
      </c>
      <c r="AJ257" s="109">
        <f t="shared" ca="1" si="31"/>
        <v>6095340</v>
      </c>
    </row>
    <row r="258" spans="1:36" ht="15" customHeight="1" x14ac:dyDescent="0.3">
      <c r="A258" s="98" t="str">
        <f>EMPLOYEE_MASTER!A258</f>
        <v>LAO00255</v>
      </c>
      <c r="B258" s="98" t="str">
        <f>EMPLOYEE_MASTER!C258</f>
        <v>Chanthida</v>
      </c>
      <c r="C258" s="98" t="str">
        <f>EMPLOYEE_MASTER!D258</f>
        <v>Khounkham</v>
      </c>
      <c r="D258" s="98" t="str">
        <f>EMPLOYEE_MASTER!T258</f>
        <v>Luang Prabang Province Administration</v>
      </c>
      <c r="E258" s="98" t="str">
        <f>EMPLOYEE_MASTER!M258</f>
        <v>Deputy Director</v>
      </c>
      <c r="F258" s="98" t="str">
        <f>EMPLOYEE_MASTER!Z258</f>
        <v>Administration</v>
      </c>
      <c r="G258" s="99">
        <f>EMPLOYEE_MASTER!P258</f>
        <v>5</v>
      </c>
      <c r="H258" s="99">
        <f>EMPLOYEE_MASTER!Q258</f>
        <v>1</v>
      </c>
      <c r="I258" s="100" t="str">
        <f t="shared" si="24"/>
        <v>G05-S01</v>
      </c>
      <c r="J258" s="100">
        <f>IFERROR(VLOOKUP(I258,LK_GradeStep!$C$4:$D$85,2,0),0)</f>
        <v>308</v>
      </c>
      <c r="K258" s="100">
        <f>IFERROR(VLOOKUP(I258,LK_GradeStep!$C$4:$E$85,3,0),10000)</f>
        <v>10000</v>
      </c>
      <c r="L258" s="100">
        <f t="shared" si="25"/>
        <v>3080000</v>
      </c>
      <c r="M258" s="101">
        <f>IFERROR(VLOOKUP(EMPLOYEE_MASTER!AQ258,LK_AllowanceRates!$A$5:$B$11,2,0),0)</f>
        <v>2300000</v>
      </c>
      <c r="N258" s="101">
        <f ca="1">IFERROR(IF(EMPLOYEE_MASTER!J258&lt;=5,  EMPLOYEE_MASTER!J258*LK_AllowanceRates!$B$12,IF(EMPLOYEE_MASTER!J258&lt;=15, EMPLOYEE_MASTER!J258*LK_AllowanceRates!$B$13,IF(EMPLOYEE_MASTER!J258&lt;=25, EMPLOYEE_MASTER!J258*LK_AllowanceRates!$B$14,EMPLOYEE_MASTER!J258*LK_AllowanceRates!$B$15))),0)</f>
        <v>540000</v>
      </c>
      <c r="O258" s="101">
        <f>IF(EMPLOYEE_MASTER!AS258="Teaching",L258*LK_AllowanceRates!$B$16,0)</f>
        <v>0</v>
      </c>
      <c r="P258" s="101">
        <f>IF(EMPLOYEE_MASTER!AS258="Medical",LK_AllowanceRates!$B$17,0)</f>
        <v>0</v>
      </c>
      <c r="Q258" s="101">
        <f>IF(EMPLOYEE_MASTER!AR258="Yes",LK_AllowanceRates!$B$18,0)</f>
        <v>0</v>
      </c>
      <c r="R258" s="101">
        <f>IF(EMPLOYEE_MASTER!AC258="Yes",LK_AllowanceRates!$B$19,0)</f>
        <v>1000000</v>
      </c>
      <c r="S258" s="101">
        <f>IF(EMPLOYEE_MASTER!AA258="Yes",L258*LK_AllowanceRates!$B$20,0)</f>
        <v>0</v>
      </c>
      <c r="T258" s="101">
        <f>IF(EMPLOYEE_MASTER!AB258="Yes",LK_AllowanceRates!$B$21,0)</f>
        <v>0</v>
      </c>
      <c r="U258" s="101">
        <f>IF(EMPLOYEE_MASTER!P258&gt;=6,LK_AllowanceRates!$B$22,0)</f>
        <v>0</v>
      </c>
      <c r="V258" s="101">
        <f>IF(EMPLOYEE_MASTER!AO258="Yes",LK_AllowanceRates!$B$23,0)</f>
        <v>200000</v>
      </c>
      <c r="W258" s="101">
        <f>EMPLOYEE_MASTER!AP258*LK_AllowanceRates!$B$24</f>
        <v>400000</v>
      </c>
      <c r="X258" s="101">
        <v>0</v>
      </c>
      <c r="Y258" s="102">
        <v>0</v>
      </c>
      <c r="Z258" s="102">
        <v>0</v>
      </c>
      <c r="AA258" s="102">
        <v>0</v>
      </c>
      <c r="AB258" s="103">
        <f t="shared" ca="1" si="26"/>
        <v>4440000</v>
      </c>
      <c r="AC258" s="104">
        <f t="shared" ca="1" si="27"/>
        <v>7520000</v>
      </c>
      <c r="AD258" s="105">
        <f>ROUND(L258*LK_AllowanceRates!$B$25/100,0)</f>
        <v>169400</v>
      </c>
      <c r="AE258" s="106">
        <f t="shared" ca="1" si="28"/>
        <v>7350600</v>
      </c>
      <c r="AF258" s="106">
        <f t="shared" ca="1" si="29"/>
        <v>420060</v>
      </c>
      <c r="AG258" s="107">
        <v>0</v>
      </c>
      <c r="AH258" s="107">
        <v>0</v>
      </c>
      <c r="AI258" s="108">
        <f t="shared" ca="1" si="30"/>
        <v>589460</v>
      </c>
      <c r="AJ258" s="109">
        <f t="shared" ca="1" si="31"/>
        <v>6930540</v>
      </c>
    </row>
    <row r="259" spans="1:36" ht="15" customHeight="1" x14ac:dyDescent="0.3">
      <c r="A259" s="98" t="str">
        <f>EMPLOYEE_MASTER!A259</f>
        <v>LAO00256</v>
      </c>
      <c r="B259" s="98" t="str">
        <f>EMPLOYEE_MASTER!C259</f>
        <v>Soubanh</v>
      </c>
      <c r="C259" s="98" t="str">
        <f>EMPLOYEE_MASTER!D259</f>
        <v>Khounboulom</v>
      </c>
      <c r="D259" s="98" t="str">
        <f>EMPLOYEE_MASTER!T259</f>
        <v>Ministry of Education and Sports (MoES)</v>
      </c>
      <c r="E259" s="98" t="str">
        <f>EMPLOYEE_MASTER!M259</f>
        <v>Primary School Teacher</v>
      </c>
      <c r="F259" s="98" t="str">
        <f>EMPLOYEE_MASTER!Z259</f>
        <v>Teacher</v>
      </c>
      <c r="G259" s="99">
        <f>EMPLOYEE_MASTER!P259</f>
        <v>4</v>
      </c>
      <c r="H259" s="99">
        <f>EMPLOYEE_MASTER!Q259</f>
        <v>13</v>
      </c>
      <c r="I259" s="100" t="str">
        <f t="shared" si="24"/>
        <v>G04-S13</v>
      </c>
      <c r="J259" s="100">
        <f>IFERROR(VLOOKUP(I259,LK_GradeStep!$C$4:$D$85,2,0),0)</f>
        <v>328</v>
      </c>
      <c r="K259" s="100">
        <f>IFERROR(VLOOKUP(I259,LK_GradeStep!$C$4:$E$85,3,0),10000)</f>
        <v>10000</v>
      </c>
      <c r="L259" s="100">
        <f t="shared" si="25"/>
        <v>3280000</v>
      </c>
      <c r="M259" s="101">
        <f>IFERROR(VLOOKUP(EMPLOYEE_MASTER!AQ259,LK_AllowanceRates!$A$5:$B$11,2,0),0)</f>
        <v>900000</v>
      </c>
      <c r="N259" s="101">
        <f ca="1">IFERROR(IF(EMPLOYEE_MASTER!J259&lt;=5,  EMPLOYEE_MASTER!J259*LK_AllowanceRates!$B$12,IF(EMPLOYEE_MASTER!J259&lt;=15, EMPLOYEE_MASTER!J259*LK_AllowanceRates!$B$13,IF(EMPLOYEE_MASTER!J259&lt;=25, EMPLOYEE_MASTER!J259*LK_AllowanceRates!$B$14,EMPLOYEE_MASTER!J259*LK_AllowanceRates!$B$15))),0)</f>
        <v>20000</v>
      </c>
      <c r="O259" s="101">
        <f>IF(EMPLOYEE_MASTER!AS259="Teaching",L259*LK_AllowanceRates!$B$16,0)</f>
        <v>656000</v>
      </c>
      <c r="P259" s="101">
        <f>IF(EMPLOYEE_MASTER!AS259="Medical",LK_AllowanceRates!$B$17,0)</f>
        <v>0</v>
      </c>
      <c r="Q259" s="101">
        <f>IF(EMPLOYEE_MASTER!AR259="Yes",LK_AllowanceRates!$B$18,0)</f>
        <v>0</v>
      </c>
      <c r="R259" s="101">
        <f>IF(EMPLOYEE_MASTER!AC259="Yes",LK_AllowanceRates!$B$19,0)</f>
        <v>0</v>
      </c>
      <c r="S259" s="101">
        <f>IF(EMPLOYEE_MASTER!AA259="Yes",L259*LK_AllowanceRates!$B$20,0)</f>
        <v>820000</v>
      </c>
      <c r="T259" s="101">
        <f>IF(EMPLOYEE_MASTER!AB259="Yes",LK_AllowanceRates!$B$21,0)</f>
        <v>0</v>
      </c>
      <c r="U259" s="101">
        <f>IF(EMPLOYEE_MASTER!P259&gt;=6,LK_AllowanceRates!$B$22,0)</f>
        <v>0</v>
      </c>
      <c r="V259" s="101">
        <f>IF(EMPLOYEE_MASTER!AO259="Yes",LK_AllowanceRates!$B$23,0)</f>
        <v>0</v>
      </c>
      <c r="W259" s="101">
        <f>EMPLOYEE_MASTER!AP259*LK_AllowanceRates!$B$24</f>
        <v>0</v>
      </c>
      <c r="X259" s="101">
        <v>0</v>
      </c>
      <c r="Y259" s="102">
        <v>0</v>
      </c>
      <c r="Z259" s="102">
        <v>0</v>
      </c>
      <c r="AA259" s="102">
        <v>0</v>
      </c>
      <c r="AB259" s="103">
        <f t="shared" ca="1" si="26"/>
        <v>2396000</v>
      </c>
      <c r="AC259" s="104">
        <f t="shared" ca="1" si="27"/>
        <v>5676000</v>
      </c>
      <c r="AD259" s="105">
        <f>ROUND(L259*LK_AllowanceRates!$B$25/100,0)</f>
        <v>180400</v>
      </c>
      <c r="AE259" s="106">
        <f t="shared" ca="1" si="28"/>
        <v>5495600</v>
      </c>
      <c r="AF259" s="106">
        <f t="shared" ca="1" si="29"/>
        <v>234560</v>
      </c>
      <c r="AG259" s="107">
        <v>0</v>
      </c>
      <c r="AH259" s="107">
        <v>0</v>
      </c>
      <c r="AI259" s="108">
        <f t="shared" ca="1" si="30"/>
        <v>414960</v>
      </c>
      <c r="AJ259" s="109">
        <f t="shared" ca="1" si="31"/>
        <v>5261040</v>
      </c>
    </row>
    <row r="260" spans="1:36" ht="15" customHeight="1" x14ac:dyDescent="0.3">
      <c r="A260" s="98" t="str">
        <f>EMPLOYEE_MASTER!A260</f>
        <v>LAO00257</v>
      </c>
      <c r="B260" s="98" t="str">
        <f>EMPLOYEE_MASTER!C260</f>
        <v>Vongphet</v>
      </c>
      <c r="C260" s="98" t="str">
        <f>EMPLOYEE_MASTER!D260</f>
        <v>Sisoulath</v>
      </c>
      <c r="D260" s="98" t="str">
        <f>EMPLOYEE_MASTER!T260</f>
        <v>Ministry of Natural Resources &amp; Environment (MoNRE)</v>
      </c>
      <c r="E260" s="98" t="str">
        <f>EMPLOYEE_MASTER!M260</f>
        <v>Environmental Officer</v>
      </c>
      <c r="F260" s="98" t="str">
        <f>EMPLOYEE_MASTER!Z260</f>
        <v>Technical</v>
      </c>
      <c r="G260" s="99">
        <f>EMPLOYEE_MASTER!P260</f>
        <v>3</v>
      </c>
      <c r="H260" s="99">
        <f>EMPLOYEE_MASTER!Q260</f>
        <v>7</v>
      </c>
      <c r="I260" s="100" t="str">
        <f t="shared" ref="I260:I323" si="32">"G"&amp;TEXT(G260,"00")&amp;"-S"&amp;TEXT(H260,"00")</f>
        <v>G03-S07</v>
      </c>
      <c r="J260" s="100">
        <f>IFERROR(VLOOKUP(I260,LK_GradeStep!$C$4:$D$85,2,0),0)</f>
        <v>282</v>
      </c>
      <c r="K260" s="100">
        <f>IFERROR(VLOOKUP(I260,LK_GradeStep!$C$4:$E$85,3,0),10000)</f>
        <v>10000</v>
      </c>
      <c r="L260" s="100">
        <f t="shared" ref="L260:L323" si="33">IFERROR(J260*K260,0)</f>
        <v>2820000</v>
      </c>
      <c r="M260" s="101">
        <f>IFERROR(VLOOKUP(EMPLOYEE_MASTER!AQ260,LK_AllowanceRates!$A$5:$B$11,2,0),0)</f>
        <v>900000</v>
      </c>
      <c r="N260" s="101">
        <f ca="1">IFERROR(IF(EMPLOYEE_MASTER!J260&lt;=5,  EMPLOYEE_MASTER!J260*LK_AllowanceRates!$B$12,IF(EMPLOYEE_MASTER!J260&lt;=15, EMPLOYEE_MASTER!J260*LK_AllowanceRates!$B$13,IF(EMPLOYEE_MASTER!J260&lt;=25, EMPLOYEE_MASTER!J260*LK_AllowanceRates!$B$14,EMPLOYEE_MASTER!J260*LK_AllowanceRates!$B$15))),0)</f>
        <v>300000</v>
      </c>
      <c r="O260" s="101">
        <f>IF(EMPLOYEE_MASTER!AS260="Teaching",L260*LK_AllowanceRates!$B$16,0)</f>
        <v>0</v>
      </c>
      <c r="P260" s="101">
        <f>IF(EMPLOYEE_MASTER!AS260="Medical",LK_AllowanceRates!$B$17,0)</f>
        <v>0</v>
      </c>
      <c r="Q260" s="101">
        <f>IF(EMPLOYEE_MASTER!AR260="Yes",LK_AllowanceRates!$B$18,0)</f>
        <v>0</v>
      </c>
      <c r="R260" s="101">
        <f>IF(EMPLOYEE_MASTER!AC260="Yes",LK_AllowanceRates!$B$19,0)</f>
        <v>1000000</v>
      </c>
      <c r="S260" s="101">
        <f>IF(EMPLOYEE_MASTER!AA260="Yes",L260*LK_AllowanceRates!$B$20,0)</f>
        <v>705000</v>
      </c>
      <c r="T260" s="101">
        <f>IF(EMPLOYEE_MASTER!AB260="Yes",LK_AllowanceRates!$B$21,0)</f>
        <v>0</v>
      </c>
      <c r="U260" s="101">
        <f>IF(EMPLOYEE_MASTER!P260&gt;=6,LK_AllowanceRates!$B$22,0)</f>
        <v>0</v>
      </c>
      <c r="V260" s="101">
        <f>IF(EMPLOYEE_MASTER!AO260="Yes",LK_AllowanceRates!$B$23,0)</f>
        <v>200000</v>
      </c>
      <c r="W260" s="101">
        <f>EMPLOYEE_MASTER!AP260*LK_AllowanceRates!$B$24</f>
        <v>600000</v>
      </c>
      <c r="X260" s="101">
        <v>0</v>
      </c>
      <c r="Y260" s="102">
        <v>0</v>
      </c>
      <c r="Z260" s="102">
        <v>0</v>
      </c>
      <c r="AA260" s="102">
        <v>0</v>
      </c>
      <c r="AB260" s="103">
        <f t="shared" ref="AB260:AB323" ca="1" si="34">SUM(M260:AA260)</f>
        <v>3705000</v>
      </c>
      <c r="AC260" s="104">
        <f t="shared" ref="AC260:AC323" ca="1" si="35">L260+AB260</f>
        <v>6525000</v>
      </c>
      <c r="AD260" s="105">
        <f>ROUND(L260*LK_AllowanceRates!$B$25/100,0)</f>
        <v>155100</v>
      </c>
      <c r="AE260" s="106">
        <f t="shared" ref="AE260:AE323" ca="1" si="36">IFERROR(AC260-AD260,0)</f>
        <v>6369900</v>
      </c>
      <c r="AF260" s="106">
        <f t="shared" ref="AF260:AF323" ca="1" si="37">IFERROR(IF(AE260&lt;=1300000,0,IF(AE260&lt;=5000000,(AE260-1300000)*0.05,IF(AE260&lt;=10000000,185000+(AE260-5000000)*0.1,IF(AE260&lt;=20000000,685000+(AE260-10000000)*0.15,IF(AE260&lt;=40000000,2185000+(AE260-20000000)*0.2,6185000+(AE260-40000000)*0.24))))),0)</f>
        <v>321990</v>
      </c>
      <c r="AG260" s="107">
        <v>0</v>
      </c>
      <c r="AH260" s="107">
        <v>0</v>
      </c>
      <c r="AI260" s="108">
        <f t="shared" ref="AI260:AI323" ca="1" si="38">AD260+AF260+AG260+AH260</f>
        <v>477090</v>
      </c>
      <c r="AJ260" s="109">
        <f t="shared" ref="AJ260:AJ323" ca="1" si="39">IFERROR(AC260-AI260,0)</f>
        <v>6047910</v>
      </c>
    </row>
    <row r="261" spans="1:36" ht="15" customHeight="1" x14ac:dyDescent="0.3">
      <c r="A261" s="98" t="str">
        <f>EMPLOYEE_MASTER!A261</f>
        <v>LAO00258</v>
      </c>
      <c r="B261" s="98" t="str">
        <f>EMPLOYEE_MASTER!C261</f>
        <v>Phonethip</v>
      </c>
      <c r="C261" s="98" t="str">
        <f>EMPLOYEE_MASTER!D261</f>
        <v>Phomthong</v>
      </c>
      <c r="D261" s="98" t="str">
        <f>EMPLOYEE_MASTER!T261</f>
        <v>Champasak Province Administration</v>
      </c>
      <c r="E261" s="98" t="str">
        <f>EMPLOYEE_MASTER!M261</f>
        <v>Division Chief</v>
      </c>
      <c r="F261" s="98" t="str">
        <f>EMPLOYEE_MASTER!Z261</f>
        <v>Administration</v>
      </c>
      <c r="G261" s="99">
        <f>EMPLOYEE_MASTER!P261</f>
        <v>4</v>
      </c>
      <c r="H261" s="99">
        <f>EMPLOYEE_MASTER!Q261</f>
        <v>1</v>
      </c>
      <c r="I261" s="100" t="str">
        <f t="shared" si="32"/>
        <v>G04-S01</v>
      </c>
      <c r="J261" s="100">
        <f>IFERROR(VLOOKUP(I261,LK_GradeStep!$C$4:$D$85,2,0),0)</f>
        <v>286</v>
      </c>
      <c r="K261" s="100">
        <f>IFERROR(VLOOKUP(I261,LK_GradeStep!$C$4:$E$85,3,0),10000)</f>
        <v>10000</v>
      </c>
      <c r="L261" s="100">
        <f t="shared" si="33"/>
        <v>2860000</v>
      </c>
      <c r="M261" s="101">
        <f>IFERROR(VLOOKUP(EMPLOYEE_MASTER!AQ261,LK_AllowanceRates!$A$5:$B$11,2,0),0)</f>
        <v>1900000</v>
      </c>
      <c r="N261" s="101">
        <f ca="1">IFERROR(IF(EMPLOYEE_MASTER!J261&lt;=5,  EMPLOYEE_MASTER!J261*LK_AllowanceRates!$B$12,IF(EMPLOYEE_MASTER!J261&lt;=15, EMPLOYEE_MASTER!J261*LK_AllowanceRates!$B$13,IF(EMPLOYEE_MASTER!J261&lt;=25, EMPLOYEE_MASTER!J261*LK_AllowanceRates!$B$14,EMPLOYEE_MASTER!J261*LK_AllowanceRates!$B$15))),0)</f>
        <v>30000</v>
      </c>
      <c r="O261" s="101">
        <f>IF(EMPLOYEE_MASTER!AS261="Teaching",L261*LK_AllowanceRates!$B$16,0)</f>
        <v>0</v>
      </c>
      <c r="P261" s="101">
        <f>IF(EMPLOYEE_MASTER!AS261="Medical",LK_AllowanceRates!$B$17,0)</f>
        <v>0</v>
      </c>
      <c r="Q261" s="101">
        <f>IF(EMPLOYEE_MASTER!AR261="Yes",LK_AllowanceRates!$B$18,0)</f>
        <v>0</v>
      </c>
      <c r="R261" s="101">
        <f>IF(EMPLOYEE_MASTER!AC261="Yes",LK_AllowanceRates!$B$19,0)</f>
        <v>1000000</v>
      </c>
      <c r="S261" s="101">
        <f>IF(EMPLOYEE_MASTER!AA261="Yes",L261*LK_AllowanceRates!$B$20,0)</f>
        <v>0</v>
      </c>
      <c r="T261" s="101">
        <f>IF(EMPLOYEE_MASTER!AB261="Yes",LK_AllowanceRates!$B$21,0)</f>
        <v>0</v>
      </c>
      <c r="U261" s="101">
        <f>IF(EMPLOYEE_MASTER!P261&gt;=6,LK_AllowanceRates!$B$22,0)</f>
        <v>0</v>
      </c>
      <c r="V261" s="101">
        <f>IF(EMPLOYEE_MASTER!AO261="Yes",LK_AllowanceRates!$B$23,0)</f>
        <v>0</v>
      </c>
      <c r="W261" s="101">
        <f>EMPLOYEE_MASTER!AP261*LK_AllowanceRates!$B$24</f>
        <v>0</v>
      </c>
      <c r="X261" s="101">
        <v>0</v>
      </c>
      <c r="Y261" s="102">
        <v>0</v>
      </c>
      <c r="Z261" s="102">
        <v>0</v>
      </c>
      <c r="AA261" s="102">
        <v>0</v>
      </c>
      <c r="AB261" s="103">
        <f t="shared" ca="1" si="34"/>
        <v>2930000</v>
      </c>
      <c r="AC261" s="104">
        <f t="shared" ca="1" si="35"/>
        <v>5790000</v>
      </c>
      <c r="AD261" s="105">
        <f>ROUND(L261*LK_AllowanceRates!$B$25/100,0)</f>
        <v>157300</v>
      </c>
      <c r="AE261" s="106">
        <f t="shared" ca="1" si="36"/>
        <v>5632700</v>
      </c>
      <c r="AF261" s="106">
        <f t="shared" ca="1" si="37"/>
        <v>248270</v>
      </c>
      <c r="AG261" s="107">
        <v>0</v>
      </c>
      <c r="AH261" s="107">
        <v>0</v>
      </c>
      <c r="AI261" s="108">
        <f t="shared" ca="1" si="38"/>
        <v>405570</v>
      </c>
      <c r="AJ261" s="109">
        <f t="shared" ca="1" si="39"/>
        <v>5384430</v>
      </c>
    </row>
    <row r="262" spans="1:36" ht="15" customHeight="1" x14ac:dyDescent="0.3">
      <c r="A262" s="98" t="str">
        <f>EMPLOYEE_MASTER!A262</f>
        <v>LAO00259</v>
      </c>
      <c r="B262" s="98" t="str">
        <f>EMPLOYEE_MASTER!C262</f>
        <v>Thongchanh</v>
      </c>
      <c r="C262" s="98" t="str">
        <f>EMPLOYEE_MASTER!D262</f>
        <v>Bouavong</v>
      </c>
      <c r="D262" s="98" t="str">
        <f>EMPLOYEE_MASTER!T262</f>
        <v>Ministry of Education and Sports (MoES)</v>
      </c>
      <c r="E262" s="98" t="str">
        <f>EMPLOYEE_MASTER!M262</f>
        <v>School Principal</v>
      </c>
      <c r="F262" s="98" t="str">
        <f>EMPLOYEE_MASTER!Z262</f>
        <v>Teacher</v>
      </c>
      <c r="G262" s="99">
        <f>EMPLOYEE_MASTER!P262</f>
        <v>2</v>
      </c>
      <c r="H262" s="99">
        <f>EMPLOYEE_MASTER!Q262</f>
        <v>9</v>
      </c>
      <c r="I262" s="100" t="str">
        <f t="shared" si="32"/>
        <v>G02-S09</v>
      </c>
      <c r="J262" s="100">
        <f>IFERROR(VLOOKUP(I262,LK_GradeStep!$C$4:$D$85,2,0),0)</f>
        <v>276</v>
      </c>
      <c r="K262" s="100">
        <f>IFERROR(VLOOKUP(I262,LK_GradeStep!$C$4:$E$85,3,0),10000)</f>
        <v>10000</v>
      </c>
      <c r="L262" s="100">
        <f t="shared" si="33"/>
        <v>2760000</v>
      </c>
      <c r="M262" s="101">
        <f>IFERROR(VLOOKUP(EMPLOYEE_MASTER!AQ262,LK_AllowanceRates!$A$5:$B$11,2,0),0)</f>
        <v>900000</v>
      </c>
      <c r="N262" s="101">
        <f ca="1">IFERROR(IF(EMPLOYEE_MASTER!J262&lt;=5,  EMPLOYEE_MASTER!J262*LK_AllowanceRates!$B$12,IF(EMPLOYEE_MASTER!J262&lt;=15, EMPLOYEE_MASTER!J262*LK_AllowanceRates!$B$13,IF(EMPLOYEE_MASTER!J262&lt;=25, EMPLOYEE_MASTER!J262*LK_AllowanceRates!$B$14,EMPLOYEE_MASTER!J262*LK_AllowanceRates!$B$15))),0)</f>
        <v>50000</v>
      </c>
      <c r="O262" s="101">
        <f>IF(EMPLOYEE_MASTER!AS262="Teaching",L262*LK_AllowanceRates!$B$16,0)</f>
        <v>552000</v>
      </c>
      <c r="P262" s="101">
        <f>IF(EMPLOYEE_MASTER!AS262="Medical",LK_AllowanceRates!$B$17,0)</f>
        <v>0</v>
      </c>
      <c r="Q262" s="101">
        <f>IF(EMPLOYEE_MASTER!AR262="Yes",LK_AllowanceRates!$B$18,0)</f>
        <v>0</v>
      </c>
      <c r="R262" s="101">
        <f>IF(EMPLOYEE_MASTER!AC262="Yes",LK_AllowanceRates!$B$19,0)</f>
        <v>0</v>
      </c>
      <c r="S262" s="101">
        <f>IF(EMPLOYEE_MASTER!AA262="Yes",L262*LK_AllowanceRates!$B$20,0)</f>
        <v>0</v>
      </c>
      <c r="T262" s="101">
        <f>IF(EMPLOYEE_MASTER!AB262="Yes",LK_AllowanceRates!$B$21,0)</f>
        <v>0</v>
      </c>
      <c r="U262" s="101">
        <f>IF(EMPLOYEE_MASTER!P262&gt;=6,LK_AllowanceRates!$B$22,0)</f>
        <v>0</v>
      </c>
      <c r="V262" s="101">
        <f>IF(EMPLOYEE_MASTER!AO262="Yes",LK_AllowanceRates!$B$23,0)</f>
        <v>200000</v>
      </c>
      <c r="W262" s="101">
        <f>EMPLOYEE_MASTER!AP262*LK_AllowanceRates!$B$24</f>
        <v>400000</v>
      </c>
      <c r="X262" s="101">
        <v>0</v>
      </c>
      <c r="Y262" s="102">
        <v>0</v>
      </c>
      <c r="Z262" s="102">
        <v>0</v>
      </c>
      <c r="AA262" s="102">
        <v>0</v>
      </c>
      <c r="AB262" s="103">
        <f t="shared" ca="1" si="34"/>
        <v>2102000</v>
      </c>
      <c r="AC262" s="104">
        <f t="shared" ca="1" si="35"/>
        <v>4862000</v>
      </c>
      <c r="AD262" s="105">
        <f>ROUND(L262*LK_AllowanceRates!$B$25/100,0)</f>
        <v>151800</v>
      </c>
      <c r="AE262" s="106">
        <f t="shared" ca="1" si="36"/>
        <v>4710200</v>
      </c>
      <c r="AF262" s="106">
        <f t="shared" ca="1" si="37"/>
        <v>170510</v>
      </c>
      <c r="AG262" s="107">
        <v>0</v>
      </c>
      <c r="AH262" s="107">
        <v>0</v>
      </c>
      <c r="AI262" s="108">
        <f t="shared" ca="1" si="38"/>
        <v>322310</v>
      </c>
      <c r="AJ262" s="109">
        <f t="shared" ca="1" si="39"/>
        <v>4539690</v>
      </c>
    </row>
    <row r="263" spans="1:36" ht="15" customHeight="1" x14ac:dyDescent="0.3">
      <c r="A263" s="98" t="str">
        <f>EMPLOYEE_MASTER!A263</f>
        <v>LAO00260</v>
      </c>
      <c r="B263" s="98" t="str">
        <f>EMPLOYEE_MASTER!C263</f>
        <v>Khamphay</v>
      </c>
      <c r="C263" s="98" t="str">
        <f>EMPLOYEE_MASTER!D263</f>
        <v>Bouavong</v>
      </c>
      <c r="D263" s="98" t="str">
        <f>EMPLOYEE_MASTER!T263</f>
        <v>Ministry of Labour &amp; Social Welfare (MLSW)</v>
      </c>
      <c r="E263" s="98" t="str">
        <f>EMPLOYEE_MASTER!M263</f>
        <v>Administrative Officer</v>
      </c>
      <c r="F263" s="98" t="str">
        <f>EMPLOYEE_MASTER!Z263</f>
        <v>Administration</v>
      </c>
      <c r="G263" s="99">
        <f>EMPLOYEE_MASTER!P263</f>
        <v>3</v>
      </c>
      <c r="H263" s="99">
        <f>EMPLOYEE_MASTER!Q263</f>
        <v>1</v>
      </c>
      <c r="I263" s="100" t="str">
        <f t="shared" si="32"/>
        <v>G03-S01</v>
      </c>
      <c r="J263" s="100">
        <f>IFERROR(VLOOKUP(I263,LK_GradeStep!$C$4:$D$85,2,0),0)</f>
        <v>276</v>
      </c>
      <c r="K263" s="100">
        <f>IFERROR(VLOOKUP(I263,LK_GradeStep!$C$4:$E$85,3,0),10000)</f>
        <v>10000</v>
      </c>
      <c r="L263" s="100">
        <f t="shared" si="33"/>
        <v>2760000</v>
      </c>
      <c r="M263" s="101">
        <f>IFERROR(VLOOKUP(EMPLOYEE_MASTER!AQ263,LK_AllowanceRates!$A$5:$B$11,2,0),0)</f>
        <v>900000</v>
      </c>
      <c r="N263" s="101">
        <f ca="1">IFERROR(IF(EMPLOYEE_MASTER!J263&lt;=5,  EMPLOYEE_MASTER!J263*LK_AllowanceRates!$B$12,IF(EMPLOYEE_MASTER!J263&lt;=15, EMPLOYEE_MASTER!J263*LK_AllowanceRates!$B$13,IF(EMPLOYEE_MASTER!J263&lt;=25, EMPLOYEE_MASTER!J263*LK_AllowanceRates!$B$14,EMPLOYEE_MASTER!J263*LK_AllowanceRates!$B$15))),0)</f>
        <v>570000</v>
      </c>
      <c r="O263" s="101">
        <f>IF(EMPLOYEE_MASTER!AS263="Teaching",L263*LK_AllowanceRates!$B$16,0)</f>
        <v>0</v>
      </c>
      <c r="P263" s="101">
        <f>IF(EMPLOYEE_MASTER!AS263="Medical",LK_AllowanceRates!$B$17,0)</f>
        <v>0</v>
      </c>
      <c r="Q263" s="101">
        <f>IF(EMPLOYEE_MASTER!AR263="Yes",LK_AllowanceRates!$B$18,0)</f>
        <v>0</v>
      </c>
      <c r="R263" s="101">
        <f>IF(EMPLOYEE_MASTER!AC263="Yes",LK_AllowanceRates!$B$19,0)</f>
        <v>1000000</v>
      </c>
      <c r="S263" s="101">
        <f>IF(EMPLOYEE_MASTER!AA263="Yes",L263*LK_AllowanceRates!$B$20,0)</f>
        <v>690000</v>
      </c>
      <c r="T263" s="101">
        <f>IF(EMPLOYEE_MASTER!AB263="Yes",LK_AllowanceRates!$B$21,0)</f>
        <v>0</v>
      </c>
      <c r="U263" s="101">
        <f>IF(EMPLOYEE_MASTER!P263&gt;=6,LK_AllowanceRates!$B$22,0)</f>
        <v>0</v>
      </c>
      <c r="V263" s="101">
        <f>IF(EMPLOYEE_MASTER!AO263="Yes",LK_AllowanceRates!$B$23,0)</f>
        <v>0</v>
      </c>
      <c r="W263" s="101">
        <f>EMPLOYEE_MASTER!AP263*LK_AllowanceRates!$B$24</f>
        <v>0</v>
      </c>
      <c r="X263" s="101">
        <v>0</v>
      </c>
      <c r="Y263" s="102">
        <v>0</v>
      </c>
      <c r="Z263" s="102">
        <v>0</v>
      </c>
      <c r="AA263" s="102">
        <v>0</v>
      </c>
      <c r="AB263" s="103">
        <f t="shared" ca="1" si="34"/>
        <v>3160000</v>
      </c>
      <c r="AC263" s="104">
        <f t="shared" ca="1" si="35"/>
        <v>5920000</v>
      </c>
      <c r="AD263" s="105">
        <f>ROUND(L263*LK_AllowanceRates!$B$25/100,0)</f>
        <v>151800</v>
      </c>
      <c r="AE263" s="106">
        <f t="shared" ca="1" si="36"/>
        <v>5768200</v>
      </c>
      <c r="AF263" s="106">
        <f t="shared" ca="1" si="37"/>
        <v>261820</v>
      </c>
      <c r="AG263" s="107">
        <v>0</v>
      </c>
      <c r="AH263" s="107">
        <v>0</v>
      </c>
      <c r="AI263" s="108">
        <f t="shared" ca="1" si="38"/>
        <v>413620</v>
      </c>
      <c r="AJ263" s="109">
        <f t="shared" ca="1" si="39"/>
        <v>5506380</v>
      </c>
    </row>
    <row r="264" spans="1:36" ht="15" customHeight="1" x14ac:dyDescent="0.3">
      <c r="A264" s="98" t="str">
        <f>EMPLOYEE_MASTER!A264</f>
        <v>LAO00261</v>
      </c>
      <c r="B264" s="98" t="str">
        <f>EMPLOYEE_MASTER!C264</f>
        <v>Phimmaly</v>
      </c>
      <c r="C264" s="98" t="str">
        <f>EMPLOYEE_MASTER!D264</f>
        <v>Chanthavong</v>
      </c>
      <c r="D264" s="98" t="str">
        <f>EMPLOYEE_MASTER!T264</f>
        <v>Ministry of Education and Sports (MoES)</v>
      </c>
      <c r="E264" s="98" t="str">
        <f>EMPLOYEE_MASTER!M264</f>
        <v>School Principal</v>
      </c>
      <c r="F264" s="98" t="str">
        <f>EMPLOYEE_MASTER!Z264</f>
        <v>Teacher</v>
      </c>
      <c r="G264" s="99">
        <f>EMPLOYEE_MASTER!P264</f>
        <v>4</v>
      </c>
      <c r="H264" s="99">
        <f>EMPLOYEE_MASTER!Q264</f>
        <v>8</v>
      </c>
      <c r="I264" s="100" t="str">
        <f t="shared" si="32"/>
        <v>G04-S08</v>
      </c>
      <c r="J264" s="100">
        <f>IFERROR(VLOOKUP(I264,LK_GradeStep!$C$4:$D$85,2,0),0)</f>
        <v>303</v>
      </c>
      <c r="K264" s="100">
        <f>IFERROR(VLOOKUP(I264,LK_GradeStep!$C$4:$E$85,3,0),10000)</f>
        <v>10000</v>
      </c>
      <c r="L264" s="100">
        <f t="shared" si="33"/>
        <v>3030000</v>
      </c>
      <c r="M264" s="101">
        <f>IFERROR(VLOOKUP(EMPLOYEE_MASTER!AQ264,LK_AllowanceRates!$A$5:$B$11,2,0),0)</f>
        <v>900000</v>
      </c>
      <c r="N264" s="101">
        <f ca="1">IFERROR(IF(EMPLOYEE_MASTER!J264&lt;=5,  EMPLOYEE_MASTER!J264*LK_AllowanceRates!$B$12,IF(EMPLOYEE_MASTER!J264&lt;=15, EMPLOYEE_MASTER!J264*LK_AllowanceRates!$B$13,IF(EMPLOYEE_MASTER!J264&lt;=25, EMPLOYEE_MASTER!J264*LK_AllowanceRates!$B$14,EMPLOYEE_MASTER!J264*LK_AllowanceRates!$B$15))),0)</f>
        <v>20000</v>
      </c>
      <c r="O264" s="101">
        <f>IF(EMPLOYEE_MASTER!AS264="Teaching",L264*LK_AllowanceRates!$B$16,0)</f>
        <v>606000</v>
      </c>
      <c r="P264" s="101">
        <f>IF(EMPLOYEE_MASTER!AS264="Medical",LK_AllowanceRates!$B$17,0)</f>
        <v>0</v>
      </c>
      <c r="Q264" s="101">
        <f>IF(EMPLOYEE_MASTER!AR264="Yes",LK_AllowanceRates!$B$18,0)</f>
        <v>0</v>
      </c>
      <c r="R264" s="101">
        <f>IF(EMPLOYEE_MASTER!AC264="Yes",LK_AllowanceRates!$B$19,0)</f>
        <v>0</v>
      </c>
      <c r="S264" s="101">
        <f>IF(EMPLOYEE_MASTER!AA264="Yes",L264*LK_AllowanceRates!$B$20,0)</f>
        <v>757500</v>
      </c>
      <c r="T264" s="101">
        <f>IF(EMPLOYEE_MASTER!AB264="Yes",LK_AllowanceRates!$B$21,0)</f>
        <v>0</v>
      </c>
      <c r="U264" s="101">
        <f>IF(EMPLOYEE_MASTER!P264&gt;=6,LK_AllowanceRates!$B$22,0)</f>
        <v>0</v>
      </c>
      <c r="V264" s="101">
        <f>IF(EMPLOYEE_MASTER!AO264="Yes",LK_AllowanceRates!$B$23,0)</f>
        <v>0</v>
      </c>
      <c r="W264" s="101">
        <f>EMPLOYEE_MASTER!AP264*LK_AllowanceRates!$B$24</f>
        <v>0</v>
      </c>
      <c r="X264" s="101">
        <v>0</v>
      </c>
      <c r="Y264" s="102">
        <v>0</v>
      </c>
      <c r="Z264" s="102">
        <v>0</v>
      </c>
      <c r="AA264" s="102">
        <v>0</v>
      </c>
      <c r="AB264" s="103">
        <f t="shared" ca="1" si="34"/>
        <v>2283500</v>
      </c>
      <c r="AC264" s="104">
        <f t="shared" ca="1" si="35"/>
        <v>5313500</v>
      </c>
      <c r="AD264" s="105">
        <f>ROUND(L264*LK_AllowanceRates!$B$25/100,0)</f>
        <v>166650</v>
      </c>
      <c r="AE264" s="106">
        <f t="shared" ca="1" si="36"/>
        <v>5146850</v>
      </c>
      <c r="AF264" s="106">
        <f t="shared" ca="1" si="37"/>
        <v>199685</v>
      </c>
      <c r="AG264" s="107">
        <v>0</v>
      </c>
      <c r="AH264" s="107">
        <v>0</v>
      </c>
      <c r="AI264" s="108">
        <f t="shared" ca="1" si="38"/>
        <v>366335</v>
      </c>
      <c r="AJ264" s="109">
        <f t="shared" ca="1" si="39"/>
        <v>4947165</v>
      </c>
    </row>
    <row r="265" spans="1:36" ht="15" customHeight="1" x14ac:dyDescent="0.3">
      <c r="A265" s="98" t="str">
        <f>EMPLOYEE_MASTER!A265</f>
        <v>LAO00262</v>
      </c>
      <c r="B265" s="98" t="str">
        <f>EMPLOYEE_MASTER!C265</f>
        <v>Phengkham</v>
      </c>
      <c r="C265" s="98" t="str">
        <f>EMPLOYEE_MASTER!D265</f>
        <v>Xayyasith</v>
      </c>
      <c r="D265" s="98" t="str">
        <f>EMPLOYEE_MASTER!T265</f>
        <v>National Assembly (NA)</v>
      </c>
      <c r="E265" s="98" t="str">
        <f>EMPLOYEE_MASTER!M265</f>
        <v>Officer</v>
      </c>
      <c r="F265" s="98" t="str">
        <f>EMPLOYEE_MASTER!Z265</f>
        <v>Administration</v>
      </c>
      <c r="G265" s="99">
        <f>EMPLOYEE_MASTER!P265</f>
        <v>4</v>
      </c>
      <c r="H265" s="99">
        <f>EMPLOYEE_MASTER!Q265</f>
        <v>13</v>
      </c>
      <c r="I265" s="100" t="str">
        <f t="shared" si="32"/>
        <v>G04-S13</v>
      </c>
      <c r="J265" s="100">
        <f>IFERROR(VLOOKUP(I265,LK_GradeStep!$C$4:$D$85,2,0),0)</f>
        <v>328</v>
      </c>
      <c r="K265" s="100">
        <f>IFERROR(VLOOKUP(I265,LK_GradeStep!$C$4:$E$85,3,0),10000)</f>
        <v>10000</v>
      </c>
      <c r="L265" s="100">
        <f t="shared" si="33"/>
        <v>3280000</v>
      </c>
      <c r="M265" s="101">
        <f>IFERROR(VLOOKUP(EMPLOYEE_MASTER!AQ265,LK_AllowanceRates!$A$5:$B$11,2,0),0)</f>
        <v>900000</v>
      </c>
      <c r="N265" s="101">
        <f ca="1">IFERROR(IF(EMPLOYEE_MASTER!J265&lt;=5,  EMPLOYEE_MASTER!J265*LK_AllowanceRates!$B$12,IF(EMPLOYEE_MASTER!J265&lt;=15, EMPLOYEE_MASTER!J265*LK_AllowanceRates!$B$13,IF(EMPLOYEE_MASTER!J265&lt;=25, EMPLOYEE_MASTER!J265*LK_AllowanceRates!$B$14,EMPLOYEE_MASTER!J265*LK_AllowanceRates!$B$15))),0)</f>
        <v>140000</v>
      </c>
      <c r="O265" s="101">
        <f>IF(EMPLOYEE_MASTER!AS265="Teaching",L265*LK_AllowanceRates!$B$16,0)</f>
        <v>0</v>
      </c>
      <c r="P265" s="101">
        <f>IF(EMPLOYEE_MASTER!AS265="Medical",LK_AllowanceRates!$B$17,0)</f>
        <v>0</v>
      </c>
      <c r="Q265" s="101">
        <f>IF(EMPLOYEE_MASTER!AR265="Yes",LK_AllowanceRates!$B$18,0)</f>
        <v>1000000</v>
      </c>
      <c r="R265" s="101">
        <f>IF(EMPLOYEE_MASTER!AC265="Yes",LK_AllowanceRates!$B$19,0)</f>
        <v>0</v>
      </c>
      <c r="S265" s="101">
        <f>IF(EMPLOYEE_MASTER!AA265="Yes",L265*LK_AllowanceRates!$B$20,0)</f>
        <v>0</v>
      </c>
      <c r="T265" s="101">
        <f>IF(EMPLOYEE_MASTER!AB265="Yes",LK_AllowanceRates!$B$21,0)</f>
        <v>0</v>
      </c>
      <c r="U265" s="101">
        <f>IF(EMPLOYEE_MASTER!P265&gt;=6,LK_AllowanceRates!$B$22,0)</f>
        <v>0</v>
      </c>
      <c r="V265" s="101">
        <f>IF(EMPLOYEE_MASTER!AO265="Yes",LK_AllowanceRates!$B$23,0)</f>
        <v>200000</v>
      </c>
      <c r="W265" s="101">
        <f>EMPLOYEE_MASTER!AP265*LK_AllowanceRates!$B$24</f>
        <v>200000</v>
      </c>
      <c r="X265" s="101">
        <v>0</v>
      </c>
      <c r="Y265" s="102">
        <v>0</v>
      </c>
      <c r="Z265" s="102">
        <v>0</v>
      </c>
      <c r="AA265" s="102">
        <v>0</v>
      </c>
      <c r="AB265" s="103">
        <f t="shared" ca="1" si="34"/>
        <v>2440000</v>
      </c>
      <c r="AC265" s="104">
        <f t="shared" ca="1" si="35"/>
        <v>5720000</v>
      </c>
      <c r="AD265" s="105">
        <f>ROUND(L265*LK_AllowanceRates!$B$25/100,0)</f>
        <v>180400</v>
      </c>
      <c r="AE265" s="106">
        <f t="shared" ca="1" si="36"/>
        <v>5539600</v>
      </c>
      <c r="AF265" s="106">
        <f t="shared" ca="1" si="37"/>
        <v>238960</v>
      </c>
      <c r="AG265" s="107">
        <v>0</v>
      </c>
      <c r="AH265" s="107">
        <v>0</v>
      </c>
      <c r="AI265" s="108">
        <f t="shared" ca="1" si="38"/>
        <v>419360</v>
      </c>
      <c r="AJ265" s="109">
        <f t="shared" ca="1" si="39"/>
        <v>5300640</v>
      </c>
    </row>
    <row r="266" spans="1:36" ht="15" customHeight="1" x14ac:dyDescent="0.3">
      <c r="A266" s="98" t="str">
        <f>EMPLOYEE_MASTER!A266</f>
        <v>LAO00263</v>
      </c>
      <c r="B266" s="98" t="str">
        <f>EMPLOYEE_MASTER!C266</f>
        <v>Somchit</v>
      </c>
      <c r="C266" s="98" t="str">
        <f>EMPLOYEE_MASTER!D266</f>
        <v>Bouavong</v>
      </c>
      <c r="D266" s="98" t="str">
        <f>EMPLOYEE_MASTER!T266</f>
        <v>Ministry of Health (MoH)</v>
      </c>
      <c r="E266" s="98" t="str">
        <f>EMPLOYEE_MASTER!M266</f>
        <v>Hospital Director</v>
      </c>
      <c r="F266" s="98" t="str">
        <f>EMPLOYEE_MASTER!Z266</f>
        <v>Medical</v>
      </c>
      <c r="G266" s="99">
        <f>EMPLOYEE_MASTER!P266</f>
        <v>5</v>
      </c>
      <c r="H266" s="99">
        <f>EMPLOYEE_MASTER!Q266</f>
        <v>3</v>
      </c>
      <c r="I266" s="100" t="str">
        <f t="shared" si="32"/>
        <v>G05-S03</v>
      </c>
      <c r="J266" s="100">
        <f>IFERROR(VLOOKUP(I266,LK_GradeStep!$C$4:$D$85,2,0),0)</f>
        <v>318</v>
      </c>
      <c r="K266" s="100">
        <f>IFERROR(VLOOKUP(I266,LK_GradeStep!$C$4:$E$85,3,0),10000)</f>
        <v>10000</v>
      </c>
      <c r="L266" s="100">
        <f t="shared" si="33"/>
        <v>3180000</v>
      </c>
      <c r="M266" s="101">
        <f>IFERROR(VLOOKUP(EMPLOYEE_MASTER!AQ266,LK_AllowanceRates!$A$5:$B$11,2,0),0)</f>
        <v>2500000</v>
      </c>
      <c r="N266" s="101">
        <f ca="1">IFERROR(IF(EMPLOYEE_MASTER!J266&lt;=5,  EMPLOYEE_MASTER!J266*LK_AllowanceRates!$B$12,IF(EMPLOYEE_MASTER!J266&lt;=15, EMPLOYEE_MASTER!J266*LK_AllowanceRates!$B$13,IF(EMPLOYEE_MASTER!J266&lt;=25, EMPLOYEE_MASTER!J266*LK_AllowanceRates!$B$14,EMPLOYEE_MASTER!J266*LK_AllowanceRates!$B$15))),0)</f>
        <v>0</v>
      </c>
      <c r="O266" s="101">
        <f>IF(EMPLOYEE_MASTER!AS266="Teaching",L266*LK_AllowanceRates!$B$16,0)</f>
        <v>0</v>
      </c>
      <c r="P266" s="101">
        <f>IF(EMPLOYEE_MASTER!AS266="Medical",LK_AllowanceRates!$B$17,0)</f>
        <v>500000</v>
      </c>
      <c r="Q266" s="101">
        <f>IF(EMPLOYEE_MASTER!AR266="Yes",LK_AllowanceRates!$B$18,0)</f>
        <v>0</v>
      </c>
      <c r="R266" s="101">
        <f>IF(EMPLOYEE_MASTER!AC266="Yes",LK_AllowanceRates!$B$19,0)</f>
        <v>1000000</v>
      </c>
      <c r="S266" s="101">
        <f>IF(EMPLOYEE_MASTER!AA266="Yes",L266*LK_AllowanceRates!$B$20,0)</f>
        <v>0</v>
      </c>
      <c r="T266" s="101">
        <f>IF(EMPLOYEE_MASTER!AB266="Yes",LK_AllowanceRates!$B$21,0)</f>
        <v>0</v>
      </c>
      <c r="U266" s="101">
        <f>IF(EMPLOYEE_MASTER!P266&gt;=6,LK_AllowanceRates!$B$22,0)</f>
        <v>0</v>
      </c>
      <c r="V266" s="101">
        <f>IF(EMPLOYEE_MASTER!AO266="Yes",LK_AllowanceRates!$B$23,0)</f>
        <v>200000</v>
      </c>
      <c r="W266" s="101">
        <f>EMPLOYEE_MASTER!AP266*LK_AllowanceRates!$B$24</f>
        <v>0</v>
      </c>
      <c r="X266" s="101">
        <v>0</v>
      </c>
      <c r="Y266" s="102">
        <v>0</v>
      </c>
      <c r="Z266" s="102">
        <v>0</v>
      </c>
      <c r="AA266" s="102">
        <v>0</v>
      </c>
      <c r="AB266" s="103">
        <f t="shared" ca="1" si="34"/>
        <v>4200000</v>
      </c>
      <c r="AC266" s="104">
        <f t="shared" ca="1" si="35"/>
        <v>7380000</v>
      </c>
      <c r="AD266" s="105">
        <f>ROUND(L266*LK_AllowanceRates!$B$25/100,0)</f>
        <v>174900</v>
      </c>
      <c r="AE266" s="106">
        <f t="shared" ca="1" si="36"/>
        <v>7205100</v>
      </c>
      <c r="AF266" s="106">
        <f t="shared" ca="1" si="37"/>
        <v>405510</v>
      </c>
      <c r="AG266" s="107">
        <v>0</v>
      </c>
      <c r="AH266" s="107">
        <v>0</v>
      </c>
      <c r="AI266" s="108">
        <f t="shared" ca="1" si="38"/>
        <v>580410</v>
      </c>
      <c r="AJ266" s="109">
        <f t="shared" ca="1" si="39"/>
        <v>6799590</v>
      </c>
    </row>
    <row r="267" spans="1:36" ht="15" customHeight="1" x14ac:dyDescent="0.3">
      <c r="A267" s="98" t="str">
        <f>EMPLOYEE_MASTER!A267</f>
        <v>LAO00264</v>
      </c>
      <c r="B267" s="98" t="str">
        <f>EMPLOYEE_MASTER!C267</f>
        <v>Bounthanh</v>
      </c>
      <c r="C267" s="98" t="str">
        <f>EMPLOYEE_MASTER!D267</f>
        <v>Keokhamphanh</v>
      </c>
      <c r="D267" s="98" t="str">
        <f>EMPLOYEE_MASTER!T267</f>
        <v>Ministry of Labour &amp; Social Welfare (MLSW)</v>
      </c>
      <c r="E267" s="98" t="str">
        <f>EMPLOYEE_MASTER!M267</f>
        <v>Section Chief</v>
      </c>
      <c r="F267" s="98" t="str">
        <f>EMPLOYEE_MASTER!Z267</f>
        <v>Administration</v>
      </c>
      <c r="G267" s="99">
        <f>EMPLOYEE_MASTER!P267</f>
        <v>4</v>
      </c>
      <c r="H267" s="99">
        <f>EMPLOYEE_MASTER!Q267</f>
        <v>13</v>
      </c>
      <c r="I267" s="100" t="str">
        <f t="shared" si="32"/>
        <v>G04-S13</v>
      </c>
      <c r="J267" s="100">
        <f>IFERROR(VLOOKUP(I267,LK_GradeStep!$C$4:$D$85,2,0),0)</f>
        <v>328</v>
      </c>
      <c r="K267" s="100">
        <f>IFERROR(VLOOKUP(I267,LK_GradeStep!$C$4:$E$85,3,0),10000)</f>
        <v>10000</v>
      </c>
      <c r="L267" s="100">
        <f t="shared" si="33"/>
        <v>3280000</v>
      </c>
      <c r="M267" s="101">
        <f>IFERROR(VLOOKUP(EMPLOYEE_MASTER!AQ267,LK_AllowanceRates!$A$5:$B$11,2,0),0)</f>
        <v>1500000</v>
      </c>
      <c r="N267" s="101">
        <f ca="1">IFERROR(IF(EMPLOYEE_MASTER!J267&lt;=5,  EMPLOYEE_MASTER!J267*LK_AllowanceRates!$B$12,IF(EMPLOYEE_MASTER!J267&lt;=15, EMPLOYEE_MASTER!J267*LK_AllowanceRates!$B$13,IF(EMPLOYEE_MASTER!J267&lt;=25, EMPLOYEE_MASTER!J267*LK_AllowanceRates!$B$14,EMPLOYEE_MASTER!J267*LK_AllowanceRates!$B$15))),0)</f>
        <v>20000</v>
      </c>
      <c r="O267" s="101">
        <f>IF(EMPLOYEE_MASTER!AS267="Teaching",L267*LK_AllowanceRates!$B$16,0)</f>
        <v>0</v>
      </c>
      <c r="P267" s="101">
        <f>IF(EMPLOYEE_MASTER!AS267="Medical",LK_AllowanceRates!$B$17,0)</f>
        <v>0</v>
      </c>
      <c r="Q267" s="101">
        <f>IF(EMPLOYEE_MASTER!AR267="Yes",LK_AllowanceRates!$B$18,0)</f>
        <v>0</v>
      </c>
      <c r="R267" s="101">
        <f>IF(EMPLOYEE_MASTER!AC267="Yes",LK_AllowanceRates!$B$19,0)</f>
        <v>0</v>
      </c>
      <c r="S267" s="101">
        <f>IF(EMPLOYEE_MASTER!AA267="Yes",L267*LK_AllowanceRates!$B$20,0)</f>
        <v>0</v>
      </c>
      <c r="T267" s="101">
        <f>IF(EMPLOYEE_MASTER!AB267="Yes",LK_AllowanceRates!$B$21,0)</f>
        <v>0</v>
      </c>
      <c r="U267" s="101">
        <f>IF(EMPLOYEE_MASTER!P267&gt;=6,LK_AllowanceRates!$B$22,0)</f>
        <v>0</v>
      </c>
      <c r="V267" s="101">
        <f>IF(EMPLOYEE_MASTER!AO267="Yes",LK_AllowanceRates!$B$23,0)</f>
        <v>0</v>
      </c>
      <c r="W267" s="101">
        <f>EMPLOYEE_MASTER!AP267*LK_AllowanceRates!$B$24</f>
        <v>0</v>
      </c>
      <c r="X267" s="101">
        <v>0</v>
      </c>
      <c r="Y267" s="102">
        <v>0</v>
      </c>
      <c r="Z267" s="102">
        <v>0</v>
      </c>
      <c r="AA267" s="102">
        <v>0</v>
      </c>
      <c r="AB267" s="103">
        <f t="shared" ca="1" si="34"/>
        <v>1520000</v>
      </c>
      <c r="AC267" s="104">
        <f t="shared" ca="1" si="35"/>
        <v>4800000</v>
      </c>
      <c r="AD267" s="105">
        <f>ROUND(L267*LK_AllowanceRates!$B$25/100,0)</f>
        <v>180400</v>
      </c>
      <c r="AE267" s="106">
        <f t="shared" ca="1" si="36"/>
        <v>4619600</v>
      </c>
      <c r="AF267" s="106">
        <f t="shared" ca="1" si="37"/>
        <v>165980</v>
      </c>
      <c r="AG267" s="107">
        <v>0</v>
      </c>
      <c r="AH267" s="107">
        <v>0</v>
      </c>
      <c r="AI267" s="108">
        <f t="shared" ca="1" si="38"/>
        <v>346380</v>
      </c>
      <c r="AJ267" s="109">
        <f t="shared" ca="1" si="39"/>
        <v>4453620</v>
      </c>
    </row>
    <row r="268" spans="1:36" ht="15" customHeight="1" x14ac:dyDescent="0.3">
      <c r="A268" s="98" t="str">
        <f>EMPLOYEE_MASTER!A268</f>
        <v>LAO00265</v>
      </c>
      <c r="B268" s="98" t="str">
        <f>EMPLOYEE_MASTER!C268</f>
        <v>Phonesiri</v>
      </c>
      <c r="C268" s="98" t="str">
        <f>EMPLOYEE_MASTER!D268</f>
        <v>Singvongsa</v>
      </c>
      <c r="D268" s="98" t="str">
        <f>EMPLOYEE_MASTER!T268</f>
        <v>Ministry of Health (MoH)</v>
      </c>
      <c r="E268" s="98" t="str">
        <f>EMPLOYEE_MASTER!M268</f>
        <v>Senior Doctor</v>
      </c>
      <c r="F268" s="98" t="str">
        <f>EMPLOYEE_MASTER!Z268</f>
        <v>Medical</v>
      </c>
      <c r="G268" s="99">
        <f>EMPLOYEE_MASTER!P268</f>
        <v>5</v>
      </c>
      <c r="H268" s="99">
        <f>EMPLOYEE_MASTER!Q268</f>
        <v>8</v>
      </c>
      <c r="I268" s="100" t="str">
        <f t="shared" si="32"/>
        <v>G05-S08</v>
      </c>
      <c r="J268" s="100">
        <f>IFERROR(VLOOKUP(I268,LK_GradeStep!$C$4:$D$85,2,0),0)</f>
        <v>348</v>
      </c>
      <c r="K268" s="100">
        <f>IFERROR(VLOOKUP(I268,LK_GradeStep!$C$4:$E$85,3,0),10000)</f>
        <v>10000</v>
      </c>
      <c r="L268" s="100">
        <f t="shared" si="33"/>
        <v>3480000</v>
      </c>
      <c r="M268" s="101">
        <f>IFERROR(VLOOKUP(EMPLOYEE_MASTER!AQ268,LK_AllowanceRates!$A$5:$B$11,2,0),0)</f>
        <v>900000</v>
      </c>
      <c r="N268" s="101">
        <f ca="1">IFERROR(IF(EMPLOYEE_MASTER!J268&lt;=5,  EMPLOYEE_MASTER!J268*LK_AllowanceRates!$B$12,IF(EMPLOYEE_MASTER!J268&lt;=15, EMPLOYEE_MASTER!J268*LK_AllowanceRates!$B$13,IF(EMPLOYEE_MASTER!J268&lt;=25, EMPLOYEE_MASTER!J268*LK_AllowanceRates!$B$14,EMPLOYEE_MASTER!J268*LK_AllowanceRates!$B$15))),0)</f>
        <v>200000</v>
      </c>
      <c r="O268" s="101">
        <f>IF(EMPLOYEE_MASTER!AS268="Teaching",L268*LK_AllowanceRates!$B$16,0)</f>
        <v>0</v>
      </c>
      <c r="P268" s="101">
        <f>IF(EMPLOYEE_MASTER!AS268="Medical",LK_AllowanceRates!$B$17,0)</f>
        <v>500000</v>
      </c>
      <c r="Q268" s="101">
        <f>IF(EMPLOYEE_MASTER!AR268="Yes",LK_AllowanceRates!$B$18,0)</f>
        <v>0</v>
      </c>
      <c r="R268" s="101">
        <f>IF(EMPLOYEE_MASTER!AC268="Yes",LK_AllowanceRates!$B$19,0)</f>
        <v>1000000</v>
      </c>
      <c r="S268" s="101">
        <f>IF(EMPLOYEE_MASTER!AA268="Yes",L268*LK_AllowanceRates!$B$20,0)</f>
        <v>870000</v>
      </c>
      <c r="T268" s="101">
        <f>IF(EMPLOYEE_MASTER!AB268="Yes",LK_AllowanceRates!$B$21,0)</f>
        <v>0</v>
      </c>
      <c r="U268" s="101">
        <f>IF(EMPLOYEE_MASTER!P268&gt;=6,LK_AllowanceRates!$B$22,0)</f>
        <v>0</v>
      </c>
      <c r="V268" s="101">
        <f>IF(EMPLOYEE_MASTER!AO268="Yes",LK_AllowanceRates!$B$23,0)</f>
        <v>200000</v>
      </c>
      <c r="W268" s="101">
        <f>EMPLOYEE_MASTER!AP268*LK_AllowanceRates!$B$24</f>
        <v>200000</v>
      </c>
      <c r="X268" s="101">
        <v>0</v>
      </c>
      <c r="Y268" s="102">
        <v>0</v>
      </c>
      <c r="Z268" s="102">
        <v>0</v>
      </c>
      <c r="AA268" s="102">
        <v>0</v>
      </c>
      <c r="AB268" s="103">
        <f t="shared" ca="1" si="34"/>
        <v>3870000</v>
      </c>
      <c r="AC268" s="104">
        <f t="shared" ca="1" si="35"/>
        <v>7350000</v>
      </c>
      <c r="AD268" s="105">
        <f>ROUND(L268*LK_AllowanceRates!$B$25/100,0)</f>
        <v>191400</v>
      </c>
      <c r="AE268" s="106">
        <f t="shared" ca="1" si="36"/>
        <v>7158600</v>
      </c>
      <c r="AF268" s="106">
        <f t="shared" ca="1" si="37"/>
        <v>400860</v>
      </c>
      <c r="AG268" s="107">
        <v>0</v>
      </c>
      <c r="AH268" s="107">
        <v>0</v>
      </c>
      <c r="AI268" s="108">
        <f t="shared" ca="1" si="38"/>
        <v>592260</v>
      </c>
      <c r="AJ268" s="109">
        <f t="shared" ca="1" si="39"/>
        <v>6757740</v>
      </c>
    </row>
    <row r="269" spans="1:36" ht="15" customHeight="1" x14ac:dyDescent="0.3">
      <c r="A269" s="98" t="str">
        <f>EMPLOYEE_MASTER!A269</f>
        <v>LAO00266</v>
      </c>
      <c r="B269" s="98" t="str">
        <f>EMPLOYEE_MASTER!C269</f>
        <v>Khamsone</v>
      </c>
      <c r="C269" s="98" t="str">
        <f>EMPLOYEE_MASTER!D269</f>
        <v>Phomthong</v>
      </c>
      <c r="D269" s="98" t="str">
        <f>EMPLOYEE_MASTER!T269</f>
        <v>National Assembly (NA)</v>
      </c>
      <c r="E269" s="98" t="str">
        <f>EMPLOYEE_MASTER!M269</f>
        <v>Officer</v>
      </c>
      <c r="F269" s="98" t="str">
        <f>EMPLOYEE_MASTER!Z269</f>
        <v>Administration</v>
      </c>
      <c r="G269" s="99">
        <f>EMPLOYEE_MASTER!P269</f>
        <v>3</v>
      </c>
      <c r="H269" s="99">
        <f>EMPLOYEE_MASTER!Q269</f>
        <v>13</v>
      </c>
      <c r="I269" s="100" t="str">
        <f t="shared" si="32"/>
        <v>G03-S13</v>
      </c>
      <c r="J269" s="100">
        <f>IFERROR(VLOOKUP(I269,LK_GradeStep!$C$4:$D$85,2,0),0)</f>
        <v>294</v>
      </c>
      <c r="K269" s="100">
        <f>IFERROR(VLOOKUP(I269,LK_GradeStep!$C$4:$E$85,3,0),10000)</f>
        <v>10000</v>
      </c>
      <c r="L269" s="100">
        <f t="shared" si="33"/>
        <v>2940000</v>
      </c>
      <c r="M269" s="101">
        <f>IFERROR(VLOOKUP(EMPLOYEE_MASTER!AQ269,LK_AllowanceRates!$A$5:$B$11,2,0),0)</f>
        <v>900000</v>
      </c>
      <c r="N269" s="101">
        <f ca="1">IFERROR(IF(EMPLOYEE_MASTER!J269&lt;=5,  EMPLOYEE_MASTER!J269*LK_AllowanceRates!$B$12,IF(EMPLOYEE_MASTER!J269&lt;=15, EMPLOYEE_MASTER!J269*LK_AllowanceRates!$B$13,IF(EMPLOYEE_MASTER!J269&lt;=25, EMPLOYEE_MASTER!J269*LK_AllowanceRates!$B$14,EMPLOYEE_MASTER!J269*LK_AllowanceRates!$B$15))),0)</f>
        <v>140000</v>
      </c>
      <c r="O269" s="101">
        <f>IF(EMPLOYEE_MASTER!AS269="Teaching",L269*LK_AllowanceRates!$B$16,0)</f>
        <v>0</v>
      </c>
      <c r="P269" s="101">
        <f>IF(EMPLOYEE_MASTER!AS269="Medical",LK_AllowanceRates!$B$17,0)</f>
        <v>0</v>
      </c>
      <c r="Q269" s="101">
        <f>IF(EMPLOYEE_MASTER!AR269="Yes",LK_AllowanceRates!$B$18,0)</f>
        <v>1000000</v>
      </c>
      <c r="R269" s="101">
        <f>IF(EMPLOYEE_MASTER!AC269="Yes",LK_AllowanceRates!$B$19,0)</f>
        <v>0</v>
      </c>
      <c r="S269" s="101">
        <f>IF(EMPLOYEE_MASTER!AA269="Yes",L269*LK_AllowanceRates!$B$20,0)</f>
        <v>0</v>
      </c>
      <c r="T269" s="101">
        <f>IF(EMPLOYEE_MASTER!AB269="Yes",LK_AllowanceRates!$B$21,0)</f>
        <v>0</v>
      </c>
      <c r="U269" s="101">
        <f>IF(EMPLOYEE_MASTER!P269&gt;=6,LK_AllowanceRates!$B$22,0)</f>
        <v>0</v>
      </c>
      <c r="V269" s="101">
        <f>IF(EMPLOYEE_MASTER!AO269="Yes",LK_AllowanceRates!$B$23,0)</f>
        <v>200000</v>
      </c>
      <c r="W269" s="101">
        <f>EMPLOYEE_MASTER!AP269*LK_AllowanceRates!$B$24</f>
        <v>200000</v>
      </c>
      <c r="X269" s="101">
        <v>0</v>
      </c>
      <c r="Y269" s="102">
        <v>0</v>
      </c>
      <c r="Z269" s="102">
        <v>0</v>
      </c>
      <c r="AA269" s="102">
        <v>0</v>
      </c>
      <c r="AB269" s="103">
        <f t="shared" ca="1" si="34"/>
        <v>2440000</v>
      </c>
      <c r="AC269" s="104">
        <f t="shared" ca="1" si="35"/>
        <v>5380000</v>
      </c>
      <c r="AD269" s="105">
        <f>ROUND(L269*LK_AllowanceRates!$B$25/100,0)</f>
        <v>161700</v>
      </c>
      <c r="AE269" s="106">
        <f t="shared" ca="1" si="36"/>
        <v>5218300</v>
      </c>
      <c r="AF269" s="106">
        <f t="shared" ca="1" si="37"/>
        <v>206830</v>
      </c>
      <c r="AG269" s="107">
        <v>0</v>
      </c>
      <c r="AH269" s="107">
        <v>0</v>
      </c>
      <c r="AI269" s="108">
        <f t="shared" ca="1" si="38"/>
        <v>368530</v>
      </c>
      <c r="AJ269" s="109">
        <f t="shared" ca="1" si="39"/>
        <v>5011470</v>
      </c>
    </row>
    <row r="270" spans="1:36" ht="15" customHeight="1" x14ac:dyDescent="0.3">
      <c r="A270" s="98" t="str">
        <f>EMPLOYEE_MASTER!A270</f>
        <v>LAO00267</v>
      </c>
      <c r="B270" s="98" t="str">
        <f>EMPLOYEE_MASTER!C270</f>
        <v>Khamphone</v>
      </c>
      <c r="C270" s="98" t="str">
        <f>EMPLOYEE_MASTER!D270</f>
        <v>Thammavong</v>
      </c>
      <c r="D270" s="98" t="str">
        <f>EMPLOYEE_MASTER!T270</f>
        <v>Luang Prabang Province Administration</v>
      </c>
      <c r="E270" s="98" t="str">
        <f>EMPLOYEE_MASTER!M270</f>
        <v>Section Chief</v>
      </c>
      <c r="F270" s="98" t="str">
        <f>EMPLOYEE_MASTER!Z270</f>
        <v>Administration</v>
      </c>
      <c r="G270" s="99">
        <f>EMPLOYEE_MASTER!P270</f>
        <v>4</v>
      </c>
      <c r="H270" s="99">
        <f>EMPLOYEE_MASTER!Q270</f>
        <v>7</v>
      </c>
      <c r="I270" s="100" t="str">
        <f t="shared" si="32"/>
        <v>G04-S07</v>
      </c>
      <c r="J270" s="100">
        <f>IFERROR(VLOOKUP(I270,LK_GradeStep!$C$4:$D$85,2,0),0)</f>
        <v>298</v>
      </c>
      <c r="K270" s="100">
        <f>IFERROR(VLOOKUP(I270,LK_GradeStep!$C$4:$E$85,3,0),10000)</f>
        <v>10000</v>
      </c>
      <c r="L270" s="100">
        <f t="shared" si="33"/>
        <v>2980000</v>
      </c>
      <c r="M270" s="101">
        <f>IFERROR(VLOOKUP(EMPLOYEE_MASTER!AQ270,LK_AllowanceRates!$A$5:$B$11,2,0),0)</f>
        <v>1500000</v>
      </c>
      <c r="N270" s="101">
        <f ca="1">IFERROR(IF(EMPLOYEE_MASTER!J270&lt;=5,  EMPLOYEE_MASTER!J270*LK_AllowanceRates!$B$12,IF(EMPLOYEE_MASTER!J270&lt;=15, EMPLOYEE_MASTER!J270*LK_AllowanceRates!$B$13,IF(EMPLOYEE_MASTER!J270&lt;=25, EMPLOYEE_MASTER!J270*LK_AllowanceRates!$B$14,EMPLOYEE_MASTER!J270*LK_AllowanceRates!$B$15))),0)</f>
        <v>140000</v>
      </c>
      <c r="O270" s="101">
        <f>IF(EMPLOYEE_MASTER!AS270="Teaching",L270*LK_AllowanceRates!$B$16,0)</f>
        <v>0</v>
      </c>
      <c r="P270" s="101">
        <f>IF(EMPLOYEE_MASTER!AS270="Medical",LK_AllowanceRates!$B$17,0)</f>
        <v>0</v>
      </c>
      <c r="Q270" s="101">
        <f>IF(EMPLOYEE_MASTER!AR270="Yes",LK_AllowanceRates!$B$18,0)</f>
        <v>0</v>
      </c>
      <c r="R270" s="101">
        <f>IF(EMPLOYEE_MASTER!AC270="Yes",LK_AllowanceRates!$B$19,0)</f>
        <v>0</v>
      </c>
      <c r="S270" s="101">
        <f>IF(EMPLOYEE_MASTER!AA270="Yes",L270*LK_AllowanceRates!$B$20,0)</f>
        <v>745000</v>
      </c>
      <c r="T270" s="101">
        <f>IF(EMPLOYEE_MASTER!AB270="Yes",LK_AllowanceRates!$B$21,0)</f>
        <v>0</v>
      </c>
      <c r="U270" s="101">
        <f>IF(EMPLOYEE_MASTER!P270&gt;=6,LK_AllowanceRates!$B$22,0)</f>
        <v>0</v>
      </c>
      <c r="V270" s="101">
        <f>IF(EMPLOYEE_MASTER!AO270="Yes",LK_AllowanceRates!$B$23,0)</f>
        <v>0</v>
      </c>
      <c r="W270" s="101">
        <f>EMPLOYEE_MASTER!AP270*LK_AllowanceRates!$B$24</f>
        <v>0</v>
      </c>
      <c r="X270" s="101">
        <v>0</v>
      </c>
      <c r="Y270" s="102">
        <v>0</v>
      </c>
      <c r="Z270" s="102">
        <v>0</v>
      </c>
      <c r="AA270" s="102">
        <v>0</v>
      </c>
      <c r="AB270" s="103">
        <f t="shared" ca="1" si="34"/>
        <v>2385000</v>
      </c>
      <c r="AC270" s="104">
        <f t="shared" ca="1" si="35"/>
        <v>5365000</v>
      </c>
      <c r="AD270" s="105">
        <f>ROUND(L270*LK_AllowanceRates!$B$25/100,0)</f>
        <v>163900</v>
      </c>
      <c r="AE270" s="106">
        <f t="shared" ca="1" si="36"/>
        <v>5201100</v>
      </c>
      <c r="AF270" s="106">
        <f t="shared" ca="1" si="37"/>
        <v>205110</v>
      </c>
      <c r="AG270" s="107">
        <v>0</v>
      </c>
      <c r="AH270" s="107">
        <v>0</v>
      </c>
      <c r="AI270" s="108">
        <f t="shared" ca="1" si="38"/>
        <v>369010</v>
      </c>
      <c r="AJ270" s="109">
        <f t="shared" ca="1" si="39"/>
        <v>4995990</v>
      </c>
    </row>
    <row r="271" spans="1:36" ht="15" customHeight="1" x14ac:dyDescent="0.3">
      <c r="A271" s="98" t="str">
        <f>EMPLOYEE_MASTER!A271</f>
        <v>LAO00268</v>
      </c>
      <c r="B271" s="98" t="str">
        <f>EMPLOYEE_MASTER!C271</f>
        <v>Siphone</v>
      </c>
      <c r="C271" s="98" t="str">
        <f>EMPLOYEE_MASTER!D271</f>
        <v>Bouphanouvong</v>
      </c>
      <c r="D271" s="98" t="str">
        <f>EMPLOYEE_MASTER!T271</f>
        <v>Ministry of Planning &amp; Investment (MPI)</v>
      </c>
      <c r="E271" s="98" t="str">
        <f>EMPLOYEE_MASTER!M271</f>
        <v>Section Chief</v>
      </c>
      <c r="F271" s="98" t="str">
        <f>EMPLOYEE_MASTER!Z271</f>
        <v>Administration</v>
      </c>
      <c r="G271" s="99">
        <f>EMPLOYEE_MASTER!P271</f>
        <v>4</v>
      </c>
      <c r="H271" s="99">
        <f>EMPLOYEE_MASTER!Q271</f>
        <v>1</v>
      </c>
      <c r="I271" s="100" t="str">
        <f t="shared" si="32"/>
        <v>G04-S01</v>
      </c>
      <c r="J271" s="100">
        <f>IFERROR(VLOOKUP(I271,LK_GradeStep!$C$4:$D$85,2,0),0)</f>
        <v>286</v>
      </c>
      <c r="K271" s="100">
        <f>IFERROR(VLOOKUP(I271,LK_GradeStep!$C$4:$E$85,3,0),10000)</f>
        <v>10000</v>
      </c>
      <c r="L271" s="100">
        <f t="shared" si="33"/>
        <v>2860000</v>
      </c>
      <c r="M271" s="101">
        <f>IFERROR(VLOOKUP(EMPLOYEE_MASTER!AQ271,LK_AllowanceRates!$A$5:$B$11,2,0),0)</f>
        <v>1500000</v>
      </c>
      <c r="N271" s="101">
        <f ca="1">IFERROR(IF(EMPLOYEE_MASTER!J271&lt;=5,  EMPLOYEE_MASTER!J271*LK_AllowanceRates!$B$12,IF(EMPLOYEE_MASTER!J271&lt;=15, EMPLOYEE_MASTER!J271*LK_AllowanceRates!$B$13,IF(EMPLOYEE_MASTER!J271&lt;=25, EMPLOYEE_MASTER!J271*LK_AllowanceRates!$B$14,EMPLOYEE_MASTER!J271*LK_AllowanceRates!$B$15))),0)</f>
        <v>1400000</v>
      </c>
      <c r="O271" s="101">
        <f>IF(EMPLOYEE_MASTER!AS271="Teaching",L271*LK_AllowanceRates!$B$16,0)</f>
        <v>0</v>
      </c>
      <c r="P271" s="101">
        <f>IF(EMPLOYEE_MASTER!AS271="Medical",LK_AllowanceRates!$B$17,0)</f>
        <v>0</v>
      </c>
      <c r="Q271" s="101">
        <f>IF(EMPLOYEE_MASTER!AR271="Yes",LK_AllowanceRates!$B$18,0)</f>
        <v>0</v>
      </c>
      <c r="R271" s="101">
        <f>IF(EMPLOYEE_MASTER!AC271="Yes",LK_AllowanceRates!$B$19,0)</f>
        <v>0</v>
      </c>
      <c r="S271" s="101">
        <f>IF(EMPLOYEE_MASTER!AA271="Yes",L271*LK_AllowanceRates!$B$20,0)</f>
        <v>715000</v>
      </c>
      <c r="T271" s="101">
        <f>IF(EMPLOYEE_MASTER!AB271="Yes",LK_AllowanceRates!$B$21,0)</f>
        <v>0</v>
      </c>
      <c r="U271" s="101">
        <f>IF(EMPLOYEE_MASTER!P271&gt;=6,LK_AllowanceRates!$B$22,0)</f>
        <v>0</v>
      </c>
      <c r="V271" s="101">
        <f>IF(EMPLOYEE_MASTER!AO271="Yes",LK_AllowanceRates!$B$23,0)</f>
        <v>200000</v>
      </c>
      <c r="W271" s="101">
        <f>EMPLOYEE_MASTER!AP271*LK_AllowanceRates!$B$24</f>
        <v>600000</v>
      </c>
      <c r="X271" s="101">
        <v>0</v>
      </c>
      <c r="Y271" s="102">
        <v>0</v>
      </c>
      <c r="Z271" s="102">
        <v>0</v>
      </c>
      <c r="AA271" s="102">
        <v>0</v>
      </c>
      <c r="AB271" s="103">
        <f t="shared" ca="1" si="34"/>
        <v>4415000</v>
      </c>
      <c r="AC271" s="104">
        <f t="shared" ca="1" si="35"/>
        <v>7275000</v>
      </c>
      <c r="AD271" s="105">
        <f>ROUND(L271*LK_AllowanceRates!$B$25/100,0)</f>
        <v>157300</v>
      </c>
      <c r="AE271" s="106">
        <f t="shared" ca="1" si="36"/>
        <v>7117700</v>
      </c>
      <c r="AF271" s="106">
        <f t="shared" ca="1" si="37"/>
        <v>396770</v>
      </c>
      <c r="AG271" s="107">
        <v>0</v>
      </c>
      <c r="AH271" s="107">
        <v>0</v>
      </c>
      <c r="AI271" s="108">
        <f t="shared" ca="1" si="38"/>
        <v>554070</v>
      </c>
      <c r="AJ271" s="109">
        <f t="shared" ca="1" si="39"/>
        <v>6720930</v>
      </c>
    </row>
    <row r="272" spans="1:36" ht="15" customHeight="1" x14ac:dyDescent="0.3">
      <c r="A272" s="98" t="str">
        <f>EMPLOYEE_MASTER!A272</f>
        <v>LAO00269</v>
      </c>
      <c r="B272" s="98" t="str">
        <f>EMPLOYEE_MASTER!C272</f>
        <v>Phonevieng</v>
      </c>
      <c r="C272" s="98" t="str">
        <f>EMPLOYEE_MASTER!D272</f>
        <v>Douangmany</v>
      </c>
      <c r="D272" s="98" t="str">
        <f>EMPLOYEE_MASTER!T272</f>
        <v>National Assembly (NA)</v>
      </c>
      <c r="E272" s="98" t="str">
        <f>EMPLOYEE_MASTER!M272</f>
        <v>Clerk</v>
      </c>
      <c r="F272" s="98" t="str">
        <f>EMPLOYEE_MASTER!Z272</f>
        <v>Administration</v>
      </c>
      <c r="G272" s="99">
        <f>EMPLOYEE_MASTER!P272</f>
        <v>2</v>
      </c>
      <c r="H272" s="99">
        <f>EMPLOYEE_MASTER!Q272</f>
        <v>5</v>
      </c>
      <c r="I272" s="100" t="str">
        <f t="shared" si="32"/>
        <v>G02-S05</v>
      </c>
      <c r="J272" s="100">
        <f>IFERROR(VLOOKUP(I272,LK_GradeStep!$C$4:$D$85,2,0),0)</f>
        <v>272</v>
      </c>
      <c r="K272" s="100">
        <f>IFERROR(VLOOKUP(I272,LK_GradeStep!$C$4:$E$85,3,0),10000)</f>
        <v>10000</v>
      </c>
      <c r="L272" s="100">
        <f t="shared" si="33"/>
        <v>2720000</v>
      </c>
      <c r="M272" s="101">
        <f>IFERROR(VLOOKUP(EMPLOYEE_MASTER!AQ272,LK_AllowanceRates!$A$5:$B$11,2,0),0)</f>
        <v>900000</v>
      </c>
      <c r="N272" s="101">
        <f ca="1">IFERROR(IF(EMPLOYEE_MASTER!J272&lt;=5,  EMPLOYEE_MASTER!J272*LK_AllowanceRates!$B$12,IF(EMPLOYEE_MASTER!J272&lt;=15, EMPLOYEE_MASTER!J272*LK_AllowanceRates!$B$13,IF(EMPLOYEE_MASTER!J272&lt;=25, EMPLOYEE_MASTER!J272*LK_AllowanceRates!$B$14,EMPLOYEE_MASTER!J272*LK_AllowanceRates!$B$15))),0)</f>
        <v>1120000</v>
      </c>
      <c r="O272" s="101">
        <f>IF(EMPLOYEE_MASTER!AS272="Teaching",L272*LK_AllowanceRates!$B$16,0)</f>
        <v>0</v>
      </c>
      <c r="P272" s="101">
        <f>IF(EMPLOYEE_MASTER!AS272="Medical",LK_AllowanceRates!$B$17,0)</f>
        <v>0</v>
      </c>
      <c r="Q272" s="101">
        <f>IF(EMPLOYEE_MASTER!AR272="Yes",LK_AllowanceRates!$B$18,0)</f>
        <v>1000000</v>
      </c>
      <c r="R272" s="101">
        <f>IF(EMPLOYEE_MASTER!AC272="Yes",LK_AllowanceRates!$B$19,0)</f>
        <v>0</v>
      </c>
      <c r="S272" s="101">
        <f>IF(EMPLOYEE_MASTER!AA272="Yes",L272*LK_AllowanceRates!$B$20,0)</f>
        <v>0</v>
      </c>
      <c r="T272" s="101">
        <f>IF(EMPLOYEE_MASTER!AB272="Yes",LK_AllowanceRates!$B$21,0)</f>
        <v>0</v>
      </c>
      <c r="U272" s="101">
        <f>IF(EMPLOYEE_MASTER!P272&gt;=6,LK_AllowanceRates!$B$22,0)</f>
        <v>0</v>
      </c>
      <c r="V272" s="101">
        <f>IF(EMPLOYEE_MASTER!AO272="Yes",LK_AllowanceRates!$B$23,0)</f>
        <v>200000</v>
      </c>
      <c r="W272" s="101">
        <f>EMPLOYEE_MASTER!AP272*LK_AllowanceRates!$B$24</f>
        <v>200000</v>
      </c>
      <c r="X272" s="101">
        <v>0</v>
      </c>
      <c r="Y272" s="102">
        <v>0</v>
      </c>
      <c r="Z272" s="102">
        <v>0</v>
      </c>
      <c r="AA272" s="102">
        <v>0</v>
      </c>
      <c r="AB272" s="103">
        <f t="shared" ca="1" si="34"/>
        <v>3420000</v>
      </c>
      <c r="AC272" s="104">
        <f t="shared" ca="1" si="35"/>
        <v>6140000</v>
      </c>
      <c r="AD272" s="105">
        <f>ROUND(L272*LK_AllowanceRates!$B$25/100,0)</f>
        <v>149600</v>
      </c>
      <c r="AE272" s="106">
        <f t="shared" ca="1" si="36"/>
        <v>5990400</v>
      </c>
      <c r="AF272" s="106">
        <f t="shared" ca="1" si="37"/>
        <v>284040</v>
      </c>
      <c r="AG272" s="107">
        <v>0</v>
      </c>
      <c r="AH272" s="107">
        <v>0</v>
      </c>
      <c r="AI272" s="108">
        <f t="shared" ca="1" si="38"/>
        <v>433640</v>
      </c>
      <c r="AJ272" s="109">
        <f t="shared" ca="1" si="39"/>
        <v>5706360</v>
      </c>
    </row>
    <row r="273" spans="1:36" ht="15" customHeight="1" x14ac:dyDescent="0.3">
      <c r="A273" s="98" t="str">
        <f>EMPLOYEE_MASTER!A273</f>
        <v>LAO00270</v>
      </c>
      <c r="B273" s="98" t="str">
        <f>EMPLOYEE_MASTER!C273</f>
        <v>Thongpheth</v>
      </c>
      <c r="C273" s="98" t="str">
        <f>EMPLOYEE_MASTER!D273</f>
        <v>Xayyasith</v>
      </c>
      <c r="D273" s="98" t="str">
        <f>EMPLOYEE_MASTER!T273</f>
        <v>Ministry of Finance (MoF)</v>
      </c>
      <c r="E273" s="98" t="str">
        <f>EMPLOYEE_MASTER!M273</f>
        <v>Tax Officer</v>
      </c>
      <c r="F273" s="98" t="str">
        <f>EMPLOYEE_MASTER!Z273</f>
        <v>Finance</v>
      </c>
      <c r="G273" s="99">
        <f>EMPLOYEE_MASTER!P273</f>
        <v>3</v>
      </c>
      <c r="H273" s="99">
        <f>EMPLOYEE_MASTER!Q273</f>
        <v>13</v>
      </c>
      <c r="I273" s="100" t="str">
        <f t="shared" si="32"/>
        <v>G03-S13</v>
      </c>
      <c r="J273" s="100">
        <f>IFERROR(VLOOKUP(I273,LK_GradeStep!$C$4:$D$85,2,0),0)</f>
        <v>294</v>
      </c>
      <c r="K273" s="100">
        <f>IFERROR(VLOOKUP(I273,LK_GradeStep!$C$4:$E$85,3,0),10000)</f>
        <v>10000</v>
      </c>
      <c r="L273" s="100">
        <f t="shared" si="33"/>
        <v>2940000</v>
      </c>
      <c r="M273" s="101">
        <f>IFERROR(VLOOKUP(EMPLOYEE_MASTER!AQ273,LK_AllowanceRates!$A$5:$B$11,2,0),0)</f>
        <v>900000</v>
      </c>
      <c r="N273" s="101">
        <f ca="1">IFERROR(IF(EMPLOYEE_MASTER!J273&lt;=5,  EMPLOYEE_MASTER!J273*LK_AllowanceRates!$B$12,IF(EMPLOYEE_MASTER!J273&lt;=15, EMPLOYEE_MASTER!J273*LK_AllowanceRates!$B$13,IF(EMPLOYEE_MASTER!J273&lt;=25, EMPLOYEE_MASTER!J273*LK_AllowanceRates!$B$14,EMPLOYEE_MASTER!J273*LK_AllowanceRates!$B$15))),0)</f>
        <v>50000</v>
      </c>
      <c r="O273" s="101">
        <f>IF(EMPLOYEE_MASTER!AS273="Teaching",L273*LK_AllowanceRates!$B$16,0)</f>
        <v>0</v>
      </c>
      <c r="P273" s="101">
        <f>IF(EMPLOYEE_MASTER!AS273="Medical",LK_AllowanceRates!$B$17,0)</f>
        <v>0</v>
      </c>
      <c r="Q273" s="101">
        <f>IF(EMPLOYEE_MASTER!AR273="Yes",LK_AllowanceRates!$B$18,0)</f>
        <v>0</v>
      </c>
      <c r="R273" s="101">
        <f>IF(EMPLOYEE_MASTER!AC273="Yes",LK_AllowanceRates!$B$19,0)</f>
        <v>0</v>
      </c>
      <c r="S273" s="101">
        <f>IF(EMPLOYEE_MASTER!AA273="Yes",L273*LK_AllowanceRates!$B$20,0)</f>
        <v>0</v>
      </c>
      <c r="T273" s="101">
        <f>IF(EMPLOYEE_MASTER!AB273="Yes",LK_AllowanceRates!$B$21,0)</f>
        <v>0</v>
      </c>
      <c r="U273" s="101">
        <f>IF(EMPLOYEE_MASTER!P273&gt;=6,LK_AllowanceRates!$B$22,0)</f>
        <v>0</v>
      </c>
      <c r="V273" s="101">
        <f>IF(EMPLOYEE_MASTER!AO273="Yes",LK_AllowanceRates!$B$23,0)</f>
        <v>200000</v>
      </c>
      <c r="W273" s="101">
        <f>EMPLOYEE_MASTER!AP273*LK_AllowanceRates!$B$24</f>
        <v>600000</v>
      </c>
      <c r="X273" s="101">
        <v>0</v>
      </c>
      <c r="Y273" s="102">
        <v>0</v>
      </c>
      <c r="Z273" s="102">
        <v>0</v>
      </c>
      <c r="AA273" s="102">
        <v>0</v>
      </c>
      <c r="AB273" s="103">
        <f t="shared" ca="1" si="34"/>
        <v>1750000</v>
      </c>
      <c r="AC273" s="104">
        <f t="shared" ca="1" si="35"/>
        <v>4690000</v>
      </c>
      <c r="AD273" s="105">
        <f>ROUND(L273*LK_AllowanceRates!$B$25/100,0)</f>
        <v>161700</v>
      </c>
      <c r="AE273" s="106">
        <f t="shared" ca="1" si="36"/>
        <v>4528300</v>
      </c>
      <c r="AF273" s="106">
        <f t="shared" ca="1" si="37"/>
        <v>161415</v>
      </c>
      <c r="AG273" s="107">
        <v>0</v>
      </c>
      <c r="AH273" s="107">
        <v>0</v>
      </c>
      <c r="AI273" s="108">
        <f t="shared" ca="1" si="38"/>
        <v>323115</v>
      </c>
      <c r="AJ273" s="109">
        <f t="shared" ca="1" si="39"/>
        <v>4366885</v>
      </c>
    </row>
    <row r="274" spans="1:36" ht="15" customHeight="1" x14ac:dyDescent="0.3">
      <c r="A274" s="98" t="str">
        <f>EMPLOYEE_MASTER!A274</f>
        <v>LAO00271</v>
      </c>
      <c r="B274" s="98" t="str">
        <f>EMPLOYEE_MASTER!C274</f>
        <v>Phouthasack</v>
      </c>
      <c r="C274" s="98" t="str">
        <f>EMPLOYEE_MASTER!D274</f>
        <v>Vongsack</v>
      </c>
      <c r="D274" s="98" t="str">
        <f>EMPLOYEE_MASTER!T274</f>
        <v>Ministry of Home Affairs (MoHA)</v>
      </c>
      <c r="E274" s="98" t="str">
        <f>EMPLOYEE_MASTER!M274</f>
        <v>Clerk</v>
      </c>
      <c r="F274" s="98" t="str">
        <f>EMPLOYEE_MASTER!Z274</f>
        <v>Administration</v>
      </c>
      <c r="G274" s="99">
        <f>EMPLOYEE_MASTER!P274</f>
        <v>2</v>
      </c>
      <c r="H274" s="99">
        <f>EMPLOYEE_MASTER!Q274</f>
        <v>1</v>
      </c>
      <c r="I274" s="100" t="str">
        <f t="shared" si="32"/>
        <v>G02-S01</v>
      </c>
      <c r="J274" s="100">
        <f>IFERROR(VLOOKUP(I274,LK_GradeStep!$C$4:$D$85,2,0),0)</f>
        <v>268</v>
      </c>
      <c r="K274" s="100">
        <f>IFERROR(VLOOKUP(I274,LK_GradeStep!$C$4:$E$85,3,0),10000)</f>
        <v>10000</v>
      </c>
      <c r="L274" s="100">
        <f t="shared" si="33"/>
        <v>2680000</v>
      </c>
      <c r="M274" s="101">
        <f>IFERROR(VLOOKUP(EMPLOYEE_MASTER!AQ274,LK_AllowanceRates!$A$5:$B$11,2,0),0)</f>
        <v>900000</v>
      </c>
      <c r="N274" s="101">
        <f ca="1">IFERROR(IF(EMPLOYEE_MASTER!J274&lt;=5,  EMPLOYEE_MASTER!J274*LK_AllowanceRates!$B$12,IF(EMPLOYEE_MASTER!J274&lt;=15, EMPLOYEE_MASTER!J274*LK_AllowanceRates!$B$13,IF(EMPLOYEE_MASTER!J274&lt;=25, EMPLOYEE_MASTER!J274*LK_AllowanceRates!$B$14,EMPLOYEE_MASTER!J274*LK_AllowanceRates!$B$15))),0)</f>
        <v>1160000</v>
      </c>
      <c r="O274" s="101">
        <f>IF(EMPLOYEE_MASTER!AS274="Teaching",L274*LK_AllowanceRates!$B$16,0)</f>
        <v>0</v>
      </c>
      <c r="P274" s="101">
        <f>IF(EMPLOYEE_MASTER!AS274="Medical",LK_AllowanceRates!$B$17,0)</f>
        <v>0</v>
      </c>
      <c r="Q274" s="101">
        <f>IF(EMPLOYEE_MASTER!AR274="Yes",LK_AllowanceRates!$B$18,0)</f>
        <v>0</v>
      </c>
      <c r="R274" s="101">
        <f>IF(EMPLOYEE_MASTER!AC274="Yes",LK_AllowanceRates!$B$19,0)</f>
        <v>0</v>
      </c>
      <c r="S274" s="101">
        <f>IF(EMPLOYEE_MASTER!AA274="Yes",L274*LK_AllowanceRates!$B$20,0)</f>
        <v>670000</v>
      </c>
      <c r="T274" s="101">
        <f>IF(EMPLOYEE_MASTER!AB274="Yes",LK_AllowanceRates!$B$21,0)</f>
        <v>0</v>
      </c>
      <c r="U274" s="101">
        <f>IF(EMPLOYEE_MASTER!P274&gt;=6,LK_AllowanceRates!$B$22,0)</f>
        <v>0</v>
      </c>
      <c r="V274" s="101">
        <f>IF(EMPLOYEE_MASTER!AO274="Yes",LK_AllowanceRates!$B$23,0)</f>
        <v>0</v>
      </c>
      <c r="W274" s="101">
        <f>EMPLOYEE_MASTER!AP274*LK_AllowanceRates!$B$24</f>
        <v>0</v>
      </c>
      <c r="X274" s="101">
        <v>0</v>
      </c>
      <c r="Y274" s="102">
        <v>0</v>
      </c>
      <c r="Z274" s="102">
        <v>0</v>
      </c>
      <c r="AA274" s="102">
        <v>0</v>
      </c>
      <c r="AB274" s="103">
        <f t="shared" ca="1" si="34"/>
        <v>2730000</v>
      </c>
      <c r="AC274" s="104">
        <f t="shared" ca="1" si="35"/>
        <v>5410000</v>
      </c>
      <c r="AD274" s="105">
        <f>ROUND(L274*LK_AllowanceRates!$B$25/100,0)</f>
        <v>147400</v>
      </c>
      <c r="AE274" s="106">
        <f t="shared" ca="1" si="36"/>
        <v>5262600</v>
      </c>
      <c r="AF274" s="106">
        <f t="shared" ca="1" si="37"/>
        <v>211260</v>
      </c>
      <c r="AG274" s="107">
        <v>0</v>
      </c>
      <c r="AH274" s="107">
        <v>0</v>
      </c>
      <c r="AI274" s="108">
        <f t="shared" ca="1" si="38"/>
        <v>358660</v>
      </c>
      <c r="AJ274" s="109">
        <f t="shared" ca="1" si="39"/>
        <v>5051340</v>
      </c>
    </row>
    <row r="275" spans="1:36" ht="15" customHeight="1" x14ac:dyDescent="0.3">
      <c r="A275" s="98" t="str">
        <f>EMPLOYEE_MASTER!A275</f>
        <v>LAO00272</v>
      </c>
      <c r="B275" s="98" t="str">
        <f>EMPLOYEE_MASTER!C275</f>
        <v>Phonepadith</v>
      </c>
      <c r="C275" s="98" t="str">
        <f>EMPLOYEE_MASTER!D275</f>
        <v>Vongkhamphanh</v>
      </c>
      <c r="D275" s="98" t="str">
        <f>EMPLOYEE_MASTER!T275</f>
        <v>Ministry of Justice (MoJ)</v>
      </c>
      <c r="E275" s="98" t="str">
        <f>EMPLOYEE_MASTER!M275</f>
        <v>Legal Advisor</v>
      </c>
      <c r="F275" s="98" t="str">
        <f>EMPLOYEE_MASTER!Z275</f>
        <v>Legal</v>
      </c>
      <c r="G275" s="99">
        <f>EMPLOYEE_MASTER!P275</f>
        <v>2</v>
      </c>
      <c r="H275" s="99">
        <f>EMPLOYEE_MASTER!Q275</f>
        <v>1</v>
      </c>
      <c r="I275" s="100" t="str">
        <f t="shared" si="32"/>
        <v>G02-S01</v>
      </c>
      <c r="J275" s="100">
        <f>IFERROR(VLOOKUP(I275,LK_GradeStep!$C$4:$D$85,2,0),0)</f>
        <v>268</v>
      </c>
      <c r="K275" s="100">
        <f>IFERROR(VLOOKUP(I275,LK_GradeStep!$C$4:$E$85,3,0),10000)</f>
        <v>10000</v>
      </c>
      <c r="L275" s="100">
        <f t="shared" si="33"/>
        <v>2680000</v>
      </c>
      <c r="M275" s="101">
        <f>IFERROR(VLOOKUP(EMPLOYEE_MASTER!AQ275,LK_AllowanceRates!$A$5:$B$11,2,0),0)</f>
        <v>900000</v>
      </c>
      <c r="N275" s="101">
        <f ca="1">IFERROR(IF(EMPLOYEE_MASTER!J275&lt;=5,  EMPLOYEE_MASTER!J275*LK_AllowanceRates!$B$12,IF(EMPLOYEE_MASTER!J275&lt;=15, EMPLOYEE_MASTER!J275*LK_AllowanceRates!$B$13,IF(EMPLOYEE_MASTER!J275&lt;=25, EMPLOYEE_MASTER!J275*LK_AllowanceRates!$B$14,EMPLOYEE_MASTER!J275*LK_AllowanceRates!$B$15))),0)</f>
        <v>200000</v>
      </c>
      <c r="O275" s="101">
        <f>IF(EMPLOYEE_MASTER!AS275="Teaching",L275*LK_AllowanceRates!$B$16,0)</f>
        <v>0</v>
      </c>
      <c r="P275" s="101">
        <f>IF(EMPLOYEE_MASTER!AS275="Medical",LK_AllowanceRates!$B$17,0)</f>
        <v>0</v>
      </c>
      <c r="Q275" s="101">
        <f>IF(EMPLOYEE_MASTER!AR275="Yes",LK_AllowanceRates!$B$18,0)</f>
        <v>0</v>
      </c>
      <c r="R275" s="101">
        <f>IF(EMPLOYEE_MASTER!AC275="Yes",LK_AllowanceRates!$B$19,0)</f>
        <v>0</v>
      </c>
      <c r="S275" s="101">
        <f>IF(EMPLOYEE_MASTER!AA275="Yes",L275*LK_AllowanceRates!$B$20,0)</f>
        <v>0</v>
      </c>
      <c r="T275" s="101">
        <f>IF(EMPLOYEE_MASTER!AB275="Yes",LK_AllowanceRates!$B$21,0)</f>
        <v>0</v>
      </c>
      <c r="U275" s="101">
        <f>IF(EMPLOYEE_MASTER!P275&gt;=6,LK_AllowanceRates!$B$22,0)</f>
        <v>0</v>
      </c>
      <c r="V275" s="101">
        <f>IF(EMPLOYEE_MASTER!AO275="Yes",LK_AllowanceRates!$B$23,0)</f>
        <v>0</v>
      </c>
      <c r="W275" s="101">
        <f>EMPLOYEE_MASTER!AP275*LK_AllowanceRates!$B$24</f>
        <v>0</v>
      </c>
      <c r="X275" s="101">
        <v>0</v>
      </c>
      <c r="Y275" s="102">
        <v>0</v>
      </c>
      <c r="Z275" s="102">
        <v>0</v>
      </c>
      <c r="AA275" s="102">
        <v>0</v>
      </c>
      <c r="AB275" s="103">
        <f t="shared" ca="1" si="34"/>
        <v>1100000</v>
      </c>
      <c r="AC275" s="104">
        <f t="shared" ca="1" si="35"/>
        <v>3780000</v>
      </c>
      <c r="AD275" s="105">
        <f>ROUND(L275*LK_AllowanceRates!$B$25/100,0)</f>
        <v>147400</v>
      </c>
      <c r="AE275" s="106">
        <f t="shared" ca="1" si="36"/>
        <v>3632600</v>
      </c>
      <c r="AF275" s="106">
        <f t="shared" ca="1" si="37"/>
        <v>116630</v>
      </c>
      <c r="AG275" s="107">
        <v>0</v>
      </c>
      <c r="AH275" s="107">
        <v>0</v>
      </c>
      <c r="AI275" s="108">
        <f t="shared" ca="1" si="38"/>
        <v>264030</v>
      </c>
      <c r="AJ275" s="109">
        <f t="shared" ca="1" si="39"/>
        <v>3515970</v>
      </c>
    </row>
    <row r="276" spans="1:36" ht="15" customHeight="1" x14ac:dyDescent="0.3">
      <c r="A276" s="98" t="str">
        <f>EMPLOYEE_MASTER!A276</f>
        <v>LAO00273</v>
      </c>
      <c r="B276" s="98" t="str">
        <f>EMPLOYEE_MASTER!C276</f>
        <v>Siphone</v>
      </c>
      <c r="C276" s="98" t="str">
        <f>EMPLOYEE_MASTER!D276</f>
        <v>Phonemany</v>
      </c>
      <c r="D276" s="98" t="str">
        <f>EMPLOYEE_MASTER!T276</f>
        <v>Ministry of Education and Sports (MoES)</v>
      </c>
      <c r="E276" s="98" t="str">
        <f>EMPLOYEE_MASTER!M276</f>
        <v>Senior Lecturer</v>
      </c>
      <c r="F276" s="98" t="str">
        <f>EMPLOYEE_MASTER!Z276</f>
        <v>Teacher</v>
      </c>
      <c r="G276" s="99">
        <f>EMPLOYEE_MASTER!P276</f>
        <v>5</v>
      </c>
      <c r="H276" s="99">
        <f>EMPLOYEE_MASTER!Q276</f>
        <v>11</v>
      </c>
      <c r="I276" s="100" t="str">
        <f t="shared" si="32"/>
        <v>G05-S11</v>
      </c>
      <c r="J276" s="100">
        <f>IFERROR(VLOOKUP(I276,LK_GradeStep!$C$4:$D$85,2,0),0)</f>
        <v>378</v>
      </c>
      <c r="K276" s="100">
        <f>IFERROR(VLOOKUP(I276,LK_GradeStep!$C$4:$E$85,3,0),10000)</f>
        <v>10000</v>
      </c>
      <c r="L276" s="100">
        <f t="shared" si="33"/>
        <v>3780000</v>
      </c>
      <c r="M276" s="101">
        <f>IFERROR(VLOOKUP(EMPLOYEE_MASTER!AQ276,LK_AllowanceRates!$A$5:$B$11,2,0),0)</f>
        <v>900000</v>
      </c>
      <c r="N276" s="101">
        <f ca="1">IFERROR(IF(EMPLOYEE_MASTER!J276&lt;=5,  EMPLOYEE_MASTER!J276*LK_AllowanceRates!$B$12,IF(EMPLOYEE_MASTER!J276&lt;=15, EMPLOYEE_MASTER!J276*LK_AllowanceRates!$B$13,IF(EMPLOYEE_MASTER!J276&lt;=25, EMPLOYEE_MASTER!J276*LK_AllowanceRates!$B$14,EMPLOYEE_MASTER!J276*LK_AllowanceRates!$B$15))),0)</f>
        <v>260000</v>
      </c>
      <c r="O276" s="101">
        <f>IF(EMPLOYEE_MASTER!AS276="Teaching",L276*LK_AllowanceRates!$B$16,0)</f>
        <v>756000</v>
      </c>
      <c r="P276" s="101">
        <f>IF(EMPLOYEE_MASTER!AS276="Medical",LK_AllowanceRates!$B$17,0)</f>
        <v>0</v>
      </c>
      <c r="Q276" s="101">
        <f>IF(EMPLOYEE_MASTER!AR276="Yes",LK_AllowanceRates!$B$18,0)</f>
        <v>0</v>
      </c>
      <c r="R276" s="101">
        <f>IF(EMPLOYEE_MASTER!AC276="Yes",LK_AllowanceRates!$B$19,0)</f>
        <v>0</v>
      </c>
      <c r="S276" s="101">
        <f>IF(EMPLOYEE_MASTER!AA276="Yes",L276*LK_AllowanceRates!$B$20,0)</f>
        <v>0</v>
      </c>
      <c r="T276" s="101">
        <f>IF(EMPLOYEE_MASTER!AB276="Yes",LK_AllowanceRates!$B$21,0)</f>
        <v>0</v>
      </c>
      <c r="U276" s="101">
        <f>IF(EMPLOYEE_MASTER!P276&gt;=6,LK_AllowanceRates!$B$22,0)</f>
        <v>0</v>
      </c>
      <c r="V276" s="101">
        <f>IF(EMPLOYEE_MASTER!AO276="Yes",LK_AllowanceRates!$B$23,0)</f>
        <v>0</v>
      </c>
      <c r="W276" s="101">
        <f>EMPLOYEE_MASTER!AP276*LK_AllowanceRates!$B$24</f>
        <v>0</v>
      </c>
      <c r="X276" s="101">
        <v>0</v>
      </c>
      <c r="Y276" s="102">
        <v>0</v>
      </c>
      <c r="Z276" s="102">
        <v>0</v>
      </c>
      <c r="AA276" s="102">
        <v>0</v>
      </c>
      <c r="AB276" s="103">
        <f t="shared" ca="1" si="34"/>
        <v>1916000</v>
      </c>
      <c r="AC276" s="104">
        <f t="shared" ca="1" si="35"/>
        <v>5696000</v>
      </c>
      <c r="AD276" s="105">
        <f>ROUND(L276*LK_AllowanceRates!$B$25/100,0)</f>
        <v>207900</v>
      </c>
      <c r="AE276" s="106">
        <f t="shared" ca="1" si="36"/>
        <v>5488100</v>
      </c>
      <c r="AF276" s="106">
        <f t="shared" ca="1" si="37"/>
        <v>233810</v>
      </c>
      <c r="AG276" s="107">
        <v>0</v>
      </c>
      <c r="AH276" s="107">
        <v>0</v>
      </c>
      <c r="AI276" s="108">
        <f t="shared" ca="1" si="38"/>
        <v>441710</v>
      </c>
      <c r="AJ276" s="109">
        <f t="shared" ca="1" si="39"/>
        <v>5254290</v>
      </c>
    </row>
    <row r="277" spans="1:36" ht="15" customHeight="1" x14ac:dyDescent="0.3">
      <c r="A277" s="98" t="str">
        <f>EMPLOYEE_MASTER!A277</f>
        <v>LAO00274</v>
      </c>
      <c r="B277" s="98" t="str">
        <f>EMPLOYEE_MASTER!C277</f>
        <v>Sombath</v>
      </c>
      <c r="C277" s="98" t="str">
        <f>EMPLOYEE_MASTER!D277</f>
        <v>Phommavong</v>
      </c>
      <c r="D277" s="98" t="str">
        <f>EMPLOYEE_MASTER!T277</f>
        <v>Ministry of Planning &amp; Investment (MPI)</v>
      </c>
      <c r="E277" s="98" t="str">
        <f>EMPLOYEE_MASTER!M277</f>
        <v>Senior Officer</v>
      </c>
      <c r="F277" s="98" t="str">
        <f>EMPLOYEE_MASTER!Z277</f>
        <v>Administration</v>
      </c>
      <c r="G277" s="99">
        <f>EMPLOYEE_MASTER!P277</f>
        <v>5</v>
      </c>
      <c r="H277" s="99">
        <f>EMPLOYEE_MASTER!Q277</f>
        <v>1</v>
      </c>
      <c r="I277" s="100" t="str">
        <f t="shared" si="32"/>
        <v>G05-S01</v>
      </c>
      <c r="J277" s="100">
        <f>IFERROR(VLOOKUP(I277,LK_GradeStep!$C$4:$D$85,2,0),0)</f>
        <v>308</v>
      </c>
      <c r="K277" s="100">
        <f>IFERROR(VLOOKUP(I277,LK_GradeStep!$C$4:$E$85,3,0),10000)</f>
        <v>10000</v>
      </c>
      <c r="L277" s="100">
        <f t="shared" si="33"/>
        <v>3080000</v>
      </c>
      <c r="M277" s="101">
        <f>IFERROR(VLOOKUP(EMPLOYEE_MASTER!AQ277,LK_AllowanceRates!$A$5:$B$11,2,0),0)</f>
        <v>900000</v>
      </c>
      <c r="N277" s="101">
        <f ca="1">IFERROR(IF(EMPLOYEE_MASTER!J277&lt;=5,  EMPLOYEE_MASTER!J277*LK_AllowanceRates!$B$12,IF(EMPLOYEE_MASTER!J277&lt;=15, EMPLOYEE_MASTER!J277*LK_AllowanceRates!$B$13,IF(EMPLOYEE_MASTER!J277&lt;=25, EMPLOYEE_MASTER!J277*LK_AllowanceRates!$B$14,EMPLOYEE_MASTER!J277*LK_AllowanceRates!$B$15))),0)</f>
        <v>1400000</v>
      </c>
      <c r="O277" s="101">
        <f>IF(EMPLOYEE_MASTER!AS277="Teaching",L277*LK_AllowanceRates!$B$16,0)</f>
        <v>0</v>
      </c>
      <c r="P277" s="101">
        <f>IF(EMPLOYEE_MASTER!AS277="Medical",LK_AllowanceRates!$B$17,0)</f>
        <v>0</v>
      </c>
      <c r="Q277" s="101">
        <f>IF(EMPLOYEE_MASTER!AR277="Yes",LK_AllowanceRates!$B$18,0)</f>
        <v>0</v>
      </c>
      <c r="R277" s="101">
        <f>IF(EMPLOYEE_MASTER!AC277="Yes",LK_AllowanceRates!$B$19,0)</f>
        <v>0</v>
      </c>
      <c r="S277" s="101">
        <f>IF(EMPLOYEE_MASTER!AA277="Yes",L277*LK_AllowanceRates!$B$20,0)</f>
        <v>0</v>
      </c>
      <c r="T277" s="101">
        <f>IF(EMPLOYEE_MASTER!AB277="Yes",LK_AllowanceRates!$B$21,0)</f>
        <v>0</v>
      </c>
      <c r="U277" s="101">
        <f>IF(EMPLOYEE_MASTER!P277&gt;=6,LK_AllowanceRates!$B$22,0)</f>
        <v>0</v>
      </c>
      <c r="V277" s="101">
        <f>IF(EMPLOYEE_MASTER!AO277="Yes",LK_AllowanceRates!$B$23,0)</f>
        <v>200000</v>
      </c>
      <c r="W277" s="101">
        <f>EMPLOYEE_MASTER!AP277*LK_AllowanceRates!$B$24</f>
        <v>600000</v>
      </c>
      <c r="X277" s="101">
        <v>0</v>
      </c>
      <c r="Y277" s="102">
        <v>0</v>
      </c>
      <c r="Z277" s="102">
        <v>0</v>
      </c>
      <c r="AA277" s="102">
        <v>0</v>
      </c>
      <c r="AB277" s="103">
        <f t="shared" ca="1" si="34"/>
        <v>3100000</v>
      </c>
      <c r="AC277" s="104">
        <f t="shared" ca="1" si="35"/>
        <v>6180000</v>
      </c>
      <c r="AD277" s="105">
        <f>ROUND(L277*LK_AllowanceRates!$B$25/100,0)</f>
        <v>169400</v>
      </c>
      <c r="AE277" s="106">
        <f t="shared" ca="1" si="36"/>
        <v>6010600</v>
      </c>
      <c r="AF277" s="106">
        <f t="shared" ca="1" si="37"/>
        <v>286060</v>
      </c>
      <c r="AG277" s="107">
        <v>0</v>
      </c>
      <c r="AH277" s="107">
        <v>0</v>
      </c>
      <c r="AI277" s="108">
        <f t="shared" ca="1" si="38"/>
        <v>455460</v>
      </c>
      <c r="AJ277" s="109">
        <f t="shared" ca="1" si="39"/>
        <v>5724540</v>
      </c>
    </row>
    <row r="278" spans="1:36" ht="15" customHeight="1" x14ac:dyDescent="0.3">
      <c r="A278" s="98" t="str">
        <f>EMPLOYEE_MASTER!A278</f>
        <v>LAO00275</v>
      </c>
      <c r="B278" s="98" t="str">
        <f>EMPLOYEE_MASTER!C278</f>
        <v>Thongchanh</v>
      </c>
      <c r="C278" s="98" t="str">
        <f>EMPLOYEE_MASTER!D278</f>
        <v>Luanglath</v>
      </c>
      <c r="D278" s="98" t="str">
        <f>EMPLOYEE_MASTER!T278</f>
        <v>Ministry of Health (MoH)</v>
      </c>
      <c r="E278" s="98" t="str">
        <f>EMPLOYEE_MASTER!M278</f>
        <v>Dental Officer</v>
      </c>
      <c r="F278" s="98" t="str">
        <f>EMPLOYEE_MASTER!Z278</f>
        <v>Medical</v>
      </c>
      <c r="G278" s="99">
        <f>EMPLOYEE_MASTER!P278</f>
        <v>3</v>
      </c>
      <c r="H278" s="99">
        <f>EMPLOYEE_MASTER!Q278</f>
        <v>9</v>
      </c>
      <c r="I278" s="100" t="str">
        <f t="shared" si="32"/>
        <v>G03-S09</v>
      </c>
      <c r="J278" s="100">
        <f>IFERROR(VLOOKUP(I278,LK_GradeStep!$C$4:$D$85,2,0),0)</f>
        <v>286</v>
      </c>
      <c r="K278" s="100">
        <f>IFERROR(VLOOKUP(I278,LK_GradeStep!$C$4:$E$85,3,0),10000)</f>
        <v>10000</v>
      </c>
      <c r="L278" s="100">
        <f t="shared" si="33"/>
        <v>2860000</v>
      </c>
      <c r="M278" s="101">
        <f>IFERROR(VLOOKUP(EMPLOYEE_MASTER!AQ278,LK_AllowanceRates!$A$5:$B$11,2,0),0)</f>
        <v>900000</v>
      </c>
      <c r="N278" s="101">
        <f ca="1">IFERROR(IF(EMPLOYEE_MASTER!J278&lt;=5,  EMPLOYEE_MASTER!J278*LK_AllowanceRates!$B$12,IF(EMPLOYEE_MASTER!J278&lt;=15, EMPLOYEE_MASTER!J278*LK_AllowanceRates!$B$13,IF(EMPLOYEE_MASTER!J278&lt;=25, EMPLOYEE_MASTER!J278*LK_AllowanceRates!$B$14,EMPLOYEE_MASTER!J278*LK_AllowanceRates!$B$15))),0)</f>
        <v>280000</v>
      </c>
      <c r="O278" s="101">
        <f>IF(EMPLOYEE_MASTER!AS278="Teaching",L278*LK_AllowanceRates!$B$16,0)</f>
        <v>0</v>
      </c>
      <c r="P278" s="101">
        <f>IF(EMPLOYEE_MASTER!AS278="Medical",LK_AllowanceRates!$B$17,0)</f>
        <v>500000</v>
      </c>
      <c r="Q278" s="101">
        <f>IF(EMPLOYEE_MASTER!AR278="Yes",LK_AllowanceRates!$B$18,0)</f>
        <v>0</v>
      </c>
      <c r="R278" s="101">
        <f>IF(EMPLOYEE_MASTER!AC278="Yes",LK_AllowanceRates!$B$19,0)</f>
        <v>1000000</v>
      </c>
      <c r="S278" s="101">
        <f>IF(EMPLOYEE_MASTER!AA278="Yes",L278*LK_AllowanceRates!$B$20,0)</f>
        <v>715000</v>
      </c>
      <c r="T278" s="101">
        <f>IF(EMPLOYEE_MASTER!AB278="Yes",LK_AllowanceRates!$B$21,0)</f>
        <v>0</v>
      </c>
      <c r="U278" s="101">
        <f>IF(EMPLOYEE_MASTER!P278&gt;=6,LK_AllowanceRates!$B$22,0)</f>
        <v>0</v>
      </c>
      <c r="V278" s="101">
        <f>IF(EMPLOYEE_MASTER!AO278="Yes",LK_AllowanceRates!$B$23,0)</f>
        <v>0</v>
      </c>
      <c r="W278" s="101">
        <f>EMPLOYEE_MASTER!AP278*LK_AllowanceRates!$B$24</f>
        <v>0</v>
      </c>
      <c r="X278" s="101">
        <v>0</v>
      </c>
      <c r="Y278" s="102">
        <v>0</v>
      </c>
      <c r="Z278" s="102">
        <v>0</v>
      </c>
      <c r="AA278" s="102">
        <v>0</v>
      </c>
      <c r="AB278" s="103">
        <f t="shared" ca="1" si="34"/>
        <v>3395000</v>
      </c>
      <c r="AC278" s="104">
        <f t="shared" ca="1" si="35"/>
        <v>6255000</v>
      </c>
      <c r="AD278" s="105">
        <f>ROUND(L278*LK_AllowanceRates!$B$25/100,0)</f>
        <v>157300</v>
      </c>
      <c r="AE278" s="106">
        <f t="shared" ca="1" si="36"/>
        <v>6097700</v>
      </c>
      <c r="AF278" s="106">
        <f t="shared" ca="1" si="37"/>
        <v>294770</v>
      </c>
      <c r="AG278" s="107">
        <v>0</v>
      </c>
      <c r="AH278" s="107">
        <v>0</v>
      </c>
      <c r="AI278" s="108">
        <f t="shared" ca="1" si="38"/>
        <v>452070</v>
      </c>
      <c r="AJ278" s="109">
        <f t="shared" ca="1" si="39"/>
        <v>5802930</v>
      </c>
    </row>
    <row r="279" spans="1:36" ht="15" customHeight="1" x14ac:dyDescent="0.3">
      <c r="A279" s="98" t="str">
        <f>EMPLOYEE_MASTER!A279</f>
        <v>LAO00276</v>
      </c>
      <c r="B279" s="98" t="str">
        <f>EMPLOYEE_MASTER!C279</f>
        <v>Thongchanh</v>
      </c>
      <c r="C279" s="98" t="str">
        <f>EMPLOYEE_MASTER!D279</f>
        <v>Sisoulath</v>
      </c>
      <c r="D279" s="98" t="str">
        <f>EMPLOYEE_MASTER!T279</f>
        <v>Ministry of Foreign Affairs (MFA)</v>
      </c>
      <c r="E279" s="98" t="str">
        <f>EMPLOYEE_MASTER!M279</f>
        <v>First Secretary</v>
      </c>
      <c r="F279" s="98" t="str">
        <f>EMPLOYEE_MASTER!Z279</f>
        <v>Diplomatic</v>
      </c>
      <c r="G279" s="99">
        <f>EMPLOYEE_MASTER!P279</f>
        <v>5</v>
      </c>
      <c r="H279" s="99">
        <f>EMPLOYEE_MASTER!Q279</f>
        <v>6</v>
      </c>
      <c r="I279" s="100" t="str">
        <f t="shared" si="32"/>
        <v>G05-S06</v>
      </c>
      <c r="J279" s="100">
        <f>IFERROR(VLOOKUP(I279,LK_GradeStep!$C$4:$D$85,2,0),0)</f>
        <v>333</v>
      </c>
      <c r="K279" s="100">
        <f>IFERROR(VLOOKUP(I279,LK_GradeStep!$C$4:$E$85,3,0),10000)</f>
        <v>10000</v>
      </c>
      <c r="L279" s="100">
        <f t="shared" si="33"/>
        <v>3330000</v>
      </c>
      <c r="M279" s="101">
        <f>IFERROR(VLOOKUP(EMPLOYEE_MASTER!AQ279,LK_AllowanceRates!$A$5:$B$11,2,0),0)</f>
        <v>900000</v>
      </c>
      <c r="N279" s="101">
        <f ca="1">IFERROR(IF(EMPLOYEE_MASTER!J279&lt;=5,  EMPLOYEE_MASTER!J279*LK_AllowanceRates!$B$12,IF(EMPLOYEE_MASTER!J279&lt;=15, EMPLOYEE_MASTER!J279*LK_AllowanceRates!$B$13,IF(EMPLOYEE_MASTER!J279&lt;=25, EMPLOYEE_MASTER!J279*LK_AllowanceRates!$B$14,EMPLOYEE_MASTER!J279*LK_AllowanceRates!$B$15))),0)</f>
        <v>570000</v>
      </c>
      <c r="O279" s="101">
        <f>IF(EMPLOYEE_MASTER!AS279="Teaching",L279*LK_AllowanceRates!$B$16,0)</f>
        <v>0</v>
      </c>
      <c r="P279" s="101">
        <f>IF(EMPLOYEE_MASTER!AS279="Medical",LK_AllowanceRates!$B$17,0)</f>
        <v>0</v>
      </c>
      <c r="Q279" s="101">
        <f>IF(EMPLOYEE_MASTER!AR279="Yes",LK_AllowanceRates!$B$18,0)</f>
        <v>0</v>
      </c>
      <c r="R279" s="101">
        <f>IF(EMPLOYEE_MASTER!AC279="Yes",LK_AllowanceRates!$B$19,0)</f>
        <v>1000000</v>
      </c>
      <c r="S279" s="101">
        <f>IF(EMPLOYEE_MASTER!AA279="Yes",L279*LK_AllowanceRates!$B$20,0)</f>
        <v>832500</v>
      </c>
      <c r="T279" s="101">
        <f>IF(EMPLOYEE_MASTER!AB279="Yes",LK_AllowanceRates!$B$21,0)</f>
        <v>0</v>
      </c>
      <c r="U279" s="101">
        <f>IF(EMPLOYEE_MASTER!P279&gt;=6,LK_AllowanceRates!$B$22,0)</f>
        <v>0</v>
      </c>
      <c r="V279" s="101">
        <f>IF(EMPLOYEE_MASTER!AO279="Yes",LK_AllowanceRates!$B$23,0)</f>
        <v>0</v>
      </c>
      <c r="W279" s="101">
        <f>EMPLOYEE_MASTER!AP279*LK_AllowanceRates!$B$24</f>
        <v>0</v>
      </c>
      <c r="X279" s="101">
        <v>0</v>
      </c>
      <c r="Y279" s="102">
        <v>0</v>
      </c>
      <c r="Z279" s="102">
        <v>0</v>
      </c>
      <c r="AA279" s="102">
        <v>0</v>
      </c>
      <c r="AB279" s="103">
        <f t="shared" ca="1" si="34"/>
        <v>3302500</v>
      </c>
      <c r="AC279" s="104">
        <f t="shared" ca="1" si="35"/>
        <v>6632500</v>
      </c>
      <c r="AD279" s="105">
        <f>ROUND(L279*LK_AllowanceRates!$B$25/100,0)</f>
        <v>183150</v>
      </c>
      <c r="AE279" s="106">
        <f t="shared" ca="1" si="36"/>
        <v>6449350</v>
      </c>
      <c r="AF279" s="106">
        <f t="shared" ca="1" si="37"/>
        <v>329935</v>
      </c>
      <c r="AG279" s="107">
        <v>0</v>
      </c>
      <c r="AH279" s="107">
        <v>0</v>
      </c>
      <c r="AI279" s="108">
        <f t="shared" ca="1" si="38"/>
        <v>513085</v>
      </c>
      <c r="AJ279" s="109">
        <f t="shared" ca="1" si="39"/>
        <v>6119415</v>
      </c>
    </row>
    <row r="280" spans="1:36" ht="15" customHeight="1" x14ac:dyDescent="0.3">
      <c r="A280" s="98" t="str">
        <f>EMPLOYEE_MASTER!A280</f>
        <v>LAO00277</v>
      </c>
      <c r="B280" s="98" t="str">
        <f>EMPLOYEE_MASTER!C280</f>
        <v>Phouthasack</v>
      </c>
      <c r="C280" s="98" t="str">
        <f>EMPLOYEE_MASTER!D280</f>
        <v>Sengdara</v>
      </c>
      <c r="D280" s="98" t="str">
        <f>EMPLOYEE_MASTER!T280</f>
        <v>Ministry of Labour &amp; Social Welfare (MLSW)</v>
      </c>
      <c r="E280" s="98" t="str">
        <f>EMPLOYEE_MASTER!M280</f>
        <v>Administrative Officer</v>
      </c>
      <c r="F280" s="98" t="str">
        <f>EMPLOYEE_MASTER!Z280</f>
        <v>Administration</v>
      </c>
      <c r="G280" s="99">
        <f>EMPLOYEE_MASTER!P280</f>
        <v>4</v>
      </c>
      <c r="H280" s="99">
        <f>EMPLOYEE_MASTER!Q280</f>
        <v>6</v>
      </c>
      <c r="I280" s="100" t="str">
        <f t="shared" si="32"/>
        <v>G04-S06</v>
      </c>
      <c r="J280" s="100">
        <f>IFERROR(VLOOKUP(I280,LK_GradeStep!$C$4:$D$85,2,0),0)</f>
        <v>296</v>
      </c>
      <c r="K280" s="100">
        <f>IFERROR(VLOOKUP(I280,LK_GradeStep!$C$4:$E$85,3,0),10000)</f>
        <v>10000</v>
      </c>
      <c r="L280" s="100">
        <f t="shared" si="33"/>
        <v>2960000</v>
      </c>
      <c r="M280" s="101">
        <f>IFERROR(VLOOKUP(EMPLOYEE_MASTER!AQ280,LK_AllowanceRates!$A$5:$B$11,2,0),0)</f>
        <v>900000</v>
      </c>
      <c r="N280" s="101">
        <f ca="1">IFERROR(IF(EMPLOYEE_MASTER!J280&lt;=5,  EMPLOYEE_MASTER!J280*LK_AllowanceRates!$B$12,IF(EMPLOYEE_MASTER!J280&lt;=15, EMPLOYEE_MASTER!J280*LK_AllowanceRates!$B$13,IF(EMPLOYEE_MASTER!J280&lt;=25, EMPLOYEE_MASTER!J280*LK_AllowanceRates!$B$14,EMPLOYEE_MASTER!J280*LK_AllowanceRates!$B$15))),0)</f>
        <v>180000</v>
      </c>
      <c r="O280" s="101">
        <f>IF(EMPLOYEE_MASTER!AS280="Teaching",L280*LK_AllowanceRates!$B$16,0)</f>
        <v>0</v>
      </c>
      <c r="P280" s="101">
        <f>IF(EMPLOYEE_MASTER!AS280="Medical",LK_AllowanceRates!$B$17,0)</f>
        <v>0</v>
      </c>
      <c r="Q280" s="101">
        <f>IF(EMPLOYEE_MASTER!AR280="Yes",LK_AllowanceRates!$B$18,0)</f>
        <v>0</v>
      </c>
      <c r="R280" s="101">
        <f>IF(EMPLOYEE_MASTER!AC280="Yes",LK_AllowanceRates!$B$19,0)</f>
        <v>0</v>
      </c>
      <c r="S280" s="101">
        <f>IF(EMPLOYEE_MASTER!AA280="Yes",L280*LK_AllowanceRates!$B$20,0)</f>
        <v>740000</v>
      </c>
      <c r="T280" s="101">
        <f>IF(EMPLOYEE_MASTER!AB280="Yes",LK_AllowanceRates!$B$21,0)</f>
        <v>0</v>
      </c>
      <c r="U280" s="101">
        <f>IF(EMPLOYEE_MASTER!P280&gt;=6,LK_AllowanceRates!$B$22,0)</f>
        <v>0</v>
      </c>
      <c r="V280" s="101">
        <f>IF(EMPLOYEE_MASTER!AO280="Yes",LK_AllowanceRates!$B$23,0)</f>
        <v>0</v>
      </c>
      <c r="W280" s="101">
        <f>EMPLOYEE_MASTER!AP280*LK_AllowanceRates!$B$24</f>
        <v>0</v>
      </c>
      <c r="X280" s="101">
        <v>0</v>
      </c>
      <c r="Y280" s="102">
        <v>0</v>
      </c>
      <c r="Z280" s="102">
        <v>0</v>
      </c>
      <c r="AA280" s="102">
        <v>0</v>
      </c>
      <c r="AB280" s="103">
        <f t="shared" ca="1" si="34"/>
        <v>1820000</v>
      </c>
      <c r="AC280" s="104">
        <f t="shared" ca="1" si="35"/>
        <v>4780000</v>
      </c>
      <c r="AD280" s="105">
        <f>ROUND(L280*LK_AllowanceRates!$B$25/100,0)</f>
        <v>162800</v>
      </c>
      <c r="AE280" s="106">
        <f t="shared" ca="1" si="36"/>
        <v>4617200</v>
      </c>
      <c r="AF280" s="106">
        <f t="shared" ca="1" si="37"/>
        <v>165860</v>
      </c>
      <c r="AG280" s="107">
        <v>0</v>
      </c>
      <c r="AH280" s="107">
        <v>0</v>
      </c>
      <c r="AI280" s="108">
        <f t="shared" ca="1" si="38"/>
        <v>328660</v>
      </c>
      <c r="AJ280" s="109">
        <f t="shared" ca="1" si="39"/>
        <v>4451340</v>
      </c>
    </row>
    <row r="281" spans="1:36" ht="15" customHeight="1" x14ac:dyDescent="0.3">
      <c r="A281" s="98" t="str">
        <f>EMPLOYEE_MASTER!A281</f>
        <v>LAO00278</v>
      </c>
      <c r="B281" s="98" t="str">
        <f>EMPLOYEE_MASTER!C281</f>
        <v>Phonsavanh</v>
      </c>
      <c r="C281" s="98" t="str">
        <f>EMPLOYEE_MASTER!D281</f>
        <v>Bouavong</v>
      </c>
      <c r="D281" s="98" t="str">
        <f>EMPLOYEE_MASTER!T281</f>
        <v>Ministry of Foreign Affairs (MFA)</v>
      </c>
      <c r="E281" s="98" t="str">
        <f>EMPLOYEE_MASTER!M281</f>
        <v>Charge d'Affaires</v>
      </c>
      <c r="F281" s="98" t="str">
        <f>EMPLOYEE_MASTER!Z281</f>
        <v>Diplomatic</v>
      </c>
      <c r="G281" s="99">
        <f>EMPLOYEE_MASTER!P281</f>
        <v>4</v>
      </c>
      <c r="H281" s="99">
        <f>EMPLOYEE_MASTER!Q281</f>
        <v>1</v>
      </c>
      <c r="I281" s="100" t="str">
        <f t="shared" si="32"/>
        <v>G04-S01</v>
      </c>
      <c r="J281" s="100">
        <f>IFERROR(VLOOKUP(I281,LK_GradeStep!$C$4:$D$85,2,0),0)</f>
        <v>286</v>
      </c>
      <c r="K281" s="100">
        <f>IFERROR(VLOOKUP(I281,LK_GradeStep!$C$4:$E$85,3,0),10000)</f>
        <v>10000</v>
      </c>
      <c r="L281" s="100">
        <f t="shared" si="33"/>
        <v>2860000</v>
      </c>
      <c r="M281" s="101">
        <f>IFERROR(VLOOKUP(EMPLOYEE_MASTER!AQ281,LK_AllowanceRates!$A$5:$B$11,2,0),0)</f>
        <v>900000</v>
      </c>
      <c r="N281" s="101">
        <f ca="1">IFERROR(IF(EMPLOYEE_MASTER!J281&lt;=5,  EMPLOYEE_MASTER!J281*LK_AllowanceRates!$B$12,IF(EMPLOYEE_MASTER!J281&lt;=15, EMPLOYEE_MASTER!J281*LK_AllowanceRates!$B$13,IF(EMPLOYEE_MASTER!J281&lt;=25, EMPLOYEE_MASTER!J281*LK_AllowanceRates!$B$14,EMPLOYEE_MASTER!J281*LK_AllowanceRates!$B$15))),0)</f>
        <v>690000</v>
      </c>
      <c r="O281" s="101">
        <f>IF(EMPLOYEE_MASTER!AS281="Teaching",L281*LK_AllowanceRates!$B$16,0)</f>
        <v>0</v>
      </c>
      <c r="P281" s="101">
        <f>IF(EMPLOYEE_MASTER!AS281="Medical",LK_AllowanceRates!$B$17,0)</f>
        <v>0</v>
      </c>
      <c r="Q281" s="101">
        <f>IF(EMPLOYEE_MASTER!AR281="Yes",LK_AllowanceRates!$B$18,0)</f>
        <v>0</v>
      </c>
      <c r="R281" s="101">
        <f>IF(EMPLOYEE_MASTER!AC281="Yes",LK_AllowanceRates!$B$19,0)</f>
        <v>0</v>
      </c>
      <c r="S281" s="101">
        <f>IF(EMPLOYEE_MASTER!AA281="Yes",L281*LK_AllowanceRates!$B$20,0)</f>
        <v>0</v>
      </c>
      <c r="T281" s="101">
        <f>IF(EMPLOYEE_MASTER!AB281="Yes",LK_AllowanceRates!$B$21,0)</f>
        <v>0</v>
      </c>
      <c r="U281" s="101">
        <f>IF(EMPLOYEE_MASTER!P281&gt;=6,LK_AllowanceRates!$B$22,0)</f>
        <v>0</v>
      </c>
      <c r="V281" s="101">
        <f>IF(EMPLOYEE_MASTER!AO281="Yes",LK_AllowanceRates!$B$23,0)</f>
        <v>200000</v>
      </c>
      <c r="W281" s="101">
        <f>EMPLOYEE_MASTER!AP281*LK_AllowanceRates!$B$24</f>
        <v>200000</v>
      </c>
      <c r="X281" s="101">
        <v>0</v>
      </c>
      <c r="Y281" s="102">
        <v>0</v>
      </c>
      <c r="Z281" s="102">
        <v>0</v>
      </c>
      <c r="AA281" s="102">
        <v>0</v>
      </c>
      <c r="AB281" s="103">
        <f t="shared" ca="1" si="34"/>
        <v>1990000</v>
      </c>
      <c r="AC281" s="104">
        <f t="shared" ca="1" si="35"/>
        <v>4850000</v>
      </c>
      <c r="AD281" s="105">
        <f>ROUND(L281*LK_AllowanceRates!$B$25/100,0)</f>
        <v>157300</v>
      </c>
      <c r="AE281" s="106">
        <f t="shared" ca="1" si="36"/>
        <v>4692700</v>
      </c>
      <c r="AF281" s="106">
        <f t="shared" ca="1" si="37"/>
        <v>169635</v>
      </c>
      <c r="AG281" s="107">
        <v>0</v>
      </c>
      <c r="AH281" s="107">
        <v>0</v>
      </c>
      <c r="AI281" s="108">
        <f t="shared" ca="1" si="38"/>
        <v>326935</v>
      </c>
      <c r="AJ281" s="109">
        <f t="shared" ca="1" si="39"/>
        <v>4523065</v>
      </c>
    </row>
    <row r="282" spans="1:36" ht="15" customHeight="1" x14ac:dyDescent="0.3">
      <c r="A282" s="98" t="str">
        <f>EMPLOYEE_MASTER!A282</f>
        <v>LAO00279</v>
      </c>
      <c r="B282" s="98" t="str">
        <f>EMPLOYEE_MASTER!C282</f>
        <v>Vilaysack</v>
      </c>
      <c r="C282" s="98" t="str">
        <f>EMPLOYEE_MASTER!D282</f>
        <v>Phiaylack</v>
      </c>
      <c r="D282" s="98" t="str">
        <f>EMPLOYEE_MASTER!T282</f>
        <v>Ministry of Industry &amp; Commerce (MoIC)</v>
      </c>
      <c r="E282" s="98" t="str">
        <f>EMPLOYEE_MASTER!M282</f>
        <v>Senior Officer</v>
      </c>
      <c r="F282" s="98" t="str">
        <f>EMPLOYEE_MASTER!Z282</f>
        <v>Administration</v>
      </c>
      <c r="G282" s="99">
        <f>EMPLOYEE_MASTER!P282</f>
        <v>5</v>
      </c>
      <c r="H282" s="99">
        <f>EMPLOYEE_MASTER!Q282</f>
        <v>5</v>
      </c>
      <c r="I282" s="100" t="str">
        <f t="shared" si="32"/>
        <v>G05-S05</v>
      </c>
      <c r="J282" s="100">
        <f>IFERROR(VLOOKUP(I282,LK_GradeStep!$C$4:$D$85,2,0),0)</f>
        <v>328</v>
      </c>
      <c r="K282" s="100">
        <f>IFERROR(VLOOKUP(I282,LK_GradeStep!$C$4:$E$85,3,0),10000)</f>
        <v>10000</v>
      </c>
      <c r="L282" s="100">
        <f t="shared" si="33"/>
        <v>3280000</v>
      </c>
      <c r="M282" s="101">
        <f>IFERROR(VLOOKUP(EMPLOYEE_MASTER!AQ282,LK_AllowanceRates!$A$5:$B$11,2,0),0)</f>
        <v>900000</v>
      </c>
      <c r="N282" s="101">
        <f ca="1">IFERROR(IF(EMPLOYEE_MASTER!J282&lt;=5,  EMPLOYEE_MASTER!J282*LK_AllowanceRates!$B$12,IF(EMPLOYEE_MASTER!J282&lt;=15, EMPLOYEE_MASTER!J282*LK_AllowanceRates!$B$13,IF(EMPLOYEE_MASTER!J282&lt;=25, EMPLOYEE_MASTER!J282*LK_AllowanceRates!$B$14,EMPLOYEE_MASTER!J282*LK_AllowanceRates!$B$15))),0)</f>
        <v>720000</v>
      </c>
      <c r="O282" s="101">
        <f>IF(EMPLOYEE_MASTER!AS282="Teaching",L282*LK_AllowanceRates!$B$16,0)</f>
        <v>0</v>
      </c>
      <c r="P282" s="101">
        <f>IF(EMPLOYEE_MASTER!AS282="Medical",LK_AllowanceRates!$B$17,0)</f>
        <v>0</v>
      </c>
      <c r="Q282" s="101">
        <f>IF(EMPLOYEE_MASTER!AR282="Yes",LK_AllowanceRates!$B$18,0)</f>
        <v>0</v>
      </c>
      <c r="R282" s="101">
        <f>IF(EMPLOYEE_MASTER!AC282="Yes",LK_AllowanceRates!$B$19,0)</f>
        <v>1000000</v>
      </c>
      <c r="S282" s="101">
        <f>IF(EMPLOYEE_MASTER!AA282="Yes",L282*LK_AllowanceRates!$B$20,0)</f>
        <v>820000</v>
      </c>
      <c r="T282" s="101">
        <f>IF(EMPLOYEE_MASTER!AB282="Yes",LK_AllowanceRates!$B$21,0)</f>
        <v>0</v>
      </c>
      <c r="U282" s="101">
        <f>IF(EMPLOYEE_MASTER!P282&gt;=6,LK_AllowanceRates!$B$22,0)</f>
        <v>0</v>
      </c>
      <c r="V282" s="101">
        <f>IF(EMPLOYEE_MASTER!AO282="Yes",LK_AllowanceRates!$B$23,0)</f>
        <v>200000</v>
      </c>
      <c r="W282" s="101">
        <f>EMPLOYEE_MASTER!AP282*LK_AllowanceRates!$B$24</f>
        <v>200000</v>
      </c>
      <c r="X282" s="101">
        <v>0</v>
      </c>
      <c r="Y282" s="102">
        <v>0</v>
      </c>
      <c r="Z282" s="102">
        <v>0</v>
      </c>
      <c r="AA282" s="102">
        <v>0</v>
      </c>
      <c r="AB282" s="103">
        <f t="shared" ca="1" si="34"/>
        <v>3840000</v>
      </c>
      <c r="AC282" s="104">
        <f t="shared" ca="1" si="35"/>
        <v>7120000</v>
      </c>
      <c r="AD282" s="105">
        <f>ROUND(L282*LK_AllowanceRates!$B$25/100,0)</f>
        <v>180400</v>
      </c>
      <c r="AE282" s="106">
        <f t="shared" ca="1" si="36"/>
        <v>6939600</v>
      </c>
      <c r="AF282" s="106">
        <f t="shared" ca="1" si="37"/>
        <v>378960</v>
      </c>
      <c r="AG282" s="107">
        <v>0</v>
      </c>
      <c r="AH282" s="107">
        <v>0</v>
      </c>
      <c r="AI282" s="108">
        <f t="shared" ca="1" si="38"/>
        <v>559360</v>
      </c>
      <c r="AJ282" s="109">
        <f t="shared" ca="1" si="39"/>
        <v>6560640</v>
      </c>
    </row>
    <row r="283" spans="1:36" ht="15" customHeight="1" x14ac:dyDescent="0.3">
      <c r="A283" s="98" t="str">
        <f>EMPLOYEE_MASTER!A283</f>
        <v>LAO00280</v>
      </c>
      <c r="B283" s="98" t="str">
        <f>EMPLOYEE_MASTER!C283</f>
        <v>Senglavanh</v>
      </c>
      <c r="C283" s="98" t="str">
        <f>EMPLOYEE_MASTER!D283</f>
        <v>Sengmixay</v>
      </c>
      <c r="D283" s="98" t="str">
        <f>EMPLOYEE_MASTER!T283</f>
        <v>Ministry of Planning &amp; Investment (MPI)</v>
      </c>
      <c r="E283" s="98" t="str">
        <f>EMPLOYEE_MASTER!M283</f>
        <v>Division Chief</v>
      </c>
      <c r="F283" s="98" t="str">
        <f>EMPLOYEE_MASTER!Z283</f>
        <v>Administration</v>
      </c>
      <c r="G283" s="99">
        <f>EMPLOYEE_MASTER!P283</f>
        <v>5</v>
      </c>
      <c r="H283" s="99">
        <f>EMPLOYEE_MASTER!Q283</f>
        <v>11</v>
      </c>
      <c r="I283" s="100" t="str">
        <f t="shared" si="32"/>
        <v>G05-S11</v>
      </c>
      <c r="J283" s="100">
        <f>IFERROR(VLOOKUP(I283,LK_GradeStep!$C$4:$D$85,2,0),0)</f>
        <v>378</v>
      </c>
      <c r="K283" s="100">
        <f>IFERROR(VLOOKUP(I283,LK_GradeStep!$C$4:$E$85,3,0),10000)</f>
        <v>10000</v>
      </c>
      <c r="L283" s="100">
        <f t="shared" si="33"/>
        <v>3780000</v>
      </c>
      <c r="M283" s="101">
        <f>IFERROR(VLOOKUP(EMPLOYEE_MASTER!AQ283,LK_AllowanceRates!$A$5:$B$11,2,0),0)</f>
        <v>1900000</v>
      </c>
      <c r="N283" s="101">
        <f ca="1">IFERROR(IF(EMPLOYEE_MASTER!J283&lt;=5,  EMPLOYEE_MASTER!J283*LK_AllowanceRates!$B$12,IF(EMPLOYEE_MASTER!J283&lt;=15, EMPLOYEE_MASTER!J283*LK_AllowanceRates!$B$13,IF(EMPLOYEE_MASTER!J283&lt;=25, EMPLOYEE_MASTER!J283*LK_AllowanceRates!$B$14,EMPLOYEE_MASTER!J283*LK_AllowanceRates!$B$15))),0)</f>
        <v>0</v>
      </c>
      <c r="O283" s="101">
        <f>IF(EMPLOYEE_MASTER!AS283="Teaching",L283*LK_AllowanceRates!$B$16,0)</f>
        <v>0</v>
      </c>
      <c r="P283" s="101">
        <f>IF(EMPLOYEE_MASTER!AS283="Medical",LK_AllowanceRates!$B$17,0)</f>
        <v>0</v>
      </c>
      <c r="Q283" s="101">
        <f>IF(EMPLOYEE_MASTER!AR283="Yes",LK_AllowanceRates!$B$18,0)</f>
        <v>0</v>
      </c>
      <c r="R283" s="101">
        <f>IF(EMPLOYEE_MASTER!AC283="Yes",LK_AllowanceRates!$B$19,0)</f>
        <v>1000000</v>
      </c>
      <c r="S283" s="101">
        <f>IF(EMPLOYEE_MASTER!AA283="Yes",L283*LK_AllowanceRates!$B$20,0)</f>
        <v>945000</v>
      </c>
      <c r="T283" s="101">
        <f>IF(EMPLOYEE_MASTER!AB283="Yes",LK_AllowanceRates!$B$21,0)</f>
        <v>0</v>
      </c>
      <c r="U283" s="101">
        <f>IF(EMPLOYEE_MASTER!P283&gt;=6,LK_AllowanceRates!$B$22,0)</f>
        <v>0</v>
      </c>
      <c r="V283" s="101">
        <f>IF(EMPLOYEE_MASTER!AO283="Yes",LK_AllowanceRates!$B$23,0)</f>
        <v>200000</v>
      </c>
      <c r="W283" s="101">
        <f>EMPLOYEE_MASTER!AP283*LK_AllowanceRates!$B$24</f>
        <v>600000</v>
      </c>
      <c r="X283" s="101">
        <v>0</v>
      </c>
      <c r="Y283" s="102">
        <v>0</v>
      </c>
      <c r="Z283" s="102">
        <v>0</v>
      </c>
      <c r="AA283" s="102">
        <v>0</v>
      </c>
      <c r="AB283" s="103">
        <f t="shared" ca="1" si="34"/>
        <v>4645000</v>
      </c>
      <c r="AC283" s="104">
        <f t="shared" ca="1" si="35"/>
        <v>8425000</v>
      </c>
      <c r="AD283" s="105">
        <f>ROUND(L283*LK_AllowanceRates!$B$25/100,0)</f>
        <v>207900</v>
      </c>
      <c r="AE283" s="106">
        <f t="shared" ca="1" si="36"/>
        <v>8217100</v>
      </c>
      <c r="AF283" s="106">
        <f t="shared" ca="1" si="37"/>
        <v>506710</v>
      </c>
      <c r="AG283" s="107">
        <v>0</v>
      </c>
      <c r="AH283" s="107">
        <v>0</v>
      </c>
      <c r="AI283" s="108">
        <f t="shared" ca="1" si="38"/>
        <v>714610</v>
      </c>
      <c r="AJ283" s="109">
        <f t="shared" ca="1" si="39"/>
        <v>7710390</v>
      </c>
    </row>
    <row r="284" spans="1:36" ht="15" customHeight="1" x14ac:dyDescent="0.3">
      <c r="A284" s="98" t="str">
        <f>EMPLOYEE_MASTER!A284</f>
        <v>LAO00281</v>
      </c>
      <c r="B284" s="98" t="str">
        <f>EMPLOYEE_MASTER!C284</f>
        <v>Phonesavanh</v>
      </c>
      <c r="C284" s="98" t="str">
        <f>EMPLOYEE_MASTER!D284</f>
        <v>Sisouvath</v>
      </c>
      <c r="D284" s="98" t="str">
        <f>EMPLOYEE_MASTER!T284</f>
        <v>Ministry of Education and Sports (MoES)</v>
      </c>
      <c r="E284" s="98" t="str">
        <f>EMPLOYEE_MASTER!M284</f>
        <v>Deputy Principal</v>
      </c>
      <c r="F284" s="98" t="str">
        <f>EMPLOYEE_MASTER!Z284</f>
        <v>Teacher</v>
      </c>
      <c r="G284" s="99">
        <f>EMPLOYEE_MASTER!P284</f>
        <v>3</v>
      </c>
      <c r="H284" s="99">
        <f>EMPLOYEE_MASTER!Q284</f>
        <v>7</v>
      </c>
      <c r="I284" s="100" t="str">
        <f t="shared" si="32"/>
        <v>G03-S07</v>
      </c>
      <c r="J284" s="100">
        <f>IFERROR(VLOOKUP(I284,LK_GradeStep!$C$4:$D$85,2,0),0)</f>
        <v>282</v>
      </c>
      <c r="K284" s="100">
        <f>IFERROR(VLOOKUP(I284,LK_GradeStep!$C$4:$E$85,3,0),10000)</f>
        <v>10000</v>
      </c>
      <c r="L284" s="100">
        <f t="shared" si="33"/>
        <v>2820000</v>
      </c>
      <c r="M284" s="101">
        <f>IFERROR(VLOOKUP(EMPLOYEE_MASTER!AQ284,LK_AllowanceRates!$A$5:$B$11,2,0),0)</f>
        <v>900000</v>
      </c>
      <c r="N284" s="101">
        <f ca="1">IFERROR(IF(EMPLOYEE_MASTER!J284&lt;=5,  EMPLOYEE_MASTER!J284*LK_AllowanceRates!$B$12,IF(EMPLOYEE_MASTER!J284&lt;=15, EMPLOYEE_MASTER!J284*LK_AllowanceRates!$B$13,IF(EMPLOYEE_MASTER!J284&lt;=25, EMPLOYEE_MASTER!J284*LK_AllowanceRates!$B$14,EMPLOYEE_MASTER!J284*LK_AllowanceRates!$B$15))),0)</f>
        <v>20000</v>
      </c>
      <c r="O284" s="101">
        <f>IF(EMPLOYEE_MASTER!AS284="Teaching",L284*LK_AllowanceRates!$B$16,0)</f>
        <v>564000</v>
      </c>
      <c r="P284" s="101">
        <f>IF(EMPLOYEE_MASTER!AS284="Medical",LK_AllowanceRates!$B$17,0)</f>
        <v>0</v>
      </c>
      <c r="Q284" s="101">
        <f>IF(EMPLOYEE_MASTER!AR284="Yes",LK_AllowanceRates!$B$18,0)</f>
        <v>0</v>
      </c>
      <c r="R284" s="101">
        <f>IF(EMPLOYEE_MASTER!AC284="Yes",LK_AllowanceRates!$B$19,0)</f>
        <v>0</v>
      </c>
      <c r="S284" s="101">
        <f>IF(EMPLOYEE_MASTER!AA284="Yes",L284*LK_AllowanceRates!$B$20,0)</f>
        <v>0</v>
      </c>
      <c r="T284" s="101">
        <f>IF(EMPLOYEE_MASTER!AB284="Yes",LK_AllowanceRates!$B$21,0)</f>
        <v>0</v>
      </c>
      <c r="U284" s="101">
        <f>IF(EMPLOYEE_MASTER!P284&gt;=6,LK_AllowanceRates!$B$22,0)</f>
        <v>0</v>
      </c>
      <c r="V284" s="101">
        <f>IF(EMPLOYEE_MASTER!AO284="Yes",LK_AllowanceRates!$B$23,0)</f>
        <v>200000</v>
      </c>
      <c r="W284" s="101">
        <f>EMPLOYEE_MASTER!AP284*LK_AllowanceRates!$B$24</f>
        <v>400000</v>
      </c>
      <c r="X284" s="101">
        <v>0</v>
      </c>
      <c r="Y284" s="102">
        <v>0</v>
      </c>
      <c r="Z284" s="102">
        <v>0</v>
      </c>
      <c r="AA284" s="102">
        <v>0</v>
      </c>
      <c r="AB284" s="103">
        <f t="shared" ca="1" si="34"/>
        <v>2084000</v>
      </c>
      <c r="AC284" s="104">
        <f t="shared" ca="1" si="35"/>
        <v>4904000</v>
      </c>
      <c r="AD284" s="105">
        <f>ROUND(L284*LK_AllowanceRates!$B$25/100,0)</f>
        <v>155100</v>
      </c>
      <c r="AE284" s="106">
        <f t="shared" ca="1" si="36"/>
        <v>4748900</v>
      </c>
      <c r="AF284" s="106">
        <f t="shared" ca="1" si="37"/>
        <v>172445</v>
      </c>
      <c r="AG284" s="107">
        <v>0</v>
      </c>
      <c r="AH284" s="107">
        <v>0</v>
      </c>
      <c r="AI284" s="108">
        <f t="shared" ca="1" si="38"/>
        <v>327545</v>
      </c>
      <c r="AJ284" s="109">
        <f t="shared" ca="1" si="39"/>
        <v>4576455</v>
      </c>
    </row>
    <row r="285" spans="1:36" ht="15" customHeight="1" x14ac:dyDescent="0.3">
      <c r="A285" s="98" t="str">
        <f>EMPLOYEE_MASTER!A285</f>
        <v>LAO00282</v>
      </c>
      <c r="B285" s="98" t="str">
        <f>EMPLOYEE_MASTER!C285</f>
        <v>Vanthong</v>
      </c>
      <c r="C285" s="98" t="str">
        <f>EMPLOYEE_MASTER!D285</f>
        <v>Phommachack</v>
      </c>
      <c r="D285" s="98" t="str">
        <f>EMPLOYEE_MASTER!T285</f>
        <v>Ministry of Education and Sports (MoES)</v>
      </c>
      <c r="E285" s="98" t="str">
        <f>EMPLOYEE_MASTER!M285</f>
        <v>Deputy Principal</v>
      </c>
      <c r="F285" s="98" t="str">
        <f>EMPLOYEE_MASTER!Z285</f>
        <v>Teacher</v>
      </c>
      <c r="G285" s="99">
        <f>EMPLOYEE_MASTER!P285</f>
        <v>4</v>
      </c>
      <c r="H285" s="99">
        <f>EMPLOYEE_MASTER!Q285</f>
        <v>1</v>
      </c>
      <c r="I285" s="100" t="str">
        <f t="shared" si="32"/>
        <v>G04-S01</v>
      </c>
      <c r="J285" s="100">
        <f>IFERROR(VLOOKUP(I285,LK_GradeStep!$C$4:$D$85,2,0),0)</f>
        <v>286</v>
      </c>
      <c r="K285" s="100">
        <f>IFERROR(VLOOKUP(I285,LK_GradeStep!$C$4:$E$85,3,0),10000)</f>
        <v>10000</v>
      </c>
      <c r="L285" s="100">
        <f t="shared" si="33"/>
        <v>2860000</v>
      </c>
      <c r="M285" s="101">
        <f>IFERROR(VLOOKUP(EMPLOYEE_MASTER!AQ285,LK_AllowanceRates!$A$5:$B$11,2,0),0)</f>
        <v>900000</v>
      </c>
      <c r="N285" s="101">
        <f ca="1">IFERROR(IF(EMPLOYEE_MASTER!J285&lt;=5,  EMPLOYEE_MASTER!J285*LK_AllowanceRates!$B$12,IF(EMPLOYEE_MASTER!J285&lt;=15, EMPLOYEE_MASTER!J285*LK_AllowanceRates!$B$13,IF(EMPLOYEE_MASTER!J285&lt;=25, EMPLOYEE_MASTER!J285*LK_AllowanceRates!$B$14,EMPLOYEE_MASTER!J285*LK_AllowanceRates!$B$15))),0)</f>
        <v>660000</v>
      </c>
      <c r="O285" s="101">
        <f>IF(EMPLOYEE_MASTER!AS285="Teaching",L285*LK_AllowanceRates!$B$16,0)</f>
        <v>572000</v>
      </c>
      <c r="P285" s="101">
        <f>IF(EMPLOYEE_MASTER!AS285="Medical",LK_AllowanceRates!$B$17,0)</f>
        <v>0</v>
      </c>
      <c r="Q285" s="101">
        <f>IF(EMPLOYEE_MASTER!AR285="Yes",LK_AllowanceRates!$B$18,0)</f>
        <v>0</v>
      </c>
      <c r="R285" s="101">
        <f>IF(EMPLOYEE_MASTER!AC285="Yes",LK_AllowanceRates!$B$19,0)</f>
        <v>0</v>
      </c>
      <c r="S285" s="101">
        <f>IF(EMPLOYEE_MASTER!AA285="Yes",L285*LK_AllowanceRates!$B$20,0)</f>
        <v>715000</v>
      </c>
      <c r="T285" s="101">
        <f>IF(EMPLOYEE_MASTER!AB285="Yes",LK_AllowanceRates!$B$21,0)</f>
        <v>0</v>
      </c>
      <c r="U285" s="101">
        <f>IF(EMPLOYEE_MASTER!P285&gt;=6,LK_AllowanceRates!$B$22,0)</f>
        <v>0</v>
      </c>
      <c r="V285" s="101">
        <f>IF(EMPLOYEE_MASTER!AO285="Yes",LK_AllowanceRates!$B$23,0)</f>
        <v>200000</v>
      </c>
      <c r="W285" s="101">
        <f>EMPLOYEE_MASTER!AP285*LK_AllowanceRates!$B$24</f>
        <v>600000</v>
      </c>
      <c r="X285" s="101">
        <v>0</v>
      </c>
      <c r="Y285" s="102">
        <v>0</v>
      </c>
      <c r="Z285" s="102">
        <v>0</v>
      </c>
      <c r="AA285" s="102">
        <v>0</v>
      </c>
      <c r="AB285" s="103">
        <f t="shared" ca="1" si="34"/>
        <v>3647000</v>
      </c>
      <c r="AC285" s="104">
        <f t="shared" ca="1" si="35"/>
        <v>6507000</v>
      </c>
      <c r="AD285" s="105">
        <f>ROUND(L285*LK_AllowanceRates!$B$25/100,0)</f>
        <v>157300</v>
      </c>
      <c r="AE285" s="106">
        <f t="shared" ca="1" si="36"/>
        <v>6349700</v>
      </c>
      <c r="AF285" s="106">
        <f t="shared" ca="1" si="37"/>
        <v>319970</v>
      </c>
      <c r="AG285" s="107">
        <v>0</v>
      </c>
      <c r="AH285" s="107">
        <v>0</v>
      </c>
      <c r="AI285" s="108">
        <f t="shared" ca="1" si="38"/>
        <v>477270</v>
      </c>
      <c r="AJ285" s="109">
        <f t="shared" ca="1" si="39"/>
        <v>6029730</v>
      </c>
    </row>
    <row r="286" spans="1:36" ht="15" customHeight="1" x14ac:dyDescent="0.3">
      <c r="A286" s="98" t="str">
        <f>EMPLOYEE_MASTER!A286</f>
        <v>LAO00283</v>
      </c>
      <c r="B286" s="98" t="str">
        <f>EMPLOYEE_MASTER!C286</f>
        <v>Phonevilay</v>
      </c>
      <c r="C286" s="98" t="str">
        <f>EMPLOYEE_MASTER!D286</f>
        <v>Phonemany</v>
      </c>
      <c r="D286" s="98" t="str">
        <f>EMPLOYEE_MASTER!T286</f>
        <v>Ministry of Industry &amp; Commerce (MoIC)</v>
      </c>
      <c r="E286" s="98" t="str">
        <f>EMPLOYEE_MASTER!M286</f>
        <v>Officer</v>
      </c>
      <c r="F286" s="98" t="str">
        <f>EMPLOYEE_MASTER!Z286</f>
        <v>Administration</v>
      </c>
      <c r="G286" s="99">
        <f>EMPLOYEE_MASTER!P286</f>
        <v>2</v>
      </c>
      <c r="H286" s="99">
        <f>EMPLOYEE_MASTER!Q286</f>
        <v>1</v>
      </c>
      <c r="I286" s="100" t="str">
        <f t="shared" si="32"/>
        <v>G02-S01</v>
      </c>
      <c r="J286" s="100">
        <f>IFERROR(VLOOKUP(I286,LK_GradeStep!$C$4:$D$85,2,0),0)</f>
        <v>268</v>
      </c>
      <c r="K286" s="100">
        <f>IFERROR(VLOOKUP(I286,LK_GradeStep!$C$4:$E$85,3,0),10000)</f>
        <v>10000</v>
      </c>
      <c r="L286" s="100">
        <f t="shared" si="33"/>
        <v>2680000</v>
      </c>
      <c r="M286" s="101">
        <f>IFERROR(VLOOKUP(EMPLOYEE_MASTER!AQ286,LK_AllowanceRates!$A$5:$B$11,2,0),0)</f>
        <v>900000</v>
      </c>
      <c r="N286" s="101">
        <f ca="1">IFERROR(IF(EMPLOYEE_MASTER!J286&lt;=5,  EMPLOYEE_MASTER!J286*LK_AllowanceRates!$B$12,IF(EMPLOYEE_MASTER!J286&lt;=15, EMPLOYEE_MASTER!J286*LK_AllowanceRates!$B$13,IF(EMPLOYEE_MASTER!J286&lt;=25, EMPLOYEE_MASTER!J286*LK_AllowanceRates!$B$14,EMPLOYEE_MASTER!J286*LK_AllowanceRates!$B$15))),0)</f>
        <v>1320000</v>
      </c>
      <c r="O286" s="101">
        <f>IF(EMPLOYEE_MASTER!AS286="Teaching",L286*LK_AllowanceRates!$B$16,0)</f>
        <v>0</v>
      </c>
      <c r="P286" s="101">
        <f>IF(EMPLOYEE_MASTER!AS286="Medical",LK_AllowanceRates!$B$17,0)</f>
        <v>0</v>
      </c>
      <c r="Q286" s="101">
        <f>IF(EMPLOYEE_MASTER!AR286="Yes",LK_AllowanceRates!$B$18,0)</f>
        <v>0</v>
      </c>
      <c r="R286" s="101">
        <f>IF(EMPLOYEE_MASTER!AC286="Yes",LK_AllowanceRates!$B$19,0)</f>
        <v>1000000</v>
      </c>
      <c r="S286" s="101">
        <f>IF(EMPLOYEE_MASTER!AA286="Yes",L286*LK_AllowanceRates!$B$20,0)</f>
        <v>670000</v>
      </c>
      <c r="T286" s="101">
        <f>IF(EMPLOYEE_MASTER!AB286="Yes",LK_AllowanceRates!$B$21,0)</f>
        <v>0</v>
      </c>
      <c r="U286" s="101">
        <f>IF(EMPLOYEE_MASTER!P286&gt;=6,LK_AllowanceRates!$B$22,0)</f>
        <v>0</v>
      </c>
      <c r="V286" s="101">
        <f>IF(EMPLOYEE_MASTER!AO286="Yes",LK_AllowanceRates!$B$23,0)</f>
        <v>0</v>
      </c>
      <c r="W286" s="101">
        <f>EMPLOYEE_MASTER!AP286*LK_AllowanceRates!$B$24</f>
        <v>0</v>
      </c>
      <c r="X286" s="101">
        <v>0</v>
      </c>
      <c r="Y286" s="102">
        <v>0</v>
      </c>
      <c r="Z286" s="102">
        <v>0</v>
      </c>
      <c r="AA286" s="102">
        <v>0</v>
      </c>
      <c r="AB286" s="103">
        <f t="shared" ca="1" si="34"/>
        <v>3890000</v>
      </c>
      <c r="AC286" s="104">
        <f t="shared" ca="1" si="35"/>
        <v>6570000</v>
      </c>
      <c r="AD286" s="105">
        <f>ROUND(L286*LK_AllowanceRates!$B$25/100,0)</f>
        <v>147400</v>
      </c>
      <c r="AE286" s="106">
        <f t="shared" ca="1" si="36"/>
        <v>6422600</v>
      </c>
      <c r="AF286" s="106">
        <f t="shared" ca="1" si="37"/>
        <v>327260</v>
      </c>
      <c r="AG286" s="107">
        <v>0</v>
      </c>
      <c r="AH286" s="107">
        <v>0</v>
      </c>
      <c r="AI286" s="108">
        <f t="shared" ca="1" si="38"/>
        <v>474660</v>
      </c>
      <c r="AJ286" s="109">
        <f t="shared" ca="1" si="39"/>
        <v>6095340</v>
      </c>
    </row>
    <row r="287" spans="1:36" ht="15" customHeight="1" x14ac:dyDescent="0.3">
      <c r="A287" s="98" t="str">
        <f>EMPLOYEE_MASTER!A287</f>
        <v>LAO00284</v>
      </c>
      <c r="B287" s="98" t="str">
        <f>EMPLOYEE_MASTER!C287</f>
        <v>Phengkham</v>
      </c>
      <c r="C287" s="98" t="str">
        <f>EMPLOYEE_MASTER!D287</f>
        <v>Sisouvath</v>
      </c>
      <c r="D287" s="98" t="str">
        <f>EMPLOYEE_MASTER!T287</f>
        <v>Ministry of Planning &amp; Investment (MPI)</v>
      </c>
      <c r="E287" s="98" t="str">
        <f>EMPLOYEE_MASTER!M287</f>
        <v>Deputy Director</v>
      </c>
      <c r="F287" s="98" t="str">
        <f>EMPLOYEE_MASTER!Z287</f>
        <v>Administration</v>
      </c>
      <c r="G287" s="99">
        <f>EMPLOYEE_MASTER!P287</f>
        <v>5</v>
      </c>
      <c r="H287" s="99">
        <f>EMPLOYEE_MASTER!Q287</f>
        <v>13</v>
      </c>
      <c r="I287" s="100" t="str">
        <f t="shared" si="32"/>
        <v>G05-S13</v>
      </c>
      <c r="J287" s="100">
        <f>IFERROR(VLOOKUP(I287,LK_GradeStep!$C$4:$D$85,2,0),0)</f>
        <v>398</v>
      </c>
      <c r="K287" s="100">
        <f>IFERROR(VLOOKUP(I287,LK_GradeStep!$C$4:$E$85,3,0),10000)</f>
        <v>10000</v>
      </c>
      <c r="L287" s="100">
        <f t="shared" si="33"/>
        <v>3980000</v>
      </c>
      <c r="M287" s="101">
        <f>IFERROR(VLOOKUP(EMPLOYEE_MASTER!AQ287,LK_AllowanceRates!$A$5:$B$11,2,0),0)</f>
        <v>2300000</v>
      </c>
      <c r="N287" s="101">
        <f ca="1">IFERROR(IF(EMPLOYEE_MASTER!J287&lt;=5,  EMPLOYEE_MASTER!J287*LK_AllowanceRates!$B$12,IF(EMPLOYEE_MASTER!J287&lt;=15, EMPLOYEE_MASTER!J287*LK_AllowanceRates!$B$13,IF(EMPLOYEE_MASTER!J287&lt;=25, EMPLOYEE_MASTER!J287*LK_AllowanceRates!$B$14,EMPLOYEE_MASTER!J287*LK_AllowanceRates!$B$15))),0)</f>
        <v>20000</v>
      </c>
      <c r="O287" s="101">
        <f>IF(EMPLOYEE_MASTER!AS287="Teaching",L287*LK_AllowanceRates!$B$16,0)</f>
        <v>0</v>
      </c>
      <c r="P287" s="101">
        <f>IF(EMPLOYEE_MASTER!AS287="Medical",LK_AllowanceRates!$B$17,0)</f>
        <v>0</v>
      </c>
      <c r="Q287" s="101">
        <f>IF(EMPLOYEE_MASTER!AR287="Yes",LK_AllowanceRates!$B$18,0)</f>
        <v>0</v>
      </c>
      <c r="R287" s="101">
        <f>IF(EMPLOYEE_MASTER!AC287="Yes",LK_AllowanceRates!$B$19,0)</f>
        <v>0</v>
      </c>
      <c r="S287" s="101">
        <f>IF(EMPLOYEE_MASTER!AA287="Yes",L287*LK_AllowanceRates!$B$20,0)</f>
        <v>0</v>
      </c>
      <c r="T287" s="101">
        <f>IF(EMPLOYEE_MASTER!AB287="Yes",LK_AllowanceRates!$B$21,0)</f>
        <v>0</v>
      </c>
      <c r="U287" s="101">
        <f>IF(EMPLOYEE_MASTER!P287&gt;=6,LK_AllowanceRates!$B$22,0)</f>
        <v>0</v>
      </c>
      <c r="V287" s="101">
        <f>IF(EMPLOYEE_MASTER!AO287="Yes",LK_AllowanceRates!$B$23,0)</f>
        <v>200000</v>
      </c>
      <c r="W287" s="101">
        <f>EMPLOYEE_MASTER!AP287*LK_AllowanceRates!$B$24</f>
        <v>400000</v>
      </c>
      <c r="X287" s="101">
        <v>0</v>
      </c>
      <c r="Y287" s="102">
        <v>0</v>
      </c>
      <c r="Z287" s="102">
        <v>0</v>
      </c>
      <c r="AA287" s="102">
        <v>0</v>
      </c>
      <c r="AB287" s="103">
        <f t="shared" ca="1" si="34"/>
        <v>2920000</v>
      </c>
      <c r="AC287" s="104">
        <f t="shared" ca="1" si="35"/>
        <v>6900000</v>
      </c>
      <c r="AD287" s="105">
        <f>ROUND(L287*LK_AllowanceRates!$B$25/100,0)</f>
        <v>218900</v>
      </c>
      <c r="AE287" s="106">
        <f t="shared" ca="1" si="36"/>
        <v>6681100</v>
      </c>
      <c r="AF287" s="106">
        <f t="shared" ca="1" si="37"/>
        <v>353110</v>
      </c>
      <c r="AG287" s="107">
        <v>0</v>
      </c>
      <c r="AH287" s="107">
        <v>0</v>
      </c>
      <c r="AI287" s="108">
        <f t="shared" ca="1" si="38"/>
        <v>572010</v>
      </c>
      <c r="AJ287" s="109">
        <f t="shared" ca="1" si="39"/>
        <v>6327990</v>
      </c>
    </row>
    <row r="288" spans="1:36" ht="15" customHeight="1" x14ac:dyDescent="0.3">
      <c r="A288" s="98" t="str">
        <f>EMPLOYEE_MASTER!A288</f>
        <v>LAO00285</v>
      </c>
      <c r="B288" s="98" t="str">
        <f>EMPLOYEE_MASTER!C288</f>
        <v>Sommay</v>
      </c>
      <c r="C288" s="98" t="str">
        <f>EMPLOYEE_MASTER!D288</f>
        <v>Xaysomboun</v>
      </c>
      <c r="D288" s="98" t="str">
        <f>EMPLOYEE_MASTER!T288</f>
        <v>Ministry of Justice (MoJ)</v>
      </c>
      <c r="E288" s="98" t="str">
        <f>EMPLOYEE_MASTER!M288</f>
        <v>Legal Officer</v>
      </c>
      <c r="F288" s="98" t="str">
        <f>EMPLOYEE_MASTER!Z288</f>
        <v>Legal</v>
      </c>
      <c r="G288" s="99">
        <f>EMPLOYEE_MASTER!P288</f>
        <v>3</v>
      </c>
      <c r="H288" s="99">
        <f>EMPLOYEE_MASTER!Q288</f>
        <v>5</v>
      </c>
      <c r="I288" s="100" t="str">
        <f t="shared" si="32"/>
        <v>G03-S05</v>
      </c>
      <c r="J288" s="100">
        <f>IFERROR(VLOOKUP(I288,LK_GradeStep!$C$4:$D$85,2,0),0)</f>
        <v>280</v>
      </c>
      <c r="K288" s="100">
        <f>IFERROR(VLOOKUP(I288,LK_GradeStep!$C$4:$E$85,3,0),10000)</f>
        <v>10000</v>
      </c>
      <c r="L288" s="100">
        <f t="shared" si="33"/>
        <v>2800000</v>
      </c>
      <c r="M288" s="101">
        <f>IFERROR(VLOOKUP(EMPLOYEE_MASTER!AQ288,LK_AllowanceRates!$A$5:$B$11,2,0),0)</f>
        <v>900000</v>
      </c>
      <c r="N288" s="101">
        <f ca="1">IFERROR(IF(EMPLOYEE_MASTER!J288&lt;=5,  EMPLOYEE_MASTER!J288*LK_AllowanceRates!$B$12,IF(EMPLOYEE_MASTER!J288&lt;=15, EMPLOYEE_MASTER!J288*LK_AllowanceRates!$B$13,IF(EMPLOYEE_MASTER!J288&lt;=25, EMPLOYEE_MASTER!J288*LK_AllowanceRates!$B$14,EMPLOYEE_MASTER!J288*LK_AllowanceRates!$B$15))),0)</f>
        <v>260000</v>
      </c>
      <c r="O288" s="101">
        <f>IF(EMPLOYEE_MASTER!AS288="Teaching",L288*LK_AllowanceRates!$B$16,0)</f>
        <v>0</v>
      </c>
      <c r="P288" s="101">
        <f>IF(EMPLOYEE_MASTER!AS288="Medical",LK_AllowanceRates!$B$17,0)</f>
        <v>0</v>
      </c>
      <c r="Q288" s="101">
        <f>IF(EMPLOYEE_MASTER!AR288="Yes",LK_AllowanceRates!$B$18,0)</f>
        <v>0</v>
      </c>
      <c r="R288" s="101">
        <f>IF(EMPLOYEE_MASTER!AC288="Yes",LK_AllowanceRates!$B$19,0)</f>
        <v>1000000</v>
      </c>
      <c r="S288" s="101">
        <f>IF(EMPLOYEE_MASTER!AA288="Yes",L288*LK_AllowanceRates!$B$20,0)</f>
        <v>700000</v>
      </c>
      <c r="T288" s="101">
        <f>IF(EMPLOYEE_MASTER!AB288="Yes",LK_AllowanceRates!$B$21,0)</f>
        <v>0</v>
      </c>
      <c r="U288" s="101">
        <f>IF(EMPLOYEE_MASTER!P288&gt;=6,LK_AllowanceRates!$B$22,0)</f>
        <v>0</v>
      </c>
      <c r="V288" s="101">
        <f>IF(EMPLOYEE_MASTER!AO288="Yes",LK_AllowanceRates!$B$23,0)</f>
        <v>200000</v>
      </c>
      <c r="W288" s="101">
        <f>EMPLOYEE_MASTER!AP288*LK_AllowanceRates!$B$24</f>
        <v>400000</v>
      </c>
      <c r="X288" s="101">
        <v>0</v>
      </c>
      <c r="Y288" s="102">
        <v>0</v>
      </c>
      <c r="Z288" s="102">
        <v>0</v>
      </c>
      <c r="AA288" s="102">
        <v>0</v>
      </c>
      <c r="AB288" s="103">
        <f t="shared" ca="1" si="34"/>
        <v>3460000</v>
      </c>
      <c r="AC288" s="104">
        <f t="shared" ca="1" si="35"/>
        <v>6260000</v>
      </c>
      <c r="AD288" s="105">
        <f>ROUND(L288*LK_AllowanceRates!$B$25/100,0)</f>
        <v>154000</v>
      </c>
      <c r="AE288" s="106">
        <f t="shared" ca="1" si="36"/>
        <v>6106000</v>
      </c>
      <c r="AF288" s="106">
        <f t="shared" ca="1" si="37"/>
        <v>295600</v>
      </c>
      <c r="AG288" s="107">
        <v>0</v>
      </c>
      <c r="AH288" s="107">
        <v>0</v>
      </c>
      <c r="AI288" s="108">
        <f t="shared" ca="1" si="38"/>
        <v>449600</v>
      </c>
      <c r="AJ288" s="109">
        <f t="shared" ca="1" si="39"/>
        <v>5810400</v>
      </c>
    </row>
    <row r="289" spans="1:36" ht="15" customHeight="1" x14ac:dyDescent="0.3">
      <c r="A289" s="98" t="str">
        <f>EMPLOYEE_MASTER!A289</f>
        <v>LAO00286</v>
      </c>
      <c r="B289" s="98" t="str">
        <f>EMPLOYEE_MASTER!C289</f>
        <v>Lattanaphone</v>
      </c>
      <c r="C289" s="98" t="str">
        <f>EMPLOYEE_MASTER!D289</f>
        <v>Bounseng</v>
      </c>
      <c r="D289" s="98" t="str">
        <f>EMPLOYEE_MASTER!T289</f>
        <v>Ministry of Justice (MoJ)</v>
      </c>
      <c r="E289" s="98" t="str">
        <f>EMPLOYEE_MASTER!M289</f>
        <v>Legal Officer</v>
      </c>
      <c r="F289" s="98" t="str">
        <f>EMPLOYEE_MASTER!Z289</f>
        <v>Legal</v>
      </c>
      <c r="G289" s="99">
        <f>EMPLOYEE_MASTER!P289</f>
        <v>4</v>
      </c>
      <c r="H289" s="99">
        <f>EMPLOYEE_MASTER!Q289</f>
        <v>2</v>
      </c>
      <c r="I289" s="100" t="str">
        <f t="shared" si="32"/>
        <v>G04-S02</v>
      </c>
      <c r="J289" s="100">
        <f>IFERROR(VLOOKUP(I289,LK_GradeStep!$C$4:$D$85,2,0),0)</f>
        <v>288</v>
      </c>
      <c r="K289" s="100">
        <f>IFERROR(VLOOKUP(I289,LK_GradeStep!$C$4:$E$85,3,0),10000)</f>
        <v>10000</v>
      </c>
      <c r="L289" s="100">
        <f t="shared" si="33"/>
        <v>2880000</v>
      </c>
      <c r="M289" s="101">
        <f>IFERROR(VLOOKUP(EMPLOYEE_MASTER!AQ289,LK_AllowanceRates!$A$5:$B$11,2,0),0)</f>
        <v>900000</v>
      </c>
      <c r="N289" s="101">
        <f ca="1">IFERROR(IF(EMPLOYEE_MASTER!J289&lt;=5,  EMPLOYEE_MASTER!J289*LK_AllowanceRates!$B$12,IF(EMPLOYEE_MASTER!J289&lt;=15, EMPLOYEE_MASTER!J289*LK_AllowanceRates!$B$13,IF(EMPLOYEE_MASTER!J289&lt;=25, EMPLOYEE_MASTER!J289*LK_AllowanceRates!$B$14,EMPLOYEE_MASTER!J289*LK_AllowanceRates!$B$15))),0)</f>
        <v>720000</v>
      </c>
      <c r="O289" s="101">
        <f>IF(EMPLOYEE_MASTER!AS289="Teaching",L289*LK_AllowanceRates!$B$16,0)</f>
        <v>0</v>
      </c>
      <c r="P289" s="101">
        <f>IF(EMPLOYEE_MASTER!AS289="Medical",LK_AllowanceRates!$B$17,0)</f>
        <v>0</v>
      </c>
      <c r="Q289" s="101">
        <f>IF(EMPLOYEE_MASTER!AR289="Yes",LK_AllowanceRates!$B$18,0)</f>
        <v>0</v>
      </c>
      <c r="R289" s="101">
        <f>IF(EMPLOYEE_MASTER!AC289="Yes",LK_AllowanceRates!$B$19,0)</f>
        <v>1000000</v>
      </c>
      <c r="S289" s="101">
        <f>IF(EMPLOYEE_MASTER!AA289="Yes",L289*LK_AllowanceRates!$B$20,0)</f>
        <v>720000</v>
      </c>
      <c r="T289" s="101">
        <f>IF(EMPLOYEE_MASTER!AB289="Yes",LK_AllowanceRates!$B$21,0)</f>
        <v>0</v>
      </c>
      <c r="U289" s="101">
        <f>IF(EMPLOYEE_MASTER!P289&gt;=6,LK_AllowanceRates!$B$22,0)</f>
        <v>0</v>
      </c>
      <c r="V289" s="101">
        <f>IF(EMPLOYEE_MASTER!AO289="Yes",LK_AllowanceRates!$B$23,0)</f>
        <v>200000</v>
      </c>
      <c r="W289" s="101">
        <f>EMPLOYEE_MASTER!AP289*LK_AllowanceRates!$B$24</f>
        <v>400000</v>
      </c>
      <c r="X289" s="101">
        <v>0</v>
      </c>
      <c r="Y289" s="102">
        <v>0</v>
      </c>
      <c r="Z289" s="102">
        <v>0</v>
      </c>
      <c r="AA289" s="102">
        <v>0</v>
      </c>
      <c r="AB289" s="103">
        <f t="shared" ca="1" si="34"/>
        <v>3940000</v>
      </c>
      <c r="AC289" s="104">
        <f t="shared" ca="1" si="35"/>
        <v>6820000</v>
      </c>
      <c r="AD289" s="105">
        <f>ROUND(L289*LK_AllowanceRates!$B$25/100,0)</f>
        <v>158400</v>
      </c>
      <c r="AE289" s="106">
        <f t="shared" ca="1" si="36"/>
        <v>6661600</v>
      </c>
      <c r="AF289" s="106">
        <f t="shared" ca="1" si="37"/>
        <v>351160</v>
      </c>
      <c r="AG289" s="107">
        <v>0</v>
      </c>
      <c r="AH289" s="107">
        <v>0</v>
      </c>
      <c r="AI289" s="108">
        <f t="shared" ca="1" si="38"/>
        <v>509560</v>
      </c>
      <c r="AJ289" s="109">
        <f t="shared" ca="1" si="39"/>
        <v>6310440</v>
      </c>
    </row>
    <row r="290" spans="1:36" ht="15" customHeight="1" x14ac:dyDescent="0.3">
      <c r="A290" s="98" t="str">
        <f>EMPLOYEE_MASTER!A290</f>
        <v>LAO00287</v>
      </c>
      <c r="B290" s="98" t="str">
        <f>EMPLOYEE_MASTER!C290</f>
        <v>Soulivanh</v>
      </c>
      <c r="C290" s="98" t="str">
        <f>EMPLOYEE_MASTER!D290</f>
        <v>Phaymany</v>
      </c>
      <c r="D290" s="98" t="str">
        <f>EMPLOYEE_MASTER!T290</f>
        <v>Ministry of Planning &amp; Investment (MPI)</v>
      </c>
      <c r="E290" s="98" t="str">
        <f>EMPLOYEE_MASTER!M290</f>
        <v>Administrative Officer</v>
      </c>
      <c r="F290" s="98" t="str">
        <f>EMPLOYEE_MASTER!Z290</f>
        <v>Administration</v>
      </c>
      <c r="G290" s="99">
        <f>EMPLOYEE_MASTER!P290</f>
        <v>3</v>
      </c>
      <c r="H290" s="99">
        <f>EMPLOYEE_MASTER!Q290</f>
        <v>2</v>
      </c>
      <c r="I290" s="100" t="str">
        <f t="shared" si="32"/>
        <v>G03-S02</v>
      </c>
      <c r="J290" s="100">
        <f>IFERROR(VLOOKUP(I290,LK_GradeStep!$C$4:$D$85,2,0),0)</f>
        <v>277</v>
      </c>
      <c r="K290" s="100">
        <f>IFERROR(VLOOKUP(I290,LK_GradeStep!$C$4:$E$85,3,0),10000)</f>
        <v>10000</v>
      </c>
      <c r="L290" s="100">
        <f t="shared" si="33"/>
        <v>2770000</v>
      </c>
      <c r="M290" s="101">
        <f>IFERROR(VLOOKUP(EMPLOYEE_MASTER!AQ290,LK_AllowanceRates!$A$5:$B$11,2,0),0)</f>
        <v>900000</v>
      </c>
      <c r="N290" s="101">
        <f ca="1">IFERROR(IF(EMPLOYEE_MASTER!J290&lt;=5,  EMPLOYEE_MASTER!J290*LK_AllowanceRates!$B$12,IF(EMPLOYEE_MASTER!J290&lt;=15, EMPLOYEE_MASTER!J290*LK_AllowanceRates!$B$13,IF(EMPLOYEE_MASTER!J290&lt;=25, EMPLOYEE_MASTER!J290*LK_AllowanceRates!$B$14,EMPLOYEE_MASTER!J290*LK_AllowanceRates!$B$15))),0)</f>
        <v>300000</v>
      </c>
      <c r="O290" s="101">
        <f>IF(EMPLOYEE_MASTER!AS290="Teaching",L290*LK_AllowanceRates!$B$16,0)</f>
        <v>0</v>
      </c>
      <c r="P290" s="101">
        <f>IF(EMPLOYEE_MASTER!AS290="Medical",LK_AllowanceRates!$B$17,0)</f>
        <v>0</v>
      </c>
      <c r="Q290" s="101">
        <f>IF(EMPLOYEE_MASTER!AR290="Yes",LK_AllowanceRates!$B$18,0)</f>
        <v>0</v>
      </c>
      <c r="R290" s="101">
        <f>IF(EMPLOYEE_MASTER!AC290="Yes",LK_AllowanceRates!$B$19,0)</f>
        <v>1000000</v>
      </c>
      <c r="S290" s="101">
        <f>IF(EMPLOYEE_MASTER!AA290="Yes",L290*LK_AllowanceRates!$B$20,0)</f>
        <v>692500</v>
      </c>
      <c r="T290" s="101">
        <f>IF(EMPLOYEE_MASTER!AB290="Yes",LK_AllowanceRates!$B$21,0)</f>
        <v>0</v>
      </c>
      <c r="U290" s="101">
        <f>IF(EMPLOYEE_MASTER!P290&gt;=6,LK_AllowanceRates!$B$22,0)</f>
        <v>0</v>
      </c>
      <c r="V290" s="101">
        <f>IF(EMPLOYEE_MASTER!AO290="Yes",LK_AllowanceRates!$B$23,0)</f>
        <v>200000</v>
      </c>
      <c r="W290" s="101">
        <f>EMPLOYEE_MASTER!AP290*LK_AllowanceRates!$B$24</f>
        <v>0</v>
      </c>
      <c r="X290" s="101">
        <v>0</v>
      </c>
      <c r="Y290" s="102">
        <v>0</v>
      </c>
      <c r="Z290" s="102">
        <v>0</v>
      </c>
      <c r="AA290" s="102">
        <v>0</v>
      </c>
      <c r="AB290" s="103">
        <f t="shared" ca="1" si="34"/>
        <v>3092500</v>
      </c>
      <c r="AC290" s="104">
        <f t="shared" ca="1" si="35"/>
        <v>5862500</v>
      </c>
      <c r="AD290" s="105">
        <f>ROUND(L290*LK_AllowanceRates!$B$25/100,0)</f>
        <v>152350</v>
      </c>
      <c r="AE290" s="106">
        <f t="shared" ca="1" si="36"/>
        <v>5710150</v>
      </c>
      <c r="AF290" s="106">
        <f t="shared" ca="1" si="37"/>
        <v>256015</v>
      </c>
      <c r="AG290" s="107">
        <v>0</v>
      </c>
      <c r="AH290" s="107">
        <v>0</v>
      </c>
      <c r="AI290" s="108">
        <f t="shared" ca="1" si="38"/>
        <v>408365</v>
      </c>
      <c r="AJ290" s="109">
        <f t="shared" ca="1" si="39"/>
        <v>5454135</v>
      </c>
    </row>
    <row r="291" spans="1:36" ht="15" customHeight="1" x14ac:dyDescent="0.3">
      <c r="A291" s="98" t="str">
        <f>EMPLOYEE_MASTER!A291</f>
        <v>LAO00288</v>
      </c>
      <c r="B291" s="98" t="str">
        <f>EMPLOYEE_MASTER!C291</f>
        <v>Khamla</v>
      </c>
      <c r="C291" s="98" t="str">
        <f>EMPLOYEE_MASTER!D291</f>
        <v>Manivong</v>
      </c>
      <c r="D291" s="98" t="str">
        <f>EMPLOYEE_MASTER!T291</f>
        <v>Ministry of Health (MoH)</v>
      </c>
      <c r="E291" s="98" t="str">
        <f>EMPLOYEE_MASTER!M291</f>
        <v>Senior Doctor</v>
      </c>
      <c r="F291" s="98" t="str">
        <f>EMPLOYEE_MASTER!Z291</f>
        <v>Medical</v>
      </c>
      <c r="G291" s="99">
        <f>EMPLOYEE_MASTER!P291</f>
        <v>4</v>
      </c>
      <c r="H291" s="99">
        <f>EMPLOYEE_MASTER!Q291</f>
        <v>1</v>
      </c>
      <c r="I291" s="100" t="str">
        <f t="shared" si="32"/>
        <v>G04-S01</v>
      </c>
      <c r="J291" s="100">
        <f>IFERROR(VLOOKUP(I291,LK_GradeStep!$C$4:$D$85,2,0),0)</f>
        <v>286</v>
      </c>
      <c r="K291" s="100">
        <f>IFERROR(VLOOKUP(I291,LK_GradeStep!$C$4:$E$85,3,0),10000)</f>
        <v>10000</v>
      </c>
      <c r="L291" s="100">
        <f t="shared" si="33"/>
        <v>2860000</v>
      </c>
      <c r="M291" s="101">
        <f>IFERROR(VLOOKUP(EMPLOYEE_MASTER!AQ291,LK_AllowanceRates!$A$5:$B$11,2,0),0)</f>
        <v>900000</v>
      </c>
      <c r="N291" s="101">
        <f ca="1">IFERROR(IF(EMPLOYEE_MASTER!J291&lt;=5,  EMPLOYEE_MASTER!J291*LK_AllowanceRates!$B$12,IF(EMPLOYEE_MASTER!J291&lt;=15, EMPLOYEE_MASTER!J291*LK_AllowanceRates!$B$13,IF(EMPLOYEE_MASTER!J291&lt;=25, EMPLOYEE_MASTER!J291*LK_AllowanceRates!$B$14,EMPLOYEE_MASTER!J291*LK_AllowanceRates!$B$15))),0)</f>
        <v>510000</v>
      </c>
      <c r="O291" s="101">
        <f>IF(EMPLOYEE_MASTER!AS291="Teaching",L291*LK_AllowanceRates!$B$16,0)</f>
        <v>0</v>
      </c>
      <c r="P291" s="101">
        <f>IF(EMPLOYEE_MASTER!AS291="Medical",LK_AllowanceRates!$B$17,0)</f>
        <v>500000</v>
      </c>
      <c r="Q291" s="101">
        <f>IF(EMPLOYEE_MASTER!AR291="Yes",LK_AllowanceRates!$B$18,0)</f>
        <v>0</v>
      </c>
      <c r="R291" s="101">
        <f>IF(EMPLOYEE_MASTER!AC291="Yes",LK_AllowanceRates!$B$19,0)</f>
        <v>0</v>
      </c>
      <c r="S291" s="101">
        <f>IF(EMPLOYEE_MASTER!AA291="Yes",L291*LK_AllowanceRates!$B$20,0)</f>
        <v>715000</v>
      </c>
      <c r="T291" s="101">
        <f>IF(EMPLOYEE_MASTER!AB291="Yes",LK_AllowanceRates!$B$21,0)</f>
        <v>0</v>
      </c>
      <c r="U291" s="101">
        <f>IF(EMPLOYEE_MASTER!P291&gt;=6,LK_AllowanceRates!$B$22,0)</f>
        <v>0</v>
      </c>
      <c r="V291" s="101">
        <f>IF(EMPLOYEE_MASTER!AO291="Yes",LK_AllowanceRates!$B$23,0)</f>
        <v>0</v>
      </c>
      <c r="W291" s="101">
        <f>EMPLOYEE_MASTER!AP291*LK_AllowanceRates!$B$24</f>
        <v>0</v>
      </c>
      <c r="X291" s="101">
        <v>0</v>
      </c>
      <c r="Y291" s="102">
        <v>0</v>
      </c>
      <c r="Z291" s="102">
        <v>0</v>
      </c>
      <c r="AA291" s="102">
        <v>0</v>
      </c>
      <c r="AB291" s="103">
        <f t="shared" ca="1" si="34"/>
        <v>2625000</v>
      </c>
      <c r="AC291" s="104">
        <f t="shared" ca="1" si="35"/>
        <v>5485000</v>
      </c>
      <c r="AD291" s="105">
        <f>ROUND(L291*LK_AllowanceRates!$B$25/100,0)</f>
        <v>157300</v>
      </c>
      <c r="AE291" s="106">
        <f t="shared" ca="1" si="36"/>
        <v>5327700</v>
      </c>
      <c r="AF291" s="106">
        <f t="shared" ca="1" si="37"/>
        <v>217770</v>
      </c>
      <c r="AG291" s="107">
        <v>0</v>
      </c>
      <c r="AH291" s="107">
        <v>0</v>
      </c>
      <c r="AI291" s="108">
        <f t="shared" ca="1" si="38"/>
        <v>375070</v>
      </c>
      <c r="AJ291" s="109">
        <f t="shared" ca="1" si="39"/>
        <v>5109930</v>
      </c>
    </row>
    <row r="292" spans="1:36" ht="15" customHeight="1" x14ac:dyDescent="0.3">
      <c r="A292" s="98" t="str">
        <f>EMPLOYEE_MASTER!A292</f>
        <v>LAO00289</v>
      </c>
      <c r="B292" s="98" t="str">
        <f>EMPLOYEE_MASTER!C292</f>
        <v>Phonexay</v>
      </c>
      <c r="C292" s="98" t="str">
        <f>EMPLOYEE_MASTER!D292</f>
        <v>Phommachack</v>
      </c>
      <c r="D292" s="98" t="str">
        <f>EMPLOYEE_MASTER!T292</f>
        <v>Ministry of Labour &amp; Social Welfare (MLSW)</v>
      </c>
      <c r="E292" s="98" t="str">
        <f>EMPLOYEE_MASTER!M292</f>
        <v>Officer</v>
      </c>
      <c r="F292" s="98" t="str">
        <f>EMPLOYEE_MASTER!Z292</f>
        <v>Administration</v>
      </c>
      <c r="G292" s="99">
        <f>EMPLOYEE_MASTER!P292</f>
        <v>4</v>
      </c>
      <c r="H292" s="99">
        <f>EMPLOYEE_MASTER!Q292</f>
        <v>6</v>
      </c>
      <c r="I292" s="100" t="str">
        <f t="shared" si="32"/>
        <v>G04-S06</v>
      </c>
      <c r="J292" s="100">
        <f>IFERROR(VLOOKUP(I292,LK_GradeStep!$C$4:$D$85,2,0),0)</f>
        <v>296</v>
      </c>
      <c r="K292" s="100">
        <f>IFERROR(VLOOKUP(I292,LK_GradeStep!$C$4:$E$85,3,0),10000)</f>
        <v>10000</v>
      </c>
      <c r="L292" s="100">
        <f t="shared" si="33"/>
        <v>2960000</v>
      </c>
      <c r="M292" s="101">
        <f>IFERROR(VLOOKUP(EMPLOYEE_MASTER!AQ292,LK_AllowanceRates!$A$5:$B$11,2,0),0)</f>
        <v>900000</v>
      </c>
      <c r="N292" s="101">
        <f ca="1">IFERROR(IF(EMPLOYEE_MASTER!J292&lt;=5,  EMPLOYEE_MASTER!J292*LK_AllowanceRates!$B$12,IF(EMPLOYEE_MASTER!J292&lt;=15, EMPLOYEE_MASTER!J292*LK_AllowanceRates!$B$13,IF(EMPLOYEE_MASTER!J292&lt;=25, EMPLOYEE_MASTER!J292*LK_AllowanceRates!$B$14,EMPLOYEE_MASTER!J292*LK_AllowanceRates!$B$15))),0)</f>
        <v>750000</v>
      </c>
      <c r="O292" s="101">
        <f>IF(EMPLOYEE_MASTER!AS292="Teaching",L292*LK_AllowanceRates!$B$16,0)</f>
        <v>0</v>
      </c>
      <c r="P292" s="101">
        <f>IF(EMPLOYEE_MASTER!AS292="Medical",LK_AllowanceRates!$B$17,0)</f>
        <v>0</v>
      </c>
      <c r="Q292" s="101">
        <f>IF(EMPLOYEE_MASTER!AR292="Yes",LK_AllowanceRates!$B$18,0)</f>
        <v>0</v>
      </c>
      <c r="R292" s="101">
        <f>IF(EMPLOYEE_MASTER!AC292="Yes",LK_AllowanceRates!$B$19,0)</f>
        <v>0</v>
      </c>
      <c r="S292" s="101">
        <f>IF(EMPLOYEE_MASTER!AA292="Yes",L292*LK_AllowanceRates!$B$20,0)</f>
        <v>0</v>
      </c>
      <c r="T292" s="101">
        <f>IF(EMPLOYEE_MASTER!AB292="Yes",LK_AllowanceRates!$B$21,0)</f>
        <v>0</v>
      </c>
      <c r="U292" s="101">
        <f>IF(EMPLOYEE_MASTER!P292&gt;=6,LK_AllowanceRates!$B$22,0)</f>
        <v>0</v>
      </c>
      <c r="V292" s="101">
        <f>IF(EMPLOYEE_MASTER!AO292="Yes",LK_AllowanceRates!$B$23,0)</f>
        <v>0</v>
      </c>
      <c r="W292" s="101">
        <f>EMPLOYEE_MASTER!AP292*LK_AllowanceRates!$B$24</f>
        <v>0</v>
      </c>
      <c r="X292" s="101">
        <v>0</v>
      </c>
      <c r="Y292" s="102">
        <v>0</v>
      </c>
      <c r="Z292" s="102">
        <v>0</v>
      </c>
      <c r="AA292" s="102">
        <v>0</v>
      </c>
      <c r="AB292" s="103">
        <f t="shared" ca="1" si="34"/>
        <v>1650000</v>
      </c>
      <c r="AC292" s="104">
        <f t="shared" ca="1" si="35"/>
        <v>4610000</v>
      </c>
      <c r="AD292" s="105">
        <f>ROUND(L292*LK_AllowanceRates!$B$25/100,0)</f>
        <v>162800</v>
      </c>
      <c r="AE292" s="106">
        <f t="shared" ca="1" si="36"/>
        <v>4447200</v>
      </c>
      <c r="AF292" s="106">
        <f t="shared" ca="1" si="37"/>
        <v>157360</v>
      </c>
      <c r="AG292" s="107">
        <v>0</v>
      </c>
      <c r="AH292" s="107">
        <v>0</v>
      </c>
      <c r="AI292" s="108">
        <f t="shared" ca="1" si="38"/>
        <v>320160</v>
      </c>
      <c r="AJ292" s="109">
        <f t="shared" ca="1" si="39"/>
        <v>4289840</v>
      </c>
    </row>
    <row r="293" spans="1:36" ht="15" customHeight="1" x14ac:dyDescent="0.3">
      <c r="A293" s="98" t="str">
        <f>EMPLOYEE_MASTER!A293</f>
        <v>LAO00290</v>
      </c>
      <c r="B293" s="98" t="str">
        <f>EMPLOYEE_MASTER!C293</f>
        <v>Dalavanh</v>
      </c>
      <c r="C293" s="98" t="str">
        <f>EMPLOYEE_MASTER!D293</f>
        <v>Khambounheuang</v>
      </c>
      <c r="D293" s="98" t="str">
        <f>EMPLOYEE_MASTER!T293</f>
        <v>Ministry of Agriculture and Forestry (MoAF)</v>
      </c>
      <c r="E293" s="98" t="str">
        <f>EMPLOYEE_MASTER!M293</f>
        <v>IT Officer</v>
      </c>
      <c r="F293" s="98" t="str">
        <f>EMPLOYEE_MASTER!Z293</f>
        <v>Technical</v>
      </c>
      <c r="G293" s="99">
        <f>EMPLOYEE_MASTER!P293</f>
        <v>2</v>
      </c>
      <c r="H293" s="99">
        <f>EMPLOYEE_MASTER!Q293</f>
        <v>1</v>
      </c>
      <c r="I293" s="100" t="str">
        <f t="shared" si="32"/>
        <v>G02-S01</v>
      </c>
      <c r="J293" s="100">
        <f>IFERROR(VLOOKUP(I293,LK_GradeStep!$C$4:$D$85,2,0),0)</f>
        <v>268</v>
      </c>
      <c r="K293" s="100">
        <f>IFERROR(VLOOKUP(I293,LK_GradeStep!$C$4:$E$85,3,0),10000)</f>
        <v>10000</v>
      </c>
      <c r="L293" s="100">
        <f t="shared" si="33"/>
        <v>2680000</v>
      </c>
      <c r="M293" s="101">
        <f>IFERROR(VLOOKUP(EMPLOYEE_MASTER!AQ293,LK_AllowanceRates!$A$5:$B$11,2,0),0)</f>
        <v>900000</v>
      </c>
      <c r="N293" s="101">
        <f ca="1">IFERROR(IF(EMPLOYEE_MASTER!J293&lt;=5,  EMPLOYEE_MASTER!J293*LK_AllowanceRates!$B$12,IF(EMPLOYEE_MASTER!J293&lt;=15, EMPLOYEE_MASTER!J293*LK_AllowanceRates!$B$13,IF(EMPLOYEE_MASTER!J293&lt;=25, EMPLOYEE_MASTER!J293*LK_AllowanceRates!$B$14,EMPLOYEE_MASTER!J293*LK_AllowanceRates!$B$15))),0)</f>
        <v>1360000</v>
      </c>
      <c r="O293" s="101">
        <f>IF(EMPLOYEE_MASTER!AS293="Teaching",L293*LK_AllowanceRates!$B$16,0)</f>
        <v>0</v>
      </c>
      <c r="P293" s="101">
        <f>IF(EMPLOYEE_MASTER!AS293="Medical",LK_AllowanceRates!$B$17,0)</f>
        <v>0</v>
      </c>
      <c r="Q293" s="101">
        <f>IF(EMPLOYEE_MASTER!AR293="Yes",LK_AllowanceRates!$B$18,0)</f>
        <v>0</v>
      </c>
      <c r="R293" s="101">
        <f>IF(EMPLOYEE_MASTER!AC293="Yes",LK_AllowanceRates!$B$19,0)</f>
        <v>1000000</v>
      </c>
      <c r="S293" s="101">
        <f>IF(EMPLOYEE_MASTER!AA293="Yes",L293*LK_AllowanceRates!$B$20,0)</f>
        <v>670000</v>
      </c>
      <c r="T293" s="101">
        <f>IF(EMPLOYEE_MASTER!AB293="Yes",LK_AllowanceRates!$B$21,0)</f>
        <v>0</v>
      </c>
      <c r="U293" s="101">
        <f>IF(EMPLOYEE_MASTER!P293&gt;=6,LK_AllowanceRates!$B$22,0)</f>
        <v>0</v>
      </c>
      <c r="V293" s="101">
        <f>IF(EMPLOYEE_MASTER!AO293="Yes",LK_AllowanceRates!$B$23,0)</f>
        <v>200000</v>
      </c>
      <c r="W293" s="101">
        <f>EMPLOYEE_MASTER!AP293*LK_AllowanceRates!$B$24</f>
        <v>600000</v>
      </c>
      <c r="X293" s="101">
        <v>0</v>
      </c>
      <c r="Y293" s="102">
        <v>0</v>
      </c>
      <c r="Z293" s="102">
        <v>0</v>
      </c>
      <c r="AA293" s="102">
        <v>0</v>
      </c>
      <c r="AB293" s="103">
        <f t="shared" ca="1" si="34"/>
        <v>4730000</v>
      </c>
      <c r="AC293" s="104">
        <f t="shared" ca="1" si="35"/>
        <v>7410000</v>
      </c>
      <c r="AD293" s="105">
        <f>ROUND(L293*LK_AllowanceRates!$B$25/100,0)</f>
        <v>147400</v>
      </c>
      <c r="AE293" s="106">
        <f t="shared" ca="1" si="36"/>
        <v>7262600</v>
      </c>
      <c r="AF293" s="106">
        <f t="shared" ca="1" si="37"/>
        <v>411260</v>
      </c>
      <c r="AG293" s="107">
        <v>0</v>
      </c>
      <c r="AH293" s="107">
        <v>0</v>
      </c>
      <c r="AI293" s="108">
        <f t="shared" ca="1" si="38"/>
        <v>558660</v>
      </c>
      <c r="AJ293" s="109">
        <f t="shared" ca="1" si="39"/>
        <v>6851340</v>
      </c>
    </row>
    <row r="294" spans="1:36" ht="15" customHeight="1" x14ac:dyDescent="0.3">
      <c r="A294" s="98" t="str">
        <f>EMPLOYEE_MASTER!A294</f>
        <v>LAO00291</v>
      </c>
      <c r="B294" s="98" t="str">
        <f>EMPLOYEE_MASTER!C294</f>
        <v>Vilaychith</v>
      </c>
      <c r="C294" s="98" t="str">
        <f>EMPLOYEE_MASTER!D294</f>
        <v>Soulisack</v>
      </c>
      <c r="D294" s="98" t="str">
        <f>EMPLOYEE_MASTER!T294</f>
        <v>Ministry of Health (MoH)</v>
      </c>
      <c r="E294" s="98" t="str">
        <f>EMPLOYEE_MASTER!M294</f>
        <v>Medical Specialist</v>
      </c>
      <c r="F294" s="98" t="str">
        <f>EMPLOYEE_MASTER!Z294</f>
        <v>Medical</v>
      </c>
      <c r="G294" s="99">
        <f>EMPLOYEE_MASTER!P294</f>
        <v>5</v>
      </c>
      <c r="H294" s="99">
        <f>EMPLOYEE_MASTER!Q294</f>
        <v>1</v>
      </c>
      <c r="I294" s="100" t="str">
        <f t="shared" si="32"/>
        <v>G05-S01</v>
      </c>
      <c r="J294" s="100">
        <f>IFERROR(VLOOKUP(I294,LK_GradeStep!$C$4:$D$85,2,0),0)</f>
        <v>308</v>
      </c>
      <c r="K294" s="100">
        <f>IFERROR(VLOOKUP(I294,LK_GradeStep!$C$4:$E$85,3,0),10000)</f>
        <v>10000</v>
      </c>
      <c r="L294" s="100">
        <f t="shared" si="33"/>
        <v>3080000</v>
      </c>
      <c r="M294" s="101">
        <f>IFERROR(VLOOKUP(EMPLOYEE_MASTER!AQ294,LK_AllowanceRates!$A$5:$B$11,2,0),0)</f>
        <v>900000</v>
      </c>
      <c r="N294" s="101">
        <f ca="1">IFERROR(IF(EMPLOYEE_MASTER!J294&lt;=5,  EMPLOYEE_MASTER!J294*LK_AllowanceRates!$B$12,IF(EMPLOYEE_MASTER!J294&lt;=15, EMPLOYEE_MASTER!J294*LK_AllowanceRates!$B$13,IF(EMPLOYEE_MASTER!J294&lt;=25, EMPLOYEE_MASTER!J294*LK_AllowanceRates!$B$14,EMPLOYEE_MASTER!J294*LK_AllowanceRates!$B$15))),0)</f>
        <v>200000</v>
      </c>
      <c r="O294" s="101">
        <f>IF(EMPLOYEE_MASTER!AS294="Teaching",L294*LK_AllowanceRates!$B$16,0)</f>
        <v>0</v>
      </c>
      <c r="P294" s="101">
        <f>IF(EMPLOYEE_MASTER!AS294="Medical",LK_AllowanceRates!$B$17,0)</f>
        <v>500000</v>
      </c>
      <c r="Q294" s="101">
        <f>IF(EMPLOYEE_MASTER!AR294="Yes",LK_AllowanceRates!$B$18,0)</f>
        <v>0</v>
      </c>
      <c r="R294" s="101">
        <f>IF(EMPLOYEE_MASTER!AC294="Yes",LK_AllowanceRates!$B$19,0)</f>
        <v>1000000</v>
      </c>
      <c r="S294" s="101">
        <f>IF(EMPLOYEE_MASTER!AA294="Yes",L294*LK_AllowanceRates!$B$20,0)</f>
        <v>0</v>
      </c>
      <c r="T294" s="101">
        <f>IF(EMPLOYEE_MASTER!AB294="Yes",LK_AllowanceRates!$B$21,0)</f>
        <v>0</v>
      </c>
      <c r="U294" s="101">
        <f>IF(EMPLOYEE_MASTER!P294&gt;=6,LK_AllowanceRates!$B$22,0)</f>
        <v>0</v>
      </c>
      <c r="V294" s="101">
        <f>IF(EMPLOYEE_MASTER!AO294="Yes",LK_AllowanceRates!$B$23,0)</f>
        <v>200000</v>
      </c>
      <c r="W294" s="101">
        <f>EMPLOYEE_MASTER!AP294*LK_AllowanceRates!$B$24</f>
        <v>400000</v>
      </c>
      <c r="X294" s="101">
        <v>0</v>
      </c>
      <c r="Y294" s="102">
        <v>0</v>
      </c>
      <c r="Z294" s="102">
        <v>0</v>
      </c>
      <c r="AA294" s="102">
        <v>0</v>
      </c>
      <c r="AB294" s="103">
        <f t="shared" ca="1" si="34"/>
        <v>3200000</v>
      </c>
      <c r="AC294" s="104">
        <f t="shared" ca="1" si="35"/>
        <v>6280000</v>
      </c>
      <c r="AD294" s="105">
        <f>ROUND(L294*LK_AllowanceRates!$B$25/100,0)</f>
        <v>169400</v>
      </c>
      <c r="AE294" s="106">
        <f t="shared" ca="1" si="36"/>
        <v>6110600</v>
      </c>
      <c r="AF294" s="106">
        <f t="shared" ca="1" si="37"/>
        <v>296060</v>
      </c>
      <c r="AG294" s="107">
        <v>0</v>
      </c>
      <c r="AH294" s="107">
        <v>0</v>
      </c>
      <c r="AI294" s="108">
        <f t="shared" ca="1" si="38"/>
        <v>465460</v>
      </c>
      <c r="AJ294" s="109">
        <f t="shared" ca="1" si="39"/>
        <v>5814540</v>
      </c>
    </row>
    <row r="295" spans="1:36" ht="15" customHeight="1" x14ac:dyDescent="0.3">
      <c r="A295" s="98" t="str">
        <f>EMPLOYEE_MASTER!A295</f>
        <v>LAO00292</v>
      </c>
      <c r="B295" s="98" t="str">
        <f>EMPLOYEE_MASTER!C295</f>
        <v>Vanthong</v>
      </c>
      <c r="C295" s="98" t="str">
        <f>EMPLOYEE_MASTER!D295</f>
        <v>Soulisack</v>
      </c>
      <c r="D295" s="98" t="str">
        <f>EMPLOYEE_MASTER!T295</f>
        <v>Ministry of Health (MoH)</v>
      </c>
      <c r="E295" s="98" t="str">
        <f>EMPLOYEE_MASTER!M295</f>
        <v>Health Inspector</v>
      </c>
      <c r="F295" s="98" t="str">
        <f>EMPLOYEE_MASTER!Z295</f>
        <v>Medical</v>
      </c>
      <c r="G295" s="99">
        <f>EMPLOYEE_MASTER!P295</f>
        <v>3</v>
      </c>
      <c r="H295" s="99">
        <f>EMPLOYEE_MASTER!Q295</f>
        <v>1</v>
      </c>
      <c r="I295" s="100" t="str">
        <f t="shared" si="32"/>
        <v>G03-S01</v>
      </c>
      <c r="J295" s="100">
        <f>IFERROR(VLOOKUP(I295,LK_GradeStep!$C$4:$D$85,2,0),0)</f>
        <v>276</v>
      </c>
      <c r="K295" s="100">
        <f>IFERROR(VLOOKUP(I295,LK_GradeStep!$C$4:$E$85,3,0),10000)</f>
        <v>10000</v>
      </c>
      <c r="L295" s="100">
        <f t="shared" si="33"/>
        <v>2760000</v>
      </c>
      <c r="M295" s="101">
        <f>IFERROR(VLOOKUP(EMPLOYEE_MASTER!AQ295,LK_AllowanceRates!$A$5:$B$11,2,0),0)</f>
        <v>900000</v>
      </c>
      <c r="N295" s="101">
        <f ca="1">IFERROR(IF(EMPLOYEE_MASTER!J295&lt;=5,  EMPLOYEE_MASTER!J295*LK_AllowanceRates!$B$12,IF(EMPLOYEE_MASTER!J295&lt;=15, EMPLOYEE_MASTER!J295*LK_AllowanceRates!$B$13,IF(EMPLOYEE_MASTER!J295&lt;=25, EMPLOYEE_MASTER!J295*LK_AllowanceRates!$B$14,EMPLOYEE_MASTER!J295*LK_AllowanceRates!$B$15))),0)</f>
        <v>160000</v>
      </c>
      <c r="O295" s="101">
        <f>IF(EMPLOYEE_MASTER!AS295="Teaching",L295*LK_AllowanceRates!$B$16,0)</f>
        <v>0</v>
      </c>
      <c r="P295" s="101">
        <f>IF(EMPLOYEE_MASTER!AS295="Medical",LK_AllowanceRates!$B$17,0)</f>
        <v>500000</v>
      </c>
      <c r="Q295" s="101">
        <f>IF(EMPLOYEE_MASTER!AR295="Yes",LK_AllowanceRates!$B$18,0)</f>
        <v>0</v>
      </c>
      <c r="R295" s="101">
        <f>IF(EMPLOYEE_MASTER!AC295="Yes",LK_AllowanceRates!$B$19,0)</f>
        <v>0</v>
      </c>
      <c r="S295" s="101">
        <f>IF(EMPLOYEE_MASTER!AA295="Yes",L295*LK_AllowanceRates!$B$20,0)</f>
        <v>690000</v>
      </c>
      <c r="T295" s="101">
        <f>IF(EMPLOYEE_MASTER!AB295="Yes",LK_AllowanceRates!$B$21,0)</f>
        <v>0</v>
      </c>
      <c r="U295" s="101">
        <f>IF(EMPLOYEE_MASTER!P295&gt;=6,LK_AllowanceRates!$B$22,0)</f>
        <v>0</v>
      </c>
      <c r="V295" s="101">
        <f>IF(EMPLOYEE_MASTER!AO295="Yes",LK_AllowanceRates!$B$23,0)</f>
        <v>0</v>
      </c>
      <c r="W295" s="101">
        <f>EMPLOYEE_MASTER!AP295*LK_AllowanceRates!$B$24</f>
        <v>0</v>
      </c>
      <c r="X295" s="101">
        <v>0</v>
      </c>
      <c r="Y295" s="102">
        <v>0</v>
      </c>
      <c r="Z295" s="102">
        <v>0</v>
      </c>
      <c r="AA295" s="102">
        <v>0</v>
      </c>
      <c r="AB295" s="103">
        <f t="shared" ca="1" si="34"/>
        <v>2250000</v>
      </c>
      <c r="AC295" s="104">
        <f t="shared" ca="1" si="35"/>
        <v>5010000</v>
      </c>
      <c r="AD295" s="105">
        <f>ROUND(L295*LK_AllowanceRates!$B$25/100,0)</f>
        <v>151800</v>
      </c>
      <c r="AE295" s="106">
        <f t="shared" ca="1" si="36"/>
        <v>4858200</v>
      </c>
      <c r="AF295" s="106">
        <f t="shared" ca="1" si="37"/>
        <v>177910</v>
      </c>
      <c r="AG295" s="107">
        <v>0</v>
      </c>
      <c r="AH295" s="107">
        <v>0</v>
      </c>
      <c r="AI295" s="108">
        <f t="shared" ca="1" si="38"/>
        <v>329710</v>
      </c>
      <c r="AJ295" s="109">
        <f t="shared" ca="1" si="39"/>
        <v>4680290</v>
      </c>
    </row>
    <row r="296" spans="1:36" ht="15" customHeight="1" x14ac:dyDescent="0.3">
      <c r="A296" s="98" t="str">
        <f>EMPLOYEE_MASTER!A296</f>
        <v>LAO00293</v>
      </c>
      <c r="B296" s="98" t="str">
        <f>EMPLOYEE_MASTER!C296</f>
        <v>Bounlan</v>
      </c>
      <c r="C296" s="98" t="str">
        <f>EMPLOYEE_MASTER!D296</f>
        <v>Sisoulath</v>
      </c>
      <c r="D296" s="98" t="str">
        <f>EMPLOYEE_MASTER!T296</f>
        <v>Ministry of Labour &amp; Social Welfare (MLSW)</v>
      </c>
      <c r="E296" s="98" t="str">
        <f>EMPLOYEE_MASTER!M296</f>
        <v>Senior Officer</v>
      </c>
      <c r="F296" s="98" t="str">
        <f>EMPLOYEE_MASTER!Z296</f>
        <v>Administration</v>
      </c>
      <c r="G296" s="99">
        <f>EMPLOYEE_MASTER!P296</f>
        <v>4</v>
      </c>
      <c r="H296" s="99">
        <f>EMPLOYEE_MASTER!Q296</f>
        <v>1</v>
      </c>
      <c r="I296" s="100" t="str">
        <f t="shared" si="32"/>
        <v>G04-S01</v>
      </c>
      <c r="J296" s="100">
        <f>IFERROR(VLOOKUP(I296,LK_GradeStep!$C$4:$D$85,2,0),0)</f>
        <v>286</v>
      </c>
      <c r="K296" s="100">
        <f>IFERROR(VLOOKUP(I296,LK_GradeStep!$C$4:$E$85,3,0),10000)</f>
        <v>10000</v>
      </c>
      <c r="L296" s="100">
        <f t="shared" si="33"/>
        <v>2860000</v>
      </c>
      <c r="M296" s="101">
        <f>IFERROR(VLOOKUP(EMPLOYEE_MASTER!AQ296,LK_AllowanceRates!$A$5:$B$11,2,0),0)</f>
        <v>900000</v>
      </c>
      <c r="N296" s="101">
        <f ca="1">IFERROR(IF(EMPLOYEE_MASTER!J296&lt;=5,  EMPLOYEE_MASTER!J296*LK_AllowanceRates!$B$12,IF(EMPLOYEE_MASTER!J296&lt;=15, EMPLOYEE_MASTER!J296*LK_AllowanceRates!$B$13,IF(EMPLOYEE_MASTER!J296&lt;=25, EMPLOYEE_MASTER!J296*LK_AllowanceRates!$B$14,EMPLOYEE_MASTER!J296*LK_AllowanceRates!$B$15))),0)</f>
        <v>140000</v>
      </c>
      <c r="O296" s="101">
        <f>IF(EMPLOYEE_MASTER!AS296="Teaching",L296*LK_AllowanceRates!$B$16,0)</f>
        <v>0</v>
      </c>
      <c r="P296" s="101">
        <f>IF(EMPLOYEE_MASTER!AS296="Medical",LK_AllowanceRates!$B$17,0)</f>
        <v>0</v>
      </c>
      <c r="Q296" s="101">
        <f>IF(EMPLOYEE_MASTER!AR296="Yes",LK_AllowanceRates!$B$18,0)</f>
        <v>0</v>
      </c>
      <c r="R296" s="101">
        <f>IF(EMPLOYEE_MASTER!AC296="Yes",LK_AllowanceRates!$B$19,0)</f>
        <v>0</v>
      </c>
      <c r="S296" s="101">
        <f>IF(EMPLOYEE_MASTER!AA296="Yes",L296*LK_AllowanceRates!$B$20,0)</f>
        <v>715000</v>
      </c>
      <c r="T296" s="101">
        <f>IF(EMPLOYEE_MASTER!AB296="Yes",LK_AllowanceRates!$B$21,0)</f>
        <v>0</v>
      </c>
      <c r="U296" s="101">
        <f>IF(EMPLOYEE_MASTER!P296&gt;=6,LK_AllowanceRates!$B$22,0)</f>
        <v>0</v>
      </c>
      <c r="V296" s="101">
        <f>IF(EMPLOYEE_MASTER!AO296="Yes",LK_AllowanceRates!$B$23,0)</f>
        <v>200000</v>
      </c>
      <c r="W296" s="101">
        <f>EMPLOYEE_MASTER!AP296*LK_AllowanceRates!$B$24</f>
        <v>600000</v>
      </c>
      <c r="X296" s="101">
        <v>0</v>
      </c>
      <c r="Y296" s="102">
        <v>0</v>
      </c>
      <c r="Z296" s="102">
        <v>0</v>
      </c>
      <c r="AA296" s="102">
        <v>0</v>
      </c>
      <c r="AB296" s="103">
        <f t="shared" ca="1" si="34"/>
        <v>2555000</v>
      </c>
      <c r="AC296" s="104">
        <f t="shared" ca="1" si="35"/>
        <v>5415000</v>
      </c>
      <c r="AD296" s="105">
        <f>ROUND(L296*LK_AllowanceRates!$B$25/100,0)</f>
        <v>157300</v>
      </c>
      <c r="AE296" s="106">
        <f t="shared" ca="1" si="36"/>
        <v>5257700</v>
      </c>
      <c r="AF296" s="106">
        <f t="shared" ca="1" si="37"/>
        <v>210770</v>
      </c>
      <c r="AG296" s="107">
        <v>0</v>
      </c>
      <c r="AH296" s="107">
        <v>0</v>
      </c>
      <c r="AI296" s="108">
        <f t="shared" ca="1" si="38"/>
        <v>368070</v>
      </c>
      <c r="AJ296" s="109">
        <f t="shared" ca="1" si="39"/>
        <v>5046930</v>
      </c>
    </row>
    <row r="297" spans="1:36" ht="15" customHeight="1" x14ac:dyDescent="0.3">
      <c r="A297" s="98" t="str">
        <f>EMPLOYEE_MASTER!A297</f>
        <v>LAO00294</v>
      </c>
      <c r="B297" s="98" t="str">
        <f>EMPLOYEE_MASTER!C297</f>
        <v>Phonexay</v>
      </c>
      <c r="C297" s="98" t="str">
        <f>EMPLOYEE_MASTER!D297</f>
        <v>Khambounheuang</v>
      </c>
      <c r="D297" s="98" t="str">
        <f>EMPLOYEE_MASTER!T297</f>
        <v>Vientiane Capital Administration</v>
      </c>
      <c r="E297" s="98" t="str">
        <f>EMPLOYEE_MASTER!M297</f>
        <v>Senior Administrative Officer</v>
      </c>
      <c r="F297" s="98" t="str">
        <f>EMPLOYEE_MASTER!Z297</f>
        <v>Administration</v>
      </c>
      <c r="G297" s="99">
        <f>EMPLOYEE_MASTER!P297</f>
        <v>5</v>
      </c>
      <c r="H297" s="99">
        <f>EMPLOYEE_MASTER!Q297</f>
        <v>1</v>
      </c>
      <c r="I297" s="100" t="str">
        <f t="shared" si="32"/>
        <v>G05-S01</v>
      </c>
      <c r="J297" s="100">
        <f>IFERROR(VLOOKUP(I297,LK_GradeStep!$C$4:$D$85,2,0),0)</f>
        <v>308</v>
      </c>
      <c r="K297" s="100">
        <f>IFERROR(VLOOKUP(I297,LK_GradeStep!$C$4:$E$85,3,0),10000)</f>
        <v>10000</v>
      </c>
      <c r="L297" s="100">
        <f t="shared" si="33"/>
        <v>3080000</v>
      </c>
      <c r="M297" s="101">
        <f>IFERROR(VLOOKUP(EMPLOYEE_MASTER!AQ297,LK_AllowanceRates!$A$5:$B$11,2,0),0)</f>
        <v>900000</v>
      </c>
      <c r="N297" s="101">
        <f ca="1">IFERROR(IF(EMPLOYEE_MASTER!J297&lt;=5,  EMPLOYEE_MASTER!J297*LK_AllowanceRates!$B$12,IF(EMPLOYEE_MASTER!J297&lt;=15, EMPLOYEE_MASTER!J297*LK_AllowanceRates!$B$13,IF(EMPLOYEE_MASTER!J297&lt;=25, EMPLOYEE_MASTER!J297*LK_AllowanceRates!$B$14,EMPLOYEE_MASTER!J297*LK_AllowanceRates!$B$15))),0)</f>
        <v>1240000</v>
      </c>
      <c r="O297" s="101">
        <f>IF(EMPLOYEE_MASTER!AS297="Teaching",L297*LK_AllowanceRates!$B$16,0)</f>
        <v>0</v>
      </c>
      <c r="P297" s="101">
        <f>IF(EMPLOYEE_MASTER!AS297="Medical",LK_AllowanceRates!$B$17,0)</f>
        <v>0</v>
      </c>
      <c r="Q297" s="101">
        <f>IF(EMPLOYEE_MASTER!AR297="Yes",LK_AllowanceRates!$B$18,0)</f>
        <v>0</v>
      </c>
      <c r="R297" s="101">
        <f>IF(EMPLOYEE_MASTER!AC297="Yes",LK_AllowanceRates!$B$19,0)</f>
        <v>0</v>
      </c>
      <c r="S297" s="101">
        <f>IF(EMPLOYEE_MASTER!AA297="Yes",L297*LK_AllowanceRates!$B$20,0)</f>
        <v>0</v>
      </c>
      <c r="T297" s="101">
        <f>IF(EMPLOYEE_MASTER!AB297="Yes",LK_AllowanceRates!$B$21,0)</f>
        <v>0</v>
      </c>
      <c r="U297" s="101">
        <f>IF(EMPLOYEE_MASTER!P297&gt;=6,LK_AllowanceRates!$B$22,0)</f>
        <v>0</v>
      </c>
      <c r="V297" s="101">
        <f>IF(EMPLOYEE_MASTER!AO297="Yes",LK_AllowanceRates!$B$23,0)</f>
        <v>200000</v>
      </c>
      <c r="W297" s="101">
        <f>EMPLOYEE_MASTER!AP297*LK_AllowanceRates!$B$24</f>
        <v>400000</v>
      </c>
      <c r="X297" s="101">
        <v>0</v>
      </c>
      <c r="Y297" s="102">
        <v>0</v>
      </c>
      <c r="Z297" s="102">
        <v>0</v>
      </c>
      <c r="AA297" s="102">
        <v>0</v>
      </c>
      <c r="AB297" s="103">
        <f t="shared" ca="1" si="34"/>
        <v>2740000</v>
      </c>
      <c r="AC297" s="104">
        <f t="shared" ca="1" si="35"/>
        <v>5820000</v>
      </c>
      <c r="AD297" s="105">
        <f>ROUND(L297*LK_AllowanceRates!$B$25/100,0)</f>
        <v>169400</v>
      </c>
      <c r="AE297" s="106">
        <f t="shared" ca="1" si="36"/>
        <v>5650600</v>
      </c>
      <c r="AF297" s="106">
        <f t="shared" ca="1" si="37"/>
        <v>250060</v>
      </c>
      <c r="AG297" s="107">
        <v>0</v>
      </c>
      <c r="AH297" s="107">
        <v>0</v>
      </c>
      <c r="AI297" s="108">
        <f t="shared" ca="1" si="38"/>
        <v>419460</v>
      </c>
      <c r="AJ297" s="109">
        <f t="shared" ca="1" si="39"/>
        <v>5400540</v>
      </c>
    </row>
    <row r="298" spans="1:36" ht="15" customHeight="1" x14ac:dyDescent="0.3">
      <c r="A298" s="98" t="str">
        <f>EMPLOYEE_MASTER!A298</f>
        <v>LAO00295</v>
      </c>
      <c r="B298" s="98" t="str">
        <f>EMPLOYEE_MASTER!C298</f>
        <v>Chansamone</v>
      </c>
      <c r="C298" s="98" t="str">
        <f>EMPLOYEE_MASTER!D298</f>
        <v>Soulinthong</v>
      </c>
      <c r="D298" s="98" t="str">
        <f>EMPLOYEE_MASTER!T298</f>
        <v>Ministry of Agriculture and Forestry (MoAF)</v>
      </c>
      <c r="E298" s="98" t="str">
        <f>EMPLOYEE_MASTER!M298</f>
        <v>Environmental Officer</v>
      </c>
      <c r="F298" s="98" t="str">
        <f>EMPLOYEE_MASTER!Z298</f>
        <v>Technical</v>
      </c>
      <c r="G298" s="99">
        <f>EMPLOYEE_MASTER!P298</f>
        <v>3</v>
      </c>
      <c r="H298" s="99">
        <f>EMPLOYEE_MASTER!Q298</f>
        <v>7</v>
      </c>
      <c r="I298" s="100" t="str">
        <f t="shared" si="32"/>
        <v>G03-S07</v>
      </c>
      <c r="J298" s="100">
        <f>IFERROR(VLOOKUP(I298,LK_GradeStep!$C$4:$D$85,2,0),0)</f>
        <v>282</v>
      </c>
      <c r="K298" s="100">
        <f>IFERROR(VLOOKUP(I298,LK_GradeStep!$C$4:$E$85,3,0),10000)</f>
        <v>10000</v>
      </c>
      <c r="L298" s="100">
        <f t="shared" si="33"/>
        <v>2820000</v>
      </c>
      <c r="M298" s="101">
        <f>IFERROR(VLOOKUP(EMPLOYEE_MASTER!AQ298,LK_AllowanceRates!$A$5:$B$11,2,0),0)</f>
        <v>900000</v>
      </c>
      <c r="N298" s="101">
        <f ca="1">IFERROR(IF(EMPLOYEE_MASTER!J298&lt;=5,  EMPLOYEE_MASTER!J298*LK_AllowanceRates!$B$12,IF(EMPLOYEE_MASTER!J298&lt;=15, EMPLOYEE_MASTER!J298*LK_AllowanceRates!$B$13,IF(EMPLOYEE_MASTER!J298&lt;=25, EMPLOYEE_MASTER!J298*LK_AllowanceRates!$B$14,EMPLOYEE_MASTER!J298*LK_AllowanceRates!$B$15))),0)</f>
        <v>540000</v>
      </c>
      <c r="O298" s="101">
        <f>IF(EMPLOYEE_MASTER!AS298="Teaching",L298*LK_AllowanceRates!$B$16,0)</f>
        <v>0</v>
      </c>
      <c r="P298" s="101">
        <f>IF(EMPLOYEE_MASTER!AS298="Medical",LK_AllowanceRates!$B$17,0)</f>
        <v>0</v>
      </c>
      <c r="Q298" s="101">
        <f>IF(EMPLOYEE_MASTER!AR298="Yes",LK_AllowanceRates!$B$18,0)</f>
        <v>0</v>
      </c>
      <c r="R298" s="101">
        <f>IF(EMPLOYEE_MASTER!AC298="Yes",LK_AllowanceRates!$B$19,0)</f>
        <v>1000000</v>
      </c>
      <c r="S298" s="101">
        <f>IF(EMPLOYEE_MASTER!AA298="Yes",L298*LK_AllowanceRates!$B$20,0)</f>
        <v>705000</v>
      </c>
      <c r="T298" s="101">
        <f>IF(EMPLOYEE_MASTER!AB298="Yes",LK_AllowanceRates!$B$21,0)</f>
        <v>0</v>
      </c>
      <c r="U298" s="101">
        <f>IF(EMPLOYEE_MASTER!P298&gt;=6,LK_AllowanceRates!$B$22,0)</f>
        <v>0</v>
      </c>
      <c r="V298" s="101">
        <f>IF(EMPLOYEE_MASTER!AO298="Yes",LK_AllowanceRates!$B$23,0)</f>
        <v>0</v>
      </c>
      <c r="W298" s="101">
        <f>EMPLOYEE_MASTER!AP298*LK_AllowanceRates!$B$24</f>
        <v>0</v>
      </c>
      <c r="X298" s="101">
        <v>0</v>
      </c>
      <c r="Y298" s="102">
        <v>0</v>
      </c>
      <c r="Z298" s="102">
        <v>0</v>
      </c>
      <c r="AA298" s="102">
        <v>0</v>
      </c>
      <c r="AB298" s="103">
        <f t="shared" ca="1" si="34"/>
        <v>3145000</v>
      </c>
      <c r="AC298" s="104">
        <f t="shared" ca="1" si="35"/>
        <v>5965000</v>
      </c>
      <c r="AD298" s="105">
        <f>ROUND(L298*LK_AllowanceRates!$B$25/100,0)</f>
        <v>155100</v>
      </c>
      <c r="AE298" s="106">
        <f t="shared" ca="1" si="36"/>
        <v>5809900</v>
      </c>
      <c r="AF298" s="106">
        <f t="shared" ca="1" si="37"/>
        <v>265990</v>
      </c>
      <c r="AG298" s="107">
        <v>0</v>
      </c>
      <c r="AH298" s="107">
        <v>0</v>
      </c>
      <c r="AI298" s="108">
        <f t="shared" ca="1" si="38"/>
        <v>421090</v>
      </c>
      <c r="AJ298" s="109">
        <f t="shared" ca="1" si="39"/>
        <v>5543910</v>
      </c>
    </row>
    <row r="299" spans="1:36" ht="15" customHeight="1" x14ac:dyDescent="0.3">
      <c r="A299" s="98" t="str">
        <f>EMPLOYEE_MASTER!A299</f>
        <v>LAO00296</v>
      </c>
      <c r="B299" s="98" t="str">
        <f>EMPLOYEE_MASTER!C299</f>
        <v>Keoviengkham</v>
      </c>
      <c r="C299" s="98" t="str">
        <f>EMPLOYEE_MASTER!D299</f>
        <v>Phiaylack</v>
      </c>
      <c r="D299" s="98" t="str">
        <f>EMPLOYEE_MASTER!T299</f>
        <v>Ministry of Health (MoH)</v>
      </c>
      <c r="E299" s="98" t="str">
        <f>EMPLOYEE_MASTER!M299</f>
        <v>Medical Technician</v>
      </c>
      <c r="F299" s="98" t="str">
        <f>EMPLOYEE_MASTER!Z299</f>
        <v>Medical</v>
      </c>
      <c r="G299" s="99">
        <f>EMPLOYEE_MASTER!P299</f>
        <v>2</v>
      </c>
      <c r="H299" s="99">
        <f>EMPLOYEE_MASTER!Q299</f>
        <v>1</v>
      </c>
      <c r="I299" s="100" t="str">
        <f t="shared" si="32"/>
        <v>G02-S01</v>
      </c>
      <c r="J299" s="100">
        <f>IFERROR(VLOOKUP(I299,LK_GradeStep!$C$4:$D$85,2,0),0)</f>
        <v>268</v>
      </c>
      <c r="K299" s="100">
        <f>IFERROR(VLOOKUP(I299,LK_GradeStep!$C$4:$E$85,3,0),10000)</f>
        <v>10000</v>
      </c>
      <c r="L299" s="100">
        <f t="shared" si="33"/>
        <v>2680000</v>
      </c>
      <c r="M299" s="101">
        <f>IFERROR(VLOOKUP(EMPLOYEE_MASTER!AQ299,LK_AllowanceRates!$A$5:$B$11,2,0),0)</f>
        <v>900000</v>
      </c>
      <c r="N299" s="101">
        <f ca="1">IFERROR(IF(EMPLOYEE_MASTER!J299&lt;=5,  EMPLOYEE_MASTER!J299*LK_AllowanceRates!$B$12,IF(EMPLOYEE_MASTER!J299&lt;=15, EMPLOYEE_MASTER!J299*LK_AllowanceRates!$B$13,IF(EMPLOYEE_MASTER!J299&lt;=25, EMPLOYEE_MASTER!J299*LK_AllowanceRates!$B$14,EMPLOYEE_MASTER!J299*LK_AllowanceRates!$B$15))),0)</f>
        <v>630000</v>
      </c>
      <c r="O299" s="101">
        <f>IF(EMPLOYEE_MASTER!AS299="Teaching",L299*LK_AllowanceRates!$B$16,0)</f>
        <v>0</v>
      </c>
      <c r="P299" s="101">
        <f>IF(EMPLOYEE_MASTER!AS299="Medical",LK_AllowanceRates!$B$17,0)</f>
        <v>500000</v>
      </c>
      <c r="Q299" s="101">
        <f>IF(EMPLOYEE_MASTER!AR299="Yes",LK_AllowanceRates!$B$18,0)</f>
        <v>0</v>
      </c>
      <c r="R299" s="101">
        <f>IF(EMPLOYEE_MASTER!AC299="Yes",LK_AllowanceRates!$B$19,0)</f>
        <v>1000000</v>
      </c>
      <c r="S299" s="101">
        <f>IF(EMPLOYEE_MASTER!AA299="Yes",L299*LK_AllowanceRates!$B$20,0)</f>
        <v>670000</v>
      </c>
      <c r="T299" s="101">
        <f>IF(EMPLOYEE_MASTER!AB299="Yes",LK_AllowanceRates!$B$21,0)</f>
        <v>0</v>
      </c>
      <c r="U299" s="101">
        <f>IF(EMPLOYEE_MASTER!P299&gt;=6,LK_AllowanceRates!$B$22,0)</f>
        <v>0</v>
      </c>
      <c r="V299" s="101">
        <f>IF(EMPLOYEE_MASTER!AO299="Yes",LK_AllowanceRates!$B$23,0)</f>
        <v>200000</v>
      </c>
      <c r="W299" s="101">
        <f>EMPLOYEE_MASTER!AP299*LK_AllowanceRates!$B$24</f>
        <v>600000</v>
      </c>
      <c r="X299" s="101">
        <v>0</v>
      </c>
      <c r="Y299" s="102">
        <v>0</v>
      </c>
      <c r="Z299" s="102">
        <v>0</v>
      </c>
      <c r="AA299" s="102">
        <v>0</v>
      </c>
      <c r="AB299" s="103">
        <f t="shared" ca="1" si="34"/>
        <v>4500000</v>
      </c>
      <c r="AC299" s="104">
        <f t="shared" ca="1" si="35"/>
        <v>7180000</v>
      </c>
      <c r="AD299" s="105">
        <f>ROUND(L299*LK_AllowanceRates!$B$25/100,0)</f>
        <v>147400</v>
      </c>
      <c r="AE299" s="106">
        <f t="shared" ca="1" si="36"/>
        <v>7032600</v>
      </c>
      <c r="AF299" s="106">
        <f t="shared" ca="1" si="37"/>
        <v>388260</v>
      </c>
      <c r="AG299" s="107">
        <v>0</v>
      </c>
      <c r="AH299" s="107">
        <v>0</v>
      </c>
      <c r="AI299" s="108">
        <f t="shared" ca="1" si="38"/>
        <v>535660</v>
      </c>
      <c r="AJ299" s="109">
        <f t="shared" ca="1" si="39"/>
        <v>6644340</v>
      </c>
    </row>
    <row r="300" spans="1:36" ht="15" customHeight="1" x14ac:dyDescent="0.3">
      <c r="A300" s="98" t="str">
        <f>EMPLOYEE_MASTER!A300</f>
        <v>LAO00297</v>
      </c>
      <c r="B300" s="98" t="str">
        <f>EMPLOYEE_MASTER!C300</f>
        <v>Khamphay</v>
      </c>
      <c r="C300" s="98" t="str">
        <f>EMPLOYEE_MASTER!D300</f>
        <v>Bouavong</v>
      </c>
      <c r="D300" s="98" t="str">
        <f>EMPLOYEE_MASTER!T300</f>
        <v>Vientiane Capital Administration</v>
      </c>
      <c r="E300" s="98" t="str">
        <f>EMPLOYEE_MASTER!M300</f>
        <v>Senior Administrative Officer</v>
      </c>
      <c r="F300" s="98" t="str">
        <f>EMPLOYEE_MASTER!Z300</f>
        <v>Administration</v>
      </c>
      <c r="G300" s="99">
        <f>EMPLOYEE_MASTER!P300</f>
        <v>4</v>
      </c>
      <c r="H300" s="99">
        <f>EMPLOYEE_MASTER!Q300</f>
        <v>1</v>
      </c>
      <c r="I300" s="100" t="str">
        <f t="shared" si="32"/>
        <v>G04-S01</v>
      </c>
      <c r="J300" s="100">
        <f>IFERROR(VLOOKUP(I300,LK_GradeStep!$C$4:$D$85,2,0),0)</f>
        <v>286</v>
      </c>
      <c r="K300" s="100">
        <f>IFERROR(VLOOKUP(I300,LK_GradeStep!$C$4:$E$85,3,0),10000)</f>
        <v>10000</v>
      </c>
      <c r="L300" s="100">
        <f t="shared" si="33"/>
        <v>2860000</v>
      </c>
      <c r="M300" s="101">
        <f>IFERROR(VLOOKUP(EMPLOYEE_MASTER!AQ300,LK_AllowanceRates!$A$5:$B$11,2,0),0)</f>
        <v>900000</v>
      </c>
      <c r="N300" s="101">
        <f ca="1">IFERROR(IF(EMPLOYEE_MASTER!J300&lt;=5,  EMPLOYEE_MASTER!J300*LK_AllowanceRates!$B$12,IF(EMPLOYEE_MASTER!J300&lt;=15, EMPLOYEE_MASTER!J300*LK_AllowanceRates!$B$13,IF(EMPLOYEE_MASTER!J300&lt;=25, EMPLOYEE_MASTER!J300*LK_AllowanceRates!$B$14,EMPLOYEE_MASTER!J300*LK_AllowanceRates!$B$15))),0)</f>
        <v>720000</v>
      </c>
      <c r="O300" s="101">
        <f>IF(EMPLOYEE_MASTER!AS300="Teaching",L300*LK_AllowanceRates!$B$16,0)</f>
        <v>0</v>
      </c>
      <c r="P300" s="101">
        <f>IF(EMPLOYEE_MASTER!AS300="Medical",LK_AllowanceRates!$B$17,0)</f>
        <v>0</v>
      </c>
      <c r="Q300" s="101">
        <f>IF(EMPLOYEE_MASTER!AR300="Yes",LK_AllowanceRates!$B$18,0)</f>
        <v>0</v>
      </c>
      <c r="R300" s="101">
        <f>IF(EMPLOYEE_MASTER!AC300="Yes",LK_AllowanceRates!$B$19,0)</f>
        <v>0</v>
      </c>
      <c r="S300" s="101">
        <f>IF(EMPLOYEE_MASTER!AA300="Yes",L300*LK_AllowanceRates!$B$20,0)</f>
        <v>0</v>
      </c>
      <c r="T300" s="101">
        <f>IF(EMPLOYEE_MASTER!AB300="Yes",LK_AllowanceRates!$B$21,0)</f>
        <v>0</v>
      </c>
      <c r="U300" s="101">
        <f>IF(EMPLOYEE_MASTER!P300&gt;=6,LK_AllowanceRates!$B$22,0)</f>
        <v>0</v>
      </c>
      <c r="V300" s="101">
        <f>IF(EMPLOYEE_MASTER!AO300="Yes",LK_AllowanceRates!$B$23,0)</f>
        <v>200000</v>
      </c>
      <c r="W300" s="101">
        <f>EMPLOYEE_MASTER!AP300*LK_AllowanceRates!$B$24</f>
        <v>600000</v>
      </c>
      <c r="X300" s="101">
        <v>0</v>
      </c>
      <c r="Y300" s="102">
        <v>0</v>
      </c>
      <c r="Z300" s="102">
        <v>0</v>
      </c>
      <c r="AA300" s="102">
        <v>0</v>
      </c>
      <c r="AB300" s="103">
        <f t="shared" ca="1" si="34"/>
        <v>2420000</v>
      </c>
      <c r="AC300" s="104">
        <f t="shared" ca="1" si="35"/>
        <v>5280000</v>
      </c>
      <c r="AD300" s="105">
        <f>ROUND(L300*LK_AllowanceRates!$B$25/100,0)</f>
        <v>157300</v>
      </c>
      <c r="AE300" s="106">
        <f t="shared" ca="1" si="36"/>
        <v>5122700</v>
      </c>
      <c r="AF300" s="106">
        <f t="shared" ca="1" si="37"/>
        <v>197270</v>
      </c>
      <c r="AG300" s="107">
        <v>0</v>
      </c>
      <c r="AH300" s="107">
        <v>0</v>
      </c>
      <c r="AI300" s="108">
        <f t="shared" ca="1" si="38"/>
        <v>354570</v>
      </c>
      <c r="AJ300" s="109">
        <f t="shared" ca="1" si="39"/>
        <v>4925430</v>
      </c>
    </row>
    <row r="301" spans="1:36" ht="15" customHeight="1" x14ac:dyDescent="0.3">
      <c r="A301" s="98" t="str">
        <f>EMPLOYEE_MASTER!A301</f>
        <v>LAO00298</v>
      </c>
      <c r="B301" s="98" t="str">
        <f>EMPLOYEE_MASTER!C301</f>
        <v>Thongsack</v>
      </c>
      <c r="C301" s="98" t="str">
        <f>EMPLOYEE_MASTER!D301</f>
        <v>Phaymany</v>
      </c>
      <c r="D301" s="98" t="str">
        <f>EMPLOYEE_MASTER!T301</f>
        <v>Ministry of Planning &amp; Investment (MPI)</v>
      </c>
      <c r="E301" s="98" t="str">
        <f>EMPLOYEE_MASTER!M301</f>
        <v>Officer</v>
      </c>
      <c r="F301" s="98" t="str">
        <f>EMPLOYEE_MASTER!Z301</f>
        <v>Administration</v>
      </c>
      <c r="G301" s="99">
        <f>EMPLOYEE_MASTER!P301</f>
        <v>3</v>
      </c>
      <c r="H301" s="99">
        <f>EMPLOYEE_MASTER!Q301</f>
        <v>4</v>
      </c>
      <c r="I301" s="100" t="str">
        <f t="shared" si="32"/>
        <v>G03-S04</v>
      </c>
      <c r="J301" s="100">
        <f>IFERROR(VLOOKUP(I301,LK_GradeStep!$C$4:$D$85,2,0),0)</f>
        <v>279</v>
      </c>
      <c r="K301" s="100">
        <f>IFERROR(VLOOKUP(I301,LK_GradeStep!$C$4:$E$85,3,0),10000)</f>
        <v>10000</v>
      </c>
      <c r="L301" s="100">
        <f t="shared" si="33"/>
        <v>2790000</v>
      </c>
      <c r="M301" s="101">
        <f>IFERROR(VLOOKUP(EMPLOYEE_MASTER!AQ301,LK_AllowanceRates!$A$5:$B$11,2,0),0)</f>
        <v>900000</v>
      </c>
      <c r="N301" s="101">
        <f ca="1">IFERROR(IF(EMPLOYEE_MASTER!J301&lt;=5,  EMPLOYEE_MASTER!J301*LK_AllowanceRates!$B$12,IF(EMPLOYEE_MASTER!J301&lt;=15, EMPLOYEE_MASTER!J301*LK_AllowanceRates!$B$13,IF(EMPLOYEE_MASTER!J301&lt;=25, EMPLOYEE_MASTER!J301*LK_AllowanceRates!$B$14,EMPLOYEE_MASTER!J301*LK_AllowanceRates!$B$15))),0)</f>
        <v>1080000</v>
      </c>
      <c r="O301" s="101">
        <f>IF(EMPLOYEE_MASTER!AS301="Teaching",L301*LK_AllowanceRates!$B$16,0)</f>
        <v>0</v>
      </c>
      <c r="P301" s="101">
        <f>IF(EMPLOYEE_MASTER!AS301="Medical",LK_AllowanceRates!$B$17,0)</f>
        <v>0</v>
      </c>
      <c r="Q301" s="101">
        <f>IF(EMPLOYEE_MASTER!AR301="Yes",LK_AllowanceRates!$B$18,0)</f>
        <v>0</v>
      </c>
      <c r="R301" s="101">
        <f>IF(EMPLOYEE_MASTER!AC301="Yes",LK_AllowanceRates!$B$19,0)</f>
        <v>0</v>
      </c>
      <c r="S301" s="101">
        <f>IF(EMPLOYEE_MASTER!AA301="Yes",L301*LK_AllowanceRates!$B$20,0)</f>
        <v>0</v>
      </c>
      <c r="T301" s="101">
        <f>IF(EMPLOYEE_MASTER!AB301="Yes",LK_AllowanceRates!$B$21,0)</f>
        <v>0</v>
      </c>
      <c r="U301" s="101">
        <f>IF(EMPLOYEE_MASTER!P301&gt;=6,LK_AllowanceRates!$B$22,0)</f>
        <v>0</v>
      </c>
      <c r="V301" s="101">
        <f>IF(EMPLOYEE_MASTER!AO301="Yes",LK_AllowanceRates!$B$23,0)</f>
        <v>200000</v>
      </c>
      <c r="W301" s="101">
        <f>EMPLOYEE_MASTER!AP301*LK_AllowanceRates!$B$24</f>
        <v>0</v>
      </c>
      <c r="X301" s="101">
        <v>0</v>
      </c>
      <c r="Y301" s="102">
        <v>0</v>
      </c>
      <c r="Z301" s="102">
        <v>0</v>
      </c>
      <c r="AA301" s="102">
        <v>0</v>
      </c>
      <c r="AB301" s="103">
        <f t="shared" ca="1" si="34"/>
        <v>2180000</v>
      </c>
      <c r="AC301" s="104">
        <f t="shared" ca="1" si="35"/>
        <v>4970000</v>
      </c>
      <c r="AD301" s="105">
        <f>ROUND(L301*LK_AllowanceRates!$B$25/100,0)</f>
        <v>153450</v>
      </c>
      <c r="AE301" s="106">
        <f t="shared" ca="1" si="36"/>
        <v>4816550</v>
      </c>
      <c r="AF301" s="106">
        <f t="shared" ca="1" si="37"/>
        <v>175827.5</v>
      </c>
      <c r="AG301" s="107">
        <v>0</v>
      </c>
      <c r="AH301" s="107">
        <v>0</v>
      </c>
      <c r="AI301" s="108">
        <f t="shared" ca="1" si="38"/>
        <v>329277.5</v>
      </c>
      <c r="AJ301" s="109">
        <f t="shared" ca="1" si="39"/>
        <v>4640722.5</v>
      </c>
    </row>
    <row r="302" spans="1:36" ht="15" customHeight="1" x14ac:dyDescent="0.3">
      <c r="A302" s="98" t="str">
        <f>EMPLOYEE_MASTER!A302</f>
        <v>LAO00299</v>
      </c>
      <c r="B302" s="98" t="str">
        <f>EMPLOYEE_MASTER!C302</f>
        <v>Phonethip</v>
      </c>
      <c r="C302" s="98" t="str">
        <f>EMPLOYEE_MASTER!D302</f>
        <v>Bounseng</v>
      </c>
      <c r="D302" s="98" t="str">
        <f>EMPLOYEE_MASTER!T302</f>
        <v>Ministry of Education and Sports (MoES)</v>
      </c>
      <c r="E302" s="98" t="str">
        <f>EMPLOYEE_MASTER!M302</f>
        <v>Technical Vocational Trainer</v>
      </c>
      <c r="F302" s="98" t="str">
        <f>EMPLOYEE_MASTER!Z302</f>
        <v>Teacher</v>
      </c>
      <c r="G302" s="99">
        <f>EMPLOYEE_MASTER!P302</f>
        <v>2</v>
      </c>
      <c r="H302" s="99">
        <f>EMPLOYEE_MASTER!Q302</f>
        <v>7</v>
      </c>
      <c r="I302" s="100" t="str">
        <f t="shared" si="32"/>
        <v>G02-S07</v>
      </c>
      <c r="J302" s="100">
        <f>IFERROR(VLOOKUP(I302,LK_GradeStep!$C$4:$D$85,2,0),0)</f>
        <v>274</v>
      </c>
      <c r="K302" s="100">
        <f>IFERROR(VLOOKUP(I302,LK_GradeStep!$C$4:$E$85,3,0),10000)</f>
        <v>10000</v>
      </c>
      <c r="L302" s="100">
        <f t="shared" si="33"/>
        <v>2740000</v>
      </c>
      <c r="M302" s="101">
        <f>IFERROR(VLOOKUP(EMPLOYEE_MASTER!AQ302,LK_AllowanceRates!$A$5:$B$11,2,0),0)</f>
        <v>900000</v>
      </c>
      <c r="N302" s="101">
        <f ca="1">IFERROR(IF(EMPLOYEE_MASTER!J302&lt;=5,  EMPLOYEE_MASTER!J302*LK_AllowanceRates!$B$12,IF(EMPLOYEE_MASTER!J302&lt;=15, EMPLOYEE_MASTER!J302*LK_AllowanceRates!$B$13,IF(EMPLOYEE_MASTER!J302&lt;=25, EMPLOYEE_MASTER!J302*LK_AllowanceRates!$B$14,EMPLOYEE_MASTER!J302*LK_AllowanceRates!$B$15))),0)</f>
        <v>180000</v>
      </c>
      <c r="O302" s="101">
        <f>IF(EMPLOYEE_MASTER!AS302="Teaching",L302*LK_AllowanceRates!$B$16,0)</f>
        <v>548000</v>
      </c>
      <c r="P302" s="101">
        <f>IF(EMPLOYEE_MASTER!AS302="Medical",LK_AllowanceRates!$B$17,0)</f>
        <v>0</v>
      </c>
      <c r="Q302" s="101">
        <f>IF(EMPLOYEE_MASTER!AR302="Yes",LK_AllowanceRates!$B$18,0)</f>
        <v>0</v>
      </c>
      <c r="R302" s="101">
        <f>IF(EMPLOYEE_MASTER!AC302="Yes",LK_AllowanceRates!$B$19,0)</f>
        <v>1000000</v>
      </c>
      <c r="S302" s="101">
        <f>IF(EMPLOYEE_MASTER!AA302="Yes",L302*LK_AllowanceRates!$B$20,0)</f>
        <v>685000</v>
      </c>
      <c r="T302" s="101">
        <f>IF(EMPLOYEE_MASTER!AB302="Yes",LK_AllowanceRates!$B$21,0)</f>
        <v>0</v>
      </c>
      <c r="U302" s="101">
        <f>IF(EMPLOYEE_MASTER!P302&gt;=6,LK_AllowanceRates!$B$22,0)</f>
        <v>0</v>
      </c>
      <c r="V302" s="101">
        <f>IF(EMPLOYEE_MASTER!AO302="Yes",LK_AllowanceRates!$B$23,0)</f>
        <v>0</v>
      </c>
      <c r="W302" s="101">
        <f>EMPLOYEE_MASTER!AP302*LK_AllowanceRates!$B$24</f>
        <v>0</v>
      </c>
      <c r="X302" s="101">
        <v>0</v>
      </c>
      <c r="Y302" s="102">
        <v>0</v>
      </c>
      <c r="Z302" s="102">
        <v>0</v>
      </c>
      <c r="AA302" s="102">
        <v>0</v>
      </c>
      <c r="AB302" s="103">
        <f t="shared" ca="1" si="34"/>
        <v>3313000</v>
      </c>
      <c r="AC302" s="104">
        <f t="shared" ca="1" si="35"/>
        <v>6053000</v>
      </c>
      <c r="AD302" s="105">
        <f>ROUND(L302*LK_AllowanceRates!$B$25/100,0)</f>
        <v>150700</v>
      </c>
      <c r="AE302" s="106">
        <f t="shared" ca="1" si="36"/>
        <v>5902300</v>
      </c>
      <c r="AF302" s="106">
        <f t="shared" ca="1" si="37"/>
        <v>275230</v>
      </c>
      <c r="AG302" s="107">
        <v>0</v>
      </c>
      <c r="AH302" s="107">
        <v>0</v>
      </c>
      <c r="AI302" s="108">
        <f t="shared" ca="1" si="38"/>
        <v>425930</v>
      </c>
      <c r="AJ302" s="109">
        <f t="shared" ca="1" si="39"/>
        <v>5627070</v>
      </c>
    </row>
    <row r="303" spans="1:36" ht="15" customHeight="1" x14ac:dyDescent="0.3">
      <c r="A303" s="98" t="str">
        <f>EMPLOYEE_MASTER!A303</f>
        <v>LAO00300</v>
      </c>
      <c r="B303" s="98" t="str">
        <f>EMPLOYEE_MASTER!C303</f>
        <v>Vongphet</v>
      </c>
      <c r="C303" s="98" t="str">
        <f>EMPLOYEE_MASTER!D303</f>
        <v>Sisouvath</v>
      </c>
      <c r="D303" s="98" t="str">
        <f>EMPLOYEE_MASTER!T303</f>
        <v>Ministry of Health (MoH)</v>
      </c>
      <c r="E303" s="98" t="str">
        <f>EMPLOYEE_MASTER!M303</f>
        <v>Public Health Officer</v>
      </c>
      <c r="F303" s="98" t="str">
        <f>EMPLOYEE_MASTER!Z303</f>
        <v>Medical</v>
      </c>
      <c r="G303" s="99">
        <f>EMPLOYEE_MASTER!P303</f>
        <v>3</v>
      </c>
      <c r="H303" s="99">
        <f>EMPLOYEE_MASTER!Q303</f>
        <v>3</v>
      </c>
      <c r="I303" s="100" t="str">
        <f t="shared" si="32"/>
        <v>G03-S03</v>
      </c>
      <c r="J303" s="100">
        <f>IFERROR(VLOOKUP(I303,LK_GradeStep!$C$4:$D$85,2,0),0)</f>
        <v>278</v>
      </c>
      <c r="K303" s="100">
        <f>IFERROR(VLOOKUP(I303,LK_GradeStep!$C$4:$E$85,3,0),10000)</f>
        <v>10000</v>
      </c>
      <c r="L303" s="100">
        <f t="shared" si="33"/>
        <v>2780000</v>
      </c>
      <c r="M303" s="101">
        <f>IFERROR(VLOOKUP(EMPLOYEE_MASTER!AQ303,LK_AllowanceRates!$A$5:$B$11,2,0),0)</f>
        <v>900000</v>
      </c>
      <c r="N303" s="101">
        <f ca="1">IFERROR(IF(EMPLOYEE_MASTER!J303&lt;=5,  EMPLOYEE_MASTER!J303*LK_AllowanceRates!$B$12,IF(EMPLOYEE_MASTER!J303&lt;=15, EMPLOYEE_MASTER!J303*LK_AllowanceRates!$B$13,IF(EMPLOYEE_MASTER!J303&lt;=25, EMPLOYEE_MASTER!J303*LK_AllowanceRates!$B$14,EMPLOYEE_MASTER!J303*LK_AllowanceRates!$B$15))),0)</f>
        <v>240000</v>
      </c>
      <c r="O303" s="101">
        <f>IF(EMPLOYEE_MASTER!AS303="Teaching",L303*LK_AllowanceRates!$B$16,0)</f>
        <v>0</v>
      </c>
      <c r="P303" s="101">
        <f>IF(EMPLOYEE_MASTER!AS303="Medical",LK_AllowanceRates!$B$17,0)</f>
        <v>500000</v>
      </c>
      <c r="Q303" s="101">
        <f>IF(EMPLOYEE_MASTER!AR303="Yes",LK_AllowanceRates!$B$18,0)</f>
        <v>0</v>
      </c>
      <c r="R303" s="101">
        <f>IF(EMPLOYEE_MASTER!AC303="Yes",LK_AllowanceRates!$B$19,0)</f>
        <v>0</v>
      </c>
      <c r="S303" s="101">
        <f>IF(EMPLOYEE_MASTER!AA303="Yes",L303*LK_AllowanceRates!$B$20,0)</f>
        <v>0</v>
      </c>
      <c r="T303" s="101">
        <f>IF(EMPLOYEE_MASTER!AB303="Yes",LK_AllowanceRates!$B$21,0)</f>
        <v>0</v>
      </c>
      <c r="U303" s="101">
        <f>IF(EMPLOYEE_MASTER!P303&gt;=6,LK_AllowanceRates!$B$22,0)</f>
        <v>0</v>
      </c>
      <c r="V303" s="101">
        <f>IF(EMPLOYEE_MASTER!AO303="Yes",LK_AllowanceRates!$B$23,0)</f>
        <v>200000</v>
      </c>
      <c r="W303" s="101">
        <f>EMPLOYEE_MASTER!AP303*LK_AllowanceRates!$B$24</f>
        <v>400000</v>
      </c>
      <c r="X303" s="101">
        <v>0</v>
      </c>
      <c r="Y303" s="102">
        <v>0</v>
      </c>
      <c r="Z303" s="102">
        <v>0</v>
      </c>
      <c r="AA303" s="102">
        <v>0</v>
      </c>
      <c r="AB303" s="103">
        <f t="shared" ca="1" si="34"/>
        <v>2240000</v>
      </c>
      <c r="AC303" s="104">
        <f t="shared" ca="1" si="35"/>
        <v>5020000</v>
      </c>
      <c r="AD303" s="105">
        <f>ROUND(L303*LK_AllowanceRates!$B$25/100,0)</f>
        <v>152900</v>
      </c>
      <c r="AE303" s="106">
        <f t="shared" ca="1" si="36"/>
        <v>4867100</v>
      </c>
      <c r="AF303" s="106">
        <f t="shared" ca="1" si="37"/>
        <v>178355</v>
      </c>
      <c r="AG303" s="107">
        <v>0</v>
      </c>
      <c r="AH303" s="107">
        <v>0</v>
      </c>
      <c r="AI303" s="108">
        <f t="shared" ca="1" si="38"/>
        <v>331255</v>
      </c>
      <c r="AJ303" s="109">
        <f t="shared" ca="1" si="39"/>
        <v>4688745</v>
      </c>
    </row>
    <row r="304" spans="1:36" ht="15" customHeight="1" x14ac:dyDescent="0.3">
      <c r="A304" s="98" t="str">
        <f>EMPLOYEE_MASTER!A304</f>
        <v>LAO00301</v>
      </c>
      <c r="B304" s="98" t="str">
        <f>EMPLOYEE_MASTER!C304</f>
        <v>Keoviengkham</v>
      </c>
      <c r="C304" s="98" t="str">
        <f>EMPLOYEE_MASTER!D304</f>
        <v>Vongphachanh</v>
      </c>
      <c r="D304" s="98" t="str">
        <f>EMPLOYEE_MASTER!T304</f>
        <v>Ministry of Education and Sports (MoES)</v>
      </c>
      <c r="E304" s="98" t="str">
        <f>EMPLOYEE_MASTER!M304</f>
        <v>Senior Lecturer</v>
      </c>
      <c r="F304" s="98" t="str">
        <f>EMPLOYEE_MASTER!Z304</f>
        <v>Teacher</v>
      </c>
      <c r="G304" s="99">
        <f>EMPLOYEE_MASTER!P304</f>
        <v>4</v>
      </c>
      <c r="H304" s="99">
        <f>EMPLOYEE_MASTER!Q304</f>
        <v>6</v>
      </c>
      <c r="I304" s="100" t="str">
        <f t="shared" si="32"/>
        <v>G04-S06</v>
      </c>
      <c r="J304" s="100">
        <f>IFERROR(VLOOKUP(I304,LK_GradeStep!$C$4:$D$85,2,0),0)</f>
        <v>296</v>
      </c>
      <c r="K304" s="100">
        <f>IFERROR(VLOOKUP(I304,LK_GradeStep!$C$4:$E$85,3,0),10000)</f>
        <v>10000</v>
      </c>
      <c r="L304" s="100">
        <f t="shared" si="33"/>
        <v>2960000</v>
      </c>
      <c r="M304" s="101">
        <f>IFERROR(VLOOKUP(EMPLOYEE_MASTER!AQ304,LK_AllowanceRates!$A$5:$B$11,2,0),0)</f>
        <v>900000</v>
      </c>
      <c r="N304" s="101">
        <f ca="1">IFERROR(IF(EMPLOYEE_MASTER!J304&lt;=5,  EMPLOYEE_MASTER!J304*LK_AllowanceRates!$B$12,IF(EMPLOYEE_MASTER!J304&lt;=15, EMPLOYEE_MASTER!J304*LK_AllowanceRates!$B$13,IF(EMPLOYEE_MASTER!J304&lt;=25, EMPLOYEE_MASTER!J304*LK_AllowanceRates!$B$14,EMPLOYEE_MASTER!J304*LK_AllowanceRates!$B$15))),0)</f>
        <v>630000</v>
      </c>
      <c r="O304" s="101">
        <f>IF(EMPLOYEE_MASTER!AS304="Teaching",L304*LK_AllowanceRates!$B$16,0)</f>
        <v>592000</v>
      </c>
      <c r="P304" s="101">
        <f>IF(EMPLOYEE_MASTER!AS304="Medical",LK_AllowanceRates!$B$17,0)</f>
        <v>0</v>
      </c>
      <c r="Q304" s="101">
        <f>IF(EMPLOYEE_MASTER!AR304="Yes",LK_AllowanceRates!$B$18,0)</f>
        <v>0</v>
      </c>
      <c r="R304" s="101">
        <f>IF(EMPLOYEE_MASTER!AC304="Yes",LK_AllowanceRates!$B$19,0)</f>
        <v>0</v>
      </c>
      <c r="S304" s="101">
        <f>IF(EMPLOYEE_MASTER!AA304="Yes",L304*LK_AllowanceRates!$B$20,0)</f>
        <v>0</v>
      </c>
      <c r="T304" s="101">
        <f>IF(EMPLOYEE_MASTER!AB304="Yes",LK_AllowanceRates!$B$21,0)</f>
        <v>0</v>
      </c>
      <c r="U304" s="101">
        <f>IF(EMPLOYEE_MASTER!P304&gt;=6,LK_AllowanceRates!$B$22,0)</f>
        <v>0</v>
      </c>
      <c r="V304" s="101">
        <f>IF(EMPLOYEE_MASTER!AO304="Yes",LK_AllowanceRates!$B$23,0)</f>
        <v>200000</v>
      </c>
      <c r="W304" s="101">
        <f>EMPLOYEE_MASTER!AP304*LK_AllowanceRates!$B$24</f>
        <v>0</v>
      </c>
      <c r="X304" s="101">
        <v>0</v>
      </c>
      <c r="Y304" s="102">
        <v>0</v>
      </c>
      <c r="Z304" s="102">
        <v>0</v>
      </c>
      <c r="AA304" s="102">
        <v>0</v>
      </c>
      <c r="AB304" s="103">
        <f t="shared" ca="1" si="34"/>
        <v>2322000</v>
      </c>
      <c r="AC304" s="104">
        <f t="shared" ca="1" si="35"/>
        <v>5282000</v>
      </c>
      <c r="AD304" s="105">
        <f>ROUND(L304*LK_AllowanceRates!$B$25/100,0)</f>
        <v>162800</v>
      </c>
      <c r="AE304" s="106">
        <f t="shared" ca="1" si="36"/>
        <v>5119200</v>
      </c>
      <c r="AF304" s="106">
        <f t="shared" ca="1" si="37"/>
        <v>196920</v>
      </c>
      <c r="AG304" s="107">
        <v>0</v>
      </c>
      <c r="AH304" s="107">
        <v>0</v>
      </c>
      <c r="AI304" s="108">
        <f t="shared" ca="1" si="38"/>
        <v>359720</v>
      </c>
      <c r="AJ304" s="109">
        <f t="shared" ca="1" si="39"/>
        <v>4922280</v>
      </c>
    </row>
    <row r="305" spans="1:36" ht="15" customHeight="1" x14ac:dyDescent="0.3">
      <c r="A305" s="98" t="str">
        <f>EMPLOYEE_MASTER!A305</f>
        <v>LAO00302</v>
      </c>
      <c r="B305" s="98" t="str">
        <f>EMPLOYEE_MASTER!C305</f>
        <v>Keovilay</v>
      </c>
      <c r="C305" s="98" t="str">
        <f>EMPLOYEE_MASTER!D305</f>
        <v>Chanthavong</v>
      </c>
      <c r="D305" s="98" t="str">
        <f>EMPLOYEE_MASTER!T305</f>
        <v>Ministry of Education and Sports (MoES)</v>
      </c>
      <c r="E305" s="98" t="str">
        <f>EMPLOYEE_MASTER!M305</f>
        <v>Associate Professor</v>
      </c>
      <c r="F305" s="98" t="str">
        <f>EMPLOYEE_MASTER!Z305</f>
        <v>Teacher</v>
      </c>
      <c r="G305" s="99">
        <f>EMPLOYEE_MASTER!P305</f>
        <v>5</v>
      </c>
      <c r="H305" s="99">
        <f>EMPLOYEE_MASTER!Q305</f>
        <v>1</v>
      </c>
      <c r="I305" s="100" t="str">
        <f t="shared" si="32"/>
        <v>G05-S01</v>
      </c>
      <c r="J305" s="100">
        <f>IFERROR(VLOOKUP(I305,LK_GradeStep!$C$4:$D$85,2,0),0)</f>
        <v>308</v>
      </c>
      <c r="K305" s="100">
        <f>IFERROR(VLOOKUP(I305,LK_GradeStep!$C$4:$E$85,3,0),10000)</f>
        <v>10000</v>
      </c>
      <c r="L305" s="100">
        <f t="shared" si="33"/>
        <v>3080000</v>
      </c>
      <c r="M305" s="101">
        <f>IFERROR(VLOOKUP(EMPLOYEE_MASTER!AQ305,LK_AllowanceRates!$A$5:$B$11,2,0),0)</f>
        <v>900000</v>
      </c>
      <c r="N305" s="101">
        <f ca="1">IFERROR(IF(EMPLOYEE_MASTER!J305&lt;=5,  EMPLOYEE_MASTER!J305*LK_AllowanceRates!$B$12,IF(EMPLOYEE_MASTER!J305&lt;=15, EMPLOYEE_MASTER!J305*LK_AllowanceRates!$B$13,IF(EMPLOYEE_MASTER!J305&lt;=25, EMPLOYEE_MASTER!J305*LK_AllowanceRates!$B$14,EMPLOYEE_MASTER!J305*LK_AllowanceRates!$B$15))),0)</f>
        <v>1400000</v>
      </c>
      <c r="O305" s="101">
        <f>IF(EMPLOYEE_MASTER!AS305="Teaching",L305*LK_AllowanceRates!$B$16,0)</f>
        <v>616000</v>
      </c>
      <c r="P305" s="101">
        <f>IF(EMPLOYEE_MASTER!AS305="Medical",LK_AllowanceRates!$B$17,0)</f>
        <v>0</v>
      </c>
      <c r="Q305" s="101">
        <f>IF(EMPLOYEE_MASTER!AR305="Yes",LK_AllowanceRates!$B$18,0)</f>
        <v>0</v>
      </c>
      <c r="R305" s="101">
        <f>IF(EMPLOYEE_MASTER!AC305="Yes",LK_AllowanceRates!$B$19,0)</f>
        <v>1000000</v>
      </c>
      <c r="S305" s="101">
        <f>IF(EMPLOYEE_MASTER!AA305="Yes",L305*LK_AllowanceRates!$B$20,0)</f>
        <v>770000</v>
      </c>
      <c r="T305" s="101">
        <f>IF(EMPLOYEE_MASTER!AB305="Yes",LK_AllowanceRates!$B$21,0)</f>
        <v>0</v>
      </c>
      <c r="U305" s="101">
        <f>IF(EMPLOYEE_MASTER!P305&gt;=6,LK_AllowanceRates!$B$22,0)</f>
        <v>0</v>
      </c>
      <c r="V305" s="101">
        <f>IF(EMPLOYEE_MASTER!AO305="Yes",LK_AllowanceRates!$B$23,0)</f>
        <v>0</v>
      </c>
      <c r="W305" s="101">
        <f>EMPLOYEE_MASTER!AP305*LK_AllowanceRates!$B$24</f>
        <v>0</v>
      </c>
      <c r="X305" s="101">
        <v>0</v>
      </c>
      <c r="Y305" s="102">
        <v>0</v>
      </c>
      <c r="Z305" s="102">
        <v>0</v>
      </c>
      <c r="AA305" s="102">
        <v>0</v>
      </c>
      <c r="AB305" s="103">
        <f t="shared" ca="1" si="34"/>
        <v>4686000</v>
      </c>
      <c r="AC305" s="104">
        <f t="shared" ca="1" si="35"/>
        <v>7766000</v>
      </c>
      <c r="AD305" s="105">
        <f>ROUND(L305*LK_AllowanceRates!$B$25/100,0)</f>
        <v>169400</v>
      </c>
      <c r="AE305" s="106">
        <f t="shared" ca="1" si="36"/>
        <v>7596600</v>
      </c>
      <c r="AF305" s="106">
        <f t="shared" ca="1" si="37"/>
        <v>444660</v>
      </c>
      <c r="AG305" s="107">
        <v>0</v>
      </c>
      <c r="AH305" s="107">
        <v>0</v>
      </c>
      <c r="AI305" s="108">
        <f t="shared" ca="1" si="38"/>
        <v>614060</v>
      </c>
      <c r="AJ305" s="109">
        <f t="shared" ca="1" si="39"/>
        <v>7151940</v>
      </c>
    </row>
    <row r="306" spans="1:36" ht="15" customHeight="1" x14ac:dyDescent="0.3">
      <c r="A306" s="98" t="str">
        <f>EMPLOYEE_MASTER!A306</f>
        <v>LAO00303</v>
      </c>
      <c r="B306" s="98" t="str">
        <f>EMPLOYEE_MASTER!C306</f>
        <v>Soulivanh</v>
      </c>
      <c r="C306" s="98" t="str">
        <f>EMPLOYEE_MASTER!D306</f>
        <v>Xaysomboun</v>
      </c>
      <c r="D306" s="98" t="str">
        <f>EMPLOYEE_MASTER!T306</f>
        <v>Ministry of Planning &amp; Investment (MPI)</v>
      </c>
      <c r="E306" s="98" t="str">
        <f>EMPLOYEE_MASTER!M306</f>
        <v>Deputy Director</v>
      </c>
      <c r="F306" s="98" t="str">
        <f>EMPLOYEE_MASTER!Z306</f>
        <v>Administration</v>
      </c>
      <c r="G306" s="99">
        <f>EMPLOYEE_MASTER!P306</f>
        <v>4</v>
      </c>
      <c r="H306" s="99">
        <f>EMPLOYEE_MASTER!Q306</f>
        <v>7</v>
      </c>
      <c r="I306" s="100" t="str">
        <f t="shared" si="32"/>
        <v>G04-S07</v>
      </c>
      <c r="J306" s="100">
        <f>IFERROR(VLOOKUP(I306,LK_GradeStep!$C$4:$D$85,2,0),0)</f>
        <v>298</v>
      </c>
      <c r="K306" s="100">
        <f>IFERROR(VLOOKUP(I306,LK_GradeStep!$C$4:$E$85,3,0),10000)</f>
        <v>10000</v>
      </c>
      <c r="L306" s="100">
        <f t="shared" si="33"/>
        <v>2980000</v>
      </c>
      <c r="M306" s="101">
        <f>IFERROR(VLOOKUP(EMPLOYEE_MASTER!AQ306,LK_AllowanceRates!$A$5:$B$11,2,0),0)</f>
        <v>2300000</v>
      </c>
      <c r="N306" s="101">
        <f ca="1">IFERROR(IF(EMPLOYEE_MASTER!J306&lt;=5,  EMPLOYEE_MASTER!J306*LK_AllowanceRates!$B$12,IF(EMPLOYEE_MASTER!J306&lt;=15, EMPLOYEE_MASTER!J306*LK_AllowanceRates!$B$13,IF(EMPLOYEE_MASTER!J306&lt;=25, EMPLOYEE_MASTER!J306*LK_AllowanceRates!$B$14,EMPLOYEE_MASTER!J306*LK_AllowanceRates!$B$15))),0)</f>
        <v>720000</v>
      </c>
      <c r="O306" s="101">
        <f>IF(EMPLOYEE_MASTER!AS306="Teaching",L306*LK_AllowanceRates!$B$16,0)</f>
        <v>0</v>
      </c>
      <c r="P306" s="101">
        <f>IF(EMPLOYEE_MASTER!AS306="Medical",LK_AllowanceRates!$B$17,0)</f>
        <v>0</v>
      </c>
      <c r="Q306" s="101">
        <f>IF(EMPLOYEE_MASTER!AR306="Yes",LK_AllowanceRates!$B$18,0)</f>
        <v>0</v>
      </c>
      <c r="R306" s="101">
        <f>IF(EMPLOYEE_MASTER!AC306="Yes",LK_AllowanceRates!$B$19,0)</f>
        <v>0</v>
      </c>
      <c r="S306" s="101">
        <f>IF(EMPLOYEE_MASTER!AA306="Yes",L306*LK_AllowanceRates!$B$20,0)</f>
        <v>745000</v>
      </c>
      <c r="T306" s="101">
        <f>IF(EMPLOYEE_MASTER!AB306="Yes",LK_AllowanceRates!$B$21,0)</f>
        <v>0</v>
      </c>
      <c r="U306" s="101">
        <f>IF(EMPLOYEE_MASTER!P306&gt;=6,LK_AllowanceRates!$B$22,0)</f>
        <v>0</v>
      </c>
      <c r="V306" s="101">
        <f>IF(EMPLOYEE_MASTER!AO306="Yes",LK_AllowanceRates!$B$23,0)</f>
        <v>200000</v>
      </c>
      <c r="W306" s="101">
        <f>EMPLOYEE_MASTER!AP306*LK_AllowanceRates!$B$24</f>
        <v>200000</v>
      </c>
      <c r="X306" s="101">
        <v>0</v>
      </c>
      <c r="Y306" s="102">
        <v>0</v>
      </c>
      <c r="Z306" s="102">
        <v>0</v>
      </c>
      <c r="AA306" s="102">
        <v>0</v>
      </c>
      <c r="AB306" s="103">
        <f t="shared" ca="1" si="34"/>
        <v>4165000</v>
      </c>
      <c r="AC306" s="104">
        <f t="shared" ca="1" si="35"/>
        <v>7145000</v>
      </c>
      <c r="AD306" s="105">
        <f>ROUND(L306*LK_AllowanceRates!$B$25/100,0)</f>
        <v>163900</v>
      </c>
      <c r="AE306" s="106">
        <f t="shared" ca="1" si="36"/>
        <v>6981100</v>
      </c>
      <c r="AF306" s="106">
        <f t="shared" ca="1" si="37"/>
        <v>383110</v>
      </c>
      <c r="AG306" s="107">
        <v>0</v>
      </c>
      <c r="AH306" s="107">
        <v>0</v>
      </c>
      <c r="AI306" s="108">
        <f t="shared" ca="1" si="38"/>
        <v>547010</v>
      </c>
      <c r="AJ306" s="109">
        <f t="shared" ca="1" si="39"/>
        <v>6597990</v>
      </c>
    </row>
    <row r="307" spans="1:36" ht="15" customHeight="1" x14ac:dyDescent="0.3">
      <c r="A307" s="98" t="str">
        <f>EMPLOYEE_MASTER!A307</f>
        <v>LAO00304</v>
      </c>
      <c r="B307" s="98" t="str">
        <f>EMPLOYEE_MASTER!C307</f>
        <v>Phonevieng</v>
      </c>
      <c r="C307" s="98" t="str">
        <f>EMPLOYEE_MASTER!D307</f>
        <v>Phongphichith</v>
      </c>
      <c r="D307" s="98" t="str">
        <f>EMPLOYEE_MASTER!T307</f>
        <v>Ministry of Justice (MoJ)</v>
      </c>
      <c r="E307" s="98" t="str">
        <f>EMPLOYEE_MASTER!M307</f>
        <v>Senior Legal Officer</v>
      </c>
      <c r="F307" s="98" t="str">
        <f>EMPLOYEE_MASTER!Z307</f>
        <v>Legal</v>
      </c>
      <c r="G307" s="99">
        <f>EMPLOYEE_MASTER!P307</f>
        <v>5</v>
      </c>
      <c r="H307" s="99">
        <f>EMPLOYEE_MASTER!Q307</f>
        <v>5</v>
      </c>
      <c r="I307" s="100" t="str">
        <f t="shared" si="32"/>
        <v>G05-S05</v>
      </c>
      <c r="J307" s="100">
        <f>IFERROR(VLOOKUP(I307,LK_GradeStep!$C$4:$D$85,2,0),0)</f>
        <v>328</v>
      </c>
      <c r="K307" s="100">
        <f>IFERROR(VLOOKUP(I307,LK_GradeStep!$C$4:$E$85,3,0),10000)</f>
        <v>10000</v>
      </c>
      <c r="L307" s="100">
        <f t="shared" si="33"/>
        <v>3280000</v>
      </c>
      <c r="M307" s="101">
        <f>IFERROR(VLOOKUP(EMPLOYEE_MASTER!AQ307,LK_AllowanceRates!$A$5:$B$11,2,0),0)</f>
        <v>900000</v>
      </c>
      <c r="N307" s="101">
        <f ca="1">IFERROR(IF(EMPLOYEE_MASTER!J307&lt;=5,  EMPLOYEE_MASTER!J307*LK_AllowanceRates!$B$12,IF(EMPLOYEE_MASTER!J307&lt;=15, EMPLOYEE_MASTER!J307*LK_AllowanceRates!$B$13,IF(EMPLOYEE_MASTER!J307&lt;=25, EMPLOYEE_MASTER!J307*LK_AllowanceRates!$B$14,EMPLOYEE_MASTER!J307*LK_AllowanceRates!$B$15))),0)</f>
        <v>690000</v>
      </c>
      <c r="O307" s="101">
        <f>IF(EMPLOYEE_MASTER!AS307="Teaching",L307*LK_AllowanceRates!$B$16,0)</f>
        <v>0</v>
      </c>
      <c r="P307" s="101">
        <f>IF(EMPLOYEE_MASTER!AS307="Medical",LK_AllowanceRates!$B$17,0)</f>
        <v>0</v>
      </c>
      <c r="Q307" s="101">
        <f>IF(EMPLOYEE_MASTER!AR307="Yes",LK_AllowanceRates!$B$18,0)</f>
        <v>0</v>
      </c>
      <c r="R307" s="101">
        <f>IF(EMPLOYEE_MASTER!AC307="Yes",LK_AllowanceRates!$B$19,0)</f>
        <v>1000000</v>
      </c>
      <c r="S307" s="101">
        <f>IF(EMPLOYEE_MASTER!AA307="Yes",L307*LK_AllowanceRates!$B$20,0)</f>
        <v>0</v>
      </c>
      <c r="T307" s="101">
        <f>IF(EMPLOYEE_MASTER!AB307="Yes",LK_AllowanceRates!$B$21,0)</f>
        <v>0</v>
      </c>
      <c r="U307" s="101">
        <f>IF(EMPLOYEE_MASTER!P307&gt;=6,LK_AllowanceRates!$B$22,0)</f>
        <v>0</v>
      </c>
      <c r="V307" s="101">
        <f>IF(EMPLOYEE_MASTER!AO307="Yes",LK_AllowanceRates!$B$23,0)</f>
        <v>200000</v>
      </c>
      <c r="W307" s="101">
        <f>EMPLOYEE_MASTER!AP307*LK_AllowanceRates!$B$24</f>
        <v>600000</v>
      </c>
      <c r="X307" s="101">
        <v>0</v>
      </c>
      <c r="Y307" s="102">
        <v>0</v>
      </c>
      <c r="Z307" s="102">
        <v>0</v>
      </c>
      <c r="AA307" s="102">
        <v>0</v>
      </c>
      <c r="AB307" s="103">
        <f t="shared" ca="1" si="34"/>
        <v>3390000</v>
      </c>
      <c r="AC307" s="104">
        <f t="shared" ca="1" si="35"/>
        <v>6670000</v>
      </c>
      <c r="AD307" s="105">
        <f>ROUND(L307*LK_AllowanceRates!$B$25/100,0)</f>
        <v>180400</v>
      </c>
      <c r="AE307" s="106">
        <f t="shared" ca="1" si="36"/>
        <v>6489600</v>
      </c>
      <c r="AF307" s="106">
        <f t="shared" ca="1" si="37"/>
        <v>333960</v>
      </c>
      <c r="AG307" s="107">
        <v>0</v>
      </c>
      <c r="AH307" s="107">
        <v>0</v>
      </c>
      <c r="AI307" s="108">
        <f t="shared" ca="1" si="38"/>
        <v>514360</v>
      </c>
      <c r="AJ307" s="109">
        <f t="shared" ca="1" si="39"/>
        <v>6155640</v>
      </c>
    </row>
    <row r="308" spans="1:36" ht="15" customHeight="1" x14ac:dyDescent="0.3">
      <c r="A308" s="98" t="str">
        <f>EMPLOYEE_MASTER!A308</f>
        <v>LAO00305</v>
      </c>
      <c r="B308" s="98" t="str">
        <f>EMPLOYEE_MASTER!C308</f>
        <v>Bounlan</v>
      </c>
      <c r="C308" s="98" t="str">
        <f>EMPLOYEE_MASTER!D308</f>
        <v>Kheudkham</v>
      </c>
      <c r="D308" s="98" t="str">
        <f>EMPLOYEE_MASTER!T308</f>
        <v>Ministry of Finance (MoF)</v>
      </c>
      <c r="E308" s="98" t="str">
        <f>EMPLOYEE_MASTER!M308</f>
        <v>Senior Accountant</v>
      </c>
      <c r="F308" s="98" t="str">
        <f>EMPLOYEE_MASTER!Z308</f>
        <v>Finance</v>
      </c>
      <c r="G308" s="99">
        <f>EMPLOYEE_MASTER!P308</f>
        <v>5</v>
      </c>
      <c r="H308" s="99">
        <f>EMPLOYEE_MASTER!Q308</f>
        <v>13</v>
      </c>
      <c r="I308" s="100" t="str">
        <f t="shared" si="32"/>
        <v>G05-S13</v>
      </c>
      <c r="J308" s="100">
        <f>IFERROR(VLOOKUP(I308,LK_GradeStep!$C$4:$D$85,2,0),0)</f>
        <v>398</v>
      </c>
      <c r="K308" s="100">
        <f>IFERROR(VLOOKUP(I308,LK_GradeStep!$C$4:$E$85,3,0),10000)</f>
        <v>10000</v>
      </c>
      <c r="L308" s="100">
        <f t="shared" si="33"/>
        <v>3980000</v>
      </c>
      <c r="M308" s="101">
        <f>IFERROR(VLOOKUP(EMPLOYEE_MASTER!AQ308,LK_AllowanceRates!$A$5:$B$11,2,0),0)</f>
        <v>900000</v>
      </c>
      <c r="N308" s="101">
        <f ca="1">IFERROR(IF(EMPLOYEE_MASTER!J308&lt;=5,  EMPLOYEE_MASTER!J308*LK_AllowanceRates!$B$12,IF(EMPLOYEE_MASTER!J308&lt;=15, EMPLOYEE_MASTER!J308*LK_AllowanceRates!$B$13,IF(EMPLOYEE_MASTER!J308&lt;=25, EMPLOYEE_MASTER!J308*LK_AllowanceRates!$B$14,EMPLOYEE_MASTER!J308*LK_AllowanceRates!$B$15))),0)</f>
        <v>50000</v>
      </c>
      <c r="O308" s="101">
        <f>IF(EMPLOYEE_MASTER!AS308="Teaching",L308*LK_AllowanceRates!$B$16,0)</f>
        <v>0</v>
      </c>
      <c r="P308" s="101">
        <f>IF(EMPLOYEE_MASTER!AS308="Medical",LK_AllowanceRates!$B$17,0)</f>
        <v>0</v>
      </c>
      <c r="Q308" s="101">
        <f>IF(EMPLOYEE_MASTER!AR308="Yes",LK_AllowanceRates!$B$18,0)</f>
        <v>0</v>
      </c>
      <c r="R308" s="101">
        <f>IF(EMPLOYEE_MASTER!AC308="Yes",LK_AllowanceRates!$B$19,0)</f>
        <v>1000000</v>
      </c>
      <c r="S308" s="101">
        <f>IF(EMPLOYEE_MASTER!AA308="Yes",L308*LK_AllowanceRates!$B$20,0)</f>
        <v>0</v>
      </c>
      <c r="T308" s="101">
        <f>IF(EMPLOYEE_MASTER!AB308="Yes",LK_AllowanceRates!$B$21,0)</f>
        <v>0</v>
      </c>
      <c r="U308" s="101">
        <f>IF(EMPLOYEE_MASTER!P308&gt;=6,LK_AllowanceRates!$B$22,0)</f>
        <v>0</v>
      </c>
      <c r="V308" s="101">
        <f>IF(EMPLOYEE_MASTER!AO308="Yes",LK_AllowanceRates!$B$23,0)</f>
        <v>200000</v>
      </c>
      <c r="W308" s="101">
        <f>EMPLOYEE_MASTER!AP308*LK_AllowanceRates!$B$24</f>
        <v>400000</v>
      </c>
      <c r="X308" s="101">
        <v>0</v>
      </c>
      <c r="Y308" s="102">
        <v>0</v>
      </c>
      <c r="Z308" s="102">
        <v>0</v>
      </c>
      <c r="AA308" s="102">
        <v>0</v>
      </c>
      <c r="AB308" s="103">
        <f t="shared" ca="1" si="34"/>
        <v>2550000</v>
      </c>
      <c r="AC308" s="104">
        <f t="shared" ca="1" si="35"/>
        <v>6530000</v>
      </c>
      <c r="AD308" s="105">
        <f>ROUND(L308*LK_AllowanceRates!$B$25/100,0)</f>
        <v>218900</v>
      </c>
      <c r="AE308" s="106">
        <f t="shared" ca="1" si="36"/>
        <v>6311100</v>
      </c>
      <c r="AF308" s="106">
        <f t="shared" ca="1" si="37"/>
        <v>316110</v>
      </c>
      <c r="AG308" s="107">
        <v>0</v>
      </c>
      <c r="AH308" s="107">
        <v>0</v>
      </c>
      <c r="AI308" s="108">
        <f t="shared" ca="1" si="38"/>
        <v>535010</v>
      </c>
      <c r="AJ308" s="109">
        <f t="shared" ca="1" si="39"/>
        <v>5994990</v>
      </c>
    </row>
    <row r="309" spans="1:36" ht="15" customHeight="1" x14ac:dyDescent="0.3">
      <c r="A309" s="98" t="str">
        <f>EMPLOYEE_MASTER!A309</f>
        <v>LAO00306</v>
      </c>
      <c r="B309" s="98" t="str">
        <f>EMPLOYEE_MASTER!C309</f>
        <v>Sengphet</v>
      </c>
      <c r="C309" s="98" t="str">
        <f>EMPLOYEE_MASTER!D309</f>
        <v>Bouavong</v>
      </c>
      <c r="D309" s="98" t="str">
        <f>EMPLOYEE_MASTER!T309</f>
        <v>Ministry of Agriculture and Forestry (MoAF)</v>
      </c>
      <c r="E309" s="98" t="str">
        <f>EMPLOYEE_MASTER!M309</f>
        <v>Infrastructure Officer</v>
      </c>
      <c r="F309" s="98" t="str">
        <f>EMPLOYEE_MASTER!Z309</f>
        <v>Technical</v>
      </c>
      <c r="G309" s="99">
        <f>EMPLOYEE_MASTER!P309</f>
        <v>4</v>
      </c>
      <c r="H309" s="99">
        <f>EMPLOYEE_MASTER!Q309</f>
        <v>1</v>
      </c>
      <c r="I309" s="100" t="str">
        <f t="shared" si="32"/>
        <v>G04-S01</v>
      </c>
      <c r="J309" s="100">
        <f>IFERROR(VLOOKUP(I309,LK_GradeStep!$C$4:$D$85,2,0),0)</f>
        <v>286</v>
      </c>
      <c r="K309" s="100">
        <f>IFERROR(VLOOKUP(I309,LK_GradeStep!$C$4:$E$85,3,0),10000)</f>
        <v>10000</v>
      </c>
      <c r="L309" s="100">
        <f t="shared" si="33"/>
        <v>2860000</v>
      </c>
      <c r="M309" s="101">
        <f>IFERROR(VLOOKUP(EMPLOYEE_MASTER!AQ309,LK_AllowanceRates!$A$5:$B$11,2,0),0)</f>
        <v>900000</v>
      </c>
      <c r="N309" s="101">
        <f ca="1">IFERROR(IF(EMPLOYEE_MASTER!J309&lt;=5,  EMPLOYEE_MASTER!J309*LK_AllowanceRates!$B$12,IF(EMPLOYEE_MASTER!J309&lt;=15, EMPLOYEE_MASTER!J309*LK_AllowanceRates!$B$13,IF(EMPLOYEE_MASTER!J309&lt;=25, EMPLOYEE_MASTER!J309*LK_AllowanceRates!$B$14,EMPLOYEE_MASTER!J309*LK_AllowanceRates!$B$15))),0)</f>
        <v>690000</v>
      </c>
      <c r="O309" s="101">
        <f>IF(EMPLOYEE_MASTER!AS309="Teaching",L309*LK_AllowanceRates!$B$16,0)</f>
        <v>0</v>
      </c>
      <c r="P309" s="101">
        <f>IF(EMPLOYEE_MASTER!AS309="Medical",LK_AllowanceRates!$B$17,0)</f>
        <v>0</v>
      </c>
      <c r="Q309" s="101">
        <f>IF(EMPLOYEE_MASTER!AR309="Yes",LK_AllowanceRates!$B$18,0)</f>
        <v>0</v>
      </c>
      <c r="R309" s="101">
        <f>IF(EMPLOYEE_MASTER!AC309="Yes",LK_AllowanceRates!$B$19,0)</f>
        <v>0</v>
      </c>
      <c r="S309" s="101">
        <f>IF(EMPLOYEE_MASTER!AA309="Yes",L309*LK_AllowanceRates!$B$20,0)</f>
        <v>715000</v>
      </c>
      <c r="T309" s="101">
        <f>IF(EMPLOYEE_MASTER!AB309="Yes",LK_AllowanceRates!$B$21,0)</f>
        <v>0</v>
      </c>
      <c r="U309" s="101">
        <f>IF(EMPLOYEE_MASTER!P309&gt;=6,LK_AllowanceRates!$B$22,0)</f>
        <v>0</v>
      </c>
      <c r="V309" s="101">
        <f>IF(EMPLOYEE_MASTER!AO309="Yes",LK_AllowanceRates!$B$23,0)</f>
        <v>200000</v>
      </c>
      <c r="W309" s="101">
        <f>EMPLOYEE_MASTER!AP309*LK_AllowanceRates!$B$24</f>
        <v>0</v>
      </c>
      <c r="X309" s="101">
        <v>0</v>
      </c>
      <c r="Y309" s="102">
        <v>0</v>
      </c>
      <c r="Z309" s="102">
        <v>0</v>
      </c>
      <c r="AA309" s="102">
        <v>0</v>
      </c>
      <c r="AB309" s="103">
        <f t="shared" ca="1" si="34"/>
        <v>2505000</v>
      </c>
      <c r="AC309" s="104">
        <f t="shared" ca="1" si="35"/>
        <v>5365000</v>
      </c>
      <c r="AD309" s="105">
        <f>ROUND(L309*LK_AllowanceRates!$B$25/100,0)</f>
        <v>157300</v>
      </c>
      <c r="AE309" s="106">
        <f t="shared" ca="1" si="36"/>
        <v>5207700</v>
      </c>
      <c r="AF309" s="106">
        <f t="shared" ca="1" si="37"/>
        <v>205770</v>
      </c>
      <c r="AG309" s="107">
        <v>0</v>
      </c>
      <c r="AH309" s="107">
        <v>0</v>
      </c>
      <c r="AI309" s="108">
        <f t="shared" ca="1" si="38"/>
        <v>363070</v>
      </c>
      <c r="AJ309" s="109">
        <f t="shared" ca="1" si="39"/>
        <v>5001930</v>
      </c>
    </row>
    <row r="310" spans="1:36" ht="15" customHeight="1" x14ac:dyDescent="0.3">
      <c r="A310" s="98" t="str">
        <f>EMPLOYEE_MASTER!A310</f>
        <v>LAO00307</v>
      </c>
      <c r="B310" s="98" t="str">
        <f>EMPLOYEE_MASTER!C310</f>
        <v>Sivilay</v>
      </c>
      <c r="C310" s="98" t="str">
        <f>EMPLOYEE_MASTER!D310</f>
        <v>Dalasane</v>
      </c>
      <c r="D310" s="98" t="str">
        <f>EMPLOYEE_MASTER!T310</f>
        <v>Ministry of Education and Sports (MoES)</v>
      </c>
      <c r="E310" s="98" t="str">
        <f>EMPLOYEE_MASTER!M310</f>
        <v>Associate Professor</v>
      </c>
      <c r="F310" s="98" t="str">
        <f>EMPLOYEE_MASTER!Z310</f>
        <v>Teacher</v>
      </c>
      <c r="G310" s="99">
        <f>EMPLOYEE_MASTER!P310</f>
        <v>5</v>
      </c>
      <c r="H310" s="99">
        <f>EMPLOYEE_MASTER!Q310</f>
        <v>6</v>
      </c>
      <c r="I310" s="100" t="str">
        <f t="shared" si="32"/>
        <v>G05-S06</v>
      </c>
      <c r="J310" s="100">
        <f>IFERROR(VLOOKUP(I310,LK_GradeStep!$C$4:$D$85,2,0),0)</f>
        <v>333</v>
      </c>
      <c r="K310" s="100">
        <f>IFERROR(VLOOKUP(I310,LK_GradeStep!$C$4:$E$85,3,0),10000)</f>
        <v>10000</v>
      </c>
      <c r="L310" s="100">
        <f t="shared" si="33"/>
        <v>3330000</v>
      </c>
      <c r="M310" s="101">
        <f>IFERROR(VLOOKUP(EMPLOYEE_MASTER!AQ310,LK_AllowanceRates!$A$5:$B$11,2,0),0)</f>
        <v>900000</v>
      </c>
      <c r="N310" s="101">
        <f ca="1">IFERROR(IF(EMPLOYEE_MASTER!J310&lt;=5,  EMPLOYEE_MASTER!J310*LK_AllowanceRates!$B$12,IF(EMPLOYEE_MASTER!J310&lt;=15, EMPLOYEE_MASTER!J310*LK_AllowanceRates!$B$13,IF(EMPLOYEE_MASTER!J310&lt;=25, EMPLOYEE_MASTER!J310*LK_AllowanceRates!$B$14,EMPLOYEE_MASTER!J310*LK_AllowanceRates!$B$15))),0)</f>
        <v>750000</v>
      </c>
      <c r="O310" s="101">
        <f>IF(EMPLOYEE_MASTER!AS310="Teaching",L310*LK_AllowanceRates!$B$16,0)</f>
        <v>666000</v>
      </c>
      <c r="P310" s="101">
        <f>IF(EMPLOYEE_MASTER!AS310="Medical",LK_AllowanceRates!$B$17,0)</f>
        <v>0</v>
      </c>
      <c r="Q310" s="101">
        <f>IF(EMPLOYEE_MASTER!AR310="Yes",LK_AllowanceRates!$B$18,0)</f>
        <v>0</v>
      </c>
      <c r="R310" s="101">
        <f>IF(EMPLOYEE_MASTER!AC310="Yes",LK_AllowanceRates!$B$19,0)</f>
        <v>1000000</v>
      </c>
      <c r="S310" s="101">
        <f>IF(EMPLOYEE_MASTER!AA310="Yes",L310*LK_AllowanceRates!$B$20,0)</f>
        <v>832500</v>
      </c>
      <c r="T310" s="101">
        <f>IF(EMPLOYEE_MASTER!AB310="Yes",LK_AllowanceRates!$B$21,0)</f>
        <v>0</v>
      </c>
      <c r="U310" s="101">
        <f>IF(EMPLOYEE_MASTER!P310&gt;=6,LK_AllowanceRates!$B$22,0)</f>
        <v>0</v>
      </c>
      <c r="V310" s="101">
        <f>IF(EMPLOYEE_MASTER!AO310="Yes",LK_AllowanceRates!$B$23,0)</f>
        <v>0</v>
      </c>
      <c r="W310" s="101">
        <f>EMPLOYEE_MASTER!AP310*LK_AllowanceRates!$B$24</f>
        <v>0</v>
      </c>
      <c r="X310" s="101">
        <v>0</v>
      </c>
      <c r="Y310" s="102">
        <v>0</v>
      </c>
      <c r="Z310" s="102">
        <v>0</v>
      </c>
      <c r="AA310" s="102">
        <v>0</v>
      </c>
      <c r="AB310" s="103">
        <f t="shared" ca="1" si="34"/>
        <v>4148500</v>
      </c>
      <c r="AC310" s="104">
        <f t="shared" ca="1" si="35"/>
        <v>7478500</v>
      </c>
      <c r="AD310" s="105">
        <f>ROUND(L310*LK_AllowanceRates!$B$25/100,0)</f>
        <v>183150</v>
      </c>
      <c r="AE310" s="106">
        <f t="shared" ca="1" si="36"/>
        <v>7295350</v>
      </c>
      <c r="AF310" s="106">
        <f t="shared" ca="1" si="37"/>
        <v>414535</v>
      </c>
      <c r="AG310" s="107">
        <v>0</v>
      </c>
      <c r="AH310" s="107">
        <v>0</v>
      </c>
      <c r="AI310" s="108">
        <f t="shared" ca="1" si="38"/>
        <v>597685</v>
      </c>
      <c r="AJ310" s="109">
        <f t="shared" ca="1" si="39"/>
        <v>6880815</v>
      </c>
    </row>
    <row r="311" spans="1:36" ht="15" customHeight="1" x14ac:dyDescent="0.3">
      <c r="A311" s="98" t="str">
        <f>EMPLOYEE_MASTER!A311</f>
        <v>LAO00308</v>
      </c>
      <c r="B311" s="98" t="str">
        <f>EMPLOYEE_MASTER!C311</f>
        <v>Souphavanh</v>
      </c>
      <c r="C311" s="98" t="str">
        <f>EMPLOYEE_MASTER!D311</f>
        <v>Phiaylack</v>
      </c>
      <c r="D311" s="98" t="str">
        <f>EMPLOYEE_MASTER!T311</f>
        <v>Ministry of Natural Resources &amp; Environment (MoNRE)</v>
      </c>
      <c r="E311" s="98" t="str">
        <f>EMPLOYEE_MASTER!M311</f>
        <v>Survey Officer</v>
      </c>
      <c r="F311" s="98" t="str">
        <f>EMPLOYEE_MASTER!Z311</f>
        <v>Technical</v>
      </c>
      <c r="G311" s="99">
        <f>EMPLOYEE_MASTER!P311</f>
        <v>2</v>
      </c>
      <c r="H311" s="99">
        <f>EMPLOYEE_MASTER!Q311</f>
        <v>4</v>
      </c>
      <c r="I311" s="100" t="str">
        <f t="shared" si="32"/>
        <v>G02-S04</v>
      </c>
      <c r="J311" s="100">
        <f>IFERROR(VLOOKUP(I311,LK_GradeStep!$C$4:$D$85,2,0),0)</f>
        <v>271</v>
      </c>
      <c r="K311" s="100">
        <f>IFERROR(VLOOKUP(I311,LK_GradeStep!$C$4:$E$85,3,0),10000)</f>
        <v>10000</v>
      </c>
      <c r="L311" s="100">
        <f t="shared" si="33"/>
        <v>2710000</v>
      </c>
      <c r="M311" s="101">
        <f>IFERROR(VLOOKUP(EMPLOYEE_MASTER!AQ311,LK_AllowanceRates!$A$5:$B$11,2,0),0)</f>
        <v>900000</v>
      </c>
      <c r="N311" s="101">
        <f ca="1">IFERROR(IF(EMPLOYEE_MASTER!J311&lt;=5,  EMPLOYEE_MASTER!J311*LK_AllowanceRates!$B$12,IF(EMPLOYEE_MASTER!J311&lt;=15, EMPLOYEE_MASTER!J311*LK_AllowanceRates!$B$13,IF(EMPLOYEE_MASTER!J311&lt;=25, EMPLOYEE_MASTER!J311*LK_AllowanceRates!$B$14,EMPLOYEE_MASTER!J311*LK_AllowanceRates!$B$15))),0)</f>
        <v>1120000</v>
      </c>
      <c r="O311" s="101">
        <f>IF(EMPLOYEE_MASTER!AS311="Teaching",L311*LK_AllowanceRates!$B$16,0)</f>
        <v>0</v>
      </c>
      <c r="P311" s="101">
        <f>IF(EMPLOYEE_MASTER!AS311="Medical",LK_AllowanceRates!$B$17,0)</f>
        <v>0</v>
      </c>
      <c r="Q311" s="101">
        <f>IF(EMPLOYEE_MASTER!AR311="Yes",LK_AllowanceRates!$B$18,0)</f>
        <v>0</v>
      </c>
      <c r="R311" s="101">
        <f>IF(EMPLOYEE_MASTER!AC311="Yes",LK_AllowanceRates!$B$19,0)</f>
        <v>0</v>
      </c>
      <c r="S311" s="101">
        <f>IF(EMPLOYEE_MASTER!AA311="Yes",L311*LK_AllowanceRates!$B$20,0)</f>
        <v>677500</v>
      </c>
      <c r="T311" s="101">
        <f>IF(EMPLOYEE_MASTER!AB311="Yes",LK_AllowanceRates!$B$21,0)</f>
        <v>0</v>
      </c>
      <c r="U311" s="101">
        <f>IF(EMPLOYEE_MASTER!P311&gt;=6,LK_AllowanceRates!$B$22,0)</f>
        <v>0</v>
      </c>
      <c r="V311" s="101">
        <f>IF(EMPLOYEE_MASTER!AO311="Yes",LK_AllowanceRates!$B$23,0)</f>
        <v>0</v>
      </c>
      <c r="W311" s="101">
        <f>EMPLOYEE_MASTER!AP311*LK_AllowanceRates!$B$24</f>
        <v>0</v>
      </c>
      <c r="X311" s="101">
        <v>0</v>
      </c>
      <c r="Y311" s="102">
        <v>0</v>
      </c>
      <c r="Z311" s="102">
        <v>0</v>
      </c>
      <c r="AA311" s="102">
        <v>0</v>
      </c>
      <c r="AB311" s="103">
        <f t="shared" ca="1" si="34"/>
        <v>2697500</v>
      </c>
      <c r="AC311" s="104">
        <f t="shared" ca="1" si="35"/>
        <v>5407500</v>
      </c>
      <c r="AD311" s="105">
        <f>ROUND(L311*LK_AllowanceRates!$B$25/100,0)</f>
        <v>149050</v>
      </c>
      <c r="AE311" s="106">
        <f t="shared" ca="1" si="36"/>
        <v>5258450</v>
      </c>
      <c r="AF311" s="106">
        <f t="shared" ca="1" si="37"/>
        <v>210845</v>
      </c>
      <c r="AG311" s="107">
        <v>0</v>
      </c>
      <c r="AH311" s="107">
        <v>0</v>
      </c>
      <c r="AI311" s="108">
        <f t="shared" ca="1" si="38"/>
        <v>359895</v>
      </c>
      <c r="AJ311" s="109">
        <f t="shared" ca="1" si="39"/>
        <v>5047605</v>
      </c>
    </row>
    <row r="312" spans="1:36" ht="15" customHeight="1" x14ac:dyDescent="0.3">
      <c r="A312" s="98" t="str">
        <f>EMPLOYEE_MASTER!A312</f>
        <v>LAO00309</v>
      </c>
      <c r="B312" s="98" t="str">
        <f>EMPLOYEE_MASTER!C312</f>
        <v>Vilaysack</v>
      </c>
      <c r="C312" s="98" t="str">
        <f>EMPLOYEE_MASTER!D312</f>
        <v>Xaysomboun</v>
      </c>
      <c r="D312" s="98" t="str">
        <f>EMPLOYEE_MASTER!T312</f>
        <v>Ministry of Finance (MoF)</v>
      </c>
      <c r="E312" s="98" t="str">
        <f>EMPLOYEE_MASTER!M312</f>
        <v>Section Chief</v>
      </c>
      <c r="F312" s="98" t="str">
        <f>EMPLOYEE_MASTER!Z312</f>
        <v>Finance</v>
      </c>
      <c r="G312" s="99">
        <f>EMPLOYEE_MASTER!P312</f>
        <v>5</v>
      </c>
      <c r="H312" s="99">
        <f>EMPLOYEE_MASTER!Q312</f>
        <v>5</v>
      </c>
      <c r="I312" s="100" t="str">
        <f t="shared" si="32"/>
        <v>G05-S05</v>
      </c>
      <c r="J312" s="100">
        <f>IFERROR(VLOOKUP(I312,LK_GradeStep!$C$4:$D$85,2,0),0)</f>
        <v>328</v>
      </c>
      <c r="K312" s="100">
        <f>IFERROR(VLOOKUP(I312,LK_GradeStep!$C$4:$E$85,3,0),10000)</f>
        <v>10000</v>
      </c>
      <c r="L312" s="100">
        <f t="shared" si="33"/>
        <v>3280000</v>
      </c>
      <c r="M312" s="101">
        <f>IFERROR(VLOOKUP(EMPLOYEE_MASTER!AQ312,LK_AllowanceRates!$A$5:$B$11,2,0),0)</f>
        <v>1500000</v>
      </c>
      <c r="N312" s="101">
        <f ca="1">IFERROR(IF(EMPLOYEE_MASTER!J312&lt;=5,  EMPLOYEE_MASTER!J312*LK_AllowanceRates!$B$12,IF(EMPLOYEE_MASTER!J312&lt;=15, EMPLOYEE_MASTER!J312*LK_AllowanceRates!$B$13,IF(EMPLOYEE_MASTER!J312&lt;=25, EMPLOYEE_MASTER!J312*LK_AllowanceRates!$B$14,EMPLOYEE_MASTER!J312*LK_AllowanceRates!$B$15))),0)</f>
        <v>260000</v>
      </c>
      <c r="O312" s="101">
        <f>IF(EMPLOYEE_MASTER!AS312="Teaching",L312*LK_AllowanceRates!$B$16,0)</f>
        <v>0</v>
      </c>
      <c r="P312" s="101">
        <f>IF(EMPLOYEE_MASTER!AS312="Medical",LK_AllowanceRates!$B$17,0)</f>
        <v>0</v>
      </c>
      <c r="Q312" s="101">
        <f>IF(EMPLOYEE_MASTER!AR312="Yes",LK_AllowanceRates!$B$18,0)</f>
        <v>0</v>
      </c>
      <c r="R312" s="101">
        <f>IF(EMPLOYEE_MASTER!AC312="Yes",LK_AllowanceRates!$B$19,0)</f>
        <v>0</v>
      </c>
      <c r="S312" s="101">
        <f>IF(EMPLOYEE_MASTER!AA312="Yes",L312*LK_AllowanceRates!$B$20,0)</f>
        <v>0</v>
      </c>
      <c r="T312" s="101">
        <f>IF(EMPLOYEE_MASTER!AB312="Yes",LK_AllowanceRates!$B$21,0)</f>
        <v>0</v>
      </c>
      <c r="U312" s="101">
        <f>IF(EMPLOYEE_MASTER!P312&gt;=6,LK_AllowanceRates!$B$22,0)</f>
        <v>0</v>
      </c>
      <c r="V312" s="101">
        <f>IF(EMPLOYEE_MASTER!AO312="Yes",LK_AllowanceRates!$B$23,0)</f>
        <v>0</v>
      </c>
      <c r="W312" s="101">
        <f>EMPLOYEE_MASTER!AP312*LK_AllowanceRates!$B$24</f>
        <v>0</v>
      </c>
      <c r="X312" s="101">
        <v>0</v>
      </c>
      <c r="Y312" s="102">
        <v>0</v>
      </c>
      <c r="Z312" s="102">
        <v>0</v>
      </c>
      <c r="AA312" s="102">
        <v>0</v>
      </c>
      <c r="AB312" s="103">
        <f t="shared" ca="1" si="34"/>
        <v>1760000</v>
      </c>
      <c r="AC312" s="104">
        <f t="shared" ca="1" si="35"/>
        <v>5040000</v>
      </c>
      <c r="AD312" s="105">
        <f>ROUND(L312*LK_AllowanceRates!$B$25/100,0)</f>
        <v>180400</v>
      </c>
      <c r="AE312" s="106">
        <f t="shared" ca="1" si="36"/>
        <v>4859600</v>
      </c>
      <c r="AF312" s="106">
        <f t="shared" ca="1" si="37"/>
        <v>177980</v>
      </c>
      <c r="AG312" s="107">
        <v>0</v>
      </c>
      <c r="AH312" s="107">
        <v>0</v>
      </c>
      <c r="AI312" s="108">
        <f t="shared" ca="1" si="38"/>
        <v>358380</v>
      </c>
      <c r="AJ312" s="109">
        <f t="shared" ca="1" si="39"/>
        <v>4681620</v>
      </c>
    </row>
    <row r="313" spans="1:36" ht="15" customHeight="1" x14ac:dyDescent="0.3">
      <c r="A313" s="98" t="str">
        <f>EMPLOYEE_MASTER!A313</f>
        <v>LAO00310</v>
      </c>
      <c r="B313" s="98" t="str">
        <f>EMPLOYEE_MASTER!C313</f>
        <v>Bounsong</v>
      </c>
      <c r="C313" s="98" t="str">
        <f>EMPLOYEE_MASTER!D313</f>
        <v>Manodham</v>
      </c>
      <c r="D313" s="98" t="str">
        <f>EMPLOYEE_MASTER!T313</f>
        <v>Ministry of Labour &amp; Social Welfare (MLSW)</v>
      </c>
      <c r="E313" s="98" t="str">
        <f>EMPLOYEE_MASTER!M313</f>
        <v>Deputy Director</v>
      </c>
      <c r="F313" s="98" t="str">
        <f>EMPLOYEE_MASTER!Z313</f>
        <v>Administration</v>
      </c>
      <c r="G313" s="99">
        <f>EMPLOYEE_MASTER!P313</f>
        <v>4</v>
      </c>
      <c r="H313" s="99">
        <f>EMPLOYEE_MASTER!Q313</f>
        <v>1</v>
      </c>
      <c r="I313" s="100" t="str">
        <f t="shared" si="32"/>
        <v>G04-S01</v>
      </c>
      <c r="J313" s="100">
        <f>IFERROR(VLOOKUP(I313,LK_GradeStep!$C$4:$D$85,2,0),0)</f>
        <v>286</v>
      </c>
      <c r="K313" s="100">
        <f>IFERROR(VLOOKUP(I313,LK_GradeStep!$C$4:$E$85,3,0),10000)</f>
        <v>10000</v>
      </c>
      <c r="L313" s="100">
        <f t="shared" si="33"/>
        <v>2860000</v>
      </c>
      <c r="M313" s="101">
        <f>IFERROR(VLOOKUP(EMPLOYEE_MASTER!AQ313,LK_AllowanceRates!$A$5:$B$11,2,0),0)</f>
        <v>2300000</v>
      </c>
      <c r="N313" s="101">
        <f ca="1">IFERROR(IF(EMPLOYEE_MASTER!J313&lt;=5,  EMPLOYEE_MASTER!J313*LK_AllowanceRates!$B$12,IF(EMPLOYEE_MASTER!J313&lt;=15, EMPLOYEE_MASTER!J313*LK_AllowanceRates!$B$13,IF(EMPLOYEE_MASTER!J313&lt;=25, EMPLOYEE_MASTER!J313*LK_AllowanceRates!$B$14,EMPLOYEE_MASTER!J313*LK_AllowanceRates!$B$15))),0)</f>
        <v>1360000</v>
      </c>
      <c r="O313" s="101">
        <f>IF(EMPLOYEE_MASTER!AS313="Teaching",L313*LK_AllowanceRates!$B$16,0)</f>
        <v>0</v>
      </c>
      <c r="P313" s="101">
        <f>IF(EMPLOYEE_MASTER!AS313="Medical",LK_AllowanceRates!$B$17,0)</f>
        <v>0</v>
      </c>
      <c r="Q313" s="101">
        <f>IF(EMPLOYEE_MASTER!AR313="Yes",LK_AllowanceRates!$B$18,0)</f>
        <v>0</v>
      </c>
      <c r="R313" s="101">
        <f>IF(EMPLOYEE_MASTER!AC313="Yes",LK_AllowanceRates!$B$19,0)</f>
        <v>0</v>
      </c>
      <c r="S313" s="101">
        <f>IF(EMPLOYEE_MASTER!AA313="Yes",L313*LK_AllowanceRates!$B$20,0)</f>
        <v>0</v>
      </c>
      <c r="T313" s="101">
        <f>IF(EMPLOYEE_MASTER!AB313="Yes",LK_AllowanceRates!$B$21,0)</f>
        <v>0</v>
      </c>
      <c r="U313" s="101">
        <f>IF(EMPLOYEE_MASTER!P313&gt;=6,LK_AllowanceRates!$B$22,0)</f>
        <v>0</v>
      </c>
      <c r="V313" s="101">
        <f>IF(EMPLOYEE_MASTER!AO313="Yes",LK_AllowanceRates!$B$23,0)</f>
        <v>0</v>
      </c>
      <c r="W313" s="101">
        <f>EMPLOYEE_MASTER!AP313*LK_AllowanceRates!$B$24</f>
        <v>0</v>
      </c>
      <c r="X313" s="101">
        <v>0</v>
      </c>
      <c r="Y313" s="102">
        <v>0</v>
      </c>
      <c r="Z313" s="102">
        <v>0</v>
      </c>
      <c r="AA313" s="102">
        <v>0</v>
      </c>
      <c r="AB313" s="103">
        <f t="shared" ca="1" si="34"/>
        <v>3660000</v>
      </c>
      <c r="AC313" s="104">
        <f t="shared" ca="1" si="35"/>
        <v>6520000</v>
      </c>
      <c r="AD313" s="105">
        <f>ROUND(L313*LK_AllowanceRates!$B$25/100,0)</f>
        <v>157300</v>
      </c>
      <c r="AE313" s="106">
        <f t="shared" ca="1" si="36"/>
        <v>6362700</v>
      </c>
      <c r="AF313" s="106">
        <f t="shared" ca="1" si="37"/>
        <v>321270</v>
      </c>
      <c r="AG313" s="107">
        <v>0</v>
      </c>
      <c r="AH313" s="107">
        <v>0</v>
      </c>
      <c r="AI313" s="108">
        <f t="shared" ca="1" si="38"/>
        <v>478570</v>
      </c>
      <c r="AJ313" s="109">
        <f t="shared" ca="1" si="39"/>
        <v>6041430</v>
      </c>
    </row>
    <row r="314" spans="1:36" ht="15" customHeight="1" x14ac:dyDescent="0.3">
      <c r="A314" s="98" t="str">
        <f>EMPLOYEE_MASTER!A314</f>
        <v>LAO00311</v>
      </c>
      <c r="B314" s="98" t="str">
        <f>EMPLOYEE_MASTER!C314</f>
        <v>Khammoune</v>
      </c>
      <c r="C314" s="98" t="str">
        <f>EMPLOYEE_MASTER!D314</f>
        <v>Phomthong</v>
      </c>
      <c r="D314" s="98" t="str">
        <f>EMPLOYEE_MASTER!T314</f>
        <v>Ministry of Labour &amp; Social Welfare (MLSW)</v>
      </c>
      <c r="E314" s="98" t="str">
        <f>EMPLOYEE_MASTER!M314</f>
        <v>Officer</v>
      </c>
      <c r="F314" s="98" t="str">
        <f>EMPLOYEE_MASTER!Z314</f>
        <v>Administration</v>
      </c>
      <c r="G314" s="99">
        <f>EMPLOYEE_MASTER!P314</f>
        <v>2</v>
      </c>
      <c r="H314" s="99">
        <f>EMPLOYEE_MASTER!Q314</f>
        <v>7</v>
      </c>
      <c r="I314" s="100" t="str">
        <f t="shared" si="32"/>
        <v>G02-S07</v>
      </c>
      <c r="J314" s="100">
        <f>IFERROR(VLOOKUP(I314,LK_GradeStep!$C$4:$D$85,2,0),0)</f>
        <v>274</v>
      </c>
      <c r="K314" s="100">
        <f>IFERROR(VLOOKUP(I314,LK_GradeStep!$C$4:$E$85,3,0),10000)</f>
        <v>10000</v>
      </c>
      <c r="L314" s="100">
        <f t="shared" si="33"/>
        <v>2740000</v>
      </c>
      <c r="M314" s="101">
        <f>IFERROR(VLOOKUP(EMPLOYEE_MASTER!AQ314,LK_AllowanceRates!$A$5:$B$11,2,0),0)</f>
        <v>900000</v>
      </c>
      <c r="N314" s="101">
        <f ca="1">IFERROR(IF(EMPLOYEE_MASTER!J314&lt;=5,  EMPLOYEE_MASTER!J314*LK_AllowanceRates!$B$12,IF(EMPLOYEE_MASTER!J314&lt;=15, EMPLOYEE_MASTER!J314*LK_AllowanceRates!$B$13,IF(EMPLOYEE_MASTER!J314&lt;=25, EMPLOYEE_MASTER!J314*LK_AllowanceRates!$B$14,EMPLOYEE_MASTER!J314*LK_AllowanceRates!$B$15))),0)</f>
        <v>240000</v>
      </c>
      <c r="O314" s="101">
        <f>IF(EMPLOYEE_MASTER!AS314="Teaching",L314*LK_AllowanceRates!$B$16,0)</f>
        <v>0</v>
      </c>
      <c r="P314" s="101">
        <f>IF(EMPLOYEE_MASTER!AS314="Medical",LK_AllowanceRates!$B$17,0)</f>
        <v>0</v>
      </c>
      <c r="Q314" s="101">
        <f>IF(EMPLOYEE_MASTER!AR314="Yes",LK_AllowanceRates!$B$18,0)</f>
        <v>0</v>
      </c>
      <c r="R314" s="101">
        <f>IF(EMPLOYEE_MASTER!AC314="Yes",LK_AllowanceRates!$B$19,0)</f>
        <v>0</v>
      </c>
      <c r="S314" s="101">
        <f>IF(EMPLOYEE_MASTER!AA314="Yes",L314*LK_AllowanceRates!$B$20,0)</f>
        <v>0</v>
      </c>
      <c r="T314" s="101">
        <f>IF(EMPLOYEE_MASTER!AB314="Yes",LK_AllowanceRates!$B$21,0)</f>
        <v>0</v>
      </c>
      <c r="U314" s="101">
        <f>IF(EMPLOYEE_MASTER!P314&gt;=6,LK_AllowanceRates!$B$22,0)</f>
        <v>0</v>
      </c>
      <c r="V314" s="101">
        <f>IF(EMPLOYEE_MASTER!AO314="Yes",LK_AllowanceRates!$B$23,0)</f>
        <v>200000</v>
      </c>
      <c r="W314" s="101">
        <f>EMPLOYEE_MASTER!AP314*LK_AllowanceRates!$B$24</f>
        <v>200000</v>
      </c>
      <c r="X314" s="101">
        <v>0</v>
      </c>
      <c r="Y314" s="102">
        <v>0</v>
      </c>
      <c r="Z314" s="102">
        <v>0</v>
      </c>
      <c r="AA314" s="102">
        <v>0</v>
      </c>
      <c r="AB314" s="103">
        <f t="shared" ca="1" si="34"/>
        <v>1540000</v>
      </c>
      <c r="AC314" s="104">
        <f t="shared" ca="1" si="35"/>
        <v>4280000</v>
      </c>
      <c r="AD314" s="105">
        <f>ROUND(L314*LK_AllowanceRates!$B$25/100,0)</f>
        <v>150700</v>
      </c>
      <c r="AE314" s="106">
        <f t="shared" ca="1" si="36"/>
        <v>4129300</v>
      </c>
      <c r="AF314" s="106">
        <f t="shared" ca="1" si="37"/>
        <v>141465</v>
      </c>
      <c r="AG314" s="107">
        <v>0</v>
      </c>
      <c r="AH314" s="107">
        <v>0</v>
      </c>
      <c r="AI314" s="108">
        <f t="shared" ca="1" si="38"/>
        <v>292165</v>
      </c>
      <c r="AJ314" s="109">
        <f t="shared" ca="1" si="39"/>
        <v>3987835</v>
      </c>
    </row>
    <row r="315" spans="1:36" ht="15" customHeight="1" x14ac:dyDescent="0.3">
      <c r="A315" s="98" t="str">
        <f>EMPLOYEE_MASTER!A315</f>
        <v>LAO00312</v>
      </c>
      <c r="B315" s="98" t="str">
        <f>EMPLOYEE_MASTER!C315</f>
        <v>Lattana</v>
      </c>
      <c r="C315" s="98" t="str">
        <f>EMPLOYEE_MASTER!D315</f>
        <v>Phomthong</v>
      </c>
      <c r="D315" s="98" t="str">
        <f>EMPLOYEE_MASTER!T315</f>
        <v>Ministry of Health (MoH)</v>
      </c>
      <c r="E315" s="98" t="str">
        <f>EMPLOYEE_MASTER!M315</f>
        <v>Public Health Officer</v>
      </c>
      <c r="F315" s="98" t="str">
        <f>EMPLOYEE_MASTER!Z315</f>
        <v>Medical</v>
      </c>
      <c r="G315" s="99">
        <f>EMPLOYEE_MASTER!P315</f>
        <v>4</v>
      </c>
      <c r="H315" s="99">
        <f>EMPLOYEE_MASTER!Q315</f>
        <v>1</v>
      </c>
      <c r="I315" s="100" t="str">
        <f t="shared" si="32"/>
        <v>G04-S01</v>
      </c>
      <c r="J315" s="100">
        <f>IFERROR(VLOOKUP(I315,LK_GradeStep!$C$4:$D$85,2,0),0)</f>
        <v>286</v>
      </c>
      <c r="K315" s="100">
        <f>IFERROR(VLOOKUP(I315,LK_GradeStep!$C$4:$E$85,3,0),10000)</f>
        <v>10000</v>
      </c>
      <c r="L315" s="100">
        <f t="shared" si="33"/>
        <v>2860000</v>
      </c>
      <c r="M315" s="101">
        <f>IFERROR(VLOOKUP(EMPLOYEE_MASTER!AQ315,LK_AllowanceRates!$A$5:$B$11,2,0),0)</f>
        <v>900000</v>
      </c>
      <c r="N315" s="101">
        <f ca="1">IFERROR(IF(EMPLOYEE_MASTER!J315&lt;=5,  EMPLOYEE_MASTER!J315*LK_AllowanceRates!$B$12,IF(EMPLOYEE_MASTER!J315&lt;=15, EMPLOYEE_MASTER!J315*LK_AllowanceRates!$B$13,IF(EMPLOYEE_MASTER!J315&lt;=25, EMPLOYEE_MASTER!J315*LK_AllowanceRates!$B$14,EMPLOYEE_MASTER!J315*LK_AllowanceRates!$B$15))),0)</f>
        <v>1040000</v>
      </c>
      <c r="O315" s="101">
        <f>IF(EMPLOYEE_MASTER!AS315="Teaching",L315*LK_AllowanceRates!$B$16,0)</f>
        <v>0</v>
      </c>
      <c r="P315" s="101">
        <f>IF(EMPLOYEE_MASTER!AS315="Medical",LK_AllowanceRates!$B$17,0)</f>
        <v>500000</v>
      </c>
      <c r="Q315" s="101">
        <f>IF(EMPLOYEE_MASTER!AR315="Yes",LK_AllowanceRates!$B$18,0)</f>
        <v>0</v>
      </c>
      <c r="R315" s="101">
        <f>IF(EMPLOYEE_MASTER!AC315="Yes",LK_AllowanceRates!$B$19,0)</f>
        <v>1000000</v>
      </c>
      <c r="S315" s="101">
        <f>IF(EMPLOYEE_MASTER!AA315="Yes",L315*LK_AllowanceRates!$B$20,0)</f>
        <v>0</v>
      </c>
      <c r="T315" s="101">
        <f>IF(EMPLOYEE_MASTER!AB315="Yes",LK_AllowanceRates!$B$21,0)</f>
        <v>0</v>
      </c>
      <c r="U315" s="101">
        <f>IF(EMPLOYEE_MASTER!P315&gt;=6,LK_AllowanceRates!$B$22,0)</f>
        <v>0</v>
      </c>
      <c r="V315" s="101">
        <f>IF(EMPLOYEE_MASTER!AO315="Yes",LK_AllowanceRates!$B$23,0)</f>
        <v>0</v>
      </c>
      <c r="W315" s="101">
        <f>EMPLOYEE_MASTER!AP315*LK_AllowanceRates!$B$24</f>
        <v>0</v>
      </c>
      <c r="X315" s="101">
        <v>0</v>
      </c>
      <c r="Y315" s="102">
        <v>0</v>
      </c>
      <c r="Z315" s="102">
        <v>0</v>
      </c>
      <c r="AA315" s="102">
        <v>0</v>
      </c>
      <c r="AB315" s="103">
        <f t="shared" ca="1" si="34"/>
        <v>3440000</v>
      </c>
      <c r="AC315" s="104">
        <f t="shared" ca="1" si="35"/>
        <v>6300000</v>
      </c>
      <c r="AD315" s="105">
        <f>ROUND(L315*LK_AllowanceRates!$B$25/100,0)</f>
        <v>157300</v>
      </c>
      <c r="AE315" s="106">
        <f t="shared" ca="1" si="36"/>
        <v>6142700</v>
      </c>
      <c r="AF315" s="106">
        <f t="shared" ca="1" si="37"/>
        <v>299270</v>
      </c>
      <c r="AG315" s="107">
        <v>0</v>
      </c>
      <c r="AH315" s="107">
        <v>0</v>
      </c>
      <c r="AI315" s="108">
        <f t="shared" ca="1" si="38"/>
        <v>456570</v>
      </c>
      <c r="AJ315" s="109">
        <f t="shared" ca="1" si="39"/>
        <v>5843430</v>
      </c>
    </row>
    <row r="316" spans="1:36" ht="15" customHeight="1" x14ac:dyDescent="0.3">
      <c r="A316" s="98" t="str">
        <f>EMPLOYEE_MASTER!A316</f>
        <v>LAO00313</v>
      </c>
      <c r="B316" s="98" t="str">
        <f>EMPLOYEE_MASTER!C316</f>
        <v>Bounkhong</v>
      </c>
      <c r="C316" s="98" t="str">
        <f>EMPLOYEE_MASTER!D316</f>
        <v>Southichack</v>
      </c>
      <c r="D316" s="98" t="str">
        <f>EMPLOYEE_MASTER!T316</f>
        <v>Ministry of Home Affairs (MoHA)</v>
      </c>
      <c r="E316" s="98" t="str">
        <f>EMPLOYEE_MASTER!M316</f>
        <v>Section Chief</v>
      </c>
      <c r="F316" s="98" t="str">
        <f>EMPLOYEE_MASTER!Z316</f>
        <v>Administration</v>
      </c>
      <c r="G316" s="99">
        <f>EMPLOYEE_MASTER!P316</f>
        <v>4</v>
      </c>
      <c r="H316" s="99">
        <f>EMPLOYEE_MASTER!Q316</f>
        <v>1</v>
      </c>
      <c r="I316" s="100" t="str">
        <f t="shared" si="32"/>
        <v>G04-S01</v>
      </c>
      <c r="J316" s="100">
        <f>IFERROR(VLOOKUP(I316,LK_GradeStep!$C$4:$D$85,2,0),0)</f>
        <v>286</v>
      </c>
      <c r="K316" s="100">
        <f>IFERROR(VLOOKUP(I316,LK_GradeStep!$C$4:$E$85,3,0),10000)</f>
        <v>10000</v>
      </c>
      <c r="L316" s="100">
        <f t="shared" si="33"/>
        <v>2860000</v>
      </c>
      <c r="M316" s="101">
        <f>IFERROR(VLOOKUP(EMPLOYEE_MASTER!AQ316,LK_AllowanceRates!$A$5:$B$11,2,0),0)</f>
        <v>1500000</v>
      </c>
      <c r="N316" s="101">
        <f ca="1">IFERROR(IF(EMPLOYEE_MASTER!J316&lt;=5,  EMPLOYEE_MASTER!J316*LK_AllowanceRates!$B$12,IF(EMPLOYEE_MASTER!J316&lt;=15, EMPLOYEE_MASTER!J316*LK_AllowanceRates!$B$13,IF(EMPLOYEE_MASTER!J316&lt;=25, EMPLOYEE_MASTER!J316*LK_AllowanceRates!$B$14,EMPLOYEE_MASTER!J316*LK_AllowanceRates!$B$15))),0)</f>
        <v>1280000</v>
      </c>
      <c r="O316" s="101">
        <f>IF(EMPLOYEE_MASTER!AS316="Teaching",L316*LK_AllowanceRates!$B$16,0)</f>
        <v>0</v>
      </c>
      <c r="P316" s="101">
        <f>IF(EMPLOYEE_MASTER!AS316="Medical",LK_AllowanceRates!$B$17,0)</f>
        <v>0</v>
      </c>
      <c r="Q316" s="101">
        <f>IF(EMPLOYEE_MASTER!AR316="Yes",LK_AllowanceRates!$B$18,0)</f>
        <v>0</v>
      </c>
      <c r="R316" s="101">
        <f>IF(EMPLOYEE_MASTER!AC316="Yes",LK_AllowanceRates!$B$19,0)</f>
        <v>1000000</v>
      </c>
      <c r="S316" s="101">
        <f>IF(EMPLOYEE_MASTER!AA316="Yes",L316*LK_AllowanceRates!$B$20,0)</f>
        <v>715000</v>
      </c>
      <c r="T316" s="101">
        <f>IF(EMPLOYEE_MASTER!AB316="Yes",LK_AllowanceRates!$B$21,0)</f>
        <v>0</v>
      </c>
      <c r="U316" s="101">
        <f>IF(EMPLOYEE_MASTER!P316&gt;=6,LK_AllowanceRates!$B$22,0)</f>
        <v>0</v>
      </c>
      <c r="V316" s="101">
        <f>IF(EMPLOYEE_MASTER!AO316="Yes",LK_AllowanceRates!$B$23,0)</f>
        <v>0</v>
      </c>
      <c r="W316" s="101">
        <f>EMPLOYEE_MASTER!AP316*LK_AllowanceRates!$B$24</f>
        <v>0</v>
      </c>
      <c r="X316" s="101">
        <v>0</v>
      </c>
      <c r="Y316" s="102">
        <v>0</v>
      </c>
      <c r="Z316" s="102">
        <v>0</v>
      </c>
      <c r="AA316" s="102">
        <v>0</v>
      </c>
      <c r="AB316" s="103">
        <f t="shared" ca="1" si="34"/>
        <v>4495000</v>
      </c>
      <c r="AC316" s="104">
        <f t="shared" ca="1" si="35"/>
        <v>7355000</v>
      </c>
      <c r="AD316" s="105">
        <f>ROUND(L316*LK_AllowanceRates!$B$25/100,0)</f>
        <v>157300</v>
      </c>
      <c r="AE316" s="106">
        <f t="shared" ca="1" si="36"/>
        <v>7197700</v>
      </c>
      <c r="AF316" s="106">
        <f t="shared" ca="1" si="37"/>
        <v>404770</v>
      </c>
      <c r="AG316" s="107">
        <v>0</v>
      </c>
      <c r="AH316" s="107">
        <v>0</v>
      </c>
      <c r="AI316" s="108">
        <f t="shared" ca="1" si="38"/>
        <v>562070</v>
      </c>
      <c r="AJ316" s="109">
        <f t="shared" ca="1" si="39"/>
        <v>6792930</v>
      </c>
    </row>
    <row r="317" spans="1:36" ht="15" customHeight="1" x14ac:dyDescent="0.3">
      <c r="A317" s="98" t="str">
        <f>EMPLOYEE_MASTER!A317</f>
        <v>LAO00314</v>
      </c>
      <c r="B317" s="98" t="str">
        <f>EMPLOYEE_MASTER!C317</f>
        <v>Phengkham</v>
      </c>
      <c r="C317" s="98" t="str">
        <f>EMPLOYEE_MASTER!D317</f>
        <v>Vilayvong</v>
      </c>
      <c r="D317" s="98" t="str">
        <f>EMPLOYEE_MASTER!T317</f>
        <v>Ministry of Justice (MoJ)</v>
      </c>
      <c r="E317" s="98" t="str">
        <f>EMPLOYEE_MASTER!M317</f>
        <v>Section Chief</v>
      </c>
      <c r="F317" s="98" t="str">
        <f>EMPLOYEE_MASTER!Z317</f>
        <v>Legal</v>
      </c>
      <c r="G317" s="99">
        <f>EMPLOYEE_MASTER!P317</f>
        <v>5</v>
      </c>
      <c r="H317" s="99">
        <f>EMPLOYEE_MASTER!Q317</f>
        <v>1</v>
      </c>
      <c r="I317" s="100" t="str">
        <f t="shared" si="32"/>
        <v>G05-S01</v>
      </c>
      <c r="J317" s="100">
        <f>IFERROR(VLOOKUP(I317,LK_GradeStep!$C$4:$D$85,2,0),0)</f>
        <v>308</v>
      </c>
      <c r="K317" s="100">
        <f>IFERROR(VLOOKUP(I317,LK_GradeStep!$C$4:$E$85,3,0),10000)</f>
        <v>10000</v>
      </c>
      <c r="L317" s="100">
        <f t="shared" si="33"/>
        <v>3080000</v>
      </c>
      <c r="M317" s="101">
        <f>IFERROR(VLOOKUP(EMPLOYEE_MASTER!AQ317,LK_AllowanceRates!$A$5:$B$11,2,0),0)</f>
        <v>1500000</v>
      </c>
      <c r="N317" s="101">
        <f ca="1">IFERROR(IF(EMPLOYEE_MASTER!J317&lt;=5,  EMPLOYEE_MASTER!J317*LK_AllowanceRates!$B$12,IF(EMPLOYEE_MASTER!J317&lt;=15, EMPLOYEE_MASTER!J317*LK_AllowanceRates!$B$13,IF(EMPLOYEE_MASTER!J317&lt;=25, EMPLOYEE_MASTER!J317*LK_AllowanceRates!$B$14,EMPLOYEE_MASTER!J317*LK_AllowanceRates!$B$15))),0)</f>
        <v>1200000</v>
      </c>
      <c r="O317" s="101">
        <f>IF(EMPLOYEE_MASTER!AS317="Teaching",L317*LK_AllowanceRates!$B$16,0)</f>
        <v>0</v>
      </c>
      <c r="P317" s="101">
        <f>IF(EMPLOYEE_MASTER!AS317="Medical",LK_AllowanceRates!$B$17,0)</f>
        <v>0</v>
      </c>
      <c r="Q317" s="101">
        <f>IF(EMPLOYEE_MASTER!AR317="Yes",LK_AllowanceRates!$B$18,0)</f>
        <v>0</v>
      </c>
      <c r="R317" s="101">
        <f>IF(EMPLOYEE_MASTER!AC317="Yes",LK_AllowanceRates!$B$19,0)</f>
        <v>1000000</v>
      </c>
      <c r="S317" s="101">
        <f>IF(EMPLOYEE_MASTER!AA317="Yes",L317*LK_AllowanceRates!$B$20,0)</f>
        <v>770000</v>
      </c>
      <c r="T317" s="101">
        <f>IF(EMPLOYEE_MASTER!AB317="Yes",LK_AllowanceRates!$B$21,0)</f>
        <v>0</v>
      </c>
      <c r="U317" s="101">
        <f>IF(EMPLOYEE_MASTER!P317&gt;=6,LK_AllowanceRates!$B$22,0)</f>
        <v>0</v>
      </c>
      <c r="V317" s="101">
        <f>IF(EMPLOYEE_MASTER!AO317="Yes",LK_AllowanceRates!$B$23,0)</f>
        <v>200000</v>
      </c>
      <c r="W317" s="101">
        <f>EMPLOYEE_MASTER!AP317*LK_AllowanceRates!$B$24</f>
        <v>0</v>
      </c>
      <c r="X317" s="101">
        <v>0</v>
      </c>
      <c r="Y317" s="102">
        <v>0</v>
      </c>
      <c r="Z317" s="102">
        <v>0</v>
      </c>
      <c r="AA317" s="102">
        <v>0</v>
      </c>
      <c r="AB317" s="103">
        <f t="shared" ca="1" si="34"/>
        <v>4670000</v>
      </c>
      <c r="AC317" s="104">
        <f t="shared" ca="1" si="35"/>
        <v>7750000</v>
      </c>
      <c r="AD317" s="105">
        <f>ROUND(L317*LK_AllowanceRates!$B$25/100,0)</f>
        <v>169400</v>
      </c>
      <c r="AE317" s="106">
        <f t="shared" ca="1" si="36"/>
        <v>7580600</v>
      </c>
      <c r="AF317" s="106">
        <f t="shared" ca="1" si="37"/>
        <v>443060</v>
      </c>
      <c r="AG317" s="107">
        <v>0</v>
      </c>
      <c r="AH317" s="107">
        <v>0</v>
      </c>
      <c r="AI317" s="108">
        <f t="shared" ca="1" si="38"/>
        <v>612460</v>
      </c>
      <c r="AJ317" s="109">
        <f t="shared" ca="1" si="39"/>
        <v>7137540</v>
      </c>
    </row>
    <row r="318" spans="1:36" ht="15" customHeight="1" x14ac:dyDescent="0.3">
      <c r="A318" s="98" t="str">
        <f>EMPLOYEE_MASTER!A318</f>
        <v>LAO00315</v>
      </c>
      <c r="B318" s="98" t="str">
        <f>EMPLOYEE_MASTER!C318</f>
        <v>Phoxay</v>
      </c>
      <c r="C318" s="98" t="str">
        <f>EMPLOYEE_MASTER!D318</f>
        <v>Bounphanixay</v>
      </c>
      <c r="D318" s="98" t="str">
        <f>EMPLOYEE_MASTER!T318</f>
        <v>Savannakhet Province Administration</v>
      </c>
      <c r="E318" s="98" t="str">
        <f>EMPLOYEE_MASTER!M318</f>
        <v>Deputy Director</v>
      </c>
      <c r="F318" s="98" t="str">
        <f>EMPLOYEE_MASTER!Z318</f>
        <v>Administration</v>
      </c>
      <c r="G318" s="99">
        <f>EMPLOYEE_MASTER!P318</f>
        <v>4</v>
      </c>
      <c r="H318" s="99">
        <f>EMPLOYEE_MASTER!Q318</f>
        <v>12</v>
      </c>
      <c r="I318" s="100" t="str">
        <f t="shared" si="32"/>
        <v>G04-S12</v>
      </c>
      <c r="J318" s="100">
        <f>IFERROR(VLOOKUP(I318,LK_GradeStep!$C$4:$D$85,2,0),0)</f>
        <v>323</v>
      </c>
      <c r="K318" s="100">
        <f>IFERROR(VLOOKUP(I318,LK_GradeStep!$C$4:$E$85,3,0),10000)</f>
        <v>10000</v>
      </c>
      <c r="L318" s="100">
        <f t="shared" si="33"/>
        <v>3230000</v>
      </c>
      <c r="M318" s="101">
        <f>IFERROR(VLOOKUP(EMPLOYEE_MASTER!AQ318,LK_AllowanceRates!$A$5:$B$11,2,0),0)</f>
        <v>2300000</v>
      </c>
      <c r="N318" s="101">
        <f ca="1">IFERROR(IF(EMPLOYEE_MASTER!J318&lt;=5,  EMPLOYEE_MASTER!J318*LK_AllowanceRates!$B$12,IF(EMPLOYEE_MASTER!J318&lt;=15, EMPLOYEE_MASTER!J318*LK_AllowanceRates!$B$13,IF(EMPLOYEE_MASTER!J318&lt;=25, EMPLOYEE_MASTER!J318*LK_AllowanceRates!$B$14,EMPLOYEE_MASTER!J318*LK_AllowanceRates!$B$15))),0)</f>
        <v>260000</v>
      </c>
      <c r="O318" s="101">
        <f>IF(EMPLOYEE_MASTER!AS318="Teaching",L318*LK_AllowanceRates!$B$16,0)</f>
        <v>0</v>
      </c>
      <c r="P318" s="101">
        <f>IF(EMPLOYEE_MASTER!AS318="Medical",LK_AllowanceRates!$B$17,0)</f>
        <v>0</v>
      </c>
      <c r="Q318" s="101">
        <f>IF(EMPLOYEE_MASTER!AR318="Yes",LK_AllowanceRates!$B$18,0)</f>
        <v>0</v>
      </c>
      <c r="R318" s="101">
        <f>IF(EMPLOYEE_MASTER!AC318="Yes",LK_AllowanceRates!$B$19,0)</f>
        <v>1000000</v>
      </c>
      <c r="S318" s="101">
        <f>IF(EMPLOYEE_MASTER!AA318="Yes",L318*LK_AllowanceRates!$B$20,0)</f>
        <v>807500</v>
      </c>
      <c r="T318" s="101">
        <f>IF(EMPLOYEE_MASTER!AB318="Yes",LK_AllowanceRates!$B$21,0)</f>
        <v>0</v>
      </c>
      <c r="U318" s="101">
        <f>IF(EMPLOYEE_MASTER!P318&gt;=6,LK_AllowanceRates!$B$22,0)</f>
        <v>0</v>
      </c>
      <c r="V318" s="101">
        <f>IF(EMPLOYEE_MASTER!AO318="Yes",LK_AllowanceRates!$B$23,0)</f>
        <v>200000</v>
      </c>
      <c r="W318" s="101">
        <f>EMPLOYEE_MASTER!AP318*LK_AllowanceRates!$B$24</f>
        <v>0</v>
      </c>
      <c r="X318" s="101">
        <v>0</v>
      </c>
      <c r="Y318" s="102">
        <v>0</v>
      </c>
      <c r="Z318" s="102">
        <v>0</v>
      </c>
      <c r="AA318" s="102">
        <v>0</v>
      </c>
      <c r="AB318" s="103">
        <f t="shared" ca="1" si="34"/>
        <v>4567500</v>
      </c>
      <c r="AC318" s="104">
        <f t="shared" ca="1" si="35"/>
        <v>7797500</v>
      </c>
      <c r="AD318" s="105">
        <f>ROUND(L318*LK_AllowanceRates!$B$25/100,0)</f>
        <v>177650</v>
      </c>
      <c r="AE318" s="106">
        <f t="shared" ca="1" si="36"/>
        <v>7619850</v>
      </c>
      <c r="AF318" s="106">
        <f t="shared" ca="1" si="37"/>
        <v>446985</v>
      </c>
      <c r="AG318" s="107">
        <v>0</v>
      </c>
      <c r="AH318" s="107">
        <v>0</v>
      </c>
      <c r="AI318" s="108">
        <f t="shared" ca="1" si="38"/>
        <v>624635</v>
      </c>
      <c r="AJ318" s="109">
        <f t="shared" ca="1" si="39"/>
        <v>7172865</v>
      </c>
    </row>
    <row r="319" spans="1:36" ht="15" customHeight="1" x14ac:dyDescent="0.3">
      <c r="A319" s="98" t="str">
        <f>EMPLOYEE_MASTER!A319</f>
        <v>LAO00316</v>
      </c>
      <c r="B319" s="98" t="str">
        <f>EMPLOYEE_MASTER!C319</f>
        <v>Bouakham</v>
      </c>
      <c r="C319" s="98" t="str">
        <f>EMPLOYEE_MASTER!D319</f>
        <v>Phommavong</v>
      </c>
      <c r="D319" s="98" t="str">
        <f>EMPLOYEE_MASTER!T319</f>
        <v>National Assembly (NA)</v>
      </c>
      <c r="E319" s="98" t="str">
        <f>EMPLOYEE_MASTER!M319</f>
        <v>Deputy Director</v>
      </c>
      <c r="F319" s="98" t="str">
        <f>EMPLOYEE_MASTER!Z319</f>
        <v>Administration</v>
      </c>
      <c r="G319" s="99">
        <f>EMPLOYEE_MASTER!P319</f>
        <v>4</v>
      </c>
      <c r="H319" s="99">
        <f>EMPLOYEE_MASTER!Q319</f>
        <v>5</v>
      </c>
      <c r="I319" s="100" t="str">
        <f t="shared" si="32"/>
        <v>G04-S05</v>
      </c>
      <c r="J319" s="100">
        <f>IFERROR(VLOOKUP(I319,LK_GradeStep!$C$4:$D$85,2,0),0)</f>
        <v>294</v>
      </c>
      <c r="K319" s="100">
        <f>IFERROR(VLOOKUP(I319,LK_GradeStep!$C$4:$E$85,3,0),10000)</f>
        <v>10000</v>
      </c>
      <c r="L319" s="100">
        <f t="shared" si="33"/>
        <v>2940000</v>
      </c>
      <c r="M319" s="101">
        <f>IFERROR(VLOOKUP(EMPLOYEE_MASTER!AQ319,LK_AllowanceRates!$A$5:$B$11,2,0),0)</f>
        <v>2300000</v>
      </c>
      <c r="N319" s="101">
        <f ca="1">IFERROR(IF(EMPLOYEE_MASTER!J319&lt;=5,  EMPLOYEE_MASTER!J319*LK_AllowanceRates!$B$12,IF(EMPLOYEE_MASTER!J319&lt;=15, EMPLOYEE_MASTER!J319*LK_AllowanceRates!$B$13,IF(EMPLOYEE_MASTER!J319&lt;=25, EMPLOYEE_MASTER!J319*LK_AllowanceRates!$B$14,EMPLOYEE_MASTER!J319*LK_AllowanceRates!$B$15))),0)</f>
        <v>120000</v>
      </c>
      <c r="O319" s="101">
        <f>IF(EMPLOYEE_MASTER!AS319="Teaching",L319*LK_AllowanceRates!$B$16,0)</f>
        <v>0</v>
      </c>
      <c r="P319" s="101">
        <f>IF(EMPLOYEE_MASTER!AS319="Medical",LK_AllowanceRates!$B$17,0)</f>
        <v>0</v>
      </c>
      <c r="Q319" s="101">
        <f>IF(EMPLOYEE_MASTER!AR319="Yes",LK_AllowanceRates!$B$18,0)</f>
        <v>1000000</v>
      </c>
      <c r="R319" s="101">
        <f>IF(EMPLOYEE_MASTER!AC319="Yes",LK_AllowanceRates!$B$19,0)</f>
        <v>0</v>
      </c>
      <c r="S319" s="101">
        <f>IF(EMPLOYEE_MASTER!AA319="Yes",L319*LK_AllowanceRates!$B$20,0)</f>
        <v>0</v>
      </c>
      <c r="T319" s="101">
        <f>IF(EMPLOYEE_MASTER!AB319="Yes",LK_AllowanceRates!$B$21,0)</f>
        <v>0</v>
      </c>
      <c r="U319" s="101">
        <f>IF(EMPLOYEE_MASTER!P319&gt;=6,LK_AllowanceRates!$B$22,0)</f>
        <v>0</v>
      </c>
      <c r="V319" s="101">
        <f>IF(EMPLOYEE_MASTER!AO319="Yes",LK_AllowanceRates!$B$23,0)</f>
        <v>200000</v>
      </c>
      <c r="W319" s="101">
        <f>EMPLOYEE_MASTER!AP319*LK_AllowanceRates!$B$24</f>
        <v>600000</v>
      </c>
      <c r="X319" s="101">
        <v>0</v>
      </c>
      <c r="Y319" s="102">
        <v>0</v>
      </c>
      <c r="Z319" s="102">
        <v>0</v>
      </c>
      <c r="AA319" s="102">
        <v>0</v>
      </c>
      <c r="AB319" s="103">
        <f t="shared" ca="1" si="34"/>
        <v>4220000</v>
      </c>
      <c r="AC319" s="104">
        <f t="shared" ca="1" si="35"/>
        <v>7160000</v>
      </c>
      <c r="AD319" s="105">
        <f>ROUND(L319*LK_AllowanceRates!$B$25/100,0)</f>
        <v>161700</v>
      </c>
      <c r="AE319" s="106">
        <f t="shared" ca="1" si="36"/>
        <v>6998300</v>
      </c>
      <c r="AF319" s="106">
        <f t="shared" ca="1" si="37"/>
        <v>384830</v>
      </c>
      <c r="AG319" s="107">
        <v>0</v>
      </c>
      <c r="AH319" s="107">
        <v>0</v>
      </c>
      <c r="AI319" s="108">
        <f t="shared" ca="1" si="38"/>
        <v>546530</v>
      </c>
      <c r="AJ319" s="109">
        <f t="shared" ca="1" si="39"/>
        <v>6613470</v>
      </c>
    </row>
    <row r="320" spans="1:36" ht="15" customHeight="1" x14ac:dyDescent="0.3">
      <c r="A320" s="98" t="str">
        <f>EMPLOYEE_MASTER!A320</f>
        <v>LAO00317</v>
      </c>
      <c r="B320" s="98" t="str">
        <f>EMPLOYEE_MASTER!C320</f>
        <v>Khamsing</v>
      </c>
      <c r="C320" s="98" t="str">
        <f>EMPLOYEE_MASTER!D320</f>
        <v>Phetsamone</v>
      </c>
      <c r="D320" s="98" t="str">
        <f>EMPLOYEE_MASTER!T320</f>
        <v>Ministry of Industry &amp; Commerce (MoIC)</v>
      </c>
      <c r="E320" s="98" t="str">
        <f>EMPLOYEE_MASTER!M320</f>
        <v>Administrative Officer</v>
      </c>
      <c r="F320" s="98" t="str">
        <f>EMPLOYEE_MASTER!Z320</f>
        <v>Administration</v>
      </c>
      <c r="G320" s="99">
        <f>EMPLOYEE_MASTER!P320</f>
        <v>3</v>
      </c>
      <c r="H320" s="99">
        <f>EMPLOYEE_MASTER!Q320</f>
        <v>12</v>
      </c>
      <c r="I320" s="100" t="str">
        <f t="shared" si="32"/>
        <v>G03-S12</v>
      </c>
      <c r="J320" s="100">
        <f>IFERROR(VLOOKUP(I320,LK_GradeStep!$C$4:$D$85,2,0),0)</f>
        <v>292</v>
      </c>
      <c r="K320" s="100">
        <f>IFERROR(VLOOKUP(I320,LK_GradeStep!$C$4:$E$85,3,0),10000)</f>
        <v>10000</v>
      </c>
      <c r="L320" s="100">
        <f t="shared" si="33"/>
        <v>2920000</v>
      </c>
      <c r="M320" s="101">
        <f>IFERROR(VLOOKUP(EMPLOYEE_MASTER!AQ320,LK_AllowanceRates!$A$5:$B$11,2,0),0)</f>
        <v>900000</v>
      </c>
      <c r="N320" s="101">
        <f ca="1">IFERROR(IF(EMPLOYEE_MASTER!J320&lt;=5,  EMPLOYEE_MASTER!J320*LK_AllowanceRates!$B$12,IF(EMPLOYEE_MASTER!J320&lt;=15, EMPLOYEE_MASTER!J320*LK_AllowanceRates!$B$13,IF(EMPLOYEE_MASTER!J320&lt;=25, EMPLOYEE_MASTER!J320*LK_AllowanceRates!$B$14,EMPLOYEE_MASTER!J320*LK_AllowanceRates!$B$15))),0)</f>
        <v>0</v>
      </c>
      <c r="O320" s="101">
        <f>IF(EMPLOYEE_MASTER!AS320="Teaching",L320*LK_AllowanceRates!$B$16,0)</f>
        <v>0</v>
      </c>
      <c r="P320" s="101">
        <f>IF(EMPLOYEE_MASTER!AS320="Medical",LK_AllowanceRates!$B$17,0)</f>
        <v>0</v>
      </c>
      <c r="Q320" s="101">
        <f>IF(EMPLOYEE_MASTER!AR320="Yes",LK_AllowanceRates!$B$18,0)</f>
        <v>0</v>
      </c>
      <c r="R320" s="101">
        <f>IF(EMPLOYEE_MASTER!AC320="Yes",LK_AllowanceRates!$B$19,0)</f>
        <v>1000000</v>
      </c>
      <c r="S320" s="101">
        <f>IF(EMPLOYEE_MASTER!AA320="Yes",L320*LK_AllowanceRates!$B$20,0)</f>
        <v>730000</v>
      </c>
      <c r="T320" s="101">
        <f>IF(EMPLOYEE_MASTER!AB320="Yes",LK_AllowanceRates!$B$21,0)</f>
        <v>0</v>
      </c>
      <c r="U320" s="101">
        <f>IF(EMPLOYEE_MASTER!P320&gt;=6,LK_AllowanceRates!$B$22,0)</f>
        <v>0</v>
      </c>
      <c r="V320" s="101">
        <f>IF(EMPLOYEE_MASTER!AO320="Yes",LK_AllowanceRates!$B$23,0)</f>
        <v>200000</v>
      </c>
      <c r="W320" s="101">
        <f>EMPLOYEE_MASTER!AP320*LK_AllowanceRates!$B$24</f>
        <v>200000</v>
      </c>
      <c r="X320" s="101">
        <v>0</v>
      </c>
      <c r="Y320" s="102">
        <v>0</v>
      </c>
      <c r="Z320" s="102">
        <v>0</v>
      </c>
      <c r="AA320" s="102">
        <v>0</v>
      </c>
      <c r="AB320" s="103">
        <f t="shared" ca="1" si="34"/>
        <v>3030000</v>
      </c>
      <c r="AC320" s="104">
        <f t="shared" ca="1" si="35"/>
        <v>5950000</v>
      </c>
      <c r="AD320" s="105">
        <f>ROUND(L320*LK_AllowanceRates!$B$25/100,0)</f>
        <v>160600</v>
      </c>
      <c r="AE320" s="106">
        <f t="shared" ca="1" si="36"/>
        <v>5789400</v>
      </c>
      <c r="AF320" s="106">
        <f t="shared" ca="1" si="37"/>
        <v>263940</v>
      </c>
      <c r="AG320" s="107">
        <v>0</v>
      </c>
      <c r="AH320" s="107">
        <v>0</v>
      </c>
      <c r="AI320" s="108">
        <f t="shared" ca="1" si="38"/>
        <v>424540</v>
      </c>
      <c r="AJ320" s="109">
        <f t="shared" ca="1" si="39"/>
        <v>5525460</v>
      </c>
    </row>
    <row r="321" spans="1:36" ht="15" customHeight="1" x14ac:dyDescent="0.3">
      <c r="A321" s="98" t="str">
        <f>EMPLOYEE_MASTER!A321</f>
        <v>LAO00318</v>
      </c>
      <c r="B321" s="98" t="str">
        <f>EMPLOYEE_MASTER!C321</f>
        <v>Vilaychith</v>
      </c>
      <c r="C321" s="98" t="str">
        <f>EMPLOYEE_MASTER!D321</f>
        <v>Sengmixay</v>
      </c>
      <c r="D321" s="98" t="str">
        <f>EMPLOYEE_MASTER!T321</f>
        <v>Ministry of Education and Sports (MoES)</v>
      </c>
      <c r="E321" s="98" t="str">
        <f>EMPLOYEE_MASTER!M321</f>
        <v>University Lecturer</v>
      </c>
      <c r="F321" s="98" t="str">
        <f>EMPLOYEE_MASTER!Z321</f>
        <v>Teacher</v>
      </c>
      <c r="G321" s="99">
        <f>EMPLOYEE_MASTER!P321</f>
        <v>5</v>
      </c>
      <c r="H321" s="99">
        <f>EMPLOYEE_MASTER!Q321</f>
        <v>1</v>
      </c>
      <c r="I321" s="100" t="str">
        <f t="shared" si="32"/>
        <v>G05-S01</v>
      </c>
      <c r="J321" s="100">
        <f>IFERROR(VLOOKUP(I321,LK_GradeStep!$C$4:$D$85,2,0),0)</f>
        <v>308</v>
      </c>
      <c r="K321" s="100">
        <f>IFERROR(VLOOKUP(I321,LK_GradeStep!$C$4:$E$85,3,0),10000)</f>
        <v>10000</v>
      </c>
      <c r="L321" s="100">
        <f t="shared" si="33"/>
        <v>3080000</v>
      </c>
      <c r="M321" s="101">
        <f>IFERROR(VLOOKUP(EMPLOYEE_MASTER!AQ321,LK_AllowanceRates!$A$5:$B$11,2,0),0)</f>
        <v>900000</v>
      </c>
      <c r="N321" s="101">
        <f ca="1">IFERROR(IF(EMPLOYEE_MASTER!J321&lt;=5,  EMPLOYEE_MASTER!J321*LK_AllowanceRates!$B$12,IF(EMPLOYEE_MASTER!J321&lt;=15, EMPLOYEE_MASTER!J321*LK_AllowanceRates!$B$13,IF(EMPLOYEE_MASTER!J321&lt;=25, EMPLOYEE_MASTER!J321*LK_AllowanceRates!$B$14,EMPLOYEE_MASTER!J321*LK_AllowanceRates!$B$15))),0)</f>
        <v>600000</v>
      </c>
      <c r="O321" s="101">
        <f>IF(EMPLOYEE_MASTER!AS321="Teaching",L321*LK_AllowanceRates!$B$16,0)</f>
        <v>616000</v>
      </c>
      <c r="P321" s="101">
        <f>IF(EMPLOYEE_MASTER!AS321="Medical",LK_AllowanceRates!$B$17,0)</f>
        <v>0</v>
      </c>
      <c r="Q321" s="101">
        <f>IF(EMPLOYEE_MASTER!AR321="Yes",LK_AllowanceRates!$B$18,0)</f>
        <v>0</v>
      </c>
      <c r="R321" s="101">
        <f>IF(EMPLOYEE_MASTER!AC321="Yes",LK_AllowanceRates!$B$19,0)</f>
        <v>1000000</v>
      </c>
      <c r="S321" s="101">
        <f>IF(EMPLOYEE_MASTER!AA321="Yes",L321*LK_AllowanceRates!$B$20,0)</f>
        <v>770000</v>
      </c>
      <c r="T321" s="101">
        <f>IF(EMPLOYEE_MASTER!AB321="Yes",LK_AllowanceRates!$B$21,0)</f>
        <v>0</v>
      </c>
      <c r="U321" s="101">
        <f>IF(EMPLOYEE_MASTER!P321&gt;=6,LK_AllowanceRates!$B$22,0)</f>
        <v>0</v>
      </c>
      <c r="V321" s="101">
        <f>IF(EMPLOYEE_MASTER!AO321="Yes",LK_AllowanceRates!$B$23,0)</f>
        <v>200000</v>
      </c>
      <c r="W321" s="101">
        <f>EMPLOYEE_MASTER!AP321*LK_AllowanceRates!$B$24</f>
        <v>0</v>
      </c>
      <c r="X321" s="101">
        <v>0</v>
      </c>
      <c r="Y321" s="102">
        <v>0</v>
      </c>
      <c r="Z321" s="102">
        <v>0</v>
      </c>
      <c r="AA321" s="102">
        <v>0</v>
      </c>
      <c r="AB321" s="103">
        <f t="shared" ca="1" si="34"/>
        <v>4086000</v>
      </c>
      <c r="AC321" s="104">
        <f t="shared" ca="1" si="35"/>
        <v>7166000</v>
      </c>
      <c r="AD321" s="105">
        <f>ROUND(L321*LK_AllowanceRates!$B$25/100,0)</f>
        <v>169400</v>
      </c>
      <c r="AE321" s="106">
        <f t="shared" ca="1" si="36"/>
        <v>6996600</v>
      </c>
      <c r="AF321" s="106">
        <f t="shared" ca="1" si="37"/>
        <v>384660</v>
      </c>
      <c r="AG321" s="107">
        <v>0</v>
      </c>
      <c r="AH321" s="107">
        <v>0</v>
      </c>
      <c r="AI321" s="108">
        <f t="shared" ca="1" si="38"/>
        <v>554060</v>
      </c>
      <c r="AJ321" s="109">
        <f t="shared" ca="1" si="39"/>
        <v>6611940</v>
      </c>
    </row>
    <row r="322" spans="1:36" ht="15" customHeight="1" x14ac:dyDescent="0.3">
      <c r="A322" s="98" t="str">
        <f>EMPLOYEE_MASTER!A322</f>
        <v>LAO00319</v>
      </c>
      <c r="B322" s="98" t="str">
        <f>EMPLOYEE_MASTER!C322</f>
        <v>Boutsady</v>
      </c>
      <c r="C322" s="98" t="str">
        <f>EMPLOYEE_MASTER!D322</f>
        <v>Luanglath</v>
      </c>
      <c r="D322" s="98" t="str">
        <f>EMPLOYEE_MASTER!T322</f>
        <v>Ministry of Health (MoH)</v>
      </c>
      <c r="E322" s="98" t="str">
        <f>EMPLOYEE_MASTER!M322</f>
        <v>Pharmacist</v>
      </c>
      <c r="F322" s="98" t="str">
        <f>EMPLOYEE_MASTER!Z322</f>
        <v>Medical</v>
      </c>
      <c r="G322" s="99">
        <f>EMPLOYEE_MASTER!P322</f>
        <v>3</v>
      </c>
      <c r="H322" s="99">
        <f>EMPLOYEE_MASTER!Q322</f>
        <v>8</v>
      </c>
      <c r="I322" s="100" t="str">
        <f t="shared" si="32"/>
        <v>G03-S08</v>
      </c>
      <c r="J322" s="100">
        <f>IFERROR(VLOOKUP(I322,LK_GradeStep!$C$4:$D$85,2,0),0)</f>
        <v>284</v>
      </c>
      <c r="K322" s="100">
        <f>IFERROR(VLOOKUP(I322,LK_GradeStep!$C$4:$E$85,3,0),10000)</f>
        <v>10000</v>
      </c>
      <c r="L322" s="100">
        <f t="shared" si="33"/>
        <v>2840000</v>
      </c>
      <c r="M322" s="101">
        <f>IFERROR(VLOOKUP(EMPLOYEE_MASTER!AQ322,LK_AllowanceRates!$A$5:$B$11,2,0),0)</f>
        <v>900000</v>
      </c>
      <c r="N322" s="101">
        <f ca="1">IFERROR(IF(EMPLOYEE_MASTER!J322&lt;=5,  EMPLOYEE_MASTER!J322*LK_AllowanceRates!$B$12,IF(EMPLOYEE_MASTER!J322&lt;=15, EMPLOYEE_MASTER!J322*LK_AllowanceRates!$B$13,IF(EMPLOYEE_MASTER!J322&lt;=25, EMPLOYEE_MASTER!J322*LK_AllowanceRates!$B$14,EMPLOYEE_MASTER!J322*LK_AllowanceRates!$B$15))),0)</f>
        <v>20000</v>
      </c>
      <c r="O322" s="101">
        <f>IF(EMPLOYEE_MASTER!AS322="Teaching",L322*LK_AllowanceRates!$B$16,0)</f>
        <v>0</v>
      </c>
      <c r="P322" s="101">
        <f>IF(EMPLOYEE_MASTER!AS322="Medical",LK_AllowanceRates!$B$17,0)</f>
        <v>500000</v>
      </c>
      <c r="Q322" s="101">
        <f>IF(EMPLOYEE_MASTER!AR322="Yes",LK_AllowanceRates!$B$18,0)</f>
        <v>0</v>
      </c>
      <c r="R322" s="101">
        <f>IF(EMPLOYEE_MASTER!AC322="Yes",LK_AllowanceRates!$B$19,0)</f>
        <v>0</v>
      </c>
      <c r="S322" s="101">
        <f>IF(EMPLOYEE_MASTER!AA322="Yes",L322*LK_AllowanceRates!$B$20,0)</f>
        <v>0</v>
      </c>
      <c r="T322" s="101">
        <f>IF(EMPLOYEE_MASTER!AB322="Yes",LK_AllowanceRates!$B$21,0)</f>
        <v>0</v>
      </c>
      <c r="U322" s="101">
        <f>IF(EMPLOYEE_MASTER!P322&gt;=6,LK_AllowanceRates!$B$22,0)</f>
        <v>0</v>
      </c>
      <c r="V322" s="101">
        <f>IF(EMPLOYEE_MASTER!AO322="Yes",LK_AllowanceRates!$B$23,0)</f>
        <v>0</v>
      </c>
      <c r="W322" s="101">
        <f>EMPLOYEE_MASTER!AP322*LK_AllowanceRates!$B$24</f>
        <v>0</v>
      </c>
      <c r="X322" s="101">
        <v>0</v>
      </c>
      <c r="Y322" s="102">
        <v>0</v>
      </c>
      <c r="Z322" s="102">
        <v>0</v>
      </c>
      <c r="AA322" s="102">
        <v>0</v>
      </c>
      <c r="AB322" s="103">
        <f t="shared" ca="1" si="34"/>
        <v>1420000</v>
      </c>
      <c r="AC322" s="104">
        <f t="shared" ca="1" si="35"/>
        <v>4260000</v>
      </c>
      <c r="AD322" s="105">
        <f>ROUND(L322*LK_AllowanceRates!$B$25/100,0)</f>
        <v>156200</v>
      </c>
      <c r="AE322" s="106">
        <f t="shared" ca="1" si="36"/>
        <v>4103800</v>
      </c>
      <c r="AF322" s="106">
        <f t="shared" ca="1" si="37"/>
        <v>140190</v>
      </c>
      <c r="AG322" s="107">
        <v>0</v>
      </c>
      <c r="AH322" s="107">
        <v>0</v>
      </c>
      <c r="AI322" s="108">
        <f t="shared" ca="1" si="38"/>
        <v>296390</v>
      </c>
      <c r="AJ322" s="109">
        <f t="shared" ca="1" si="39"/>
        <v>3963610</v>
      </c>
    </row>
    <row r="323" spans="1:36" ht="15" customHeight="1" x14ac:dyDescent="0.3">
      <c r="A323" s="98" t="str">
        <f>EMPLOYEE_MASTER!A323</f>
        <v>LAO00320</v>
      </c>
      <c r="B323" s="98" t="str">
        <f>EMPLOYEE_MASTER!C323</f>
        <v>Phommachanh</v>
      </c>
      <c r="C323" s="98" t="str">
        <f>EMPLOYEE_MASTER!D323</f>
        <v>Bouphanouvong</v>
      </c>
      <c r="D323" s="98" t="str">
        <f>EMPLOYEE_MASTER!T323</f>
        <v>Ministry of Agriculture and Forestry (MoAF)</v>
      </c>
      <c r="E323" s="98" t="str">
        <f>EMPLOYEE_MASTER!M323</f>
        <v>IT Officer</v>
      </c>
      <c r="F323" s="98" t="str">
        <f>EMPLOYEE_MASTER!Z323</f>
        <v>Technical</v>
      </c>
      <c r="G323" s="99">
        <f>EMPLOYEE_MASTER!P323</f>
        <v>4</v>
      </c>
      <c r="H323" s="99">
        <f>EMPLOYEE_MASTER!Q323</f>
        <v>1</v>
      </c>
      <c r="I323" s="100" t="str">
        <f t="shared" si="32"/>
        <v>G04-S01</v>
      </c>
      <c r="J323" s="100">
        <f>IFERROR(VLOOKUP(I323,LK_GradeStep!$C$4:$D$85,2,0),0)</f>
        <v>286</v>
      </c>
      <c r="K323" s="100">
        <f>IFERROR(VLOOKUP(I323,LK_GradeStep!$C$4:$E$85,3,0),10000)</f>
        <v>10000</v>
      </c>
      <c r="L323" s="100">
        <f t="shared" si="33"/>
        <v>2860000</v>
      </c>
      <c r="M323" s="101">
        <f>IFERROR(VLOOKUP(EMPLOYEE_MASTER!AQ323,LK_AllowanceRates!$A$5:$B$11,2,0),0)</f>
        <v>900000</v>
      </c>
      <c r="N323" s="101">
        <f ca="1">IFERROR(IF(EMPLOYEE_MASTER!J323&lt;=5,  EMPLOYEE_MASTER!J323*LK_AllowanceRates!$B$12,IF(EMPLOYEE_MASTER!J323&lt;=15, EMPLOYEE_MASTER!J323*LK_AllowanceRates!$B$13,IF(EMPLOYEE_MASTER!J323&lt;=25, EMPLOYEE_MASTER!J323*LK_AllowanceRates!$B$14,EMPLOYEE_MASTER!J323*LK_AllowanceRates!$B$15))),0)</f>
        <v>1320000</v>
      </c>
      <c r="O323" s="101">
        <f>IF(EMPLOYEE_MASTER!AS323="Teaching",L323*LK_AllowanceRates!$B$16,0)</f>
        <v>0</v>
      </c>
      <c r="P323" s="101">
        <f>IF(EMPLOYEE_MASTER!AS323="Medical",LK_AllowanceRates!$B$17,0)</f>
        <v>0</v>
      </c>
      <c r="Q323" s="101">
        <f>IF(EMPLOYEE_MASTER!AR323="Yes",LK_AllowanceRates!$B$18,0)</f>
        <v>0</v>
      </c>
      <c r="R323" s="101">
        <f>IF(EMPLOYEE_MASTER!AC323="Yes",LK_AllowanceRates!$B$19,0)</f>
        <v>1000000</v>
      </c>
      <c r="S323" s="101">
        <f>IF(EMPLOYEE_MASTER!AA323="Yes",L323*LK_AllowanceRates!$B$20,0)</f>
        <v>715000</v>
      </c>
      <c r="T323" s="101">
        <f>IF(EMPLOYEE_MASTER!AB323="Yes",LK_AllowanceRates!$B$21,0)</f>
        <v>0</v>
      </c>
      <c r="U323" s="101">
        <f>IF(EMPLOYEE_MASTER!P323&gt;=6,LK_AllowanceRates!$B$22,0)</f>
        <v>0</v>
      </c>
      <c r="V323" s="101">
        <f>IF(EMPLOYEE_MASTER!AO323="Yes",LK_AllowanceRates!$B$23,0)</f>
        <v>0</v>
      </c>
      <c r="W323" s="101">
        <f>EMPLOYEE_MASTER!AP323*LK_AllowanceRates!$B$24</f>
        <v>0</v>
      </c>
      <c r="X323" s="101">
        <v>0</v>
      </c>
      <c r="Y323" s="102">
        <v>0</v>
      </c>
      <c r="Z323" s="102">
        <v>0</v>
      </c>
      <c r="AA323" s="102">
        <v>0</v>
      </c>
      <c r="AB323" s="103">
        <f t="shared" ca="1" si="34"/>
        <v>3935000</v>
      </c>
      <c r="AC323" s="104">
        <f t="shared" ca="1" si="35"/>
        <v>6795000</v>
      </c>
      <c r="AD323" s="105">
        <f>ROUND(L323*LK_AllowanceRates!$B$25/100,0)</f>
        <v>157300</v>
      </c>
      <c r="AE323" s="106">
        <f t="shared" ca="1" si="36"/>
        <v>6637700</v>
      </c>
      <c r="AF323" s="106">
        <f t="shared" ca="1" si="37"/>
        <v>348770</v>
      </c>
      <c r="AG323" s="107">
        <v>0</v>
      </c>
      <c r="AH323" s="107">
        <v>0</v>
      </c>
      <c r="AI323" s="108">
        <f t="shared" ca="1" si="38"/>
        <v>506070</v>
      </c>
      <c r="AJ323" s="109">
        <f t="shared" ca="1" si="39"/>
        <v>6288930</v>
      </c>
    </row>
    <row r="324" spans="1:36" ht="15" customHeight="1" x14ac:dyDescent="0.3">
      <c r="A324" s="98" t="str">
        <f>EMPLOYEE_MASTER!A324</f>
        <v>LAO00321</v>
      </c>
      <c r="B324" s="98" t="str">
        <f>EMPLOYEE_MASTER!C324</f>
        <v>Visoune</v>
      </c>
      <c r="C324" s="98" t="str">
        <f>EMPLOYEE_MASTER!D324</f>
        <v>Souksavanh</v>
      </c>
      <c r="D324" s="98" t="str">
        <f>EMPLOYEE_MASTER!T324</f>
        <v>Ministry of Education and Sports (MoES)</v>
      </c>
      <c r="E324" s="98" t="str">
        <f>EMPLOYEE_MASTER!M324</f>
        <v>University Lecturer</v>
      </c>
      <c r="F324" s="98" t="str">
        <f>EMPLOYEE_MASTER!Z324</f>
        <v>Teacher</v>
      </c>
      <c r="G324" s="99">
        <f>EMPLOYEE_MASTER!P324</f>
        <v>4</v>
      </c>
      <c r="H324" s="99">
        <f>EMPLOYEE_MASTER!Q324</f>
        <v>1</v>
      </c>
      <c r="I324" s="100" t="str">
        <f t="shared" ref="I324:I387" si="40">"G"&amp;TEXT(G324,"00")&amp;"-S"&amp;TEXT(H324,"00")</f>
        <v>G04-S01</v>
      </c>
      <c r="J324" s="100">
        <f>IFERROR(VLOOKUP(I324,LK_GradeStep!$C$4:$D$85,2,0),0)</f>
        <v>286</v>
      </c>
      <c r="K324" s="100">
        <f>IFERROR(VLOOKUP(I324,LK_GradeStep!$C$4:$E$85,3,0),10000)</f>
        <v>10000</v>
      </c>
      <c r="L324" s="100">
        <f t="shared" ref="L324:L387" si="41">IFERROR(J324*K324,0)</f>
        <v>2860000</v>
      </c>
      <c r="M324" s="101">
        <f>IFERROR(VLOOKUP(EMPLOYEE_MASTER!AQ324,LK_AllowanceRates!$A$5:$B$11,2,0),0)</f>
        <v>900000</v>
      </c>
      <c r="N324" s="101">
        <f ca="1">IFERROR(IF(EMPLOYEE_MASTER!J324&lt;=5,  EMPLOYEE_MASTER!J324*LK_AllowanceRates!$B$12,IF(EMPLOYEE_MASTER!J324&lt;=15, EMPLOYEE_MASTER!J324*LK_AllowanceRates!$B$13,IF(EMPLOYEE_MASTER!J324&lt;=25, EMPLOYEE_MASTER!J324*LK_AllowanceRates!$B$14,EMPLOYEE_MASTER!J324*LK_AllowanceRates!$B$15))),0)</f>
        <v>1080000</v>
      </c>
      <c r="O324" s="101">
        <f>IF(EMPLOYEE_MASTER!AS324="Teaching",L324*LK_AllowanceRates!$B$16,0)</f>
        <v>572000</v>
      </c>
      <c r="P324" s="101">
        <f>IF(EMPLOYEE_MASTER!AS324="Medical",LK_AllowanceRates!$B$17,0)</f>
        <v>0</v>
      </c>
      <c r="Q324" s="101">
        <f>IF(EMPLOYEE_MASTER!AR324="Yes",LK_AllowanceRates!$B$18,0)</f>
        <v>0</v>
      </c>
      <c r="R324" s="101">
        <f>IF(EMPLOYEE_MASTER!AC324="Yes",LK_AllowanceRates!$B$19,0)</f>
        <v>1000000</v>
      </c>
      <c r="S324" s="101">
        <f>IF(EMPLOYEE_MASTER!AA324="Yes",L324*LK_AllowanceRates!$B$20,0)</f>
        <v>715000</v>
      </c>
      <c r="T324" s="101">
        <f>IF(EMPLOYEE_MASTER!AB324="Yes",LK_AllowanceRates!$B$21,0)</f>
        <v>0</v>
      </c>
      <c r="U324" s="101">
        <f>IF(EMPLOYEE_MASTER!P324&gt;=6,LK_AllowanceRates!$B$22,0)</f>
        <v>0</v>
      </c>
      <c r="V324" s="101">
        <f>IF(EMPLOYEE_MASTER!AO324="Yes",LK_AllowanceRates!$B$23,0)</f>
        <v>0</v>
      </c>
      <c r="W324" s="101">
        <f>EMPLOYEE_MASTER!AP324*LK_AllowanceRates!$B$24</f>
        <v>0</v>
      </c>
      <c r="X324" s="101">
        <v>0</v>
      </c>
      <c r="Y324" s="102">
        <v>0</v>
      </c>
      <c r="Z324" s="102">
        <v>0</v>
      </c>
      <c r="AA324" s="102">
        <v>0</v>
      </c>
      <c r="AB324" s="103">
        <f t="shared" ref="AB324:AB387" ca="1" si="42">SUM(M324:AA324)</f>
        <v>4267000</v>
      </c>
      <c r="AC324" s="104">
        <f t="shared" ref="AC324:AC387" ca="1" si="43">L324+AB324</f>
        <v>7127000</v>
      </c>
      <c r="AD324" s="105">
        <f>ROUND(L324*LK_AllowanceRates!$B$25/100,0)</f>
        <v>157300</v>
      </c>
      <c r="AE324" s="106">
        <f t="shared" ref="AE324:AE387" ca="1" si="44">IFERROR(AC324-AD324,0)</f>
        <v>6969700</v>
      </c>
      <c r="AF324" s="106">
        <f t="shared" ref="AF324:AF387" ca="1" si="45">IFERROR(IF(AE324&lt;=1300000,0,IF(AE324&lt;=5000000,(AE324-1300000)*0.05,IF(AE324&lt;=10000000,185000+(AE324-5000000)*0.1,IF(AE324&lt;=20000000,685000+(AE324-10000000)*0.15,IF(AE324&lt;=40000000,2185000+(AE324-20000000)*0.2,6185000+(AE324-40000000)*0.24))))),0)</f>
        <v>381970</v>
      </c>
      <c r="AG324" s="107">
        <v>0</v>
      </c>
      <c r="AH324" s="107">
        <v>0</v>
      </c>
      <c r="AI324" s="108">
        <f t="shared" ref="AI324:AI387" ca="1" si="46">AD324+AF324+AG324+AH324</f>
        <v>539270</v>
      </c>
      <c r="AJ324" s="109">
        <f t="shared" ref="AJ324:AJ387" ca="1" si="47">IFERROR(AC324-AI324,0)</f>
        <v>6587730</v>
      </c>
    </row>
    <row r="325" spans="1:36" ht="15" customHeight="1" x14ac:dyDescent="0.3">
      <c r="A325" s="98" t="str">
        <f>EMPLOYEE_MASTER!A325</f>
        <v>LAO00322</v>
      </c>
      <c r="B325" s="98" t="str">
        <f>EMPLOYEE_MASTER!C325</f>
        <v>Souvanny</v>
      </c>
      <c r="C325" s="98" t="str">
        <f>EMPLOYEE_MASTER!D325</f>
        <v>Vongkhamphanh</v>
      </c>
      <c r="D325" s="98" t="str">
        <f>EMPLOYEE_MASTER!T325</f>
        <v>Ministry of Agriculture and Forestry (MoAF)</v>
      </c>
      <c r="E325" s="98" t="str">
        <f>EMPLOYEE_MASTER!M325</f>
        <v>Survey Officer</v>
      </c>
      <c r="F325" s="98" t="str">
        <f>EMPLOYEE_MASTER!Z325</f>
        <v>Technical</v>
      </c>
      <c r="G325" s="99">
        <f>EMPLOYEE_MASTER!P325</f>
        <v>2</v>
      </c>
      <c r="H325" s="99">
        <f>EMPLOYEE_MASTER!Q325</f>
        <v>1</v>
      </c>
      <c r="I325" s="100" t="str">
        <f t="shared" si="40"/>
        <v>G02-S01</v>
      </c>
      <c r="J325" s="100">
        <f>IFERROR(VLOOKUP(I325,LK_GradeStep!$C$4:$D$85,2,0),0)</f>
        <v>268</v>
      </c>
      <c r="K325" s="100">
        <f>IFERROR(VLOOKUP(I325,LK_GradeStep!$C$4:$E$85,3,0),10000)</f>
        <v>10000</v>
      </c>
      <c r="L325" s="100">
        <f t="shared" si="41"/>
        <v>2680000</v>
      </c>
      <c r="M325" s="101">
        <f>IFERROR(VLOOKUP(EMPLOYEE_MASTER!AQ325,LK_AllowanceRates!$A$5:$B$11,2,0),0)</f>
        <v>900000</v>
      </c>
      <c r="N325" s="101">
        <f ca="1">IFERROR(IF(EMPLOYEE_MASTER!J325&lt;=5,  EMPLOYEE_MASTER!J325*LK_AllowanceRates!$B$12,IF(EMPLOYEE_MASTER!J325&lt;=15, EMPLOYEE_MASTER!J325*LK_AllowanceRates!$B$13,IF(EMPLOYEE_MASTER!J325&lt;=25, EMPLOYEE_MASTER!J325*LK_AllowanceRates!$B$14,EMPLOYEE_MASTER!J325*LK_AllowanceRates!$B$15))),0)</f>
        <v>1360000</v>
      </c>
      <c r="O325" s="101">
        <f>IF(EMPLOYEE_MASTER!AS325="Teaching",L325*LK_AllowanceRates!$B$16,0)</f>
        <v>0</v>
      </c>
      <c r="P325" s="101">
        <f>IF(EMPLOYEE_MASTER!AS325="Medical",LK_AllowanceRates!$B$17,0)</f>
        <v>0</v>
      </c>
      <c r="Q325" s="101">
        <f>IF(EMPLOYEE_MASTER!AR325="Yes",LK_AllowanceRates!$B$18,0)</f>
        <v>0</v>
      </c>
      <c r="R325" s="101">
        <f>IF(EMPLOYEE_MASTER!AC325="Yes",LK_AllowanceRates!$B$19,0)</f>
        <v>1000000</v>
      </c>
      <c r="S325" s="101">
        <f>IF(EMPLOYEE_MASTER!AA325="Yes",L325*LK_AllowanceRates!$B$20,0)</f>
        <v>670000</v>
      </c>
      <c r="T325" s="101">
        <f>IF(EMPLOYEE_MASTER!AB325="Yes",LK_AllowanceRates!$B$21,0)</f>
        <v>0</v>
      </c>
      <c r="U325" s="101">
        <f>IF(EMPLOYEE_MASTER!P325&gt;=6,LK_AllowanceRates!$B$22,0)</f>
        <v>0</v>
      </c>
      <c r="V325" s="101">
        <f>IF(EMPLOYEE_MASTER!AO325="Yes",LK_AllowanceRates!$B$23,0)</f>
        <v>200000</v>
      </c>
      <c r="W325" s="101">
        <f>EMPLOYEE_MASTER!AP325*LK_AllowanceRates!$B$24</f>
        <v>600000</v>
      </c>
      <c r="X325" s="101">
        <v>0</v>
      </c>
      <c r="Y325" s="102">
        <v>0</v>
      </c>
      <c r="Z325" s="102">
        <v>0</v>
      </c>
      <c r="AA325" s="102">
        <v>0</v>
      </c>
      <c r="AB325" s="103">
        <f t="shared" ca="1" si="42"/>
        <v>4730000</v>
      </c>
      <c r="AC325" s="104">
        <f t="shared" ca="1" si="43"/>
        <v>7410000</v>
      </c>
      <c r="AD325" s="105">
        <f>ROUND(L325*LK_AllowanceRates!$B$25/100,0)</f>
        <v>147400</v>
      </c>
      <c r="AE325" s="106">
        <f t="shared" ca="1" si="44"/>
        <v>7262600</v>
      </c>
      <c r="AF325" s="106">
        <f t="shared" ca="1" si="45"/>
        <v>411260</v>
      </c>
      <c r="AG325" s="107">
        <v>0</v>
      </c>
      <c r="AH325" s="107">
        <v>0</v>
      </c>
      <c r="AI325" s="108">
        <f t="shared" ca="1" si="46"/>
        <v>558660</v>
      </c>
      <c r="AJ325" s="109">
        <f t="shared" ca="1" si="47"/>
        <v>6851340</v>
      </c>
    </row>
    <row r="326" spans="1:36" ht="15" customHeight="1" x14ac:dyDescent="0.3">
      <c r="A326" s="98" t="str">
        <f>EMPLOYEE_MASTER!A326</f>
        <v>LAO00323</v>
      </c>
      <c r="B326" s="98" t="str">
        <f>EMPLOYEE_MASTER!C326</f>
        <v>Boutsady</v>
      </c>
      <c r="C326" s="98" t="str">
        <f>EMPLOYEE_MASTER!D326</f>
        <v>Keokhamphanh</v>
      </c>
      <c r="D326" s="98" t="str">
        <f>EMPLOYEE_MASTER!T326</f>
        <v>Champasak Province Administration</v>
      </c>
      <c r="E326" s="98" t="str">
        <f>EMPLOYEE_MASTER!M326</f>
        <v>Senior Officer</v>
      </c>
      <c r="F326" s="98" t="str">
        <f>EMPLOYEE_MASTER!Z326</f>
        <v>Administration</v>
      </c>
      <c r="G326" s="99">
        <f>EMPLOYEE_MASTER!P326</f>
        <v>5</v>
      </c>
      <c r="H326" s="99">
        <f>EMPLOYEE_MASTER!Q326</f>
        <v>1</v>
      </c>
      <c r="I326" s="100" t="str">
        <f t="shared" si="40"/>
        <v>G05-S01</v>
      </c>
      <c r="J326" s="100">
        <f>IFERROR(VLOOKUP(I326,LK_GradeStep!$C$4:$D$85,2,0),0)</f>
        <v>308</v>
      </c>
      <c r="K326" s="100">
        <f>IFERROR(VLOOKUP(I326,LK_GradeStep!$C$4:$E$85,3,0),10000)</f>
        <v>10000</v>
      </c>
      <c r="L326" s="100">
        <f t="shared" si="41"/>
        <v>3080000</v>
      </c>
      <c r="M326" s="101">
        <f>IFERROR(VLOOKUP(EMPLOYEE_MASTER!AQ326,LK_AllowanceRates!$A$5:$B$11,2,0),0)</f>
        <v>900000</v>
      </c>
      <c r="N326" s="101">
        <f ca="1">IFERROR(IF(EMPLOYEE_MASTER!J326&lt;=5,  EMPLOYEE_MASTER!J326*LK_AllowanceRates!$B$12,IF(EMPLOYEE_MASTER!J326&lt;=15, EMPLOYEE_MASTER!J326*LK_AllowanceRates!$B$13,IF(EMPLOYEE_MASTER!J326&lt;=25, EMPLOYEE_MASTER!J326*LK_AllowanceRates!$B$14,EMPLOYEE_MASTER!J326*LK_AllowanceRates!$B$15))),0)</f>
        <v>1240000</v>
      </c>
      <c r="O326" s="101">
        <f>IF(EMPLOYEE_MASTER!AS326="Teaching",L326*LK_AllowanceRates!$B$16,0)</f>
        <v>0</v>
      </c>
      <c r="P326" s="101">
        <f>IF(EMPLOYEE_MASTER!AS326="Medical",LK_AllowanceRates!$B$17,0)</f>
        <v>0</v>
      </c>
      <c r="Q326" s="101">
        <f>IF(EMPLOYEE_MASTER!AR326="Yes",LK_AllowanceRates!$B$18,0)</f>
        <v>0</v>
      </c>
      <c r="R326" s="101">
        <f>IF(EMPLOYEE_MASTER!AC326="Yes",LK_AllowanceRates!$B$19,0)</f>
        <v>0</v>
      </c>
      <c r="S326" s="101">
        <f>IF(EMPLOYEE_MASTER!AA326="Yes",L326*LK_AllowanceRates!$B$20,0)</f>
        <v>770000</v>
      </c>
      <c r="T326" s="101">
        <f>IF(EMPLOYEE_MASTER!AB326="Yes",LK_AllowanceRates!$B$21,0)</f>
        <v>0</v>
      </c>
      <c r="U326" s="101">
        <f>IF(EMPLOYEE_MASTER!P326&gt;=6,LK_AllowanceRates!$B$22,0)</f>
        <v>0</v>
      </c>
      <c r="V326" s="101">
        <f>IF(EMPLOYEE_MASTER!AO326="Yes",LK_AllowanceRates!$B$23,0)</f>
        <v>0</v>
      </c>
      <c r="W326" s="101">
        <f>EMPLOYEE_MASTER!AP326*LK_AllowanceRates!$B$24</f>
        <v>0</v>
      </c>
      <c r="X326" s="101">
        <v>0</v>
      </c>
      <c r="Y326" s="102">
        <v>0</v>
      </c>
      <c r="Z326" s="102">
        <v>0</v>
      </c>
      <c r="AA326" s="102">
        <v>0</v>
      </c>
      <c r="AB326" s="103">
        <f t="shared" ca="1" si="42"/>
        <v>2910000</v>
      </c>
      <c r="AC326" s="104">
        <f t="shared" ca="1" si="43"/>
        <v>5990000</v>
      </c>
      <c r="AD326" s="105">
        <f>ROUND(L326*LK_AllowanceRates!$B$25/100,0)</f>
        <v>169400</v>
      </c>
      <c r="AE326" s="106">
        <f t="shared" ca="1" si="44"/>
        <v>5820600</v>
      </c>
      <c r="AF326" s="106">
        <f t="shared" ca="1" si="45"/>
        <v>267060</v>
      </c>
      <c r="AG326" s="107">
        <v>0</v>
      </c>
      <c r="AH326" s="107">
        <v>0</v>
      </c>
      <c r="AI326" s="108">
        <f t="shared" ca="1" si="46"/>
        <v>436460</v>
      </c>
      <c r="AJ326" s="109">
        <f t="shared" ca="1" si="47"/>
        <v>5553540</v>
      </c>
    </row>
    <row r="327" spans="1:36" ht="15" customHeight="1" x14ac:dyDescent="0.3">
      <c r="A327" s="98" t="str">
        <f>EMPLOYEE_MASTER!A327</f>
        <v>LAO00324</v>
      </c>
      <c r="B327" s="98" t="str">
        <f>EMPLOYEE_MASTER!C327</f>
        <v>Khamphout</v>
      </c>
      <c r="C327" s="98" t="str">
        <f>EMPLOYEE_MASTER!D327</f>
        <v>Phommachack</v>
      </c>
      <c r="D327" s="98" t="str">
        <f>EMPLOYEE_MASTER!T327</f>
        <v>Ministry of Finance (MoF)</v>
      </c>
      <c r="E327" s="98" t="str">
        <f>EMPLOYEE_MASTER!M327</f>
        <v>Customs Officer</v>
      </c>
      <c r="F327" s="98" t="str">
        <f>EMPLOYEE_MASTER!Z327</f>
        <v>Finance</v>
      </c>
      <c r="G327" s="99">
        <f>EMPLOYEE_MASTER!P327</f>
        <v>2</v>
      </c>
      <c r="H327" s="99">
        <f>EMPLOYEE_MASTER!Q327</f>
        <v>13</v>
      </c>
      <c r="I327" s="100" t="str">
        <f t="shared" si="40"/>
        <v>G02-S13</v>
      </c>
      <c r="J327" s="100">
        <f>IFERROR(VLOOKUP(I327,LK_GradeStep!$C$4:$D$85,2,0),0)</f>
        <v>280</v>
      </c>
      <c r="K327" s="100">
        <f>IFERROR(VLOOKUP(I327,LK_GradeStep!$C$4:$E$85,3,0),10000)</f>
        <v>10000</v>
      </c>
      <c r="L327" s="100">
        <f t="shared" si="41"/>
        <v>2800000</v>
      </c>
      <c r="M327" s="101">
        <f>IFERROR(VLOOKUP(EMPLOYEE_MASTER!AQ327,LK_AllowanceRates!$A$5:$B$11,2,0),0)</f>
        <v>900000</v>
      </c>
      <c r="N327" s="101">
        <f ca="1">IFERROR(IF(EMPLOYEE_MASTER!J327&lt;=5,  EMPLOYEE_MASTER!J327*LK_AllowanceRates!$B$12,IF(EMPLOYEE_MASTER!J327&lt;=15, EMPLOYEE_MASTER!J327*LK_AllowanceRates!$B$13,IF(EMPLOYEE_MASTER!J327&lt;=25, EMPLOYEE_MASTER!J327*LK_AllowanceRates!$B$14,EMPLOYEE_MASTER!J327*LK_AllowanceRates!$B$15))),0)</f>
        <v>10000</v>
      </c>
      <c r="O327" s="101">
        <f>IF(EMPLOYEE_MASTER!AS327="Teaching",L327*LK_AllowanceRates!$B$16,0)</f>
        <v>0</v>
      </c>
      <c r="P327" s="101">
        <f>IF(EMPLOYEE_MASTER!AS327="Medical",LK_AllowanceRates!$B$17,0)</f>
        <v>0</v>
      </c>
      <c r="Q327" s="101">
        <f>IF(EMPLOYEE_MASTER!AR327="Yes",LK_AllowanceRates!$B$18,0)</f>
        <v>0</v>
      </c>
      <c r="R327" s="101">
        <f>IF(EMPLOYEE_MASTER!AC327="Yes",LK_AllowanceRates!$B$19,0)</f>
        <v>1000000</v>
      </c>
      <c r="S327" s="101">
        <f>IF(EMPLOYEE_MASTER!AA327="Yes",L327*LK_AllowanceRates!$B$20,0)</f>
        <v>700000</v>
      </c>
      <c r="T327" s="101">
        <f>IF(EMPLOYEE_MASTER!AB327="Yes",LK_AllowanceRates!$B$21,0)</f>
        <v>0</v>
      </c>
      <c r="U327" s="101">
        <f>IF(EMPLOYEE_MASTER!P327&gt;=6,LK_AllowanceRates!$B$22,0)</f>
        <v>0</v>
      </c>
      <c r="V327" s="101">
        <f>IF(EMPLOYEE_MASTER!AO327="Yes",LK_AllowanceRates!$B$23,0)</f>
        <v>200000</v>
      </c>
      <c r="W327" s="101">
        <f>EMPLOYEE_MASTER!AP327*LK_AllowanceRates!$B$24</f>
        <v>200000</v>
      </c>
      <c r="X327" s="101">
        <v>0</v>
      </c>
      <c r="Y327" s="102">
        <v>0</v>
      </c>
      <c r="Z327" s="102">
        <v>0</v>
      </c>
      <c r="AA327" s="102">
        <v>0</v>
      </c>
      <c r="AB327" s="103">
        <f t="shared" ca="1" si="42"/>
        <v>3010000</v>
      </c>
      <c r="AC327" s="104">
        <f t="shared" ca="1" si="43"/>
        <v>5810000</v>
      </c>
      <c r="AD327" s="105">
        <f>ROUND(L327*LK_AllowanceRates!$B$25/100,0)</f>
        <v>154000</v>
      </c>
      <c r="AE327" s="106">
        <f t="shared" ca="1" si="44"/>
        <v>5656000</v>
      </c>
      <c r="AF327" s="106">
        <f t="shared" ca="1" si="45"/>
        <v>250600</v>
      </c>
      <c r="AG327" s="107">
        <v>0</v>
      </c>
      <c r="AH327" s="107">
        <v>0</v>
      </c>
      <c r="AI327" s="108">
        <f t="shared" ca="1" si="46"/>
        <v>404600</v>
      </c>
      <c r="AJ327" s="109">
        <f t="shared" ca="1" si="47"/>
        <v>5405400</v>
      </c>
    </row>
    <row r="328" spans="1:36" ht="15" customHeight="1" x14ac:dyDescent="0.3">
      <c r="A328" s="98" t="str">
        <f>EMPLOYEE_MASTER!A328</f>
        <v>LAO00325</v>
      </c>
      <c r="B328" s="98" t="str">
        <f>EMPLOYEE_MASTER!C328</f>
        <v>Chansamone</v>
      </c>
      <c r="C328" s="98" t="str">
        <f>EMPLOYEE_MASTER!D328</f>
        <v>Singvongsa</v>
      </c>
      <c r="D328" s="98" t="str">
        <f>EMPLOYEE_MASTER!T328</f>
        <v>Luang Prabang Province Administration</v>
      </c>
      <c r="E328" s="98" t="str">
        <f>EMPLOYEE_MASTER!M328</f>
        <v>Clerk</v>
      </c>
      <c r="F328" s="98" t="str">
        <f>EMPLOYEE_MASTER!Z328</f>
        <v>Administration</v>
      </c>
      <c r="G328" s="99">
        <f>EMPLOYEE_MASTER!P328</f>
        <v>4</v>
      </c>
      <c r="H328" s="99">
        <f>EMPLOYEE_MASTER!Q328</f>
        <v>4</v>
      </c>
      <c r="I328" s="100" t="str">
        <f t="shared" si="40"/>
        <v>G04-S04</v>
      </c>
      <c r="J328" s="100">
        <f>IFERROR(VLOOKUP(I328,LK_GradeStep!$C$4:$D$85,2,0),0)</f>
        <v>292</v>
      </c>
      <c r="K328" s="100">
        <f>IFERROR(VLOOKUP(I328,LK_GradeStep!$C$4:$E$85,3,0),10000)</f>
        <v>10000</v>
      </c>
      <c r="L328" s="100">
        <f t="shared" si="41"/>
        <v>2920000</v>
      </c>
      <c r="M328" s="101">
        <f>IFERROR(VLOOKUP(EMPLOYEE_MASTER!AQ328,LK_AllowanceRates!$A$5:$B$11,2,0),0)</f>
        <v>900000</v>
      </c>
      <c r="N328" s="101">
        <f ca="1">IFERROR(IF(EMPLOYEE_MASTER!J328&lt;=5,  EMPLOYEE_MASTER!J328*LK_AllowanceRates!$B$12,IF(EMPLOYEE_MASTER!J328&lt;=15, EMPLOYEE_MASTER!J328*LK_AllowanceRates!$B$13,IF(EMPLOYEE_MASTER!J328&lt;=25, EMPLOYEE_MASTER!J328*LK_AllowanceRates!$B$14,EMPLOYEE_MASTER!J328*LK_AllowanceRates!$B$15))),0)</f>
        <v>570000</v>
      </c>
      <c r="O328" s="101">
        <f>IF(EMPLOYEE_MASTER!AS328="Teaching",L328*LK_AllowanceRates!$B$16,0)</f>
        <v>0</v>
      </c>
      <c r="P328" s="101">
        <f>IF(EMPLOYEE_MASTER!AS328="Medical",LK_AllowanceRates!$B$17,0)</f>
        <v>0</v>
      </c>
      <c r="Q328" s="101">
        <f>IF(EMPLOYEE_MASTER!AR328="Yes",LK_AllowanceRates!$B$18,0)</f>
        <v>0</v>
      </c>
      <c r="R328" s="101">
        <f>IF(EMPLOYEE_MASTER!AC328="Yes",LK_AllowanceRates!$B$19,0)</f>
        <v>1000000</v>
      </c>
      <c r="S328" s="101">
        <f>IF(EMPLOYEE_MASTER!AA328="Yes",L328*LK_AllowanceRates!$B$20,0)</f>
        <v>730000</v>
      </c>
      <c r="T328" s="101">
        <f>IF(EMPLOYEE_MASTER!AB328="Yes",LK_AllowanceRates!$B$21,0)</f>
        <v>0</v>
      </c>
      <c r="U328" s="101">
        <f>IF(EMPLOYEE_MASTER!P328&gt;=6,LK_AllowanceRates!$B$22,0)</f>
        <v>0</v>
      </c>
      <c r="V328" s="101">
        <f>IF(EMPLOYEE_MASTER!AO328="Yes",LK_AllowanceRates!$B$23,0)</f>
        <v>200000</v>
      </c>
      <c r="W328" s="101">
        <f>EMPLOYEE_MASTER!AP328*LK_AllowanceRates!$B$24</f>
        <v>400000</v>
      </c>
      <c r="X328" s="101">
        <v>0</v>
      </c>
      <c r="Y328" s="102">
        <v>0</v>
      </c>
      <c r="Z328" s="102">
        <v>0</v>
      </c>
      <c r="AA328" s="102">
        <v>0</v>
      </c>
      <c r="AB328" s="103">
        <f t="shared" ca="1" si="42"/>
        <v>3800000</v>
      </c>
      <c r="AC328" s="104">
        <f t="shared" ca="1" si="43"/>
        <v>6720000</v>
      </c>
      <c r="AD328" s="105">
        <f>ROUND(L328*LK_AllowanceRates!$B$25/100,0)</f>
        <v>160600</v>
      </c>
      <c r="AE328" s="106">
        <f t="shared" ca="1" si="44"/>
        <v>6559400</v>
      </c>
      <c r="AF328" s="106">
        <f t="shared" ca="1" si="45"/>
        <v>340940</v>
      </c>
      <c r="AG328" s="107">
        <v>0</v>
      </c>
      <c r="AH328" s="107">
        <v>0</v>
      </c>
      <c r="AI328" s="108">
        <f t="shared" ca="1" si="46"/>
        <v>501540</v>
      </c>
      <c r="AJ328" s="109">
        <f t="shared" ca="1" si="47"/>
        <v>6218460</v>
      </c>
    </row>
    <row r="329" spans="1:36" ht="15" customHeight="1" x14ac:dyDescent="0.3">
      <c r="A329" s="98" t="str">
        <f>EMPLOYEE_MASTER!A329</f>
        <v>LAO00326</v>
      </c>
      <c r="B329" s="98" t="str">
        <f>EMPLOYEE_MASTER!C329</f>
        <v>Khankham</v>
      </c>
      <c r="C329" s="98" t="str">
        <f>EMPLOYEE_MASTER!D329</f>
        <v>Chanthavong</v>
      </c>
      <c r="D329" s="98" t="str">
        <f>EMPLOYEE_MASTER!T329</f>
        <v>Ministry of Health (MoH)</v>
      </c>
      <c r="E329" s="98" t="str">
        <f>EMPLOYEE_MASTER!M329</f>
        <v>Pharmacist</v>
      </c>
      <c r="F329" s="98" t="str">
        <f>EMPLOYEE_MASTER!Z329</f>
        <v>Medical</v>
      </c>
      <c r="G329" s="99">
        <f>EMPLOYEE_MASTER!P329</f>
        <v>4</v>
      </c>
      <c r="H329" s="99">
        <f>EMPLOYEE_MASTER!Q329</f>
        <v>1</v>
      </c>
      <c r="I329" s="100" t="str">
        <f t="shared" si="40"/>
        <v>G04-S01</v>
      </c>
      <c r="J329" s="100">
        <f>IFERROR(VLOOKUP(I329,LK_GradeStep!$C$4:$D$85,2,0),0)</f>
        <v>286</v>
      </c>
      <c r="K329" s="100">
        <f>IFERROR(VLOOKUP(I329,LK_GradeStep!$C$4:$E$85,3,0),10000)</f>
        <v>10000</v>
      </c>
      <c r="L329" s="100">
        <f t="shared" si="41"/>
        <v>2860000</v>
      </c>
      <c r="M329" s="101">
        <f>IFERROR(VLOOKUP(EMPLOYEE_MASTER!AQ329,LK_AllowanceRates!$A$5:$B$11,2,0),0)</f>
        <v>900000</v>
      </c>
      <c r="N329" s="101">
        <f ca="1">IFERROR(IF(EMPLOYEE_MASTER!J329&lt;=5,  EMPLOYEE_MASTER!J329*LK_AllowanceRates!$B$12,IF(EMPLOYEE_MASTER!J329&lt;=15, EMPLOYEE_MASTER!J329*LK_AllowanceRates!$B$13,IF(EMPLOYEE_MASTER!J329&lt;=25, EMPLOYEE_MASTER!J329*LK_AllowanceRates!$B$14,EMPLOYEE_MASTER!J329*LK_AllowanceRates!$B$15))),0)</f>
        <v>240000</v>
      </c>
      <c r="O329" s="101">
        <f>IF(EMPLOYEE_MASTER!AS329="Teaching",L329*LK_AllowanceRates!$B$16,0)</f>
        <v>0</v>
      </c>
      <c r="P329" s="101">
        <f>IF(EMPLOYEE_MASTER!AS329="Medical",LK_AllowanceRates!$B$17,0)</f>
        <v>500000</v>
      </c>
      <c r="Q329" s="101">
        <f>IF(EMPLOYEE_MASTER!AR329="Yes",LK_AllowanceRates!$B$18,0)</f>
        <v>0</v>
      </c>
      <c r="R329" s="101">
        <f>IF(EMPLOYEE_MASTER!AC329="Yes",LK_AllowanceRates!$B$19,0)</f>
        <v>1000000</v>
      </c>
      <c r="S329" s="101">
        <f>IF(EMPLOYEE_MASTER!AA329="Yes",L329*LK_AllowanceRates!$B$20,0)</f>
        <v>715000</v>
      </c>
      <c r="T329" s="101">
        <f>IF(EMPLOYEE_MASTER!AB329="Yes",LK_AllowanceRates!$B$21,0)</f>
        <v>0</v>
      </c>
      <c r="U329" s="101">
        <f>IF(EMPLOYEE_MASTER!P329&gt;=6,LK_AllowanceRates!$B$22,0)</f>
        <v>0</v>
      </c>
      <c r="V329" s="101">
        <f>IF(EMPLOYEE_MASTER!AO329="Yes",LK_AllowanceRates!$B$23,0)</f>
        <v>200000</v>
      </c>
      <c r="W329" s="101">
        <f>EMPLOYEE_MASTER!AP329*LK_AllowanceRates!$B$24</f>
        <v>200000</v>
      </c>
      <c r="X329" s="101">
        <v>0</v>
      </c>
      <c r="Y329" s="102">
        <v>0</v>
      </c>
      <c r="Z329" s="102">
        <v>0</v>
      </c>
      <c r="AA329" s="102">
        <v>0</v>
      </c>
      <c r="AB329" s="103">
        <f t="shared" ca="1" si="42"/>
        <v>3755000</v>
      </c>
      <c r="AC329" s="104">
        <f t="shared" ca="1" si="43"/>
        <v>6615000</v>
      </c>
      <c r="AD329" s="105">
        <f>ROUND(L329*LK_AllowanceRates!$B$25/100,0)</f>
        <v>157300</v>
      </c>
      <c r="AE329" s="106">
        <f t="shared" ca="1" si="44"/>
        <v>6457700</v>
      </c>
      <c r="AF329" s="106">
        <f t="shared" ca="1" si="45"/>
        <v>330770</v>
      </c>
      <c r="AG329" s="107">
        <v>0</v>
      </c>
      <c r="AH329" s="107">
        <v>0</v>
      </c>
      <c r="AI329" s="108">
        <f t="shared" ca="1" si="46"/>
        <v>488070</v>
      </c>
      <c r="AJ329" s="109">
        <f t="shared" ca="1" si="47"/>
        <v>6126930</v>
      </c>
    </row>
    <row r="330" spans="1:36" ht="15" customHeight="1" x14ac:dyDescent="0.3">
      <c r="A330" s="98" t="str">
        <f>EMPLOYEE_MASTER!A330</f>
        <v>LAO00327</v>
      </c>
      <c r="B330" s="98" t="str">
        <f>EMPLOYEE_MASTER!C330</f>
        <v>Santisouk</v>
      </c>
      <c r="C330" s="98" t="str">
        <f>EMPLOYEE_MASTER!D330</f>
        <v>Khounboulom</v>
      </c>
      <c r="D330" s="98" t="str">
        <f>EMPLOYEE_MASTER!T330</f>
        <v>Ministry of Foreign Affairs (MFA)</v>
      </c>
      <c r="E330" s="98" t="str">
        <f>EMPLOYEE_MASTER!M330</f>
        <v>Deputy Chief of Mission</v>
      </c>
      <c r="F330" s="98" t="str">
        <f>EMPLOYEE_MASTER!Z330</f>
        <v>Diplomatic</v>
      </c>
      <c r="G330" s="99">
        <f>EMPLOYEE_MASTER!P330</f>
        <v>4</v>
      </c>
      <c r="H330" s="99">
        <f>EMPLOYEE_MASTER!Q330</f>
        <v>1</v>
      </c>
      <c r="I330" s="100" t="str">
        <f t="shared" si="40"/>
        <v>G04-S01</v>
      </c>
      <c r="J330" s="100">
        <f>IFERROR(VLOOKUP(I330,LK_GradeStep!$C$4:$D$85,2,0),0)</f>
        <v>286</v>
      </c>
      <c r="K330" s="100">
        <f>IFERROR(VLOOKUP(I330,LK_GradeStep!$C$4:$E$85,3,0),10000)</f>
        <v>10000</v>
      </c>
      <c r="L330" s="100">
        <f t="shared" si="41"/>
        <v>2860000</v>
      </c>
      <c r="M330" s="101">
        <f>IFERROR(VLOOKUP(EMPLOYEE_MASTER!AQ330,LK_AllowanceRates!$A$5:$B$11,2,0),0)</f>
        <v>900000</v>
      </c>
      <c r="N330" s="101">
        <f ca="1">IFERROR(IF(EMPLOYEE_MASTER!J330&lt;=5,  EMPLOYEE_MASTER!J330*LK_AllowanceRates!$B$12,IF(EMPLOYEE_MASTER!J330&lt;=15, EMPLOYEE_MASTER!J330*LK_AllowanceRates!$B$13,IF(EMPLOYEE_MASTER!J330&lt;=25, EMPLOYEE_MASTER!J330*LK_AllowanceRates!$B$14,EMPLOYEE_MASTER!J330*LK_AllowanceRates!$B$15))),0)</f>
        <v>1200000</v>
      </c>
      <c r="O330" s="101">
        <f>IF(EMPLOYEE_MASTER!AS330="Teaching",L330*LK_AllowanceRates!$B$16,0)</f>
        <v>0</v>
      </c>
      <c r="P330" s="101">
        <f>IF(EMPLOYEE_MASTER!AS330="Medical",LK_AllowanceRates!$B$17,0)</f>
        <v>0</v>
      </c>
      <c r="Q330" s="101">
        <f>IF(EMPLOYEE_MASTER!AR330="Yes",LK_AllowanceRates!$B$18,0)</f>
        <v>0</v>
      </c>
      <c r="R330" s="101">
        <f>IF(EMPLOYEE_MASTER!AC330="Yes",LK_AllowanceRates!$B$19,0)</f>
        <v>0</v>
      </c>
      <c r="S330" s="101">
        <f>IF(EMPLOYEE_MASTER!AA330="Yes",L330*LK_AllowanceRates!$B$20,0)</f>
        <v>0</v>
      </c>
      <c r="T330" s="101">
        <f>IF(EMPLOYEE_MASTER!AB330="Yes",LK_AllowanceRates!$B$21,0)</f>
        <v>20240000</v>
      </c>
      <c r="U330" s="101">
        <f>IF(EMPLOYEE_MASTER!P330&gt;=6,LK_AllowanceRates!$B$22,0)</f>
        <v>0</v>
      </c>
      <c r="V330" s="101">
        <f>IF(EMPLOYEE_MASTER!AO330="Yes",LK_AllowanceRates!$B$23,0)</f>
        <v>200000</v>
      </c>
      <c r="W330" s="101">
        <f>EMPLOYEE_MASTER!AP330*LK_AllowanceRates!$B$24</f>
        <v>0</v>
      </c>
      <c r="X330" s="101">
        <v>0</v>
      </c>
      <c r="Y330" s="102">
        <v>0</v>
      </c>
      <c r="Z330" s="102">
        <v>0</v>
      </c>
      <c r="AA330" s="102">
        <v>0</v>
      </c>
      <c r="AB330" s="103">
        <f t="shared" ca="1" si="42"/>
        <v>22540000</v>
      </c>
      <c r="AC330" s="104">
        <f t="shared" ca="1" si="43"/>
        <v>25400000</v>
      </c>
      <c r="AD330" s="105">
        <f>ROUND(L330*LK_AllowanceRates!$B$25/100,0)</f>
        <v>157300</v>
      </c>
      <c r="AE330" s="106">
        <f t="shared" ca="1" si="44"/>
        <v>25242700</v>
      </c>
      <c r="AF330" s="106">
        <f t="shared" ca="1" si="45"/>
        <v>3233540</v>
      </c>
      <c r="AG330" s="107">
        <v>0</v>
      </c>
      <c r="AH330" s="107">
        <v>0</v>
      </c>
      <c r="AI330" s="108">
        <f t="shared" ca="1" si="46"/>
        <v>3390840</v>
      </c>
      <c r="AJ330" s="109">
        <f t="shared" ca="1" si="47"/>
        <v>22009160</v>
      </c>
    </row>
    <row r="331" spans="1:36" ht="15" customHeight="1" x14ac:dyDescent="0.3">
      <c r="A331" s="98" t="str">
        <f>EMPLOYEE_MASTER!A331</f>
        <v>LAO00328</v>
      </c>
      <c r="B331" s="98" t="str">
        <f>EMPLOYEE_MASTER!C331</f>
        <v>Chanthida</v>
      </c>
      <c r="C331" s="98" t="str">
        <f>EMPLOYEE_MASTER!D331</f>
        <v>Phommachack</v>
      </c>
      <c r="D331" s="98" t="str">
        <f>EMPLOYEE_MASTER!T331</f>
        <v>Champasak Province Administration</v>
      </c>
      <c r="E331" s="98" t="str">
        <f>EMPLOYEE_MASTER!M331</f>
        <v>Senior Officer</v>
      </c>
      <c r="F331" s="98" t="str">
        <f>EMPLOYEE_MASTER!Z331</f>
        <v>Administration</v>
      </c>
      <c r="G331" s="99">
        <f>EMPLOYEE_MASTER!P331</f>
        <v>5</v>
      </c>
      <c r="H331" s="99">
        <f>EMPLOYEE_MASTER!Q331</f>
        <v>1</v>
      </c>
      <c r="I331" s="100" t="str">
        <f t="shared" si="40"/>
        <v>G05-S01</v>
      </c>
      <c r="J331" s="100">
        <f>IFERROR(VLOOKUP(I331,LK_GradeStep!$C$4:$D$85,2,0),0)</f>
        <v>308</v>
      </c>
      <c r="K331" s="100">
        <f>IFERROR(VLOOKUP(I331,LK_GradeStep!$C$4:$E$85,3,0),10000)</f>
        <v>10000</v>
      </c>
      <c r="L331" s="100">
        <f t="shared" si="41"/>
        <v>3080000</v>
      </c>
      <c r="M331" s="101">
        <f>IFERROR(VLOOKUP(EMPLOYEE_MASTER!AQ331,LK_AllowanceRates!$A$5:$B$11,2,0),0)</f>
        <v>900000</v>
      </c>
      <c r="N331" s="101">
        <f ca="1">IFERROR(IF(EMPLOYEE_MASTER!J331&lt;=5,  EMPLOYEE_MASTER!J331*LK_AllowanceRates!$B$12,IF(EMPLOYEE_MASTER!J331&lt;=15, EMPLOYEE_MASTER!J331*LK_AllowanceRates!$B$13,IF(EMPLOYEE_MASTER!J331&lt;=25, EMPLOYEE_MASTER!J331*LK_AllowanceRates!$B$14,EMPLOYEE_MASTER!J331*LK_AllowanceRates!$B$15))),0)</f>
        <v>660000</v>
      </c>
      <c r="O331" s="101">
        <f>IF(EMPLOYEE_MASTER!AS331="Teaching",L331*LK_AllowanceRates!$B$16,0)</f>
        <v>0</v>
      </c>
      <c r="P331" s="101">
        <f>IF(EMPLOYEE_MASTER!AS331="Medical",LK_AllowanceRates!$B$17,0)</f>
        <v>0</v>
      </c>
      <c r="Q331" s="101">
        <f>IF(EMPLOYEE_MASTER!AR331="Yes",LK_AllowanceRates!$B$18,0)</f>
        <v>0</v>
      </c>
      <c r="R331" s="101">
        <f>IF(EMPLOYEE_MASTER!AC331="Yes",LK_AllowanceRates!$B$19,0)</f>
        <v>1000000</v>
      </c>
      <c r="S331" s="101">
        <f>IF(EMPLOYEE_MASTER!AA331="Yes",L331*LK_AllowanceRates!$B$20,0)</f>
        <v>0</v>
      </c>
      <c r="T331" s="101">
        <f>IF(EMPLOYEE_MASTER!AB331="Yes",LK_AllowanceRates!$B$21,0)</f>
        <v>0</v>
      </c>
      <c r="U331" s="101">
        <f>IF(EMPLOYEE_MASTER!P331&gt;=6,LK_AllowanceRates!$B$22,0)</f>
        <v>0</v>
      </c>
      <c r="V331" s="101">
        <f>IF(EMPLOYEE_MASTER!AO331="Yes",LK_AllowanceRates!$B$23,0)</f>
        <v>200000</v>
      </c>
      <c r="W331" s="101">
        <f>EMPLOYEE_MASTER!AP331*LK_AllowanceRates!$B$24</f>
        <v>600000</v>
      </c>
      <c r="X331" s="101">
        <v>0</v>
      </c>
      <c r="Y331" s="102">
        <v>0</v>
      </c>
      <c r="Z331" s="102">
        <v>0</v>
      </c>
      <c r="AA331" s="102">
        <v>0</v>
      </c>
      <c r="AB331" s="103">
        <f t="shared" ca="1" si="42"/>
        <v>3360000</v>
      </c>
      <c r="AC331" s="104">
        <f t="shared" ca="1" si="43"/>
        <v>6440000</v>
      </c>
      <c r="AD331" s="105">
        <f>ROUND(L331*LK_AllowanceRates!$B$25/100,0)</f>
        <v>169400</v>
      </c>
      <c r="AE331" s="106">
        <f t="shared" ca="1" si="44"/>
        <v>6270600</v>
      </c>
      <c r="AF331" s="106">
        <f t="shared" ca="1" si="45"/>
        <v>312060</v>
      </c>
      <c r="AG331" s="107">
        <v>0</v>
      </c>
      <c r="AH331" s="107">
        <v>0</v>
      </c>
      <c r="AI331" s="108">
        <f t="shared" ca="1" si="46"/>
        <v>481460</v>
      </c>
      <c r="AJ331" s="109">
        <f t="shared" ca="1" si="47"/>
        <v>5958540</v>
      </c>
    </row>
    <row r="332" spans="1:36" ht="15" customHeight="1" x14ac:dyDescent="0.3">
      <c r="A332" s="98" t="str">
        <f>EMPLOYEE_MASTER!A332</f>
        <v>LAO00329</v>
      </c>
      <c r="B332" s="98" t="str">
        <f>EMPLOYEE_MASTER!C332</f>
        <v>Khamphay</v>
      </c>
      <c r="C332" s="98" t="str">
        <f>EMPLOYEE_MASTER!D332</f>
        <v>Phetsamone</v>
      </c>
      <c r="D332" s="98" t="str">
        <f>EMPLOYEE_MASTER!T332</f>
        <v>Khammuane Province Administration</v>
      </c>
      <c r="E332" s="98" t="str">
        <f>EMPLOYEE_MASTER!M332</f>
        <v>Section Chief</v>
      </c>
      <c r="F332" s="98" t="str">
        <f>EMPLOYEE_MASTER!Z332</f>
        <v>Administration</v>
      </c>
      <c r="G332" s="99">
        <f>EMPLOYEE_MASTER!P332</f>
        <v>4</v>
      </c>
      <c r="H332" s="99">
        <f>EMPLOYEE_MASTER!Q332</f>
        <v>1</v>
      </c>
      <c r="I332" s="100" t="str">
        <f t="shared" si="40"/>
        <v>G04-S01</v>
      </c>
      <c r="J332" s="100">
        <f>IFERROR(VLOOKUP(I332,LK_GradeStep!$C$4:$D$85,2,0),0)</f>
        <v>286</v>
      </c>
      <c r="K332" s="100">
        <f>IFERROR(VLOOKUP(I332,LK_GradeStep!$C$4:$E$85,3,0),10000)</f>
        <v>10000</v>
      </c>
      <c r="L332" s="100">
        <f t="shared" si="41"/>
        <v>2860000</v>
      </c>
      <c r="M332" s="101">
        <f>IFERROR(VLOOKUP(EMPLOYEE_MASTER!AQ332,LK_AllowanceRates!$A$5:$B$11,2,0),0)</f>
        <v>1500000</v>
      </c>
      <c r="N332" s="101">
        <f ca="1">IFERROR(IF(EMPLOYEE_MASTER!J332&lt;=5,  EMPLOYEE_MASTER!J332*LK_AllowanceRates!$B$12,IF(EMPLOYEE_MASTER!J332&lt;=15, EMPLOYEE_MASTER!J332*LK_AllowanceRates!$B$13,IF(EMPLOYEE_MASTER!J332&lt;=25, EMPLOYEE_MASTER!J332*LK_AllowanceRates!$B$14,EMPLOYEE_MASTER!J332*LK_AllowanceRates!$B$15))),0)</f>
        <v>1120000</v>
      </c>
      <c r="O332" s="101">
        <f>IF(EMPLOYEE_MASTER!AS332="Teaching",L332*LK_AllowanceRates!$B$16,0)</f>
        <v>0</v>
      </c>
      <c r="P332" s="101">
        <f>IF(EMPLOYEE_MASTER!AS332="Medical",LK_AllowanceRates!$B$17,0)</f>
        <v>0</v>
      </c>
      <c r="Q332" s="101">
        <f>IF(EMPLOYEE_MASTER!AR332="Yes",LK_AllowanceRates!$B$18,0)</f>
        <v>0</v>
      </c>
      <c r="R332" s="101">
        <f>IF(EMPLOYEE_MASTER!AC332="Yes",LK_AllowanceRates!$B$19,0)</f>
        <v>0</v>
      </c>
      <c r="S332" s="101">
        <f>IF(EMPLOYEE_MASTER!AA332="Yes",L332*LK_AllowanceRates!$B$20,0)</f>
        <v>715000</v>
      </c>
      <c r="T332" s="101">
        <f>IF(EMPLOYEE_MASTER!AB332="Yes",LK_AllowanceRates!$B$21,0)</f>
        <v>0</v>
      </c>
      <c r="U332" s="101">
        <f>IF(EMPLOYEE_MASTER!P332&gt;=6,LK_AllowanceRates!$B$22,0)</f>
        <v>0</v>
      </c>
      <c r="V332" s="101">
        <f>IF(EMPLOYEE_MASTER!AO332="Yes",LK_AllowanceRates!$B$23,0)</f>
        <v>0</v>
      </c>
      <c r="W332" s="101">
        <f>EMPLOYEE_MASTER!AP332*LK_AllowanceRates!$B$24</f>
        <v>0</v>
      </c>
      <c r="X332" s="101">
        <v>0</v>
      </c>
      <c r="Y332" s="102">
        <v>0</v>
      </c>
      <c r="Z332" s="102">
        <v>0</v>
      </c>
      <c r="AA332" s="102">
        <v>0</v>
      </c>
      <c r="AB332" s="103">
        <f t="shared" ca="1" si="42"/>
        <v>3335000</v>
      </c>
      <c r="AC332" s="104">
        <f t="shared" ca="1" si="43"/>
        <v>6195000</v>
      </c>
      <c r="AD332" s="105">
        <f>ROUND(L332*LK_AllowanceRates!$B$25/100,0)</f>
        <v>157300</v>
      </c>
      <c r="AE332" s="106">
        <f t="shared" ca="1" si="44"/>
        <v>6037700</v>
      </c>
      <c r="AF332" s="106">
        <f t="shared" ca="1" si="45"/>
        <v>288770</v>
      </c>
      <c r="AG332" s="107">
        <v>0</v>
      </c>
      <c r="AH332" s="107">
        <v>0</v>
      </c>
      <c r="AI332" s="108">
        <f t="shared" ca="1" si="46"/>
        <v>446070</v>
      </c>
      <c r="AJ332" s="109">
        <f t="shared" ca="1" si="47"/>
        <v>5748930</v>
      </c>
    </row>
    <row r="333" spans="1:36" ht="15" customHeight="1" x14ac:dyDescent="0.3">
      <c r="A333" s="98" t="str">
        <f>EMPLOYEE_MASTER!A333</f>
        <v>LAO00330</v>
      </c>
      <c r="B333" s="98" t="str">
        <f>EMPLOYEE_MASTER!C333</f>
        <v>Dalavanh</v>
      </c>
      <c r="C333" s="98" t="str">
        <f>EMPLOYEE_MASTER!D333</f>
        <v>Vilayphitak</v>
      </c>
      <c r="D333" s="98" t="str">
        <f>EMPLOYEE_MASTER!T333</f>
        <v>Luang Prabang Province Administration</v>
      </c>
      <c r="E333" s="98" t="str">
        <f>EMPLOYEE_MASTER!M333</f>
        <v>Clerk</v>
      </c>
      <c r="F333" s="98" t="str">
        <f>EMPLOYEE_MASTER!Z333</f>
        <v>Administration</v>
      </c>
      <c r="G333" s="99">
        <f>EMPLOYEE_MASTER!P333</f>
        <v>3</v>
      </c>
      <c r="H333" s="99">
        <f>EMPLOYEE_MASTER!Q333</f>
        <v>1</v>
      </c>
      <c r="I333" s="100" t="str">
        <f t="shared" si="40"/>
        <v>G03-S01</v>
      </c>
      <c r="J333" s="100">
        <f>IFERROR(VLOOKUP(I333,LK_GradeStep!$C$4:$D$85,2,0),0)</f>
        <v>276</v>
      </c>
      <c r="K333" s="100">
        <f>IFERROR(VLOOKUP(I333,LK_GradeStep!$C$4:$E$85,3,0),10000)</f>
        <v>10000</v>
      </c>
      <c r="L333" s="100">
        <f t="shared" si="41"/>
        <v>2760000</v>
      </c>
      <c r="M333" s="101">
        <f>IFERROR(VLOOKUP(EMPLOYEE_MASTER!AQ333,LK_AllowanceRates!$A$5:$B$11,2,0),0)</f>
        <v>900000</v>
      </c>
      <c r="N333" s="101">
        <f ca="1">IFERROR(IF(EMPLOYEE_MASTER!J333&lt;=5,  EMPLOYEE_MASTER!J333*LK_AllowanceRates!$B$12,IF(EMPLOYEE_MASTER!J333&lt;=15, EMPLOYEE_MASTER!J333*LK_AllowanceRates!$B$13,IF(EMPLOYEE_MASTER!J333&lt;=25, EMPLOYEE_MASTER!J333*LK_AllowanceRates!$B$14,EMPLOYEE_MASTER!J333*LK_AllowanceRates!$B$15))),0)</f>
        <v>1160000</v>
      </c>
      <c r="O333" s="101">
        <f>IF(EMPLOYEE_MASTER!AS333="Teaching",L333*LK_AllowanceRates!$B$16,0)</f>
        <v>0</v>
      </c>
      <c r="P333" s="101">
        <f>IF(EMPLOYEE_MASTER!AS333="Medical",LK_AllowanceRates!$B$17,0)</f>
        <v>0</v>
      </c>
      <c r="Q333" s="101">
        <f>IF(EMPLOYEE_MASTER!AR333="Yes",LK_AllowanceRates!$B$18,0)</f>
        <v>0</v>
      </c>
      <c r="R333" s="101">
        <f>IF(EMPLOYEE_MASTER!AC333="Yes",LK_AllowanceRates!$B$19,0)</f>
        <v>1000000</v>
      </c>
      <c r="S333" s="101">
        <f>IF(EMPLOYEE_MASTER!AA333="Yes",L333*LK_AllowanceRates!$B$20,0)</f>
        <v>690000</v>
      </c>
      <c r="T333" s="101">
        <f>IF(EMPLOYEE_MASTER!AB333="Yes",LK_AllowanceRates!$B$21,0)</f>
        <v>0</v>
      </c>
      <c r="U333" s="101">
        <f>IF(EMPLOYEE_MASTER!P333&gt;=6,LK_AllowanceRates!$B$22,0)</f>
        <v>0</v>
      </c>
      <c r="V333" s="101">
        <f>IF(EMPLOYEE_MASTER!AO333="Yes",LK_AllowanceRates!$B$23,0)</f>
        <v>0</v>
      </c>
      <c r="W333" s="101">
        <f>EMPLOYEE_MASTER!AP333*LK_AllowanceRates!$B$24</f>
        <v>0</v>
      </c>
      <c r="X333" s="101">
        <v>0</v>
      </c>
      <c r="Y333" s="102">
        <v>0</v>
      </c>
      <c r="Z333" s="102">
        <v>0</v>
      </c>
      <c r="AA333" s="102">
        <v>0</v>
      </c>
      <c r="AB333" s="103">
        <f t="shared" ca="1" si="42"/>
        <v>3750000</v>
      </c>
      <c r="AC333" s="104">
        <f t="shared" ca="1" si="43"/>
        <v>6510000</v>
      </c>
      <c r="AD333" s="105">
        <f>ROUND(L333*LK_AllowanceRates!$B$25/100,0)</f>
        <v>151800</v>
      </c>
      <c r="AE333" s="106">
        <f t="shared" ca="1" si="44"/>
        <v>6358200</v>
      </c>
      <c r="AF333" s="106">
        <f t="shared" ca="1" si="45"/>
        <v>320820</v>
      </c>
      <c r="AG333" s="107">
        <v>0</v>
      </c>
      <c r="AH333" s="107">
        <v>0</v>
      </c>
      <c r="AI333" s="108">
        <f t="shared" ca="1" si="46"/>
        <v>472620</v>
      </c>
      <c r="AJ333" s="109">
        <f t="shared" ca="1" si="47"/>
        <v>6037380</v>
      </c>
    </row>
    <row r="334" spans="1:36" ht="15" customHeight="1" x14ac:dyDescent="0.3">
      <c r="A334" s="98" t="str">
        <f>EMPLOYEE_MASTER!A334</f>
        <v>LAO00331</v>
      </c>
      <c r="B334" s="98" t="str">
        <f>EMPLOYEE_MASTER!C334</f>
        <v>Phommachanh</v>
      </c>
      <c r="C334" s="98" t="str">
        <f>EMPLOYEE_MASTER!D334</f>
        <v>Khambounheuang</v>
      </c>
      <c r="D334" s="98" t="str">
        <f>EMPLOYEE_MASTER!T334</f>
        <v>Ministry of Industry &amp; Commerce (MoIC)</v>
      </c>
      <c r="E334" s="98" t="str">
        <f>EMPLOYEE_MASTER!M334</f>
        <v>Senior Administrative Officer</v>
      </c>
      <c r="F334" s="98" t="str">
        <f>EMPLOYEE_MASTER!Z334</f>
        <v>Administration</v>
      </c>
      <c r="G334" s="99">
        <f>EMPLOYEE_MASTER!P334</f>
        <v>5</v>
      </c>
      <c r="H334" s="99">
        <f>EMPLOYEE_MASTER!Q334</f>
        <v>1</v>
      </c>
      <c r="I334" s="100" t="str">
        <f t="shared" si="40"/>
        <v>G05-S01</v>
      </c>
      <c r="J334" s="100">
        <f>IFERROR(VLOOKUP(I334,LK_GradeStep!$C$4:$D$85,2,0),0)</f>
        <v>308</v>
      </c>
      <c r="K334" s="100">
        <f>IFERROR(VLOOKUP(I334,LK_GradeStep!$C$4:$E$85,3,0),10000)</f>
        <v>10000</v>
      </c>
      <c r="L334" s="100">
        <f t="shared" si="41"/>
        <v>3080000</v>
      </c>
      <c r="M334" s="101">
        <f>IFERROR(VLOOKUP(EMPLOYEE_MASTER!AQ334,LK_AllowanceRates!$A$5:$B$11,2,0),0)</f>
        <v>900000</v>
      </c>
      <c r="N334" s="101">
        <f ca="1">IFERROR(IF(EMPLOYEE_MASTER!J334&lt;=5,  EMPLOYEE_MASTER!J334*LK_AllowanceRates!$B$12,IF(EMPLOYEE_MASTER!J334&lt;=15, EMPLOYEE_MASTER!J334*LK_AllowanceRates!$B$13,IF(EMPLOYEE_MASTER!J334&lt;=25, EMPLOYEE_MASTER!J334*LK_AllowanceRates!$B$14,EMPLOYEE_MASTER!J334*LK_AllowanceRates!$B$15))),0)</f>
        <v>1440000</v>
      </c>
      <c r="O334" s="101">
        <f>IF(EMPLOYEE_MASTER!AS334="Teaching",L334*LK_AllowanceRates!$B$16,0)</f>
        <v>0</v>
      </c>
      <c r="P334" s="101">
        <f>IF(EMPLOYEE_MASTER!AS334="Medical",LK_AllowanceRates!$B$17,0)</f>
        <v>0</v>
      </c>
      <c r="Q334" s="101">
        <f>IF(EMPLOYEE_MASTER!AR334="Yes",LK_AllowanceRates!$B$18,0)</f>
        <v>0</v>
      </c>
      <c r="R334" s="101">
        <f>IF(EMPLOYEE_MASTER!AC334="Yes",LK_AllowanceRates!$B$19,0)</f>
        <v>1000000</v>
      </c>
      <c r="S334" s="101">
        <f>IF(EMPLOYEE_MASTER!AA334="Yes",L334*LK_AllowanceRates!$B$20,0)</f>
        <v>0</v>
      </c>
      <c r="T334" s="101">
        <f>IF(EMPLOYEE_MASTER!AB334="Yes",LK_AllowanceRates!$B$21,0)</f>
        <v>0</v>
      </c>
      <c r="U334" s="101">
        <f>IF(EMPLOYEE_MASTER!P334&gt;=6,LK_AllowanceRates!$B$22,0)</f>
        <v>0</v>
      </c>
      <c r="V334" s="101">
        <f>IF(EMPLOYEE_MASTER!AO334="Yes",LK_AllowanceRates!$B$23,0)</f>
        <v>200000</v>
      </c>
      <c r="W334" s="101">
        <f>EMPLOYEE_MASTER!AP334*LK_AllowanceRates!$B$24</f>
        <v>400000</v>
      </c>
      <c r="X334" s="101">
        <v>0</v>
      </c>
      <c r="Y334" s="102">
        <v>0</v>
      </c>
      <c r="Z334" s="102">
        <v>0</v>
      </c>
      <c r="AA334" s="102">
        <v>0</v>
      </c>
      <c r="AB334" s="103">
        <f t="shared" ca="1" si="42"/>
        <v>3940000</v>
      </c>
      <c r="AC334" s="104">
        <f t="shared" ca="1" si="43"/>
        <v>7020000</v>
      </c>
      <c r="AD334" s="105">
        <f>ROUND(L334*LK_AllowanceRates!$B$25/100,0)</f>
        <v>169400</v>
      </c>
      <c r="AE334" s="106">
        <f t="shared" ca="1" si="44"/>
        <v>6850600</v>
      </c>
      <c r="AF334" s="106">
        <f t="shared" ca="1" si="45"/>
        <v>370060</v>
      </c>
      <c r="AG334" s="107">
        <v>0</v>
      </c>
      <c r="AH334" s="107">
        <v>0</v>
      </c>
      <c r="AI334" s="108">
        <f t="shared" ca="1" si="46"/>
        <v>539460</v>
      </c>
      <c r="AJ334" s="109">
        <f t="shared" ca="1" si="47"/>
        <v>6480540</v>
      </c>
    </row>
    <row r="335" spans="1:36" ht="15" customHeight="1" x14ac:dyDescent="0.3">
      <c r="A335" s="98" t="str">
        <f>EMPLOYEE_MASTER!A335</f>
        <v>LAO00332</v>
      </c>
      <c r="B335" s="98" t="str">
        <f>EMPLOYEE_MASTER!C335</f>
        <v>Bounthong</v>
      </c>
      <c r="C335" s="98" t="str">
        <f>EMPLOYEE_MASTER!D335</f>
        <v>Manodham</v>
      </c>
      <c r="D335" s="98" t="str">
        <f>EMPLOYEE_MASTER!T335</f>
        <v>Vientiane Capital Administration</v>
      </c>
      <c r="E335" s="98" t="str">
        <f>EMPLOYEE_MASTER!M335</f>
        <v>Division Chief</v>
      </c>
      <c r="F335" s="98" t="str">
        <f>EMPLOYEE_MASTER!Z335</f>
        <v>Administration</v>
      </c>
      <c r="G335" s="99">
        <f>EMPLOYEE_MASTER!P335</f>
        <v>4</v>
      </c>
      <c r="H335" s="99">
        <f>EMPLOYEE_MASTER!Q335</f>
        <v>13</v>
      </c>
      <c r="I335" s="100" t="str">
        <f t="shared" si="40"/>
        <v>G04-S13</v>
      </c>
      <c r="J335" s="100">
        <f>IFERROR(VLOOKUP(I335,LK_GradeStep!$C$4:$D$85,2,0),0)</f>
        <v>328</v>
      </c>
      <c r="K335" s="100">
        <f>IFERROR(VLOOKUP(I335,LK_GradeStep!$C$4:$E$85,3,0),10000)</f>
        <v>10000</v>
      </c>
      <c r="L335" s="100">
        <f t="shared" si="41"/>
        <v>3280000</v>
      </c>
      <c r="M335" s="101">
        <f>IFERROR(VLOOKUP(EMPLOYEE_MASTER!AQ335,LK_AllowanceRates!$A$5:$B$11,2,0),0)</f>
        <v>1900000</v>
      </c>
      <c r="N335" s="101">
        <f ca="1">IFERROR(IF(EMPLOYEE_MASTER!J335&lt;=5,  EMPLOYEE_MASTER!J335*LK_AllowanceRates!$B$12,IF(EMPLOYEE_MASTER!J335&lt;=15, EMPLOYEE_MASTER!J335*LK_AllowanceRates!$B$13,IF(EMPLOYEE_MASTER!J335&lt;=25, EMPLOYEE_MASTER!J335*LK_AllowanceRates!$B$14,EMPLOYEE_MASTER!J335*LK_AllowanceRates!$B$15))),0)</f>
        <v>240000</v>
      </c>
      <c r="O335" s="101">
        <f>IF(EMPLOYEE_MASTER!AS335="Teaching",L335*LK_AllowanceRates!$B$16,0)</f>
        <v>0</v>
      </c>
      <c r="P335" s="101">
        <f>IF(EMPLOYEE_MASTER!AS335="Medical",LK_AllowanceRates!$B$17,0)</f>
        <v>0</v>
      </c>
      <c r="Q335" s="101">
        <f>IF(EMPLOYEE_MASTER!AR335="Yes",LK_AllowanceRates!$B$18,0)</f>
        <v>0</v>
      </c>
      <c r="R335" s="101">
        <f>IF(EMPLOYEE_MASTER!AC335="Yes",LK_AllowanceRates!$B$19,0)</f>
        <v>0</v>
      </c>
      <c r="S335" s="101">
        <f>IF(EMPLOYEE_MASTER!AA335="Yes",L335*LK_AllowanceRates!$B$20,0)</f>
        <v>0</v>
      </c>
      <c r="T335" s="101">
        <f>IF(EMPLOYEE_MASTER!AB335="Yes",LK_AllowanceRates!$B$21,0)</f>
        <v>0</v>
      </c>
      <c r="U335" s="101">
        <f>IF(EMPLOYEE_MASTER!P335&gt;=6,LK_AllowanceRates!$B$22,0)</f>
        <v>0</v>
      </c>
      <c r="V335" s="101">
        <f>IF(EMPLOYEE_MASTER!AO335="Yes",LK_AllowanceRates!$B$23,0)</f>
        <v>200000</v>
      </c>
      <c r="W335" s="101">
        <f>EMPLOYEE_MASTER!AP335*LK_AllowanceRates!$B$24</f>
        <v>600000</v>
      </c>
      <c r="X335" s="101">
        <v>0</v>
      </c>
      <c r="Y335" s="102">
        <v>0</v>
      </c>
      <c r="Z335" s="102">
        <v>0</v>
      </c>
      <c r="AA335" s="102">
        <v>0</v>
      </c>
      <c r="AB335" s="103">
        <f t="shared" ca="1" si="42"/>
        <v>2940000</v>
      </c>
      <c r="AC335" s="104">
        <f t="shared" ca="1" si="43"/>
        <v>6220000</v>
      </c>
      <c r="AD335" s="105">
        <f>ROUND(L335*LK_AllowanceRates!$B$25/100,0)</f>
        <v>180400</v>
      </c>
      <c r="AE335" s="106">
        <f t="shared" ca="1" si="44"/>
        <v>6039600</v>
      </c>
      <c r="AF335" s="106">
        <f t="shared" ca="1" si="45"/>
        <v>288960</v>
      </c>
      <c r="AG335" s="107">
        <v>0</v>
      </c>
      <c r="AH335" s="107">
        <v>0</v>
      </c>
      <c r="AI335" s="108">
        <f t="shared" ca="1" si="46"/>
        <v>469360</v>
      </c>
      <c r="AJ335" s="109">
        <f t="shared" ca="1" si="47"/>
        <v>5750640</v>
      </c>
    </row>
    <row r="336" spans="1:36" ht="15" customHeight="1" x14ac:dyDescent="0.3">
      <c r="A336" s="98" t="str">
        <f>EMPLOYEE_MASTER!A336</f>
        <v>LAO00333</v>
      </c>
      <c r="B336" s="98" t="str">
        <f>EMPLOYEE_MASTER!C336</f>
        <v>Xayavong</v>
      </c>
      <c r="C336" s="98" t="str">
        <f>EMPLOYEE_MASTER!D336</f>
        <v>Phaymany</v>
      </c>
      <c r="D336" s="98" t="str">
        <f>EMPLOYEE_MASTER!T336</f>
        <v>Champasak Province Administration</v>
      </c>
      <c r="E336" s="98" t="str">
        <f>EMPLOYEE_MASTER!M336</f>
        <v>Deputy Department Director</v>
      </c>
      <c r="F336" s="98" t="str">
        <f>EMPLOYEE_MASTER!Z336</f>
        <v>Administration</v>
      </c>
      <c r="G336" s="99">
        <f>EMPLOYEE_MASTER!P336</f>
        <v>5</v>
      </c>
      <c r="H336" s="99">
        <f>EMPLOYEE_MASTER!Q336</f>
        <v>1</v>
      </c>
      <c r="I336" s="100" t="str">
        <f t="shared" si="40"/>
        <v>G05-S01</v>
      </c>
      <c r="J336" s="100">
        <f>IFERROR(VLOOKUP(I336,LK_GradeStep!$C$4:$D$85,2,0),0)</f>
        <v>308</v>
      </c>
      <c r="K336" s="100">
        <f>IFERROR(VLOOKUP(I336,LK_GradeStep!$C$4:$E$85,3,0),10000)</f>
        <v>10000</v>
      </c>
      <c r="L336" s="100">
        <f t="shared" si="41"/>
        <v>3080000</v>
      </c>
      <c r="M336" s="101">
        <f>IFERROR(VLOOKUP(EMPLOYEE_MASTER!AQ336,LK_AllowanceRates!$A$5:$B$11,2,0),0)</f>
        <v>900000</v>
      </c>
      <c r="N336" s="101">
        <f ca="1">IFERROR(IF(EMPLOYEE_MASTER!J336&lt;=5,  EMPLOYEE_MASTER!J336*LK_AllowanceRates!$B$12,IF(EMPLOYEE_MASTER!J336&lt;=15, EMPLOYEE_MASTER!J336*LK_AllowanceRates!$B$13,IF(EMPLOYEE_MASTER!J336&lt;=25, EMPLOYEE_MASTER!J336*LK_AllowanceRates!$B$14,EMPLOYEE_MASTER!J336*LK_AllowanceRates!$B$15))),0)</f>
        <v>1280000</v>
      </c>
      <c r="O336" s="101">
        <f>IF(EMPLOYEE_MASTER!AS336="Teaching",L336*LK_AllowanceRates!$B$16,0)</f>
        <v>0</v>
      </c>
      <c r="P336" s="101">
        <f>IF(EMPLOYEE_MASTER!AS336="Medical",LK_AllowanceRates!$B$17,0)</f>
        <v>0</v>
      </c>
      <c r="Q336" s="101">
        <f>IF(EMPLOYEE_MASTER!AR336="Yes",LK_AllowanceRates!$B$18,0)</f>
        <v>0</v>
      </c>
      <c r="R336" s="101">
        <f>IF(EMPLOYEE_MASTER!AC336="Yes",LK_AllowanceRates!$B$19,0)</f>
        <v>0</v>
      </c>
      <c r="S336" s="101">
        <f>IF(EMPLOYEE_MASTER!AA336="Yes",L336*LK_AllowanceRates!$B$20,0)</f>
        <v>0</v>
      </c>
      <c r="T336" s="101">
        <f>IF(EMPLOYEE_MASTER!AB336="Yes",LK_AllowanceRates!$B$21,0)</f>
        <v>0</v>
      </c>
      <c r="U336" s="101">
        <f>IF(EMPLOYEE_MASTER!P336&gt;=6,LK_AllowanceRates!$B$22,0)</f>
        <v>0</v>
      </c>
      <c r="V336" s="101">
        <f>IF(EMPLOYEE_MASTER!AO336="Yes",LK_AllowanceRates!$B$23,0)</f>
        <v>0</v>
      </c>
      <c r="W336" s="101">
        <f>EMPLOYEE_MASTER!AP336*LK_AllowanceRates!$B$24</f>
        <v>0</v>
      </c>
      <c r="X336" s="101">
        <v>0</v>
      </c>
      <c r="Y336" s="102">
        <v>0</v>
      </c>
      <c r="Z336" s="102">
        <v>0</v>
      </c>
      <c r="AA336" s="102">
        <v>0</v>
      </c>
      <c r="AB336" s="103">
        <f t="shared" ca="1" si="42"/>
        <v>2180000</v>
      </c>
      <c r="AC336" s="104">
        <f t="shared" ca="1" si="43"/>
        <v>5260000</v>
      </c>
      <c r="AD336" s="105">
        <f>ROUND(L336*LK_AllowanceRates!$B$25/100,0)</f>
        <v>169400</v>
      </c>
      <c r="AE336" s="106">
        <f t="shared" ca="1" si="44"/>
        <v>5090600</v>
      </c>
      <c r="AF336" s="106">
        <f t="shared" ca="1" si="45"/>
        <v>194060</v>
      </c>
      <c r="AG336" s="107">
        <v>0</v>
      </c>
      <c r="AH336" s="107">
        <v>0</v>
      </c>
      <c r="AI336" s="108">
        <f t="shared" ca="1" si="46"/>
        <v>363460</v>
      </c>
      <c r="AJ336" s="109">
        <f t="shared" ca="1" si="47"/>
        <v>4896540</v>
      </c>
    </row>
    <row r="337" spans="1:36" ht="15" customHeight="1" x14ac:dyDescent="0.3">
      <c r="A337" s="98" t="str">
        <f>EMPLOYEE_MASTER!A337</f>
        <v>LAO00334</v>
      </c>
      <c r="B337" s="98" t="str">
        <f>EMPLOYEE_MASTER!C337</f>
        <v>Bounthanh</v>
      </c>
      <c r="C337" s="98" t="str">
        <f>EMPLOYEE_MASTER!D337</f>
        <v>Phaymany</v>
      </c>
      <c r="D337" s="98" t="str">
        <f>EMPLOYEE_MASTER!T337</f>
        <v>Ministry of Health (MoH)</v>
      </c>
      <c r="E337" s="98" t="str">
        <f>EMPLOYEE_MASTER!M337</f>
        <v>Medical Doctor</v>
      </c>
      <c r="F337" s="98" t="str">
        <f>EMPLOYEE_MASTER!Z337</f>
        <v>Medical</v>
      </c>
      <c r="G337" s="99">
        <f>EMPLOYEE_MASTER!P337</f>
        <v>5</v>
      </c>
      <c r="H337" s="99">
        <f>EMPLOYEE_MASTER!Q337</f>
        <v>1</v>
      </c>
      <c r="I337" s="100" t="str">
        <f t="shared" si="40"/>
        <v>G05-S01</v>
      </c>
      <c r="J337" s="100">
        <f>IFERROR(VLOOKUP(I337,LK_GradeStep!$C$4:$D$85,2,0),0)</f>
        <v>308</v>
      </c>
      <c r="K337" s="100">
        <f>IFERROR(VLOOKUP(I337,LK_GradeStep!$C$4:$E$85,3,0),10000)</f>
        <v>10000</v>
      </c>
      <c r="L337" s="100">
        <f t="shared" si="41"/>
        <v>3080000</v>
      </c>
      <c r="M337" s="101">
        <f>IFERROR(VLOOKUP(EMPLOYEE_MASTER!AQ337,LK_AllowanceRates!$A$5:$B$11,2,0),0)</f>
        <v>900000</v>
      </c>
      <c r="N337" s="101">
        <f ca="1">IFERROR(IF(EMPLOYEE_MASTER!J337&lt;=5,  EMPLOYEE_MASTER!J337*LK_AllowanceRates!$B$12,IF(EMPLOYEE_MASTER!J337&lt;=15, EMPLOYEE_MASTER!J337*LK_AllowanceRates!$B$13,IF(EMPLOYEE_MASTER!J337&lt;=25, EMPLOYEE_MASTER!J337*LK_AllowanceRates!$B$14,EMPLOYEE_MASTER!J337*LK_AllowanceRates!$B$15))),0)</f>
        <v>1080000</v>
      </c>
      <c r="O337" s="101">
        <f>IF(EMPLOYEE_MASTER!AS337="Teaching",L337*LK_AllowanceRates!$B$16,0)</f>
        <v>0</v>
      </c>
      <c r="P337" s="101">
        <f>IF(EMPLOYEE_MASTER!AS337="Medical",LK_AllowanceRates!$B$17,0)</f>
        <v>500000</v>
      </c>
      <c r="Q337" s="101">
        <f>IF(EMPLOYEE_MASTER!AR337="Yes",LK_AllowanceRates!$B$18,0)</f>
        <v>0</v>
      </c>
      <c r="R337" s="101">
        <f>IF(EMPLOYEE_MASTER!AC337="Yes",LK_AllowanceRates!$B$19,0)</f>
        <v>0</v>
      </c>
      <c r="S337" s="101">
        <f>IF(EMPLOYEE_MASTER!AA337="Yes",L337*LK_AllowanceRates!$B$20,0)</f>
        <v>770000</v>
      </c>
      <c r="T337" s="101">
        <f>IF(EMPLOYEE_MASTER!AB337="Yes",LK_AllowanceRates!$B$21,0)</f>
        <v>0</v>
      </c>
      <c r="U337" s="101">
        <f>IF(EMPLOYEE_MASTER!P337&gt;=6,LK_AllowanceRates!$B$22,0)</f>
        <v>0</v>
      </c>
      <c r="V337" s="101">
        <f>IF(EMPLOYEE_MASTER!AO337="Yes",LK_AllowanceRates!$B$23,0)</f>
        <v>0</v>
      </c>
      <c r="W337" s="101">
        <f>EMPLOYEE_MASTER!AP337*LK_AllowanceRates!$B$24</f>
        <v>0</v>
      </c>
      <c r="X337" s="101">
        <v>0</v>
      </c>
      <c r="Y337" s="102">
        <v>0</v>
      </c>
      <c r="Z337" s="102">
        <v>0</v>
      </c>
      <c r="AA337" s="102">
        <v>0</v>
      </c>
      <c r="AB337" s="103">
        <f t="shared" ca="1" si="42"/>
        <v>3250000</v>
      </c>
      <c r="AC337" s="104">
        <f t="shared" ca="1" si="43"/>
        <v>6330000</v>
      </c>
      <c r="AD337" s="105">
        <f>ROUND(L337*LK_AllowanceRates!$B$25/100,0)</f>
        <v>169400</v>
      </c>
      <c r="AE337" s="106">
        <f t="shared" ca="1" si="44"/>
        <v>6160600</v>
      </c>
      <c r="AF337" s="106">
        <f t="shared" ca="1" si="45"/>
        <v>301060</v>
      </c>
      <c r="AG337" s="107">
        <v>0</v>
      </c>
      <c r="AH337" s="107">
        <v>0</v>
      </c>
      <c r="AI337" s="108">
        <f t="shared" ca="1" si="46"/>
        <v>470460</v>
      </c>
      <c r="AJ337" s="109">
        <f t="shared" ca="1" si="47"/>
        <v>5859540</v>
      </c>
    </row>
    <row r="338" spans="1:36" ht="15" customHeight="1" x14ac:dyDescent="0.3">
      <c r="A338" s="98" t="str">
        <f>EMPLOYEE_MASTER!A338</f>
        <v>LAO00335</v>
      </c>
      <c r="B338" s="98" t="str">
        <f>EMPLOYEE_MASTER!C338</f>
        <v>Phoxay</v>
      </c>
      <c r="C338" s="98" t="str">
        <f>EMPLOYEE_MASTER!D338</f>
        <v>Sengmixay</v>
      </c>
      <c r="D338" s="98" t="str">
        <f>EMPLOYEE_MASTER!T338</f>
        <v>Ministry of Finance (MoF)</v>
      </c>
      <c r="E338" s="98" t="str">
        <f>EMPLOYEE_MASTER!M338</f>
        <v>Tax Officer</v>
      </c>
      <c r="F338" s="98" t="str">
        <f>EMPLOYEE_MASTER!Z338</f>
        <v>Finance</v>
      </c>
      <c r="G338" s="99">
        <f>EMPLOYEE_MASTER!P338</f>
        <v>2</v>
      </c>
      <c r="H338" s="99">
        <f>EMPLOYEE_MASTER!Q338</f>
        <v>3</v>
      </c>
      <c r="I338" s="100" t="str">
        <f t="shared" si="40"/>
        <v>G02-S03</v>
      </c>
      <c r="J338" s="100">
        <f>IFERROR(VLOOKUP(I338,LK_GradeStep!$C$4:$D$85,2,0),0)</f>
        <v>270</v>
      </c>
      <c r="K338" s="100">
        <f>IFERROR(VLOOKUP(I338,LK_GradeStep!$C$4:$E$85,3,0),10000)</f>
        <v>10000</v>
      </c>
      <c r="L338" s="100">
        <f t="shared" si="41"/>
        <v>2700000</v>
      </c>
      <c r="M338" s="101">
        <f>IFERROR(VLOOKUP(EMPLOYEE_MASTER!AQ338,LK_AllowanceRates!$A$5:$B$11,2,0),0)</f>
        <v>900000</v>
      </c>
      <c r="N338" s="101">
        <f ca="1">IFERROR(IF(EMPLOYEE_MASTER!J338&lt;=5,  EMPLOYEE_MASTER!J338*LK_AllowanceRates!$B$12,IF(EMPLOYEE_MASTER!J338&lt;=15, EMPLOYEE_MASTER!J338*LK_AllowanceRates!$B$13,IF(EMPLOYEE_MASTER!J338&lt;=25, EMPLOYEE_MASTER!J338*LK_AllowanceRates!$B$14,EMPLOYEE_MASTER!J338*LK_AllowanceRates!$B$15))),0)</f>
        <v>260000</v>
      </c>
      <c r="O338" s="101">
        <f>IF(EMPLOYEE_MASTER!AS338="Teaching",L338*LK_AllowanceRates!$B$16,0)</f>
        <v>0</v>
      </c>
      <c r="P338" s="101">
        <f>IF(EMPLOYEE_MASTER!AS338="Medical",LK_AllowanceRates!$B$17,0)</f>
        <v>0</v>
      </c>
      <c r="Q338" s="101">
        <f>IF(EMPLOYEE_MASTER!AR338="Yes",LK_AllowanceRates!$B$18,0)</f>
        <v>0</v>
      </c>
      <c r="R338" s="101">
        <f>IF(EMPLOYEE_MASTER!AC338="Yes",LK_AllowanceRates!$B$19,0)</f>
        <v>0</v>
      </c>
      <c r="S338" s="101">
        <f>IF(EMPLOYEE_MASTER!AA338="Yes",L338*LK_AllowanceRates!$B$20,0)</f>
        <v>675000</v>
      </c>
      <c r="T338" s="101">
        <f>IF(EMPLOYEE_MASTER!AB338="Yes",LK_AllowanceRates!$B$21,0)</f>
        <v>0</v>
      </c>
      <c r="U338" s="101">
        <f>IF(EMPLOYEE_MASTER!P338&gt;=6,LK_AllowanceRates!$B$22,0)</f>
        <v>0</v>
      </c>
      <c r="V338" s="101">
        <f>IF(EMPLOYEE_MASTER!AO338="Yes",LK_AllowanceRates!$B$23,0)</f>
        <v>0</v>
      </c>
      <c r="W338" s="101">
        <f>EMPLOYEE_MASTER!AP338*LK_AllowanceRates!$B$24</f>
        <v>0</v>
      </c>
      <c r="X338" s="101">
        <v>0</v>
      </c>
      <c r="Y338" s="102">
        <v>0</v>
      </c>
      <c r="Z338" s="102">
        <v>0</v>
      </c>
      <c r="AA338" s="102">
        <v>0</v>
      </c>
      <c r="AB338" s="103">
        <f t="shared" ca="1" si="42"/>
        <v>1835000</v>
      </c>
      <c r="AC338" s="104">
        <f t="shared" ca="1" si="43"/>
        <v>4535000</v>
      </c>
      <c r="AD338" s="105">
        <f>ROUND(L338*LK_AllowanceRates!$B$25/100,0)</f>
        <v>148500</v>
      </c>
      <c r="AE338" s="106">
        <f t="shared" ca="1" si="44"/>
        <v>4386500</v>
      </c>
      <c r="AF338" s="106">
        <f t="shared" ca="1" si="45"/>
        <v>154325</v>
      </c>
      <c r="AG338" s="107">
        <v>0</v>
      </c>
      <c r="AH338" s="107">
        <v>0</v>
      </c>
      <c r="AI338" s="108">
        <f t="shared" ca="1" si="46"/>
        <v>302825</v>
      </c>
      <c r="AJ338" s="109">
        <f t="shared" ca="1" si="47"/>
        <v>4232175</v>
      </c>
    </row>
    <row r="339" spans="1:36" ht="15" customHeight="1" x14ac:dyDescent="0.3">
      <c r="A339" s="98" t="str">
        <f>EMPLOYEE_MASTER!A339</f>
        <v>LAO00336</v>
      </c>
      <c r="B339" s="98" t="str">
        <f>EMPLOYEE_MASTER!C339</f>
        <v>Lattanaphone</v>
      </c>
      <c r="C339" s="98" t="str">
        <f>EMPLOYEE_MASTER!D339</f>
        <v>Khambounheuang</v>
      </c>
      <c r="D339" s="98" t="str">
        <f>EMPLOYEE_MASTER!T339</f>
        <v>Ministry of Labour &amp; Social Welfare (MLSW)</v>
      </c>
      <c r="E339" s="98" t="str">
        <f>EMPLOYEE_MASTER!M339</f>
        <v>Senior Officer</v>
      </c>
      <c r="F339" s="98" t="str">
        <f>EMPLOYEE_MASTER!Z339</f>
        <v>Administration</v>
      </c>
      <c r="G339" s="99">
        <f>EMPLOYEE_MASTER!P339</f>
        <v>4</v>
      </c>
      <c r="H339" s="99">
        <f>EMPLOYEE_MASTER!Q339</f>
        <v>1</v>
      </c>
      <c r="I339" s="100" t="str">
        <f t="shared" si="40"/>
        <v>G04-S01</v>
      </c>
      <c r="J339" s="100">
        <f>IFERROR(VLOOKUP(I339,LK_GradeStep!$C$4:$D$85,2,0),0)</f>
        <v>286</v>
      </c>
      <c r="K339" s="100">
        <f>IFERROR(VLOOKUP(I339,LK_GradeStep!$C$4:$E$85,3,0),10000)</f>
        <v>10000</v>
      </c>
      <c r="L339" s="100">
        <f t="shared" si="41"/>
        <v>2860000</v>
      </c>
      <c r="M339" s="101">
        <f>IFERROR(VLOOKUP(EMPLOYEE_MASTER!AQ339,LK_AllowanceRates!$A$5:$B$11,2,0),0)</f>
        <v>900000</v>
      </c>
      <c r="N339" s="101">
        <f ca="1">IFERROR(IF(EMPLOYEE_MASTER!J339&lt;=5,  EMPLOYEE_MASTER!J339*LK_AllowanceRates!$B$12,IF(EMPLOYEE_MASTER!J339&lt;=15, EMPLOYEE_MASTER!J339*LK_AllowanceRates!$B$13,IF(EMPLOYEE_MASTER!J339&lt;=25, EMPLOYEE_MASTER!J339*LK_AllowanceRates!$B$14,EMPLOYEE_MASTER!J339*LK_AllowanceRates!$B$15))),0)</f>
        <v>140000</v>
      </c>
      <c r="O339" s="101">
        <f>IF(EMPLOYEE_MASTER!AS339="Teaching",L339*LK_AllowanceRates!$B$16,0)</f>
        <v>0</v>
      </c>
      <c r="P339" s="101">
        <f>IF(EMPLOYEE_MASTER!AS339="Medical",LK_AllowanceRates!$B$17,0)</f>
        <v>0</v>
      </c>
      <c r="Q339" s="101">
        <f>IF(EMPLOYEE_MASTER!AR339="Yes",LK_AllowanceRates!$B$18,0)</f>
        <v>0</v>
      </c>
      <c r="R339" s="101">
        <f>IF(EMPLOYEE_MASTER!AC339="Yes",LK_AllowanceRates!$B$19,0)</f>
        <v>0</v>
      </c>
      <c r="S339" s="101">
        <f>IF(EMPLOYEE_MASTER!AA339="Yes",L339*LK_AllowanceRates!$B$20,0)</f>
        <v>0</v>
      </c>
      <c r="T339" s="101">
        <f>IF(EMPLOYEE_MASTER!AB339="Yes",LK_AllowanceRates!$B$21,0)</f>
        <v>0</v>
      </c>
      <c r="U339" s="101">
        <f>IF(EMPLOYEE_MASTER!P339&gt;=6,LK_AllowanceRates!$B$22,0)</f>
        <v>0</v>
      </c>
      <c r="V339" s="101">
        <f>IF(EMPLOYEE_MASTER!AO339="Yes",LK_AllowanceRates!$B$23,0)</f>
        <v>200000</v>
      </c>
      <c r="W339" s="101">
        <f>EMPLOYEE_MASTER!AP339*LK_AllowanceRates!$B$24</f>
        <v>600000</v>
      </c>
      <c r="X339" s="101">
        <v>0</v>
      </c>
      <c r="Y339" s="102">
        <v>0</v>
      </c>
      <c r="Z339" s="102">
        <v>0</v>
      </c>
      <c r="AA339" s="102">
        <v>0</v>
      </c>
      <c r="AB339" s="103">
        <f t="shared" ca="1" si="42"/>
        <v>1840000</v>
      </c>
      <c r="AC339" s="104">
        <f t="shared" ca="1" si="43"/>
        <v>4700000</v>
      </c>
      <c r="AD339" s="105">
        <f>ROUND(L339*LK_AllowanceRates!$B$25/100,0)</f>
        <v>157300</v>
      </c>
      <c r="AE339" s="106">
        <f t="shared" ca="1" si="44"/>
        <v>4542700</v>
      </c>
      <c r="AF339" s="106">
        <f t="shared" ca="1" si="45"/>
        <v>162135</v>
      </c>
      <c r="AG339" s="107">
        <v>0</v>
      </c>
      <c r="AH339" s="107">
        <v>0</v>
      </c>
      <c r="AI339" s="108">
        <f t="shared" ca="1" si="46"/>
        <v>319435</v>
      </c>
      <c r="AJ339" s="109">
        <f t="shared" ca="1" si="47"/>
        <v>4380565</v>
      </c>
    </row>
    <row r="340" spans="1:36" ht="15" customHeight="1" x14ac:dyDescent="0.3">
      <c r="A340" s="98" t="str">
        <f>EMPLOYEE_MASTER!A340</f>
        <v>LAO00337</v>
      </c>
      <c r="B340" s="98" t="str">
        <f>EMPLOYEE_MASTER!C340</f>
        <v>Bounma</v>
      </c>
      <c r="C340" s="98" t="str">
        <f>EMPLOYEE_MASTER!D340</f>
        <v>Vongsack</v>
      </c>
      <c r="D340" s="98" t="str">
        <f>EMPLOYEE_MASTER!T340</f>
        <v>Ministry of Education and Sports (MoES)</v>
      </c>
      <c r="E340" s="98" t="str">
        <f>EMPLOYEE_MASTER!M340</f>
        <v>Associate Professor</v>
      </c>
      <c r="F340" s="98" t="str">
        <f>EMPLOYEE_MASTER!Z340</f>
        <v>Teacher</v>
      </c>
      <c r="G340" s="99">
        <f>EMPLOYEE_MASTER!P340</f>
        <v>5</v>
      </c>
      <c r="H340" s="99">
        <f>EMPLOYEE_MASTER!Q340</f>
        <v>1</v>
      </c>
      <c r="I340" s="100" t="str">
        <f t="shared" si="40"/>
        <v>G05-S01</v>
      </c>
      <c r="J340" s="100">
        <f>IFERROR(VLOOKUP(I340,LK_GradeStep!$C$4:$D$85,2,0),0)</f>
        <v>308</v>
      </c>
      <c r="K340" s="100">
        <f>IFERROR(VLOOKUP(I340,LK_GradeStep!$C$4:$E$85,3,0),10000)</f>
        <v>10000</v>
      </c>
      <c r="L340" s="100">
        <f t="shared" si="41"/>
        <v>3080000</v>
      </c>
      <c r="M340" s="101">
        <f>IFERROR(VLOOKUP(EMPLOYEE_MASTER!AQ340,LK_AllowanceRates!$A$5:$B$11,2,0),0)</f>
        <v>900000</v>
      </c>
      <c r="N340" s="101">
        <f ca="1">IFERROR(IF(EMPLOYEE_MASTER!J340&lt;=5,  EMPLOYEE_MASTER!J340*LK_AllowanceRates!$B$12,IF(EMPLOYEE_MASTER!J340&lt;=15, EMPLOYEE_MASTER!J340*LK_AllowanceRates!$B$13,IF(EMPLOYEE_MASTER!J340&lt;=25, EMPLOYEE_MASTER!J340*LK_AllowanceRates!$B$14,EMPLOYEE_MASTER!J340*LK_AllowanceRates!$B$15))),0)</f>
        <v>720000</v>
      </c>
      <c r="O340" s="101">
        <f>IF(EMPLOYEE_MASTER!AS340="Teaching",L340*LK_AllowanceRates!$B$16,0)</f>
        <v>616000</v>
      </c>
      <c r="P340" s="101">
        <f>IF(EMPLOYEE_MASTER!AS340="Medical",LK_AllowanceRates!$B$17,0)</f>
        <v>0</v>
      </c>
      <c r="Q340" s="101">
        <f>IF(EMPLOYEE_MASTER!AR340="Yes",LK_AllowanceRates!$B$18,0)</f>
        <v>0</v>
      </c>
      <c r="R340" s="101">
        <f>IF(EMPLOYEE_MASTER!AC340="Yes",LK_AllowanceRates!$B$19,0)</f>
        <v>0</v>
      </c>
      <c r="S340" s="101">
        <f>IF(EMPLOYEE_MASTER!AA340="Yes",L340*LK_AllowanceRates!$B$20,0)</f>
        <v>770000</v>
      </c>
      <c r="T340" s="101">
        <f>IF(EMPLOYEE_MASTER!AB340="Yes",LK_AllowanceRates!$B$21,0)</f>
        <v>0</v>
      </c>
      <c r="U340" s="101">
        <f>IF(EMPLOYEE_MASTER!P340&gt;=6,LK_AllowanceRates!$B$22,0)</f>
        <v>0</v>
      </c>
      <c r="V340" s="101">
        <f>IF(EMPLOYEE_MASTER!AO340="Yes",LK_AllowanceRates!$B$23,0)</f>
        <v>0</v>
      </c>
      <c r="W340" s="101">
        <f>EMPLOYEE_MASTER!AP340*LK_AllowanceRates!$B$24</f>
        <v>0</v>
      </c>
      <c r="X340" s="101">
        <v>0</v>
      </c>
      <c r="Y340" s="102">
        <v>0</v>
      </c>
      <c r="Z340" s="102">
        <v>0</v>
      </c>
      <c r="AA340" s="102">
        <v>0</v>
      </c>
      <c r="AB340" s="103">
        <f t="shared" ca="1" si="42"/>
        <v>3006000</v>
      </c>
      <c r="AC340" s="104">
        <f t="shared" ca="1" si="43"/>
        <v>6086000</v>
      </c>
      <c r="AD340" s="105">
        <f>ROUND(L340*LK_AllowanceRates!$B$25/100,0)</f>
        <v>169400</v>
      </c>
      <c r="AE340" s="106">
        <f t="shared" ca="1" si="44"/>
        <v>5916600</v>
      </c>
      <c r="AF340" s="106">
        <f t="shared" ca="1" si="45"/>
        <v>276660</v>
      </c>
      <c r="AG340" s="107">
        <v>0</v>
      </c>
      <c r="AH340" s="107">
        <v>0</v>
      </c>
      <c r="AI340" s="108">
        <f t="shared" ca="1" si="46"/>
        <v>446060</v>
      </c>
      <c r="AJ340" s="109">
        <f t="shared" ca="1" si="47"/>
        <v>5639940</v>
      </c>
    </row>
    <row r="341" spans="1:36" ht="15" customHeight="1" x14ac:dyDescent="0.3">
      <c r="A341" s="98" t="str">
        <f>EMPLOYEE_MASTER!A341</f>
        <v>LAO00338</v>
      </c>
      <c r="B341" s="98" t="str">
        <f>EMPLOYEE_MASTER!C341</f>
        <v>Bounthieng</v>
      </c>
      <c r="C341" s="98" t="str">
        <f>EMPLOYEE_MASTER!D341</f>
        <v>Sengkhounmane</v>
      </c>
      <c r="D341" s="98" t="str">
        <f>EMPLOYEE_MASTER!T341</f>
        <v>Ministry of Labour &amp; Social Welfare (MLSW)</v>
      </c>
      <c r="E341" s="98" t="str">
        <f>EMPLOYEE_MASTER!M341</f>
        <v>Deputy Department Director</v>
      </c>
      <c r="F341" s="98" t="str">
        <f>EMPLOYEE_MASTER!Z341</f>
        <v>Administration</v>
      </c>
      <c r="G341" s="99">
        <f>EMPLOYEE_MASTER!P341</f>
        <v>4</v>
      </c>
      <c r="H341" s="99">
        <f>EMPLOYEE_MASTER!Q341</f>
        <v>1</v>
      </c>
      <c r="I341" s="100" t="str">
        <f t="shared" si="40"/>
        <v>G04-S01</v>
      </c>
      <c r="J341" s="100">
        <f>IFERROR(VLOOKUP(I341,LK_GradeStep!$C$4:$D$85,2,0),0)</f>
        <v>286</v>
      </c>
      <c r="K341" s="100">
        <f>IFERROR(VLOOKUP(I341,LK_GradeStep!$C$4:$E$85,3,0),10000)</f>
        <v>10000</v>
      </c>
      <c r="L341" s="100">
        <f t="shared" si="41"/>
        <v>2860000</v>
      </c>
      <c r="M341" s="101">
        <f>IFERROR(VLOOKUP(EMPLOYEE_MASTER!AQ341,LK_AllowanceRates!$A$5:$B$11,2,0),0)</f>
        <v>900000</v>
      </c>
      <c r="N341" s="101">
        <f ca="1">IFERROR(IF(EMPLOYEE_MASTER!J341&lt;=5,  EMPLOYEE_MASTER!J341*LK_AllowanceRates!$B$12,IF(EMPLOYEE_MASTER!J341&lt;=15, EMPLOYEE_MASTER!J341*LK_AllowanceRates!$B$13,IF(EMPLOYEE_MASTER!J341&lt;=25, EMPLOYEE_MASTER!J341*LK_AllowanceRates!$B$14,EMPLOYEE_MASTER!J341*LK_AllowanceRates!$B$15))),0)</f>
        <v>1400000</v>
      </c>
      <c r="O341" s="101">
        <f>IF(EMPLOYEE_MASTER!AS341="Teaching",L341*LK_AllowanceRates!$B$16,0)</f>
        <v>0</v>
      </c>
      <c r="P341" s="101">
        <f>IF(EMPLOYEE_MASTER!AS341="Medical",LK_AllowanceRates!$B$17,0)</f>
        <v>0</v>
      </c>
      <c r="Q341" s="101">
        <f>IF(EMPLOYEE_MASTER!AR341="Yes",LK_AllowanceRates!$B$18,0)</f>
        <v>0</v>
      </c>
      <c r="R341" s="101">
        <f>IF(EMPLOYEE_MASTER!AC341="Yes",LK_AllowanceRates!$B$19,0)</f>
        <v>1000000</v>
      </c>
      <c r="S341" s="101">
        <f>IF(EMPLOYEE_MASTER!AA341="Yes",L341*LK_AllowanceRates!$B$20,0)</f>
        <v>715000</v>
      </c>
      <c r="T341" s="101">
        <f>IF(EMPLOYEE_MASTER!AB341="Yes",LK_AllowanceRates!$B$21,0)</f>
        <v>0</v>
      </c>
      <c r="U341" s="101">
        <f>IF(EMPLOYEE_MASTER!P341&gt;=6,LK_AllowanceRates!$B$22,0)</f>
        <v>0</v>
      </c>
      <c r="V341" s="101">
        <f>IF(EMPLOYEE_MASTER!AO341="Yes",LK_AllowanceRates!$B$23,0)</f>
        <v>200000</v>
      </c>
      <c r="W341" s="101">
        <f>EMPLOYEE_MASTER!AP341*LK_AllowanceRates!$B$24</f>
        <v>0</v>
      </c>
      <c r="X341" s="101">
        <v>0</v>
      </c>
      <c r="Y341" s="102">
        <v>0</v>
      </c>
      <c r="Z341" s="102">
        <v>0</v>
      </c>
      <c r="AA341" s="102">
        <v>0</v>
      </c>
      <c r="AB341" s="103">
        <f t="shared" ca="1" si="42"/>
        <v>4215000</v>
      </c>
      <c r="AC341" s="104">
        <f t="shared" ca="1" si="43"/>
        <v>7075000</v>
      </c>
      <c r="AD341" s="105">
        <f>ROUND(L341*LK_AllowanceRates!$B$25/100,0)</f>
        <v>157300</v>
      </c>
      <c r="AE341" s="106">
        <f t="shared" ca="1" si="44"/>
        <v>6917700</v>
      </c>
      <c r="AF341" s="106">
        <f t="shared" ca="1" si="45"/>
        <v>376770</v>
      </c>
      <c r="AG341" s="107">
        <v>0</v>
      </c>
      <c r="AH341" s="107">
        <v>0</v>
      </c>
      <c r="AI341" s="108">
        <f t="shared" ca="1" si="46"/>
        <v>534070</v>
      </c>
      <c r="AJ341" s="109">
        <f t="shared" ca="1" si="47"/>
        <v>6540930</v>
      </c>
    </row>
    <row r="342" spans="1:36" ht="15" customHeight="1" x14ac:dyDescent="0.3">
      <c r="A342" s="98" t="str">
        <f>EMPLOYEE_MASTER!A342</f>
        <v>LAO00339</v>
      </c>
      <c r="B342" s="98" t="str">
        <f>EMPLOYEE_MASTER!C342</f>
        <v>Sengmany</v>
      </c>
      <c r="C342" s="98" t="str">
        <f>EMPLOYEE_MASTER!D342</f>
        <v>Luanglath</v>
      </c>
      <c r="D342" s="98" t="str">
        <f>EMPLOYEE_MASTER!T342</f>
        <v>Ministry of Agriculture and Forestry (MoAF)</v>
      </c>
      <c r="E342" s="98" t="str">
        <f>EMPLOYEE_MASTER!M342</f>
        <v>Technical Officer</v>
      </c>
      <c r="F342" s="98" t="str">
        <f>EMPLOYEE_MASTER!Z342</f>
        <v>Technical</v>
      </c>
      <c r="G342" s="99">
        <f>EMPLOYEE_MASTER!P342</f>
        <v>4</v>
      </c>
      <c r="H342" s="99">
        <f>EMPLOYEE_MASTER!Q342</f>
        <v>7</v>
      </c>
      <c r="I342" s="100" t="str">
        <f t="shared" si="40"/>
        <v>G04-S07</v>
      </c>
      <c r="J342" s="100">
        <f>IFERROR(VLOOKUP(I342,LK_GradeStep!$C$4:$D$85,2,0),0)</f>
        <v>298</v>
      </c>
      <c r="K342" s="100">
        <f>IFERROR(VLOOKUP(I342,LK_GradeStep!$C$4:$E$85,3,0),10000)</f>
        <v>10000</v>
      </c>
      <c r="L342" s="100">
        <f t="shared" si="41"/>
        <v>2980000</v>
      </c>
      <c r="M342" s="101">
        <f>IFERROR(VLOOKUP(EMPLOYEE_MASTER!AQ342,LK_AllowanceRates!$A$5:$B$11,2,0),0)</f>
        <v>900000</v>
      </c>
      <c r="N342" s="101">
        <f ca="1">IFERROR(IF(EMPLOYEE_MASTER!J342&lt;=5,  EMPLOYEE_MASTER!J342*LK_AllowanceRates!$B$12,IF(EMPLOYEE_MASTER!J342&lt;=15, EMPLOYEE_MASTER!J342*LK_AllowanceRates!$B$13,IF(EMPLOYEE_MASTER!J342&lt;=25, EMPLOYEE_MASTER!J342*LK_AllowanceRates!$B$14,EMPLOYEE_MASTER!J342*LK_AllowanceRates!$B$15))),0)</f>
        <v>600000</v>
      </c>
      <c r="O342" s="101">
        <f>IF(EMPLOYEE_MASTER!AS342="Teaching",L342*LK_AllowanceRates!$B$16,0)</f>
        <v>0</v>
      </c>
      <c r="P342" s="101">
        <f>IF(EMPLOYEE_MASTER!AS342="Medical",LK_AllowanceRates!$B$17,0)</f>
        <v>0</v>
      </c>
      <c r="Q342" s="101">
        <f>IF(EMPLOYEE_MASTER!AR342="Yes",LK_AllowanceRates!$B$18,0)</f>
        <v>0</v>
      </c>
      <c r="R342" s="101">
        <f>IF(EMPLOYEE_MASTER!AC342="Yes",LK_AllowanceRates!$B$19,0)</f>
        <v>0</v>
      </c>
      <c r="S342" s="101">
        <f>IF(EMPLOYEE_MASTER!AA342="Yes",L342*LK_AllowanceRates!$B$20,0)</f>
        <v>0</v>
      </c>
      <c r="T342" s="101">
        <f>IF(EMPLOYEE_MASTER!AB342="Yes",LK_AllowanceRates!$B$21,0)</f>
        <v>0</v>
      </c>
      <c r="U342" s="101">
        <f>IF(EMPLOYEE_MASTER!P342&gt;=6,LK_AllowanceRates!$B$22,0)</f>
        <v>0</v>
      </c>
      <c r="V342" s="101">
        <f>IF(EMPLOYEE_MASTER!AO342="Yes",LK_AllowanceRates!$B$23,0)</f>
        <v>200000</v>
      </c>
      <c r="W342" s="101">
        <f>EMPLOYEE_MASTER!AP342*LK_AllowanceRates!$B$24</f>
        <v>400000</v>
      </c>
      <c r="X342" s="101">
        <v>0</v>
      </c>
      <c r="Y342" s="102">
        <v>0</v>
      </c>
      <c r="Z342" s="102">
        <v>0</v>
      </c>
      <c r="AA342" s="102">
        <v>0</v>
      </c>
      <c r="AB342" s="103">
        <f t="shared" ca="1" si="42"/>
        <v>2100000</v>
      </c>
      <c r="AC342" s="104">
        <f t="shared" ca="1" si="43"/>
        <v>5080000</v>
      </c>
      <c r="AD342" s="105">
        <f>ROUND(L342*LK_AllowanceRates!$B$25/100,0)</f>
        <v>163900</v>
      </c>
      <c r="AE342" s="106">
        <f t="shared" ca="1" si="44"/>
        <v>4916100</v>
      </c>
      <c r="AF342" s="106">
        <f t="shared" ca="1" si="45"/>
        <v>180805</v>
      </c>
      <c r="AG342" s="107">
        <v>0</v>
      </c>
      <c r="AH342" s="107">
        <v>0</v>
      </c>
      <c r="AI342" s="108">
        <f t="shared" ca="1" si="46"/>
        <v>344705</v>
      </c>
      <c r="AJ342" s="109">
        <f t="shared" ca="1" si="47"/>
        <v>4735295</v>
      </c>
    </row>
    <row r="343" spans="1:36" ht="15" customHeight="1" x14ac:dyDescent="0.3">
      <c r="A343" s="98" t="str">
        <f>EMPLOYEE_MASTER!A343</f>
        <v>LAO00340</v>
      </c>
      <c r="B343" s="98" t="str">
        <f>EMPLOYEE_MASTER!C343</f>
        <v>Bounlan</v>
      </c>
      <c r="C343" s="98" t="str">
        <f>EMPLOYEE_MASTER!D343</f>
        <v>Soulinthong</v>
      </c>
      <c r="D343" s="98" t="str">
        <f>EMPLOYEE_MASTER!T343</f>
        <v>Vientiane Capital Administration</v>
      </c>
      <c r="E343" s="98" t="str">
        <f>EMPLOYEE_MASTER!M343</f>
        <v>Senior Officer</v>
      </c>
      <c r="F343" s="98" t="str">
        <f>EMPLOYEE_MASTER!Z343</f>
        <v>Administration</v>
      </c>
      <c r="G343" s="99">
        <f>EMPLOYEE_MASTER!P343</f>
        <v>5</v>
      </c>
      <c r="H343" s="99">
        <f>EMPLOYEE_MASTER!Q343</f>
        <v>1</v>
      </c>
      <c r="I343" s="100" t="str">
        <f t="shared" si="40"/>
        <v>G05-S01</v>
      </c>
      <c r="J343" s="100">
        <f>IFERROR(VLOOKUP(I343,LK_GradeStep!$C$4:$D$85,2,0),0)</f>
        <v>308</v>
      </c>
      <c r="K343" s="100">
        <f>IFERROR(VLOOKUP(I343,LK_GradeStep!$C$4:$E$85,3,0),10000)</f>
        <v>10000</v>
      </c>
      <c r="L343" s="100">
        <f t="shared" si="41"/>
        <v>3080000</v>
      </c>
      <c r="M343" s="101">
        <f>IFERROR(VLOOKUP(EMPLOYEE_MASTER!AQ343,LK_AllowanceRates!$A$5:$B$11,2,0),0)</f>
        <v>900000</v>
      </c>
      <c r="N343" s="101">
        <f ca="1">IFERROR(IF(EMPLOYEE_MASTER!J343&lt;=5,  EMPLOYEE_MASTER!J343*LK_AllowanceRates!$B$12,IF(EMPLOYEE_MASTER!J343&lt;=15, EMPLOYEE_MASTER!J343*LK_AllowanceRates!$B$13,IF(EMPLOYEE_MASTER!J343&lt;=25, EMPLOYEE_MASTER!J343*LK_AllowanceRates!$B$14,EMPLOYEE_MASTER!J343*LK_AllowanceRates!$B$15))),0)</f>
        <v>480000</v>
      </c>
      <c r="O343" s="101">
        <f>IF(EMPLOYEE_MASTER!AS343="Teaching",L343*LK_AllowanceRates!$B$16,0)</f>
        <v>0</v>
      </c>
      <c r="P343" s="101">
        <f>IF(EMPLOYEE_MASTER!AS343="Medical",LK_AllowanceRates!$B$17,0)</f>
        <v>0</v>
      </c>
      <c r="Q343" s="101">
        <f>IF(EMPLOYEE_MASTER!AR343="Yes",LK_AllowanceRates!$B$18,0)</f>
        <v>0</v>
      </c>
      <c r="R343" s="101">
        <f>IF(EMPLOYEE_MASTER!AC343="Yes",LK_AllowanceRates!$B$19,0)</f>
        <v>0</v>
      </c>
      <c r="S343" s="101">
        <f>IF(EMPLOYEE_MASTER!AA343="Yes",L343*LK_AllowanceRates!$B$20,0)</f>
        <v>0</v>
      </c>
      <c r="T343" s="101">
        <f>IF(EMPLOYEE_MASTER!AB343="Yes",LK_AllowanceRates!$B$21,0)</f>
        <v>0</v>
      </c>
      <c r="U343" s="101">
        <f>IF(EMPLOYEE_MASTER!P343&gt;=6,LK_AllowanceRates!$B$22,0)</f>
        <v>0</v>
      </c>
      <c r="V343" s="101">
        <f>IF(EMPLOYEE_MASTER!AO343="Yes",LK_AllowanceRates!$B$23,0)</f>
        <v>0</v>
      </c>
      <c r="W343" s="101">
        <f>EMPLOYEE_MASTER!AP343*LK_AllowanceRates!$B$24</f>
        <v>0</v>
      </c>
      <c r="X343" s="101">
        <v>0</v>
      </c>
      <c r="Y343" s="102">
        <v>0</v>
      </c>
      <c r="Z343" s="102">
        <v>0</v>
      </c>
      <c r="AA343" s="102">
        <v>0</v>
      </c>
      <c r="AB343" s="103">
        <f t="shared" ca="1" si="42"/>
        <v>1380000</v>
      </c>
      <c r="AC343" s="104">
        <f t="shared" ca="1" si="43"/>
        <v>4460000</v>
      </c>
      <c r="AD343" s="105">
        <f>ROUND(L343*LK_AllowanceRates!$B$25/100,0)</f>
        <v>169400</v>
      </c>
      <c r="AE343" s="106">
        <f t="shared" ca="1" si="44"/>
        <v>4290600</v>
      </c>
      <c r="AF343" s="106">
        <f t="shared" ca="1" si="45"/>
        <v>149530</v>
      </c>
      <c r="AG343" s="107">
        <v>0</v>
      </c>
      <c r="AH343" s="107">
        <v>0</v>
      </c>
      <c r="AI343" s="108">
        <f t="shared" ca="1" si="46"/>
        <v>318930</v>
      </c>
      <c r="AJ343" s="109">
        <f t="shared" ca="1" si="47"/>
        <v>4141070</v>
      </c>
    </row>
    <row r="344" spans="1:36" ht="15" customHeight="1" x14ac:dyDescent="0.3">
      <c r="A344" s="98" t="str">
        <f>EMPLOYEE_MASTER!A344</f>
        <v>LAO00341</v>
      </c>
      <c r="B344" s="98" t="str">
        <f>EMPLOYEE_MASTER!C344</f>
        <v>Khammoune</v>
      </c>
      <c r="C344" s="98" t="str">
        <f>EMPLOYEE_MASTER!D344</f>
        <v>Manodham</v>
      </c>
      <c r="D344" s="98" t="str">
        <f>EMPLOYEE_MASTER!T344</f>
        <v>Ministry of Public Works &amp; Transport (MPWT)</v>
      </c>
      <c r="E344" s="98" t="str">
        <f>EMPLOYEE_MASTER!M344</f>
        <v>Section Chief</v>
      </c>
      <c r="F344" s="98" t="str">
        <f>EMPLOYEE_MASTER!Z344</f>
        <v>Technical</v>
      </c>
      <c r="G344" s="99">
        <f>EMPLOYEE_MASTER!P344</f>
        <v>4</v>
      </c>
      <c r="H344" s="99">
        <f>EMPLOYEE_MASTER!Q344</f>
        <v>1</v>
      </c>
      <c r="I344" s="100" t="str">
        <f t="shared" si="40"/>
        <v>G04-S01</v>
      </c>
      <c r="J344" s="100">
        <f>IFERROR(VLOOKUP(I344,LK_GradeStep!$C$4:$D$85,2,0),0)</f>
        <v>286</v>
      </c>
      <c r="K344" s="100">
        <f>IFERROR(VLOOKUP(I344,LK_GradeStep!$C$4:$E$85,3,0),10000)</f>
        <v>10000</v>
      </c>
      <c r="L344" s="100">
        <f t="shared" si="41"/>
        <v>2860000</v>
      </c>
      <c r="M344" s="101">
        <f>IFERROR(VLOOKUP(EMPLOYEE_MASTER!AQ344,LK_AllowanceRates!$A$5:$B$11,2,0),0)</f>
        <v>1500000</v>
      </c>
      <c r="N344" s="101">
        <f ca="1">IFERROR(IF(EMPLOYEE_MASTER!J344&lt;=5,  EMPLOYEE_MASTER!J344*LK_AllowanceRates!$B$12,IF(EMPLOYEE_MASTER!J344&lt;=15, EMPLOYEE_MASTER!J344*LK_AllowanceRates!$B$13,IF(EMPLOYEE_MASTER!J344&lt;=25, EMPLOYEE_MASTER!J344*LK_AllowanceRates!$B$14,EMPLOYEE_MASTER!J344*LK_AllowanceRates!$B$15))),0)</f>
        <v>540000</v>
      </c>
      <c r="O344" s="101">
        <f>IF(EMPLOYEE_MASTER!AS344="Teaching",L344*LK_AllowanceRates!$B$16,0)</f>
        <v>0</v>
      </c>
      <c r="P344" s="101">
        <f>IF(EMPLOYEE_MASTER!AS344="Medical",LK_AllowanceRates!$B$17,0)</f>
        <v>0</v>
      </c>
      <c r="Q344" s="101">
        <f>IF(EMPLOYEE_MASTER!AR344="Yes",LK_AllowanceRates!$B$18,0)</f>
        <v>0</v>
      </c>
      <c r="R344" s="101">
        <f>IF(EMPLOYEE_MASTER!AC344="Yes",LK_AllowanceRates!$B$19,0)</f>
        <v>0</v>
      </c>
      <c r="S344" s="101">
        <f>IF(EMPLOYEE_MASTER!AA344="Yes",L344*LK_AllowanceRates!$B$20,0)</f>
        <v>715000</v>
      </c>
      <c r="T344" s="101">
        <f>IF(EMPLOYEE_MASTER!AB344="Yes",LK_AllowanceRates!$B$21,0)</f>
        <v>0</v>
      </c>
      <c r="U344" s="101">
        <f>IF(EMPLOYEE_MASTER!P344&gt;=6,LK_AllowanceRates!$B$22,0)</f>
        <v>0</v>
      </c>
      <c r="V344" s="101">
        <f>IF(EMPLOYEE_MASTER!AO344="Yes",LK_AllowanceRates!$B$23,0)</f>
        <v>0</v>
      </c>
      <c r="W344" s="101">
        <f>EMPLOYEE_MASTER!AP344*LK_AllowanceRates!$B$24</f>
        <v>0</v>
      </c>
      <c r="X344" s="101">
        <v>0</v>
      </c>
      <c r="Y344" s="102">
        <v>0</v>
      </c>
      <c r="Z344" s="102">
        <v>0</v>
      </c>
      <c r="AA344" s="102">
        <v>0</v>
      </c>
      <c r="AB344" s="103">
        <f t="shared" ca="1" si="42"/>
        <v>2755000</v>
      </c>
      <c r="AC344" s="104">
        <f t="shared" ca="1" si="43"/>
        <v>5615000</v>
      </c>
      <c r="AD344" s="105">
        <f>ROUND(L344*LK_AllowanceRates!$B$25/100,0)</f>
        <v>157300</v>
      </c>
      <c r="AE344" s="106">
        <f t="shared" ca="1" si="44"/>
        <v>5457700</v>
      </c>
      <c r="AF344" s="106">
        <f t="shared" ca="1" si="45"/>
        <v>230770</v>
      </c>
      <c r="AG344" s="107">
        <v>0</v>
      </c>
      <c r="AH344" s="107">
        <v>0</v>
      </c>
      <c r="AI344" s="108">
        <f t="shared" ca="1" si="46"/>
        <v>388070</v>
      </c>
      <c r="AJ344" s="109">
        <f t="shared" ca="1" si="47"/>
        <v>5226930</v>
      </c>
    </row>
    <row r="345" spans="1:36" ht="15" customHeight="1" x14ac:dyDescent="0.3">
      <c r="A345" s="98" t="str">
        <f>EMPLOYEE_MASTER!A345</f>
        <v>LAO00342</v>
      </c>
      <c r="B345" s="98" t="str">
        <f>EMPLOYEE_MASTER!C345</f>
        <v>Sengmany</v>
      </c>
      <c r="C345" s="98" t="str">
        <f>EMPLOYEE_MASTER!D345</f>
        <v>Bounseng</v>
      </c>
      <c r="D345" s="98" t="str">
        <f>EMPLOYEE_MASTER!T345</f>
        <v>Ministry of Public Works &amp; Transport (MPWT)</v>
      </c>
      <c r="E345" s="98" t="str">
        <f>EMPLOYEE_MASTER!M345</f>
        <v>Section Chief</v>
      </c>
      <c r="F345" s="98" t="str">
        <f>EMPLOYEE_MASTER!Z345</f>
        <v>Technical</v>
      </c>
      <c r="G345" s="99">
        <f>EMPLOYEE_MASTER!P345</f>
        <v>5</v>
      </c>
      <c r="H345" s="99">
        <f>EMPLOYEE_MASTER!Q345</f>
        <v>1</v>
      </c>
      <c r="I345" s="100" t="str">
        <f t="shared" si="40"/>
        <v>G05-S01</v>
      </c>
      <c r="J345" s="100">
        <f>IFERROR(VLOOKUP(I345,LK_GradeStep!$C$4:$D$85,2,0),0)</f>
        <v>308</v>
      </c>
      <c r="K345" s="100">
        <f>IFERROR(VLOOKUP(I345,LK_GradeStep!$C$4:$E$85,3,0),10000)</f>
        <v>10000</v>
      </c>
      <c r="L345" s="100">
        <f t="shared" si="41"/>
        <v>3080000</v>
      </c>
      <c r="M345" s="101">
        <f>IFERROR(VLOOKUP(EMPLOYEE_MASTER!AQ345,LK_AllowanceRates!$A$5:$B$11,2,0),0)</f>
        <v>1500000</v>
      </c>
      <c r="N345" s="101">
        <f ca="1">IFERROR(IF(EMPLOYEE_MASTER!J345&lt;=5,  EMPLOYEE_MASTER!J345*LK_AllowanceRates!$B$12,IF(EMPLOYEE_MASTER!J345&lt;=15, EMPLOYEE_MASTER!J345*LK_AllowanceRates!$B$13,IF(EMPLOYEE_MASTER!J345&lt;=25, EMPLOYEE_MASTER!J345*LK_AllowanceRates!$B$14,EMPLOYEE_MASTER!J345*LK_AllowanceRates!$B$15))),0)</f>
        <v>1320000</v>
      </c>
      <c r="O345" s="101">
        <f>IF(EMPLOYEE_MASTER!AS345="Teaching",L345*LK_AllowanceRates!$B$16,0)</f>
        <v>0</v>
      </c>
      <c r="P345" s="101">
        <f>IF(EMPLOYEE_MASTER!AS345="Medical",LK_AllowanceRates!$B$17,0)</f>
        <v>0</v>
      </c>
      <c r="Q345" s="101">
        <f>IF(EMPLOYEE_MASTER!AR345="Yes",LK_AllowanceRates!$B$18,0)</f>
        <v>0</v>
      </c>
      <c r="R345" s="101">
        <f>IF(EMPLOYEE_MASTER!AC345="Yes",LK_AllowanceRates!$B$19,0)</f>
        <v>1000000</v>
      </c>
      <c r="S345" s="101">
        <f>IF(EMPLOYEE_MASTER!AA345="Yes",L345*LK_AllowanceRates!$B$20,0)</f>
        <v>770000</v>
      </c>
      <c r="T345" s="101">
        <f>IF(EMPLOYEE_MASTER!AB345="Yes",LK_AllowanceRates!$B$21,0)</f>
        <v>0</v>
      </c>
      <c r="U345" s="101">
        <f>IF(EMPLOYEE_MASTER!P345&gt;=6,LK_AllowanceRates!$B$22,0)</f>
        <v>0</v>
      </c>
      <c r="V345" s="101">
        <f>IF(EMPLOYEE_MASTER!AO345="Yes",LK_AllowanceRates!$B$23,0)</f>
        <v>200000</v>
      </c>
      <c r="W345" s="101">
        <f>EMPLOYEE_MASTER!AP345*LK_AllowanceRates!$B$24</f>
        <v>600000</v>
      </c>
      <c r="X345" s="101">
        <v>0</v>
      </c>
      <c r="Y345" s="102">
        <v>0</v>
      </c>
      <c r="Z345" s="102">
        <v>0</v>
      </c>
      <c r="AA345" s="102">
        <v>0</v>
      </c>
      <c r="AB345" s="103">
        <f t="shared" ca="1" si="42"/>
        <v>5390000</v>
      </c>
      <c r="AC345" s="104">
        <f t="shared" ca="1" si="43"/>
        <v>8470000</v>
      </c>
      <c r="AD345" s="105">
        <f>ROUND(L345*LK_AllowanceRates!$B$25/100,0)</f>
        <v>169400</v>
      </c>
      <c r="AE345" s="106">
        <f t="shared" ca="1" si="44"/>
        <v>8300600</v>
      </c>
      <c r="AF345" s="106">
        <f t="shared" ca="1" si="45"/>
        <v>515060</v>
      </c>
      <c r="AG345" s="107">
        <v>0</v>
      </c>
      <c r="AH345" s="107">
        <v>0</v>
      </c>
      <c r="AI345" s="108">
        <f t="shared" ca="1" si="46"/>
        <v>684460</v>
      </c>
      <c r="AJ345" s="109">
        <f t="shared" ca="1" si="47"/>
        <v>7785540</v>
      </c>
    </row>
    <row r="346" spans="1:36" ht="15" customHeight="1" x14ac:dyDescent="0.3">
      <c r="A346" s="98" t="str">
        <f>EMPLOYEE_MASTER!A346</f>
        <v>LAO00343</v>
      </c>
      <c r="B346" s="98" t="str">
        <f>EMPLOYEE_MASTER!C346</f>
        <v>Sommay</v>
      </c>
      <c r="C346" s="98" t="str">
        <f>EMPLOYEE_MASTER!D346</f>
        <v>Manodham</v>
      </c>
      <c r="D346" s="98" t="str">
        <f>EMPLOYEE_MASTER!T346</f>
        <v>Ministry of Health (MoH)</v>
      </c>
      <c r="E346" s="98" t="str">
        <f>EMPLOYEE_MASTER!M346</f>
        <v>Medical Doctor</v>
      </c>
      <c r="F346" s="98" t="str">
        <f>EMPLOYEE_MASTER!Z346</f>
        <v>Medical</v>
      </c>
      <c r="G346" s="99">
        <f>EMPLOYEE_MASTER!P346</f>
        <v>5</v>
      </c>
      <c r="H346" s="99">
        <f>EMPLOYEE_MASTER!Q346</f>
        <v>1</v>
      </c>
      <c r="I346" s="100" t="str">
        <f t="shared" si="40"/>
        <v>G05-S01</v>
      </c>
      <c r="J346" s="100">
        <f>IFERROR(VLOOKUP(I346,LK_GradeStep!$C$4:$D$85,2,0),0)</f>
        <v>308</v>
      </c>
      <c r="K346" s="100">
        <f>IFERROR(VLOOKUP(I346,LK_GradeStep!$C$4:$E$85,3,0),10000)</f>
        <v>10000</v>
      </c>
      <c r="L346" s="100">
        <f t="shared" si="41"/>
        <v>3080000</v>
      </c>
      <c r="M346" s="101">
        <f>IFERROR(VLOOKUP(EMPLOYEE_MASTER!AQ346,LK_AllowanceRates!$A$5:$B$11,2,0),0)</f>
        <v>900000</v>
      </c>
      <c r="N346" s="101">
        <f ca="1">IFERROR(IF(EMPLOYEE_MASTER!J346&lt;=5,  EMPLOYEE_MASTER!J346*LK_AllowanceRates!$B$12,IF(EMPLOYEE_MASTER!J346&lt;=15, EMPLOYEE_MASTER!J346*LK_AllowanceRates!$B$13,IF(EMPLOYEE_MASTER!J346&lt;=25, EMPLOYEE_MASTER!J346*LK_AllowanceRates!$B$14,EMPLOYEE_MASTER!J346*LK_AllowanceRates!$B$15))),0)</f>
        <v>1040000</v>
      </c>
      <c r="O346" s="101">
        <f>IF(EMPLOYEE_MASTER!AS346="Teaching",L346*LK_AllowanceRates!$B$16,0)</f>
        <v>0</v>
      </c>
      <c r="P346" s="101">
        <f>IF(EMPLOYEE_MASTER!AS346="Medical",LK_AllowanceRates!$B$17,0)</f>
        <v>500000</v>
      </c>
      <c r="Q346" s="101">
        <f>IF(EMPLOYEE_MASTER!AR346="Yes",LK_AllowanceRates!$B$18,0)</f>
        <v>0</v>
      </c>
      <c r="R346" s="101">
        <f>IF(EMPLOYEE_MASTER!AC346="Yes",LK_AllowanceRates!$B$19,0)</f>
        <v>1000000</v>
      </c>
      <c r="S346" s="101">
        <f>IF(EMPLOYEE_MASTER!AA346="Yes",L346*LK_AllowanceRates!$B$20,0)</f>
        <v>770000</v>
      </c>
      <c r="T346" s="101">
        <f>IF(EMPLOYEE_MASTER!AB346="Yes",LK_AllowanceRates!$B$21,0)</f>
        <v>0</v>
      </c>
      <c r="U346" s="101">
        <f>IF(EMPLOYEE_MASTER!P346&gt;=6,LK_AllowanceRates!$B$22,0)</f>
        <v>0</v>
      </c>
      <c r="V346" s="101">
        <f>IF(EMPLOYEE_MASTER!AO346="Yes",LK_AllowanceRates!$B$23,0)</f>
        <v>0</v>
      </c>
      <c r="W346" s="101">
        <f>EMPLOYEE_MASTER!AP346*LK_AllowanceRates!$B$24</f>
        <v>0</v>
      </c>
      <c r="X346" s="101">
        <v>0</v>
      </c>
      <c r="Y346" s="102">
        <v>0</v>
      </c>
      <c r="Z346" s="102">
        <v>0</v>
      </c>
      <c r="AA346" s="102">
        <v>0</v>
      </c>
      <c r="AB346" s="103">
        <f t="shared" ca="1" si="42"/>
        <v>4210000</v>
      </c>
      <c r="AC346" s="104">
        <f t="shared" ca="1" si="43"/>
        <v>7290000</v>
      </c>
      <c r="AD346" s="105">
        <f>ROUND(L346*LK_AllowanceRates!$B$25/100,0)</f>
        <v>169400</v>
      </c>
      <c r="AE346" s="106">
        <f t="shared" ca="1" si="44"/>
        <v>7120600</v>
      </c>
      <c r="AF346" s="106">
        <f t="shared" ca="1" si="45"/>
        <v>397060</v>
      </c>
      <c r="AG346" s="107">
        <v>0</v>
      </c>
      <c r="AH346" s="107">
        <v>0</v>
      </c>
      <c r="AI346" s="108">
        <f t="shared" ca="1" si="46"/>
        <v>566460</v>
      </c>
      <c r="AJ346" s="109">
        <f t="shared" ca="1" si="47"/>
        <v>6723540</v>
      </c>
    </row>
    <row r="347" spans="1:36" ht="15" customHeight="1" x14ac:dyDescent="0.3">
      <c r="A347" s="98" t="str">
        <f>EMPLOYEE_MASTER!A347</f>
        <v>LAO00344</v>
      </c>
      <c r="B347" s="98" t="str">
        <f>EMPLOYEE_MASTER!C347</f>
        <v>Phonesavanh</v>
      </c>
      <c r="C347" s="98" t="str">
        <f>EMPLOYEE_MASTER!D347</f>
        <v>Phouthavong</v>
      </c>
      <c r="D347" s="98" t="str">
        <f>EMPLOYEE_MASTER!T347</f>
        <v>Ministry of Natural Resources &amp; Environment (MoNRE)</v>
      </c>
      <c r="E347" s="98" t="str">
        <f>EMPLOYEE_MASTER!M347</f>
        <v>Senior Engineer</v>
      </c>
      <c r="F347" s="98" t="str">
        <f>EMPLOYEE_MASTER!Z347</f>
        <v>Technical</v>
      </c>
      <c r="G347" s="99">
        <f>EMPLOYEE_MASTER!P347</f>
        <v>5</v>
      </c>
      <c r="H347" s="99">
        <f>EMPLOYEE_MASTER!Q347</f>
        <v>2</v>
      </c>
      <c r="I347" s="100" t="str">
        <f t="shared" si="40"/>
        <v>G05-S02</v>
      </c>
      <c r="J347" s="100">
        <f>IFERROR(VLOOKUP(I347,LK_GradeStep!$C$4:$D$85,2,0),0)</f>
        <v>313</v>
      </c>
      <c r="K347" s="100">
        <f>IFERROR(VLOOKUP(I347,LK_GradeStep!$C$4:$E$85,3,0),10000)</f>
        <v>10000</v>
      </c>
      <c r="L347" s="100">
        <f t="shared" si="41"/>
        <v>3130000</v>
      </c>
      <c r="M347" s="101">
        <f>IFERROR(VLOOKUP(EMPLOYEE_MASTER!AQ347,LK_AllowanceRates!$A$5:$B$11,2,0),0)</f>
        <v>900000</v>
      </c>
      <c r="N347" s="101">
        <f ca="1">IFERROR(IF(EMPLOYEE_MASTER!J347&lt;=5,  EMPLOYEE_MASTER!J347*LK_AllowanceRates!$B$12,IF(EMPLOYEE_MASTER!J347&lt;=15, EMPLOYEE_MASTER!J347*LK_AllowanceRates!$B$13,IF(EMPLOYEE_MASTER!J347&lt;=25, EMPLOYEE_MASTER!J347*LK_AllowanceRates!$B$14,EMPLOYEE_MASTER!J347*LK_AllowanceRates!$B$15))),0)</f>
        <v>1280000</v>
      </c>
      <c r="O347" s="101">
        <f>IF(EMPLOYEE_MASTER!AS347="Teaching",L347*LK_AllowanceRates!$B$16,0)</f>
        <v>0</v>
      </c>
      <c r="P347" s="101">
        <f>IF(EMPLOYEE_MASTER!AS347="Medical",LK_AllowanceRates!$B$17,0)</f>
        <v>0</v>
      </c>
      <c r="Q347" s="101">
        <f>IF(EMPLOYEE_MASTER!AR347="Yes",LK_AllowanceRates!$B$18,0)</f>
        <v>0</v>
      </c>
      <c r="R347" s="101">
        <f>IF(EMPLOYEE_MASTER!AC347="Yes",LK_AllowanceRates!$B$19,0)</f>
        <v>0</v>
      </c>
      <c r="S347" s="101">
        <f>IF(EMPLOYEE_MASTER!AA347="Yes",L347*LK_AllowanceRates!$B$20,0)</f>
        <v>782500</v>
      </c>
      <c r="T347" s="101">
        <f>IF(EMPLOYEE_MASTER!AB347="Yes",LK_AllowanceRates!$B$21,0)</f>
        <v>0</v>
      </c>
      <c r="U347" s="101">
        <f>IF(EMPLOYEE_MASTER!P347&gt;=6,LK_AllowanceRates!$B$22,0)</f>
        <v>0</v>
      </c>
      <c r="V347" s="101">
        <f>IF(EMPLOYEE_MASTER!AO347="Yes",LK_AllowanceRates!$B$23,0)</f>
        <v>200000</v>
      </c>
      <c r="W347" s="101">
        <f>EMPLOYEE_MASTER!AP347*LK_AllowanceRates!$B$24</f>
        <v>200000</v>
      </c>
      <c r="X347" s="101">
        <v>0</v>
      </c>
      <c r="Y347" s="102">
        <v>0</v>
      </c>
      <c r="Z347" s="102">
        <v>0</v>
      </c>
      <c r="AA347" s="102">
        <v>0</v>
      </c>
      <c r="AB347" s="103">
        <f t="shared" ca="1" si="42"/>
        <v>3362500</v>
      </c>
      <c r="AC347" s="104">
        <f t="shared" ca="1" si="43"/>
        <v>6492500</v>
      </c>
      <c r="AD347" s="105">
        <f>ROUND(L347*LK_AllowanceRates!$B$25/100,0)</f>
        <v>172150</v>
      </c>
      <c r="AE347" s="106">
        <f t="shared" ca="1" si="44"/>
        <v>6320350</v>
      </c>
      <c r="AF347" s="106">
        <f t="shared" ca="1" si="45"/>
        <v>317035</v>
      </c>
      <c r="AG347" s="107">
        <v>0</v>
      </c>
      <c r="AH347" s="107">
        <v>0</v>
      </c>
      <c r="AI347" s="108">
        <f t="shared" ca="1" si="46"/>
        <v>489185</v>
      </c>
      <c r="AJ347" s="109">
        <f t="shared" ca="1" si="47"/>
        <v>6003315</v>
      </c>
    </row>
    <row r="348" spans="1:36" ht="15" customHeight="1" x14ac:dyDescent="0.3">
      <c r="A348" s="98" t="str">
        <f>EMPLOYEE_MASTER!A348</f>
        <v>LAO00345</v>
      </c>
      <c r="B348" s="98" t="str">
        <f>EMPLOYEE_MASTER!C348</f>
        <v>Phonedeth</v>
      </c>
      <c r="C348" s="98" t="str">
        <f>EMPLOYEE_MASTER!D348</f>
        <v>Xayavong</v>
      </c>
      <c r="D348" s="98" t="str">
        <f>EMPLOYEE_MASTER!T348</f>
        <v>Savannakhet Province Administration</v>
      </c>
      <c r="E348" s="98" t="str">
        <f>EMPLOYEE_MASTER!M348</f>
        <v>Department Director</v>
      </c>
      <c r="F348" s="98" t="str">
        <f>EMPLOYEE_MASTER!Z348</f>
        <v>Administration</v>
      </c>
      <c r="G348" s="99">
        <f>EMPLOYEE_MASTER!P348</f>
        <v>4</v>
      </c>
      <c r="H348" s="99">
        <f>EMPLOYEE_MASTER!Q348</f>
        <v>9</v>
      </c>
      <c r="I348" s="100" t="str">
        <f t="shared" si="40"/>
        <v>G04-S09</v>
      </c>
      <c r="J348" s="100">
        <f>IFERROR(VLOOKUP(I348,LK_GradeStep!$C$4:$D$85,2,0),0)</f>
        <v>308</v>
      </c>
      <c r="K348" s="100">
        <f>IFERROR(VLOOKUP(I348,LK_GradeStep!$C$4:$E$85,3,0),10000)</f>
        <v>10000</v>
      </c>
      <c r="L348" s="100">
        <f t="shared" si="41"/>
        <v>3080000</v>
      </c>
      <c r="M348" s="101">
        <f>IFERROR(VLOOKUP(EMPLOYEE_MASTER!AQ348,LK_AllowanceRates!$A$5:$B$11,2,0),0)</f>
        <v>2500000</v>
      </c>
      <c r="N348" s="101">
        <f ca="1">IFERROR(IF(EMPLOYEE_MASTER!J348&lt;=5,  EMPLOYEE_MASTER!J348*LK_AllowanceRates!$B$12,IF(EMPLOYEE_MASTER!J348&lt;=15, EMPLOYEE_MASTER!J348*LK_AllowanceRates!$B$13,IF(EMPLOYEE_MASTER!J348&lt;=25, EMPLOYEE_MASTER!J348*LK_AllowanceRates!$B$14,EMPLOYEE_MASTER!J348*LK_AllowanceRates!$B$15))),0)</f>
        <v>160000</v>
      </c>
      <c r="O348" s="101">
        <f>IF(EMPLOYEE_MASTER!AS348="Teaching",L348*LK_AllowanceRates!$B$16,0)</f>
        <v>0</v>
      </c>
      <c r="P348" s="101">
        <f>IF(EMPLOYEE_MASTER!AS348="Medical",LK_AllowanceRates!$B$17,0)</f>
        <v>0</v>
      </c>
      <c r="Q348" s="101">
        <f>IF(EMPLOYEE_MASTER!AR348="Yes",LK_AllowanceRates!$B$18,0)</f>
        <v>0</v>
      </c>
      <c r="R348" s="101">
        <f>IF(EMPLOYEE_MASTER!AC348="Yes",LK_AllowanceRates!$B$19,0)</f>
        <v>0</v>
      </c>
      <c r="S348" s="101">
        <f>IF(EMPLOYEE_MASTER!AA348="Yes",L348*LK_AllowanceRates!$B$20,0)</f>
        <v>0</v>
      </c>
      <c r="T348" s="101">
        <f>IF(EMPLOYEE_MASTER!AB348="Yes",LK_AllowanceRates!$B$21,0)</f>
        <v>0</v>
      </c>
      <c r="U348" s="101">
        <f>IF(EMPLOYEE_MASTER!P348&gt;=6,LK_AllowanceRates!$B$22,0)</f>
        <v>0</v>
      </c>
      <c r="V348" s="101">
        <f>IF(EMPLOYEE_MASTER!AO348="Yes",LK_AllowanceRates!$B$23,0)</f>
        <v>200000</v>
      </c>
      <c r="W348" s="101">
        <f>EMPLOYEE_MASTER!AP348*LK_AllowanceRates!$B$24</f>
        <v>600000</v>
      </c>
      <c r="X348" s="101">
        <v>0</v>
      </c>
      <c r="Y348" s="102">
        <v>0</v>
      </c>
      <c r="Z348" s="102">
        <v>0</v>
      </c>
      <c r="AA348" s="102">
        <v>0</v>
      </c>
      <c r="AB348" s="103">
        <f t="shared" ca="1" si="42"/>
        <v>3460000</v>
      </c>
      <c r="AC348" s="104">
        <f t="shared" ca="1" si="43"/>
        <v>6540000</v>
      </c>
      <c r="AD348" s="105">
        <f>ROUND(L348*LK_AllowanceRates!$B$25/100,0)</f>
        <v>169400</v>
      </c>
      <c r="AE348" s="106">
        <f t="shared" ca="1" si="44"/>
        <v>6370600</v>
      </c>
      <c r="AF348" s="106">
        <f t="shared" ca="1" si="45"/>
        <v>322060</v>
      </c>
      <c r="AG348" s="107">
        <v>0</v>
      </c>
      <c r="AH348" s="107">
        <v>0</v>
      </c>
      <c r="AI348" s="108">
        <f t="shared" ca="1" si="46"/>
        <v>491460</v>
      </c>
      <c r="AJ348" s="109">
        <f t="shared" ca="1" si="47"/>
        <v>6048540</v>
      </c>
    </row>
    <row r="349" spans="1:36" ht="15" customHeight="1" x14ac:dyDescent="0.3">
      <c r="A349" s="98" t="str">
        <f>EMPLOYEE_MASTER!A349</f>
        <v>LAO00346</v>
      </c>
      <c r="B349" s="98" t="str">
        <f>EMPLOYEE_MASTER!C349</f>
        <v>Souphine</v>
      </c>
      <c r="C349" s="98" t="str">
        <f>EMPLOYEE_MASTER!D349</f>
        <v>Sisouvath</v>
      </c>
      <c r="D349" s="98" t="str">
        <f>EMPLOYEE_MASTER!T349</f>
        <v>Luang Prabang Province Administration</v>
      </c>
      <c r="E349" s="98" t="str">
        <f>EMPLOYEE_MASTER!M349</f>
        <v>Officer</v>
      </c>
      <c r="F349" s="98" t="str">
        <f>EMPLOYEE_MASTER!Z349</f>
        <v>Administration</v>
      </c>
      <c r="G349" s="99">
        <f>EMPLOYEE_MASTER!P349</f>
        <v>4</v>
      </c>
      <c r="H349" s="99">
        <f>EMPLOYEE_MASTER!Q349</f>
        <v>13</v>
      </c>
      <c r="I349" s="100" t="str">
        <f t="shared" si="40"/>
        <v>G04-S13</v>
      </c>
      <c r="J349" s="100">
        <f>IFERROR(VLOOKUP(I349,LK_GradeStep!$C$4:$D$85,2,0),0)</f>
        <v>328</v>
      </c>
      <c r="K349" s="100">
        <f>IFERROR(VLOOKUP(I349,LK_GradeStep!$C$4:$E$85,3,0),10000)</f>
        <v>10000</v>
      </c>
      <c r="L349" s="100">
        <f t="shared" si="41"/>
        <v>3280000</v>
      </c>
      <c r="M349" s="101">
        <f>IFERROR(VLOOKUP(EMPLOYEE_MASTER!AQ349,LK_AllowanceRates!$A$5:$B$11,2,0),0)</f>
        <v>900000</v>
      </c>
      <c r="N349" s="101">
        <f ca="1">IFERROR(IF(EMPLOYEE_MASTER!J349&lt;=5,  EMPLOYEE_MASTER!J349*LK_AllowanceRates!$B$12,IF(EMPLOYEE_MASTER!J349&lt;=15, EMPLOYEE_MASTER!J349*LK_AllowanceRates!$B$13,IF(EMPLOYEE_MASTER!J349&lt;=25, EMPLOYEE_MASTER!J349*LK_AllowanceRates!$B$14,EMPLOYEE_MASTER!J349*LK_AllowanceRates!$B$15))),0)</f>
        <v>30000</v>
      </c>
      <c r="O349" s="101">
        <f>IF(EMPLOYEE_MASTER!AS349="Teaching",L349*LK_AllowanceRates!$B$16,0)</f>
        <v>0</v>
      </c>
      <c r="P349" s="101">
        <f>IF(EMPLOYEE_MASTER!AS349="Medical",LK_AllowanceRates!$B$17,0)</f>
        <v>0</v>
      </c>
      <c r="Q349" s="101">
        <f>IF(EMPLOYEE_MASTER!AR349="Yes",LK_AllowanceRates!$B$18,0)</f>
        <v>0</v>
      </c>
      <c r="R349" s="101">
        <f>IF(EMPLOYEE_MASTER!AC349="Yes",LK_AllowanceRates!$B$19,0)</f>
        <v>1000000</v>
      </c>
      <c r="S349" s="101">
        <f>IF(EMPLOYEE_MASTER!AA349="Yes",L349*LK_AllowanceRates!$B$20,0)</f>
        <v>0</v>
      </c>
      <c r="T349" s="101">
        <f>IF(EMPLOYEE_MASTER!AB349="Yes",LK_AllowanceRates!$B$21,0)</f>
        <v>0</v>
      </c>
      <c r="U349" s="101">
        <f>IF(EMPLOYEE_MASTER!P349&gt;=6,LK_AllowanceRates!$B$22,0)</f>
        <v>0</v>
      </c>
      <c r="V349" s="101">
        <f>IF(EMPLOYEE_MASTER!AO349="Yes",LK_AllowanceRates!$B$23,0)</f>
        <v>200000</v>
      </c>
      <c r="W349" s="101">
        <f>EMPLOYEE_MASTER!AP349*LK_AllowanceRates!$B$24</f>
        <v>400000</v>
      </c>
      <c r="X349" s="101">
        <v>0</v>
      </c>
      <c r="Y349" s="102">
        <v>0</v>
      </c>
      <c r="Z349" s="102">
        <v>0</v>
      </c>
      <c r="AA349" s="102">
        <v>0</v>
      </c>
      <c r="AB349" s="103">
        <f t="shared" ca="1" si="42"/>
        <v>2530000</v>
      </c>
      <c r="AC349" s="104">
        <f t="shared" ca="1" si="43"/>
        <v>5810000</v>
      </c>
      <c r="AD349" s="105">
        <f>ROUND(L349*LK_AllowanceRates!$B$25/100,0)</f>
        <v>180400</v>
      </c>
      <c r="AE349" s="106">
        <f t="shared" ca="1" si="44"/>
        <v>5629600</v>
      </c>
      <c r="AF349" s="106">
        <f t="shared" ca="1" si="45"/>
        <v>247960</v>
      </c>
      <c r="AG349" s="107">
        <v>0</v>
      </c>
      <c r="AH349" s="107">
        <v>0</v>
      </c>
      <c r="AI349" s="108">
        <f t="shared" ca="1" si="46"/>
        <v>428360</v>
      </c>
      <c r="AJ349" s="109">
        <f t="shared" ca="1" si="47"/>
        <v>5381640</v>
      </c>
    </row>
    <row r="350" spans="1:36" ht="15" customHeight="1" x14ac:dyDescent="0.3">
      <c r="A350" s="98" t="str">
        <f>EMPLOYEE_MASTER!A350</f>
        <v>LAO00347</v>
      </c>
      <c r="B350" s="98" t="str">
        <f>EMPLOYEE_MASTER!C350</f>
        <v>Thongpheth</v>
      </c>
      <c r="C350" s="98" t="str">
        <f>EMPLOYEE_MASTER!D350</f>
        <v>Phommavong</v>
      </c>
      <c r="D350" s="98" t="str">
        <f>EMPLOYEE_MASTER!T350</f>
        <v>Champasak Province Administration</v>
      </c>
      <c r="E350" s="98" t="str">
        <f>EMPLOYEE_MASTER!M350</f>
        <v>Division Chief</v>
      </c>
      <c r="F350" s="98" t="str">
        <f>EMPLOYEE_MASTER!Z350</f>
        <v>Administration</v>
      </c>
      <c r="G350" s="99">
        <f>EMPLOYEE_MASTER!P350</f>
        <v>4</v>
      </c>
      <c r="H350" s="99">
        <f>EMPLOYEE_MASTER!Q350</f>
        <v>4</v>
      </c>
      <c r="I350" s="100" t="str">
        <f t="shared" si="40"/>
        <v>G04-S04</v>
      </c>
      <c r="J350" s="100">
        <f>IFERROR(VLOOKUP(I350,LK_GradeStep!$C$4:$D$85,2,0),0)</f>
        <v>292</v>
      </c>
      <c r="K350" s="100">
        <f>IFERROR(VLOOKUP(I350,LK_GradeStep!$C$4:$E$85,3,0),10000)</f>
        <v>10000</v>
      </c>
      <c r="L350" s="100">
        <f t="shared" si="41"/>
        <v>2920000</v>
      </c>
      <c r="M350" s="101">
        <f>IFERROR(VLOOKUP(EMPLOYEE_MASTER!AQ350,LK_AllowanceRates!$A$5:$B$11,2,0),0)</f>
        <v>1900000</v>
      </c>
      <c r="N350" s="101">
        <f ca="1">IFERROR(IF(EMPLOYEE_MASTER!J350&lt;=5,  EMPLOYEE_MASTER!J350*LK_AllowanceRates!$B$12,IF(EMPLOYEE_MASTER!J350&lt;=15, EMPLOYEE_MASTER!J350*LK_AllowanceRates!$B$13,IF(EMPLOYEE_MASTER!J350&lt;=25, EMPLOYEE_MASTER!J350*LK_AllowanceRates!$B$14,EMPLOYEE_MASTER!J350*LK_AllowanceRates!$B$15))),0)</f>
        <v>750000</v>
      </c>
      <c r="O350" s="101">
        <f>IF(EMPLOYEE_MASTER!AS350="Teaching",L350*LK_AllowanceRates!$B$16,0)</f>
        <v>0</v>
      </c>
      <c r="P350" s="101">
        <f>IF(EMPLOYEE_MASTER!AS350="Medical",LK_AllowanceRates!$B$17,0)</f>
        <v>0</v>
      </c>
      <c r="Q350" s="101">
        <f>IF(EMPLOYEE_MASTER!AR350="Yes",LK_AllowanceRates!$B$18,0)</f>
        <v>0</v>
      </c>
      <c r="R350" s="101">
        <f>IF(EMPLOYEE_MASTER!AC350="Yes",LK_AllowanceRates!$B$19,0)</f>
        <v>1000000</v>
      </c>
      <c r="S350" s="101">
        <f>IF(EMPLOYEE_MASTER!AA350="Yes",L350*LK_AllowanceRates!$B$20,0)</f>
        <v>730000</v>
      </c>
      <c r="T350" s="101">
        <f>IF(EMPLOYEE_MASTER!AB350="Yes",LK_AllowanceRates!$B$21,0)</f>
        <v>0</v>
      </c>
      <c r="U350" s="101">
        <f>IF(EMPLOYEE_MASTER!P350&gt;=6,LK_AllowanceRates!$B$22,0)</f>
        <v>0</v>
      </c>
      <c r="V350" s="101">
        <f>IF(EMPLOYEE_MASTER!AO350="Yes",LK_AllowanceRates!$B$23,0)</f>
        <v>0</v>
      </c>
      <c r="W350" s="101">
        <f>EMPLOYEE_MASTER!AP350*LK_AllowanceRates!$B$24</f>
        <v>0</v>
      </c>
      <c r="X350" s="101">
        <v>0</v>
      </c>
      <c r="Y350" s="102">
        <v>0</v>
      </c>
      <c r="Z350" s="102">
        <v>0</v>
      </c>
      <c r="AA350" s="102">
        <v>0</v>
      </c>
      <c r="AB350" s="103">
        <f t="shared" ca="1" si="42"/>
        <v>4380000</v>
      </c>
      <c r="AC350" s="104">
        <f t="shared" ca="1" si="43"/>
        <v>7300000</v>
      </c>
      <c r="AD350" s="105">
        <f>ROUND(L350*LK_AllowanceRates!$B$25/100,0)</f>
        <v>160600</v>
      </c>
      <c r="AE350" s="106">
        <f t="shared" ca="1" si="44"/>
        <v>7139400</v>
      </c>
      <c r="AF350" s="106">
        <f t="shared" ca="1" si="45"/>
        <v>398940</v>
      </c>
      <c r="AG350" s="107">
        <v>0</v>
      </c>
      <c r="AH350" s="107">
        <v>0</v>
      </c>
      <c r="AI350" s="108">
        <f t="shared" ca="1" si="46"/>
        <v>559540</v>
      </c>
      <c r="AJ350" s="109">
        <f t="shared" ca="1" si="47"/>
        <v>6740460</v>
      </c>
    </row>
    <row r="351" spans="1:36" ht="15" customHeight="1" x14ac:dyDescent="0.3">
      <c r="A351" s="98" t="str">
        <f>EMPLOYEE_MASTER!A351</f>
        <v>LAO00348</v>
      </c>
      <c r="B351" s="98" t="str">
        <f>EMPLOYEE_MASTER!C351</f>
        <v>Keomany</v>
      </c>
      <c r="C351" s="98" t="str">
        <f>EMPLOYEE_MASTER!D351</f>
        <v>Vilayvong</v>
      </c>
      <c r="D351" s="98" t="str">
        <f>EMPLOYEE_MASTER!T351</f>
        <v>Ministry of Health (MoH)</v>
      </c>
      <c r="E351" s="98" t="str">
        <f>EMPLOYEE_MASTER!M351</f>
        <v>Public Health Officer</v>
      </c>
      <c r="F351" s="98" t="str">
        <f>EMPLOYEE_MASTER!Z351</f>
        <v>Medical</v>
      </c>
      <c r="G351" s="99">
        <f>EMPLOYEE_MASTER!P351</f>
        <v>4</v>
      </c>
      <c r="H351" s="99">
        <f>EMPLOYEE_MASTER!Q351</f>
        <v>11</v>
      </c>
      <c r="I351" s="100" t="str">
        <f t="shared" si="40"/>
        <v>G04-S11</v>
      </c>
      <c r="J351" s="100">
        <f>IFERROR(VLOOKUP(I351,LK_GradeStep!$C$4:$D$85,2,0),0)</f>
        <v>318</v>
      </c>
      <c r="K351" s="100">
        <f>IFERROR(VLOOKUP(I351,LK_GradeStep!$C$4:$E$85,3,0),10000)</f>
        <v>10000</v>
      </c>
      <c r="L351" s="100">
        <f t="shared" si="41"/>
        <v>3180000</v>
      </c>
      <c r="M351" s="101">
        <f>IFERROR(VLOOKUP(EMPLOYEE_MASTER!AQ351,LK_AllowanceRates!$A$5:$B$11,2,0),0)</f>
        <v>900000</v>
      </c>
      <c r="N351" s="101">
        <f ca="1">IFERROR(IF(EMPLOYEE_MASTER!J351&lt;=5,  EMPLOYEE_MASTER!J351*LK_AllowanceRates!$B$12,IF(EMPLOYEE_MASTER!J351&lt;=15, EMPLOYEE_MASTER!J351*LK_AllowanceRates!$B$13,IF(EMPLOYEE_MASTER!J351&lt;=25, EMPLOYEE_MASTER!J351*LK_AllowanceRates!$B$14,EMPLOYEE_MASTER!J351*LK_AllowanceRates!$B$15))),0)</f>
        <v>20000</v>
      </c>
      <c r="O351" s="101">
        <f>IF(EMPLOYEE_MASTER!AS351="Teaching",L351*LK_AllowanceRates!$B$16,0)</f>
        <v>0</v>
      </c>
      <c r="P351" s="101">
        <f>IF(EMPLOYEE_MASTER!AS351="Medical",LK_AllowanceRates!$B$17,0)</f>
        <v>500000</v>
      </c>
      <c r="Q351" s="101">
        <f>IF(EMPLOYEE_MASTER!AR351="Yes",LK_AllowanceRates!$B$18,0)</f>
        <v>0</v>
      </c>
      <c r="R351" s="101">
        <f>IF(EMPLOYEE_MASTER!AC351="Yes",LK_AllowanceRates!$B$19,0)</f>
        <v>1000000</v>
      </c>
      <c r="S351" s="101">
        <f>IF(EMPLOYEE_MASTER!AA351="Yes",L351*LK_AllowanceRates!$B$20,0)</f>
        <v>795000</v>
      </c>
      <c r="T351" s="101">
        <f>IF(EMPLOYEE_MASTER!AB351="Yes",LK_AllowanceRates!$B$21,0)</f>
        <v>0</v>
      </c>
      <c r="U351" s="101">
        <f>IF(EMPLOYEE_MASTER!P351&gt;=6,LK_AllowanceRates!$B$22,0)</f>
        <v>0</v>
      </c>
      <c r="V351" s="101">
        <f>IF(EMPLOYEE_MASTER!AO351="Yes",LK_AllowanceRates!$B$23,0)</f>
        <v>200000</v>
      </c>
      <c r="W351" s="101">
        <f>EMPLOYEE_MASTER!AP351*LK_AllowanceRates!$B$24</f>
        <v>200000</v>
      </c>
      <c r="X351" s="101">
        <v>0</v>
      </c>
      <c r="Y351" s="102">
        <v>0</v>
      </c>
      <c r="Z351" s="102">
        <v>0</v>
      </c>
      <c r="AA351" s="102">
        <v>0</v>
      </c>
      <c r="AB351" s="103">
        <f t="shared" ca="1" si="42"/>
        <v>3615000</v>
      </c>
      <c r="AC351" s="104">
        <f t="shared" ca="1" si="43"/>
        <v>6795000</v>
      </c>
      <c r="AD351" s="105">
        <f>ROUND(L351*LK_AllowanceRates!$B$25/100,0)</f>
        <v>174900</v>
      </c>
      <c r="AE351" s="106">
        <f t="shared" ca="1" si="44"/>
        <v>6620100</v>
      </c>
      <c r="AF351" s="106">
        <f t="shared" ca="1" si="45"/>
        <v>347010</v>
      </c>
      <c r="AG351" s="107">
        <v>0</v>
      </c>
      <c r="AH351" s="107">
        <v>0</v>
      </c>
      <c r="AI351" s="108">
        <f t="shared" ca="1" si="46"/>
        <v>521910</v>
      </c>
      <c r="AJ351" s="109">
        <f t="shared" ca="1" si="47"/>
        <v>6273090</v>
      </c>
    </row>
    <row r="352" spans="1:36" ht="15" customHeight="1" x14ac:dyDescent="0.3">
      <c r="A352" s="98" t="str">
        <f>EMPLOYEE_MASTER!A352</f>
        <v>LAO00349</v>
      </c>
      <c r="B352" s="98" t="str">
        <f>EMPLOYEE_MASTER!C352</f>
        <v>Khamphone</v>
      </c>
      <c r="C352" s="98" t="str">
        <f>EMPLOYEE_MASTER!D352</f>
        <v>Khonesavanh</v>
      </c>
      <c r="D352" s="98" t="str">
        <f>EMPLOYEE_MASTER!T352</f>
        <v>Ministry of Health (MoH)</v>
      </c>
      <c r="E352" s="98" t="str">
        <f>EMPLOYEE_MASTER!M352</f>
        <v>Medical Doctor</v>
      </c>
      <c r="F352" s="98" t="str">
        <f>EMPLOYEE_MASTER!Z352</f>
        <v>Medical</v>
      </c>
      <c r="G352" s="99">
        <f>EMPLOYEE_MASTER!P352</f>
        <v>5</v>
      </c>
      <c r="H352" s="99">
        <f>EMPLOYEE_MASTER!Q352</f>
        <v>13</v>
      </c>
      <c r="I352" s="100" t="str">
        <f t="shared" si="40"/>
        <v>G05-S13</v>
      </c>
      <c r="J352" s="100">
        <f>IFERROR(VLOOKUP(I352,LK_GradeStep!$C$4:$D$85,2,0),0)</f>
        <v>398</v>
      </c>
      <c r="K352" s="100">
        <f>IFERROR(VLOOKUP(I352,LK_GradeStep!$C$4:$E$85,3,0),10000)</f>
        <v>10000</v>
      </c>
      <c r="L352" s="100">
        <f t="shared" si="41"/>
        <v>3980000</v>
      </c>
      <c r="M352" s="101">
        <f>IFERROR(VLOOKUP(EMPLOYEE_MASTER!AQ352,LK_AllowanceRates!$A$5:$B$11,2,0),0)</f>
        <v>900000</v>
      </c>
      <c r="N352" s="101">
        <f ca="1">IFERROR(IF(EMPLOYEE_MASTER!J352&lt;=5,  EMPLOYEE_MASTER!J352*LK_AllowanceRates!$B$12,IF(EMPLOYEE_MASTER!J352&lt;=15, EMPLOYEE_MASTER!J352*LK_AllowanceRates!$B$13,IF(EMPLOYEE_MASTER!J352&lt;=25, EMPLOYEE_MASTER!J352*LK_AllowanceRates!$B$14,EMPLOYEE_MASTER!J352*LK_AllowanceRates!$B$15))),0)</f>
        <v>0</v>
      </c>
      <c r="O352" s="101">
        <f>IF(EMPLOYEE_MASTER!AS352="Teaching",L352*LK_AllowanceRates!$B$16,0)</f>
        <v>0</v>
      </c>
      <c r="P352" s="101">
        <f>IF(EMPLOYEE_MASTER!AS352="Medical",LK_AllowanceRates!$B$17,0)</f>
        <v>500000</v>
      </c>
      <c r="Q352" s="101">
        <f>IF(EMPLOYEE_MASTER!AR352="Yes",LK_AllowanceRates!$B$18,0)</f>
        <v>0</v>
      </c>
      <c r="R352" s="101">
        <f>IF(EMPLOYEE_MASTER!AC352="Yes",LK_AllowanceRates!$B$19,0)</f>
        <v>1000000</v>
      </c>
      <c r="S352" s="101">
        <f>IF(EMPLOYEE_MASTER!AA352="Yes",L352*LK_AllowanceRates!$B$20,0)</f>
        <v>995000</v>
      </c>
      <c r="T352" s="101">
        <f>IF(EMPLOYEE_MASTER!AB352="Yes",LK_AllowanceRates!$B$21,0)</f>
        <v>0</v>
      </c>
      <c r="U352" s="101">
        <f>IF(EMPLOYEE_MASTER!P352&gt;=6,LK_AllowanceRates!$B$22,0)</f>
        <v>0</v>
      </c>
      <c r="V352" s="101">
        <f>IF(EMPLOYEE_MASTER!AO352="Yes",LK_AllowanceRates!$B$23,0)</f>
        <v>200000</v>
      </c>
      <c r="W352" s="101">
        <f>EMPLOYEE_MASTER!AP352*LK_AllowanceRates!$B$24</f>
        <v>200000</v>
      </c>
      <c r="X352" s="101">
        <v>0</v>
      </c>
      <c r="Y352" s="102">
        <v>0</v>
      </c>
      <c r="Z352" s="102">
        <v>0</v>
      </c>
      <c r="AA352" s="102">
        <v>0</v>
      </c>
      <c r="AB352" s="103">
        <f t="shared" ca="1" si="42"/>
        <v>3795000</v>
      </c>
      <c r="AC352" s="104">
        <f t="shared" ca="1" si="43"/>
        <v>7775000</v>
      </c>
      <c r="AD352" s="105">
        <f>ROUND(L352*LK_AllowanceRates!$B$25/100,0)</f>
        <v>218900</v>
      </c>
      <c r="AE352" s="106">
        <f t="shared" ca="1" si="44"/>
        <v>7556100</v>
      </c>
      <c r="AF352" s="106">
        <f t="shared" ca="1" si="45"/>
        <v>440610</v>
      </c>
      <c r="AG352" s="107">
        <v>0</v>
      </c>
      <c r="AH352" s="107">
        <v>0</v>
      </c>
      <c r="AI352" s="108">
        <f t="shared" ca="1" si="46"/>
        <v>659510</v>
      </c>
      <c r="AJ352" s="109">
        <f t="shared" ca="1" si="47"/>
        <v>7115490</v>
      </c>
    </row>
    <row r="353" spans="1:36" ht="15" customHeight="1" x14ac:dyDescent="0.3">
      <c r="A353" s="98" t="str">
        <f>EMPLOYEE_MASTER!A353</f>
        <v>LAO00350</v>
      </c>
      <c r="B353" s="98" t="str">
        <f>EMPLOYEE_MASTER!C353</f>
        <v>Phonexay</v>
      </c>
      <c r="C353" s="98" t="str">
        <f>EMPLOYEE_MASTER!D353</f>
        <v>Vongsack</v>
      </c>
      <c r="D353" s="98" t="str">
        <f>EMPLOYEE_MASTER!T353</f>
        <v>Ministry of Health (MoH)</v>
      </c>
      <c r="E353" s="98" t="str">
        <f>EMPLOYEE_MASTER!M353</f>
        <v>Medical Technician</v>
      </c>
      <c r="F353" s="98" t="str">
        <f>EMPLOYEE_MASTER!Z353</f>
        <v>Medical</v>
      </c>
      <c r="G353" s="99">
        <f>EMPLOYEE_MASTER!P353</f>
        <v>2</v>
      </c>
      <c r="H353" s="99">
        <f>EMPLOYEE_MASTER!Q353</f>
        <v>1</v>
      </c>
      <c r="I353" s="100" t="str">
        <f t="shared" si="40"/>
        <v>G02-S01</v>
      </c>
      <c r="J353" s="100">
        <f>IFERROR(VLOOKUP(I353,LK_GradeStep!$C$4:$D$85,2,0),0)</f>
        <v>268</v>
      </c>
      <c r="K353" s="100">
        <f>IFERROR(VLOOKUP(I353,LK_GradeStep!$C$4:$E$85,3,0),10000)</f>
        <v>10000</v>
      </c>
      <c r="L353" s="100">
        <f t="shared" si="41"/>
        <v>2680000</v>
      </c>
      <c r="M353" s="101">
        <f>IFERROR(VLOOKUP(EMPLOYEE_MASTER!AQ353,LK_AllowanceRates!$A$5:$B$11,2,0),0)</f>
        <v>900000</v>
      </c>
      <c r="N353" s="101">
        <f ca="1">IFERROR(IF(EMPLOYEE_MASTER!J353&lt;=5,  EMPLOYEE_MASTER!J353*LK_AllowanceRates!$B$12,IF(EMPLOYEE_MASTER!J353&lt;=15, EMPLOYEE_MASTER!J353*LK_AllowanceRates!$B$13,IF(EMPLOYEE_MASTER!J353&lt;=25, EMPLOYEE_MASTER!J353*LK_AllowanceRates!$B$14,EMPLOYEE_MASTER!J353*LK_AllowanceRates!$B$15))),0)</f>
        <v>1040000</v>
      </c>
      <c r="O353" s="101">
        <f>IF(EMPLOYEE_MASTER!AS353="Teaching",L353*LK_AllowanceRates!$B$16,0)</f>
        <v>0</v>
      </c>
      <c r="P353" s="101">
        <f>IF(EMPLOYEE_MASTER!AS353="Medical",LK_AllowanceRates!$B$17,0)</f>
        <v>500000</v>
      </c>
      <c r="Q353" s="101">
        <f>IF(EMPLOYEE_MASTER!AR353="Yes",LK_AllowanceRates!$B$18,0)</f>
        <v>0</v>
      </c>
      <c r="R353" s="101">
        <f>IF(EMPLOYEE_MASTER!AC353="Yes",LK_AllowanceRates!$B$19,0)</f>
        <v>1000000</v>
      </c>
      <c r="S353" s="101">
        <f>IF(EMPLOYEE_MASTER!AA353="Yes",L353*LK_AllowanceRates!$B$20,0)</f>
        <v>670000</v>
      </c>
      <c r="T353" s="101">
        <f>IF(EMPLOYEE_MASTER!AB353="Yes",LK_AllowanceRates!$B$21,0)</f>
        <v>0</v>
      </c>
      <c r="U353" s="101">
        <f>IF(EMPLOYEE_MASTER!P353&gt;=6,LK_AllowanceRates!$B$22,0)</f>
        <v>0</v>
      </c>
      <c r="V353" s="101">
        <f>IF(EMPLOYEE_MASTER!AO353="Yes",LK_AllowanceRates!$B$23,0)</f>
        <v>200000</v>
      </c>
      <c r="W353" s="101">
        <f>EMPLOYEE_MASTER!AP353*LK_AllowanceRates!$B$24</f>
        <v>200000</v>
      </c>
      <c r="X353" s="101">
        <v>0</v>
      </c>
      <c r="Y353" s="102">
        <v>0</v>
      </c>
      <c r="Z353" s="102">
        <v>0</v>
      </c>
      <c r="AA353" s="102">
        <v>0</v>
      </c>
      <c r="AB353" s="103">
        <f t="shared" ca="1" si="42"/>
        <v>4510000</v>
      </c>
      <c r="AC353" s="104">
        <f t="shared" ca="1" si="43"/>
        <v>7190000</v>
      </c>
      <c r="AD353" s="105">
        <f>ROUND(L353*LK_AllowanceRates!$B$25/100,0)</f>
        <v>147400</v>
      </c>
      <c r="AE353" s="106">
        <f t="shared" ca="1" si="44"/>
        <v>7042600</v>
      </c>
      <c r="AF353" s="106">
        <f t="shared" ca="1" si="45"/>
        <v>389260</v>
      </c>
      <c r="AG353" s="107">
        <v>0</v>
      </c>
      <c r="AH353" s="107">
        <v>0</v>
      </c>
      <c r="AI353" s="108">
        <f t="shared" ca="1" si="46"/>
        <v>536660</v>
      </c>
      <c r="AJ353" s="109">
        <f t="shared" ca="1" si="47"/>
        <v>6653340</v>
      </c>
    </row>
    <row r="354" spans="1:36" ht="15" customHeight="1" x14ac:dyDescent="0.3">
      <c r="A354" s="98" t="str">
        <f>EMPLOYEE_MASTER!A354</f>
        <v>LAO00351</v>
      </c>
      <c r="B354" s="98" t="str">
        <f>EMPLOYEE_MASTER!C354</f>
        <v>Phimmaly</v>
      </c>
      <c r="C354" s="98" t="str">
        <f>EMPLOYEE_MASTER!D354</f>
        <v>Khounboulom</v>
      </c>
      <c r="D354" s="98" t="str">
        <f>EMPLOYEE_MASTER!T354</f>
        <v>Ministry of Health (MoH)</v>
      </c>
      <c r="E354" s="98" t="str">
        <f>EMPLOYEE_MASTER!M354</f>
        <v>Laboratory Technician</v>
      </c>
      <c r="F354" s="98" t="str">
        <f>EMPLOYEE_MASTER!Z354</f>
        <v>Medical</v>
      </c>
      <c r="G354" s="99">
        <f>EMPLOYEE_MASTER!P354</f>
        <v>3</v>
      </c>
      <c r="H354" s="99">
        <f>EMPLOYEE_MASTER!Q354</f>
        <v>1</v>
      </c>
      <c r="I354" s="100" t="str">
        <f t="shared" si="40"/>
        <v>G03-S01</v>
      </c>
      <c r="J354" s="100">
        <f>IFERROR(VLOOKUP(I354,LK_GradeStep!$C$4:$D$85,2,0),0)</f>
        <v>276</v>
      </c>
      <c r="K354" s="100">
        <f>IFERROR(VLOOKUP(I354,LK_GradeStep!$C$4:$E$85,3,0),10000)</f>
        <v>10000</v>
      </c>
      <c r="L354" s="100">
        <f t="shared" si="41"/>
        <v>2760000</v>
      </c>
      <c r="M354" s="101">
        <f>IFERROR(VLOOKUP(EMPLOYEE_MASTER!AQ354,LK_AllowanceRates!$A$5:$B$11,2,0),0)</f>
        <v>900000</v>
      </c>
      <c r="N354" s="101">
        <f ca="1">IFERROR(IF(EMPLOYEE_MASTER!J354&lt;=5,  EMPLOYEE_MASTER!J354*LK_AllowanceRates!$B$12,IF(EMPLOYEE_MASTER!J354&lt;=15, EMPLOYEE_MASTER!J354*LK_AllowanceRates!$B$13,IF(EMPLOYEE_MASTER!J354&lt;=25, EMPLOYEE_MASTER!J354*LK_AllowanceRates!$B$14,EMPLOYEE_MASTER!J354*LK_AllowanceRates!$B$15))),0)</f>
        <v>630000</v>
      </c>
      <c r="O354" s="101">
        <f>IF(EMPLOYEE_MASTER!AS354="Teaching",L354*LK_AllowanceRates!$B$16,0)</f>
        <v>0</v>
      </c>
      <c r="P354" s="101">
        <f>IF(EMPLOYEE_MASTER!AS354="Medical",LK_AllowanceRates!$B$17,0)</f>
        <v>500000</v>
      </c>
      <c r="Q354" s="101">
        <f>IF(EMPLOYEE_MASTER!AR354="Yes",LK_AllowanceRates!$B$18,0)</f>
        <v>0</v>
      </c>
      <c r="R354" s="101">
        <f>IF(EMPLOYEE_MASTER!AC354="Yes",LK_AllowanceRates!$B$19,0)</f>
        <v>1000000</v>
      </c>
      <c r="S354" s="101">
        <f>IF(EMPLOYEE_MASTER!AA354="Yes",L354*LK_AllowanceRates!$B$20,0)</f>
        <v>690000</v>
      </c>
      <c r="T354" s="101">
        <f>IF(EMPLOYEE_MASTER!AB354="Yes",LK_AllowanceRates!$B$21,0)</f>
        <v>0</v>
      </c>
      <c r="U354" s="101">
        <f>IF(EMPLOYEE_MASTER!P354&gt;=6,LK_AllowanceRates!$B$22,0)</f>
        <v>0</v>
      </c>
      <c r="V354" s="101">
        <f>IF(EMPLOYEE_MASTER!AO354="Yes",LK_AllowanceRates!$B$23,0)</f>
        <v>0</v>
      </c>
      <c r="W354" s="101">
        <f>EMPLOYEE_MASTER!AP354*LK_AllowanceRates!$B$24</f>
        <v>0</v>
      </c>
      <c r="X354" s="101">
        <v>0</v>
      </c>
      <c r="Y354" s="102">
        <v>0</v>
      </c>
      <c r="Z354" s="102">
        <v>0</v>
      </c>
      <c r="AA354" s="102">
        <v>0</v>
      </c>
      <c r="AB354" s="103">
        <f t="shared" ca="1" si="42"/>
        <v>3720000</v>
      </c>
      <c r="AC354" s="104">
        <f t="shared" ca="1" si="43"/>
        <v>6480000</v>
      </c>
      <c r="AD354" s="105">
        <f>ROUND(L354*LK_AllowanceRates!$B$25/100,0)</f>
        <v>151800</v>
      </c>
      <c r="AE354" s="106">
        <f t="shared" ca="1" si="44"/>
        <v>6328200</v>
      </c>
      <c r="AF354" s="106">
        <f t="shared" ca="1" si="45"/>
        <v>317820</v>
      </c>
      <c r="AG354" s="107">
        <v>0</v>
      </c>
      <c r="AH354" s="107">
        <v>0</v>
      </c>
      <c r="AI354" s="108">
        <f t="shared" ca="1" si="46"/>
        <v>469620</v>
      </c>
      <c r="AJ354" s="109">
        <f t="shared" ca="1" si="47"/>
        <v>6010380</v>
      </c>
    </row>
    <row r="355" spans="1:36" ht="15" customHeight="1" x14ac:dyDescent="0.3">
      <c r="A355" s="98" t="str">
        <f>EMPLOYEE_MASTER!A355</f>
        <v>LAO00352</v>
      </c>
      <c r="B355" s="98" t="str">
        <f>EMPLOYEE_MASTER!C355</f>
        <v>Phonedeth</v>
      </c>
      <c r="C355" s="98" t="str">
        <f>EMPLOYEE_MASTER!D355</f>
        <v>Southichack</v>
      </c>
      <c r="D355" s="98" t="str">
        <f>EMPLOYEE_MASTER!T355</f>
        <v>Ministry of Agriculture and Forestry (MoAF)</v>
      </c>
      <c r="E355" s="98" t="str">
        <f>EMPLOYEE_MASTER!M355</f>
        <v>Environmental Officer</v>
      </c>
      <c r="F355" s="98" t="str">
        <f>EMPLOYEE_MASTER!Z355</f>
        <v>Technical</v>
      </c>
      <c r="G355" s="99">
        <f>EMPLOYEE_MASTER!P355</f>
        <v>3</v>
      </c>
      <c r="H355" s="99">
        <f>EMPLOYEE_MASTER!Q355</f>
        <v>1</v>
      </c>
      <c r="I355" s="100" t="str">
        <f t="shared" si="40"/>
        <v>G03-S01</v>
      </c>
      <c r="J355" s="100">
        <f>IFERROR(VLOOKUP(I355,LK_GradeStep!$C$4:$D$85,2,0),0)</f>
        <v>276</v>
      </c>
      <c r="K355" s="100">
        <f>IFERROR(VLOOKUP(I355,LK_GradeStep!$C$4:$E$85,3,0),10000)</f>
        <v>10000</v>
      </c>
      <c r="L355" s="100">
        <f t="shared" si="41"/>
        <v>2760000</v>
      </c>
      <c r="M355" s="101">
        <f>IFERROR(VLOOKUP(EMPLOYEE_MASTER!AQ355,LK_AllowanceRates!$A$5:$B$11,2,0),0)</f>
        <v>900000</v>
      </c>
      <c r="N355" s="101">
        <f ca="1">IFERROR(IF(EMPLOYEE_MASTER!J355&lt;=5,  EMPLOYEE_MASTER!J355*LK_AllowanceRates!$B$12,IF(EMPLOYEE_MASTER!J355&lt;=15, EMPLOYEE_MASTER!J355*LK_AllowanceRates!$B$13,IF(EMPLOYEE_MASTER!J355&lt;=25, EMPLOYEE_MASTER!J355*LK_AllowanceRates!$B$14,EMPLOYEE_MASTER!J355*LK_AllowanceRates!$B$15))),0)</f>
        <v>1320000</v>
      </c>
      <c r="O355" s="101">
        <f>IF(EMPLOYEE_MASTER!AS355="Teaching",L355*LK_AllowanceRates!$B$16,0)</f>
        <v>0</v>
      </c>
      <c r="P355" s="101">
        <f>IF(EMPLOYEE_MASTER!AS355="Medical",LK_AllowanceRates!$B$17,0)</f>
        <v>0</v>
      </c>
      <c r="Q355" s="101">
        <f>IF(EMPLOYEE_MASTER!AR355="Yes",LK_AllowanceRates!$B$18,0)</f>
        <v>0</v>
      </c>
      <c r="R355" s="101">
        <f>IF(EMPLOYEE_MASTER!AC355="Yes",LK_AllowanceRates!$B$19,0)</f>
        <v>1000000</v>
      </c>
      <c r="S355" s="101">
        <f>IF(EMPLOYEE_MASTER!AA355="Yes",L355*LK_AllowanceRates!$B$20,0)</f>
        <v>0</v>
      </c>
      <c r="T355" s="101">
        <f>IF(EMPLOYEE_MASTER!AB355="Yes",LK_AllowanceRates!$B$21,0)</f>
        <v>0</v>
      </c>
      <c r="U355" s="101">
        <f>IF(EMPLOYEE_MASTER!P355&gt;=6,LK_AllowanceRates!$B$22,0)</f>
        <v>0</v>
      </c>
      <c r="V355" s="101">
        <f>IF(EMPLOYEE_MASTER!AO355="Yes",LK_AllowanceRates!$B$23,0)</f>
        <v>0</v>
      </c>
      <c r="W355" s="101">
        <f>EMPLOYEE_MASTER!AP355*LK_AllowanceRates!$B$24</f>
        <v>0</v>
      </c>
      <c r="X355" s="101">
        <v>0</v>
      </c>
      <c r="Y355" s="102">
        <v>0</v>
      </c>
      <c r="Z355" s="102">
        <v>0</v>
      </c>
      <c r="AA355" s="102">
        <v>0</v>
      </c>
      <c r="AB355" s="103">
        <f t="shared" ca="1" si="42"/>
        <v>3220000</v>
      </c>
      <c r="AC355" s="104">
        <f t="shared" ca="1" si="43"/>
        <v>5980000</v>
      </c>
      <c r="AD355" s="105">
        <f>ROUND(L355*LK_AllowanceRates!$B$25/100,0)</f>
        <v>151800</v>
      </c>
      <c r="AE355" s="106">
        <f t="shared" ca="1" si="44"/>
        <v>5828200</v>
      </c>
      <c r="AF355" s="106">
        <f t="shared" ca="1" si="45"/>
        <v>267820</v>
      </c>
      <c r="AG355" s="107">
        <v>0</v>
      </c>
      <c r="AH355" s="107">
        <v>0</v>
      </c>
      <c r="AI355" s="108">
        <f t="shared" ca="1" si="46"/>
        <v>419620</v>
      </c>
      <c r="AJ355" s="109">
        <f t="shared" ca="1" si="47"/>
        <v>5560380</v>
      </c>
    </row>
    <row r="356" spans="1:36" ht="15" customHeight="1" x14ac:dyDescent="0.3">
      <c r="A356" s="98" t="str">
        <f>EMPLOYEE_MASTER!A356</f>
        <v>LAO00353</v>
      </c>
      <c r="B356" s="98" t="str">
        <f>EMPLOYEE_MASTER!C356</f>
        <v>Visoune</v>
      </c>
      <c r="C356" s="98" t="str">
        <f>EMPLOYEE_MASTER!D356</f>
        <v>Phonemany</v>
      </c>
      <c r="D356" s="98" t="str">
        <f>EMPLOYEE_MASTER!T356</f>
        <v>Ministry of Agriculture and Forestry (MoAF)</v>
      </c>
      <c r="E356" s="98" t="str">
        <f>EMPLOYEE_MASTER!M356</f>
        <v>Technical Specialist</v>
      </c>
      <c r="F356" s="98" t="str">
        <f>EMPLOYEE_MASTER!Z356</f>
        <v>Technical</v>
      </c>
      <c r="G356" s="99">
        <f>EMPLOYEE_MASTER!P356</f>
        <v>4</v>
      </c>
      <c r="H356" s="99">
        <f>EMPLOYEE_MASTER!Q356</f>
        <v>1</v>
      </c>
      <c r="I356" s="100" t="str">
        <f t="shared" si="40"/>
        <v>G04-S01</v>
      </c>
      <c r="J356" s="100">
        <f>IFERROR(VLOOKUP(I356,LK_GradeStep!$C$4:$D$85,2,0),0)</f>
        <v>286</v>
      </c>
      <c r="K356" s="100">
        <f>IFERROR(VLOOKUP(I356,LK_GradeStep!$C$4:$E$85,3,0),10000)</f>
        <v>10000</v>
      </c>
      <c r="L356" s="100">
        <f t="shared" si="41"/>
        <v>2860000</v>
      </c>
      <c r="M356" s="101">
        <f>IFERROR(VLOOKUP(EMPLOYEE_MASTER!AQ356,LK_AllowanceRates!$A$5:$B$11,2,0),0)</f>
        <v>900000</v>
      </c>
      <c r="N356" s="101">
        <f ca="1">IFERROR(IF(EMPLOYEE_MASTER!J356&lt;=5,  EMPLOYEE_MASTER!J356*LK_AllowanceRates!$B$12,IF(EMPLOYEE_MASTER!J356&lt;=15, EMPLOYEE_MASTER!J356*LK_AllowanceRates!$B$13,IF(EMPLOYEE_MASTER!J356&lt;=25, EMPLOYEE_MASTER!J356*LK_AllowanceRates!$B$14,EMPLOYEE_MASTER!J356*LK_AllowanceRates!$B$15))),0)</f>
        <v>160000</v>
      </c>
      <c r="O356" s="101">
        <f>IF(EMPLOYEE_MASTER!AS356="Teaching",L356*LK_AllowanceRates!$B$16,0)</f>
        <v>0</v>
      </c>
      <c r="P356" s="101">
        <f>IF(EMPLOYEE_MASTER!AS356="Medical",LK_AllowanceRates!$B$17,0)</f>
        <v>0</v>
      </c>
      <c r="Q356" s="101">
        <f>IF(EMPLOYEE_MASTER!AR356="Yes",LK_AllowanceRates!$B$18,0)</f>
        <v>0</v>
      </c>
      <c r="R356" s="101">
        <f>IF(EMPLOYEE_MASTER!AC356="Yes",LK_AllowanceRates!$B$19,0)</f>
        <v>1000000</v>
      </c>
      <c r="S356" s="101">
        <f>IF(EMPLOYEE_MASTER!AA356="Yes",L356*LK_AllowanceRates!$B$20,0)</f>
        <v>715000</v>
      </c>
      <c r="T356" s="101">
        <f>IF(EMPLOYEE_MASTER!AB356="Yes",LK_AllowanceRates!$B$21,0)</f>
        <v>0</v>
      </c>
      <c r="U356" s="101">
        <f>IF(EMPLOYEE_MASTER!P356&gt;=6,LK_AllowanceRates!$B$22,0)</f>
        <v>0</v>
      </c>
      <c r="V356" s="101">
        <f>IF(EMPLOYEE_MASTER!AO356="Yes",LK_AllowanceRates!$B$23,0)</f>
        <v>0</v>
      </c>
      <c r="W356" s="101">
        <f>EMPLOYEE_MASTER!AP356*LK_AllowanceRates!$B$24</f>
        <v>0</v>
      </c>
      <c r="X356" s="101">
        <v>0</v>
      </c>
      <c r="Y356" s="102">
        <v>0</v>
      </c>
      <c r="Z356" s="102">
        <v>0</v>
      </c>
      <c r="AA356" s="102">
        <v>0</v>
      </c>
      <c r="AB356" s="103">
        <f t="shared" ca="1" si="42"/>
        <v>2775000</v>
      </c>
      <c r="AC356" s="104">
        <f t="shared" ca="1" si="43"/>
        <v>5635000</v>
      </c>
      <c r="AD356" s="105">
        <f>ROUND(L356*LK_AllowanceRates!$B$25/100,0)</f>
        <v>157300</v>
      </c>
      <c r="AE356" s="106">
        <f t="shared" ca="1" si="44"/>
        <v>5477700</v>
      </c>
      <c r="AF356" s="106">
        <f t="shared" ca="1" si="45"/>
        <v>232770</v>
      </c>
      <c r="AG356" s="107">
        <v>0</v>
      </c>
      <c r="AH356" s="107">
        <v>0</v>
      </c>
      <c r="AI356" s="108">
        <f t="shared" ca="1" si="46"/>
        <v>390070</v>
      </c>
      <c r="AJ356" s="109">
        <f t="shared" ca="1" si="47"/>
        <v>5244930</v>
      </c>
    </row>
    <row r="357" spans="1:36" ht="15" customHeight="1" x14ac:dyDescent="0.3">
      <c r="A357" s="98" t="str">
        <f>EMPLOYEE_MASTER!A357</f>
        <v>LAO00354</v>
      </c>
      <c r="B357" s="98" t="str">
        <f>EMPLOYEE_MASTER!C357</f>
        <v>Keovilay</v>
      </c>
      <c r="C357" s="98" t="str">
        <f>EMPLOYEE_MASTER!D357</f>
        <v>Sisavath</v>
      </c>
      <c r="D357" s="98" t="str">
        <f>EMPLOYEE_MASTER!T357</f>
        <v>Ministry of Health (MoH)</v>
      </c>
      <c r="E357" s="98" t="str">
        <f>EMPLOYEE_MASTER!M357</f>
        <v>Laboratory Technician</v>
      </c>
      <c r="F357" s="98" t="str">
        <f>EMPLOYEE_MASTER!Z357</f>
        <v>Medical</v>
      </c>
      <c r="G357" s="99">
        <f>EMPLOYEE_MASTER!P357</f>
        <v>2</v>
      </c>
      <c r="H357" s="99">
        <f>EMPLOYEE_MASTER!Q357</f>
        <v>1</v>
      </c>
      <c r="I357" s="100" t="str">
        <f t="shared" si="40"/>
        <v>G02-S01</v>
      </c>
      <c r="J357" s="100">
        <f>IFERROR(VLOOKUP(I357,LK_GradeStep!$C$4:$D$85,2,0),0)</f>
        <v>268</v>
      </c>
      <c r="K357" s="100">
        <f>IFERROR(VLOOKUP(I357,LK_GradeStep!$C$4:$E$85,3,0),10000)</f>
        <v>10000</v>
      </c>
      <c r="L357" s="100">
        <f t="shared" si="41"/>
        <v>2680000</v>
      </c>
      <c r="M357" s="101">
        <f>IFERROR(VLOOKUP(EMPLOYEE_MASTER!AQ357,LK_AllowanceRates!$A$5:$B$11,2,0),0)</f>
        <v>900000</v>
      </c>
      <c r="N357" s="101">
        <f ca="1">IFERROR(IF(EMPLOYEE_MASTER!J357&lt;=5,  EMPLOYEE_MASTER!J357*LK_AllowanceRates!$B$12,IF(EMPLOYEE_MASTER!J357&lt;=15, EMPLOYEE_MASTER!J357*LK_AllowanceRates!$B$13,IF(EMPLOYEE_MASTER!J357&lt;=25, EMPLOYEE_MASTER!J357*LK_AllowanceRates!$B$14,EMPLOYEE_MASTER!J357*LK_AllowanceRates!$B$15))),0)</f>
        <v>1240000</v>
      </c>
      <c r="O357" s="101">
        <f>IF(EMPLOYEE_MASTER!AS357="Teaching",L357*LK_AllowanceRates!$B$16,0)</f>
        <v>0</v>
      </c>
      <c r="P357" s="101">
        <f>IF(EMPLOYEE_MASTER!AS357="Medical",LK_AllowanceRates!$B$17,0)</f>
        <v>500000</v>
      </c>
      <c r="Q357" s="101">
        <f>IF(EMPLOYEE_MASTER!AR357="Yes",LK_AllowanceRates!$B$18,0)</f>
        <v>0</v>
      </c>
      <c r="R357" s="101">
        <f>IF(EMPLOYEE_MASTER!AC357="Yes",LK_AllowanceRates!$B$19,0)</f>
        <v>1000000</v>
      </c>
      <c r="S357" s="101">
        <f>IF(EMPLOYEE_MASTER!AA357="Yes",L357*LK_AllowanceRates!$B$20,0)</f>
        <v>670000</v>
      </c>
      <c r="T357" s="101">
        <f>IF(EMPLOYEE_MASTER!AB357="Yes",LK_AllowanceRates!$B$21,0)</f>
        <v>0</v>
      </c>
      <c r="U357" s="101">
        <f>IF(EMPLOYEE_MASTER!P357&gt;=6,LK_AllowanceRates!$B$22,0)</f>
        <v>0</v>
      </c>
      <c r="V357" s="101">
        <f>IF(EMPLOYEE_MASTER!AO357="Yes",LK_AllowanceRates!$B$23,0)</f>
        <v>200000</v>
      </c>
      <c r="W357" s="101">
        <f>EMPLOYEE_MASTER!AP357*LK_AllowanceRates!$B$24</f>
        <v>200000</v>
      </c>
      <c r="X357" s="101">
        <v>0</v>
      </c>
      <c r="Y357" s="102">
        <v>0</v>
      </c>
      <c r="Z357" s="102">
        <v>0</v>
      </c>
      <c r="AA357" s="102">
        <v>0</v>
      </c>
      <c r="AB357" s="103">
        <f t="shared" ca="1" si="42"/>
        <v>4710000</v>
      </c>
      <c r="AC357" s="104">
        <f t="shared" ca="1" si="43"/>
        <v>7390000</v>
      </c>
      <c r="AD357" s="105">
        <f>ROUND(L357*LK_AllowanceRates!$B$25/100,0)</f>
        <v>147400</v>
      </c>
      <c r="AE357" s="106">
        <f t="shared" ca="1" si="44"/>
        <v>7242600</v>
      </c>
      <c r="AF357" s="106">
        <f t="shared" ca="1" si="45"/>
        <v>409260</v>
      </c>
      <c r="AG357" s="107">
        <v>0</v>
      </c>
      <c r="AH357" s="107">
        <v>0</v>
      </c>
      <c r="AI357" s="108">
        <f t="shared" ca="1" si="46"/>
        <v>556660</v>
      </c>
      <c r="AJ357" s="109">
        <f t="shared" ca="1" si="47"/>
        <v>6833340</v>
      </c>
    </row>
    <row r="358" spans="1:36" ht="15" customHeight="1" x14ac:dyDescent="0.3">
      <c r="A358" s="98" t="str">
        <f>EMPLOYEE_MASTER!A358</f>
        <v>LAO00355</v>
      </c>
      <c r="B358" s="98" t="str">
        <f>EMPLOYEE_MASTER!C358</f>
        <v>Khamphone</v>
      </c>
      <c r="C358" s="98" t="str">
        <f>EMPLOYEE_MASTER!D358</f>
        <v>Luanglath</v>
      </c>
      <c r="D358" s="98" t="str">
        <f>EMPLOYEE_MASTER!T358</f>
        <v>National Assembly (NA)</v>
      </c>
      <c r="E358" s="98" t="str">
        <f>EMPLOYEE_MASTER!M358</f>
        <v>Division Chief</v>
      </c>
      <c r="F358" s="98" t="str">
        <f>EMPLOYEE_MASTER!Z358</f>
        <v>Administration</v>
      </c>
      <c r="G358" s="99">
        <f>EMPLOYEE_MASTER!P358</f>
        <v>4</v>
      </c>
      <c r="H358" s="99">
        <f>EMPLOYEE_MASTER!Q358</f>
        <v>1</v>
      </c>
      <c r="I358" s="100" t="str">
        <f t="shared" si="40"/>
        <v>G04-S01</v>
      </c>
      <c r="J358" s="100">
        <f>IFERROR(VLOOKUP(I358,LK_GradeStep!$C$4:$D$85,2,0),0)</f>
        <v>286</v>
      </c>
      <c r="K358" s="100">
        <f>IFERROR(VLOOKUP(I358,LK_GradeStep!$C$4:$E$85,3,0),10000)</f>
        <v>10000</v>
      </c>
      <c r="L358" s="100">
        <f t="shared" si="41"/>
        <v>2860000</v>
      </c>
      <c r="M358" s="101">
        <f>IFERROR(VLOOKUP(EMPLOYEE_MASTER!AQ358,LK_AllowanceRates!$A$5:$B$11,2,0),0)</f>
        <v>1900000</v>
      </c>
      <c r="N358" s="101">
        <f ca="1">IFERROR(IF(EMPLOYEE_MASTER!J358&lt;=5,  EMPLOYEE_MASTER!J358*LK_AllowanceRates!$B$12,IF(EMPLOYEE_MASTER!J358&lt;=15, EMPLOYEE_MASTER!J358*LK_AllowanceRates!$B$13,IF(EMPLOYEE_MASTER!J358&lt;=25, EMPLOYEE_MASTER!J358*LK_AllowanceRates!$B$14,EMPLOYEE_MASTER!J358*LK_AllowanceRates!$B$15))),0)</f>
        <v>300000</v>
      </c>
      <c r="O358" s="101">
        <f>IF(EMPLOYEE_MASTER!AS358="Teaching",L358*LK_AllowanceRates!$B$16,0)</f>
        <v>0</v>
      </c>
      <c r="P358" s="101">
        <f>IF(EMPLOYEE_MASTER!AS358="Medical",LK_AllowanceRates!$B$17,0)</f>
        <v>0</v>
      </c>
      <c r="Q358" s="101">
        <f>IF(EMPLOYEE_MASTER!AR358="Yes",LK_AllowanceRates!$B$18,0)</f>
        <v>1000000</v>
      </c>
      <c r="R358" s="101">
        <f>IF(EMPLOYEE_MASTER!AC358="Yes",LK_AllowanceRates!$B$19,0)</f>
        <v>0</v>
      </c>
      <c r="S358" s="101">
        <f>IF(EMPLOYEE_MASTER!AA358="Yes",L358*LK_AllowanceRates!$B$20,0)</f>
        <v>0</v>
      </c>
      <c r="T358" s="101">
        <f>IF(EMPLOYEE_MASTER!AB358="Yes",LK_AllowanceRates!$B$21,0)</f>
        <v>0</v>
      </c>
      <c r="U358" s="101">
        <f>IF(EMPLOYEE_MASTER!P358&gt;=6,LK_AllowanceRates!$B$22,0)</f>
        <v>0</v>
      </c>
      <c r="V358" s="101">
        <f>IF(EMPLOYEE_MASTER!AO358="Yes",LK_AllowanceRates!$B$23,0)</f>
        <v>200000</v>
      </c>
      <c r="W358" s="101">
        <f>EMPLOYEE_MASTER!AP358*LK_AllowanceRates!$B$24</f>
        <v>0</v>
      </c>
      <c r="X358" s="101">
        <v>0</v>
      </c>
      <c r="Y358" s="102">
        <v>0</v>
      </c>
      <c r="Z358" s="102">
        <v>0</v>
      </c>
      <c r="AA358" s="102">
        <v>0</v>
      </c>
      <c r="AB358" s="103">
        <f t="shared" ca="1" si="42"/>
        <v>3400000</v>
      </c>
      <c r="AC358" s="104">
        <f t="shared" ca="1" si="43"/>
        <v>6260000</v>
      </c>
      <c r="AD358" s="105">
        <f>ROUND(L358*LK_AllowanceRates!$B$25/100,0)</f>
        <v>157300</v>
      </c>
      <c r="AE358" s="106">
        <f t="shared" ca="1" si="44"/>
        <v>6102700</v>
      </c>
      <c r="AF358" s="106">
        <f t="shared" ca="1" si="45"/>
        <v>295270</v>
      </c>
      <c r="AG358" s="107">
        <v>0</v>
      </c>
      <c r="AH358" s="107">
        <v>0</v>
      </c>
      <c r="AI358" s="108">
        <f t="shared" ca="1" si="46"/>
        <v>452570</v>
      </c>
      <c r="AJ358" s="109">
        <f t="shared" ca="1" si="47"/>
        <v>5807430</v>
      </c>
    </row>
    <row r="359" spans="1:36" ht="15" customHeight="1" x14ac:dyDescent="0.3">
      <c r="A359" s="98" t="str">
        <f>EMPLOYEE_MASTER!A359</f>
        <v>LAO00356</v>
      </c>
      <c r="B359" s="98" t="str">
        <f>EMPLOYEE_MASTER!C359</f>
        <v>Visoune</v>
      </c>
      <c r="C359" s="98" t="str">
        <f>EMPLOYEE_MASTER!D359</f>
        <v>Vilayvong</v>
      </c>
      <c r="D359" s="98" t="str">
        <f>EMPLOYEE_MASTER!T359</f>
        <v>Champasak Province Administration</v>
      </c>
      <c r="E359" s="98" t="str">
        <f>EMPLOYEE_MASTER!M359</f>
        <v>Deputy Department Director</v>
      </c>
      <c r="F359" s="98" t="str">
        <f>EMPLOYEE_MASTER!Z359</f>
        <v>Administration</v>
      </c>
      <c r="G359" s="99">
        <f>EMPLOYEE_MASTER!P359</f>
        <v>5</v>
      </c>
      <c r="H359" s="99">
        <f>EMPLOYEE_MASTER!Q359</f>
        <v>9</v>
      </c>
      <c r="I359" s="100" t="str">
        <f t="shared" si="40"/>
        <v>G05-S09</v>
      </c>
      <c r="J359" s="100">
        <f>IFERROR(VLOOKUP(I359,LK_GradeStep!$C$4:$D$85,2,0),0)</f>
        <v>358</v>
      </c>
      <c r="K359" s="100">
        <f>IFERROR(VLOOKUP(I359,LK_GradeStep!$C$4:$E$85,3,0),10000)</f>
        <v>10000</v>
      </c>
      <c r="L359" s="100">
        <f t="shared" si="41"/>
        <v>3580000</v>
      </c>
      <c r="M359" s="101">
        <f>IFERROR(VLOOKUP(EMPLOYEE_MASTER!AQ359,LK_AllowanceRates!$A$5:$B$11,2,0),0)</f>
        <v>900000</v>
      </c>
      <c r="N359" s="101">
        <f ca="1">IFERROR(IF(EMPLOYEE_MASTER!J359&lt;=5,  EMPLOYEE_MASTER!J359*LK_AllowanceRates!$B$12,IF(EMPLOYEE_MASTER!J359&lt;=15, EMPLOYEE_MASTER!J359*LK_AllowanceRates!$B$13,IF(EMPLOYEE_MASTER!J359&lt;=25, EMPLOYEE_MASTER!J359*LK_AllowanceRates!$B$14,EMPLOYEE_MASTER!J359*LK_AllowanceRates!$B$15))),0)</f>
        <v>30000</v>
      </c>
      <c r="O359" s="101">
        <f>IF(EMPLOYEE_MASTER!AS359="Teaching",L359*LK_AllowanceRates!$B$16,0)</f>
        <v>0</v>
      </c>
      <c r="P359" s="101">
        <f>IF(EMPLOYEE_MASTER!AS359="Medical",LK_AllowanceRates!$B$17,0)</f>
        <v>0</v>
      </c>
      <c r="Q359" s="101">
        <f>IF(EMPLOYEE_MASTER!AR359="Yes",LK_AllowanceRates!$B$18,0)</f>
        <v>0</v>
      </c>
      <c r="R359" s="101">
        <f>IF(EMPLOYEE_MASTER!AC359="Yes",LK_AllowanceRates!$B$19,0)</f>
        <v>1000000</v>
      </c>
      <c r="S359" s="101">
        <f>IF(EMPLOYEE_MASTER!AA359="Yes",L359*LK_AllowanceRates!$B$20,0)</f>
        <v>895000</v>
      </c>
      <c r="T359" s="101">
        <f>IF(EMPLOYEE_MASTER!AB359="Yes",LK_AllowanceRates!$B$21,0)</f>
        <v>0</v>
      </c>
      <c r="U359" s="101">
        <f>IF(EMPLOYEE_MASTER!P359&gt;=6,LK_AllowanceRates!$B$22,0)</f>
        <v>0</v>
      </c>
      <c r="V359" s="101">
        <f>IF(EMPLOYEE_MASTER!AO359="Yes",LK_AllowanceRates!$B$23,0)</f>
        <v>0</v>
      </c>
      <c r="W359" s="101">
        <f>EMPLOYEE_MASTER!AP359*LK_AllowanceRates!$B$24</f>
        <v>0</v>
      </c>
      <c r="X359" s="101">
        <v>0</v>
      </c>
      <c r="Y359" s="102">
        <v>0</v>
      </c>
      <c r="Z359" s="102">
        <v>0</v>
      </c>
      <c r="AA359" s="102">
        <v>0</v>
      </c>
      <c r="AB359" s="103">
        <f t="shared" ca="1" si="42"/>
        <v>2825000</v>
      </c>
      <c r="AC359" s="104">
        <f t="shared" ca="1" si="43"/>
        <v>6405000</v>
      </c>
      <c r="AD359" s="105">
        <f>ROUND(L359*LK_AllowanceRates!$B$25/100,0)</f>
        <v>196900</v>
      </c>
      <c r="AE359" s="106">
        <f t="shared" ca="1" si="44"/>
        <v>6208100</v>
      </c>
      <c r="AF359" s="106">
        <f t="shared" ca="1" si="45"/>
        <v>305810</v>
      </c>
      <c r="AG359" s="107">
        <v>0</v>
      </c>
      <c r="AH359" s="107">
        <v>0</v>
      </c>
      <c r="AI359" s="108">
        <f t="shared" ca="1" si="46"/>
        <v>502710</v>
      </c>
      <c r="AJ359" s="109">
        <f t="shared" ca="1" si="47"/>
        <v>5902290</v>
      </c>
    </row>
    <row r="360" spans="1:36" ht="15" customHeight="1" x14ac:dyDescent="0.3">
      <c r="A360" s="98" t="str">
        <f>EMPLOYEE_MASTER!A360</f>
        <v>LAO00357</v>
      </c>
      <c r="B360" s="98" t="str">
        <f>EMPLOYEE_MASTER!C360</f>
        <v>Sinorath</v>
      </c>
      <c r="C360" s="98" t="str">
        <f>EMPLOYEE_MASTER!D360</f>
        <v>Soulisack</v>
      </c>
      <c r="D360" s="98" t="str">
        <f>EMPLOYEE_MASTER!T360</f>
        <v>Ministry of Public Works &amp; Transport (MPWT)</v>
      </c>
      <c r="E360" s="98" t="str">
        <f>EMPLOYEE_MASTER!M360</f>
        <v>Survey Officer</v>
      </c>
      <c r="F360" s="98" t="str">
        <f>EMPLOYEE_MASTER!Z360</f>
        <v>Technical</v>
      </c>
      <c r="G360" s="99">
        <f>EMPLOYEE_MASTER!P360</f>
        <v>2</v>
      </c>
      <c r="H360" s="99">
        <f>EMPLOYEE_MASTER!Q360</f>
        <v>11</v>
      </c>
      <c r="I360" s="100" t="str">
        <f t="shared" si="40"/>
        <v>G02-S11</v>
      </c>
      <c r="J360" s="100">
        <f>IFERROR(VLOOKUP(I360,LK_GradeStep!$C$4:$D$85,2,0),0)</f>
        <v>278</v>
      </c>
      <c r="K360" s="100">
        <f>IFERROR(VLOOKUP(I360,LK_GradeStep!$C$4:$E$85,3,0),10000)</f>
        <v>10000</v>
      </c>
      <c r="L360" s="100">
        <f t="shared" si="41"/>
        <v>2780000</v>
      </c>
      <c r="M360" s="101">
        <f>IFERROR(VLOOKUP(EMPLOYEE_MASTER!AQ360,LK_AllowanceRates!$A$5:$B$11,2,0),0)</f>
        <v>900000</v>
      </c>
      <c r="N360" s="101">
        <f ca="1">IFERROR(IF(EMPLOYEE_MASTER!J360&lt;=5,  EMPLOYEE_MASTER!J360*LK_AllowanceRates!$B$12,IF(EMPLOYEE_MASTER!J360&lt;=15, EMPLOYEE_MASTER!J360*LK_AllowanceRates!$B$13,IF(EMPLOYEE_MASTER!J360&lt;=25, EMPLOYEE_MASTER!J360*LK_AllowanceRates!$B$14,EMPLOYEE_MASTER!J360*LK_AllowanceRates!$B$15))),0)</f>
        <v>280000</v>
      </c>
      <c r="O360" s="101">
        <f>IF(EMPLOYEE_MASTER!AS360="Teaching",L360*LK_AllowanceRates!$B$16,0)</f>
        <v>0</v>
      </c>
      <c r="P360" s="101">
        <f>IF(EMPLOYEE_MASTER!AS360="Medical",LK_AllowanceRates!$B$17,0)</f>
        <v>0</v>
      </c>
      <c r="Q360" s="101">
        <f>IF(EMPLOYEE_MASTER!AR360="Yes",LK_AllowanceRates!$B$18,0)</f>
        <v>0</v>
      </c>
      <c r="R360" s="101">
        <f>IF(EMPLOYEE_MASTER!AC360="Yes",LK_AllowanceRates!$B$19,0)</f>
        <v>0</v>
      </c>
      <c r="S360" s="101">
        <f>IF(EMPLOYEE_MASTER!AA360="Yes",L360*LK_AllowanceRates!$B$20,0)</f>
        <v>0</v>
      </c>
      <c r="T360" s="101">
        <f>IF(EMPLOYEE_MASTER!AB360="Yes",LK_AllowanceRates!$B$21,0)</f>
        <v>0</v>
      </c>
      <c r="U360" s="101">
        <f>IF(EMPLOYEE_MASTER!P360&gt;=6,LK_AllowanceRates!$B$22,0)</f>
        <v>0</v>
      </c>
      <c r="V360" s="101">
        <f>IF(EMPLOYEE_MASTER!AO360="Yes",LK_AllowanceRates!$B$23,0)</f>
        <v>200000</v>
      </c>
      <c r="W360" s="101">
        <f>EMPLOYEE_MASTER!AP360*LK_AllowanceRates!$B$24</f>
        <v>200000</v>
      </c>
      <c r="X360" s="101">
        <v>0</v>
      </c>
      <c r="Y360" s="102">
        <v>0</v>
      </c>
      <c r="Z360" s="102">
        <v>0</v>
      </c>
      <c r="AA360" s="102">
        <v>0</v>
      </c>
      <c r="AB360" s="103">
        <f t="shared" ca="1" si="42"/>
        <v>1580000</v>
      </c>
      <c r="AC360" s="104">
        <f t="shared" ca="1" si="43"/>
        <v>4360000</v>
      </c>
      <c r="AD360" s="105">
        <f>ROUND(L360*LK_AllowanceRates!$B$25/100,0)</f>
        <v>152900</v>
      </c>
      <c r="AE360" s="106">
        <f t="shared" ca="1" si="44"/>
        <v>4207100</v>
      </c>
      <c r="AF360" s="106">
        <f t="shared" ca="1" si="45"/>
        <v>145355</v>
      </c>
      <c r="AG360" s="107">
        <v>0</v>
      </c>
      <c r="AH360" s="107">
        <v>0</v>
      </c>
      <c r="AI360" s="108">
        <f t="shared" ca="1" si="46"/>
        <v>298255</v>
      </c>
      <c r="AJ360" s="109">
        <f t="shared" ca="1" si="47"/>
        <v>4061745</v>
      </c>
    </row>
    <row r="361" spans="1:36" ht="15" customHeight="1" x14ac:dyDescent="0.3">
      <c r="A361" s="98" t="str">
        <f>EMPLOYEE_MASTER!A361</f>
        <v>LAO00358</v>
      </c>
      <c r="B361" s="98" t="str">
        <f>EMPLOYEE_MASTER!C361</f>
        <v>Soudabout</v>
      </c>
      <c r="C361" s="98" t="str">
        <f>EMPLOYEE_MASTER!D361</f>
        <v>Khonesavanh</v>
      </c>
      <c r="D361" s="98" t="str">
        <f>EMPLOYEE_MASTER!T361</f>
        <v>Ministry of Natural Resources &amp; Environment (MoNRE)</v>
      </c>
      <c r="E361" s="98" t="str">
        <f>EMPLOYEE_MASTER!M361</f>
        <v>Senior Engineer</v>
      </c>
      <c r="F361" s="98" t="str">
        <f>EMPLOYEE_MASTER!Z361</f>
        <v>Technical</v>
      </c>
      <c r="G361" s="99">
        <f>EMPLOYEE_MASTER!P361</f>
        <v>4</v>
      </c>
      <c r="H361" s="99">
        <f>EMPLOYEE_MASTER!Q361</f>
        <v>1</v>
      </c>
      <c r="I361" s="100" t="str">
        <f t="shared" si="40"/>
        <v>G04-S01</v>
      </c>
      <c r="J361" s="100">
        <f>IFERROR(VLOOKUP(I361,LK_GradeStep!$C$4:$D$85,2,0),0)</f>
        <v>286</v>
      </c>
      <c r="K361" s="100">
        <f>IFERROR(VLOOKUP(I361,LK_GradeStep!$C$4:$E$85,3,0),10000)</f>
        <v>10000</v>
      </c>
      <c r="L361" s="100">
        <f t="shared" si="41"/>
        <v>2860000</v>
      </c>
      <c r="M361" s="101">
        <f>IFERROR(VLOOKUP(EMPLOYEE_MASTER!AQ361,LK_AllowanceRates!$A$5:$B$11,2,0),0)</f>
        <v>900000</v>
      </c>
      <c r="N361" s="101">
        <f ca="1">IFERROR(IF(EMPLOYEE_MASTER!J361&lt;=5,  EMPLOYEE_MASTER!J361*LK_AllowanceRates!$B$12,IF(EMPLOYEE_MASTER!J361&lt;=15, EMPLOYEE_MASTER!J361*LK_AllowanceRates!$B$13,IF(EMPLOYEE_MASTER!J361&lt;=25, EMPLOYEE_MASTER!J361*LK_AllowanceRates!$B$14,EMPLOYEE_MASTER!J361*LK_AllowanceRates!$B$15))),0)</f>
        <v>1080000</v>
      </c>
      <c r="O361" s="101">
        <f>IF(EMPLOYEE_MASTER!AS361="Teaching",L361*LK_AllowanceRates!$B$16,0)</f>
        <v>0</v>
      </c>
      <c r="P361" s="101">
        <f>IF(EMPLOYEE_MASTER!AS361="Medical",LK_AllowanceRates!$B$17,0)</f>
        <v>0</v>
      </c>
      <c r="Q361" s="101">
        <f>IF(EMPLOYEE_MASTER!AR361="Yes",LK_AllowanceRates!$B$18,0)</f>
        <v>0</v>
      </c>
      <c r="R361" s="101">
        <f>IF(EMPLOYEE_MASTER!AC361="Yes",LK_AllowanceRates!$B$19,0)</f>
        <v>1000000</v>
      </c>
      <c r="S361" s="101">
        <f>IF(EMPLOYEE_MASTER!AA361="Yes",L361*LK_AllowanceRates!$B$20,0)</f>
        <v>715000</v>
      </c>
      <c r="T361" s="101">
        <f>IF(EMPLOYEE_MASTER!AB361="Yes",LK_AllowanceRates!$B$21,0)</f>
        <v>0</v>
      </c>
      <c r="U361" s="101">
        <f>IF(EMPLOYEE_MASTER!P361&gt;=6,LK_AllowanceRates!$B$22,0)</f>
        <v>0</v>
      </c>
      <c r="V361" s="101">
        <f>IF(EMPLOYEE_MASTER!AO361="Yes",LK_AllowanceRates!$B$23,0)</f>
        <v>200000</v>
      </c>
      <c r="W361" s="101">
        <f>EMPLOYEE_MASTER!AP361*LK_AllowanceRates!$B$24</f>
        <v>0</v>
      </c>
      <c r="X361" s="101">
        <v>0</v>
      </c>
      <c r="Y361" s="102">
        <v>0</v>
      </c>
      <c r="Z361" s="102">
        <v>0</v>
      </c>
      <c r="AA361" s="102">
        <v>0</v>
      </c>
      <c r="AB361" s="103">
        <f t="shared" ca="1" si="42"/>
        <v>3895000</v>
      </c>
      <c r="AC361" s="104">
        <f t="shared" ca="1" si="43"/>
        <v>6755000</v>
      </c>
      <c r="AD361" s="105">
        <f>ROUND(L361*LK_AllowanceRates!$B$25/100,0)</f>
        <v>157300</v>
      </c>
      <c r="AE361" s="106">
        <f t="shared" ca="1" si="44"/>
        <v>6597700</v>
      </c>
      <c r="AF361" s="106">
        <f t="shared" ca="1" si="45"/>
        <v>344770</v>
      </c>
      <c r="AG361" s="107">
        <v>0</v>
      </c>
      <c r="AH361" s="107">
        <v>0</v>
      </c>
      <c r="AI361" s="108">
        <f t="shared" ca="1" si="46"/>
        <v>502070</v>
      </c>
      <c r="AJ361" s="109">
        <f t="shared" ca="1" si="47"/>
        <v>6252930</v>
      </c>
    </row>
    <row r="362" spans="1:36" ht="15" customHeight="1" x14ac:dyDescent="0.3">
      <c r="A362" s="98" t="str">
        <f>EMPLOYEE_MASTER!A362</f>
        <v>LAO00359</v>
      </c>
      <c r="B362" s="98" t="str">
        <f>EMPLOYEE_MASTER!C362</f>
        <v>Khamla</v>
      </c>
      <c r="C362" s="98" t="str">
        <f>EMPLOYEE_MASTER!D362</f>
        <v>Manivong</v>
      </c>
      <c r="D362" s="98" t="str">
        <f>EMPLOYEE_MASTER!T362</f>
        <v>Ministry of Foreign Affairs (MFA)</v>
      </c>
      <c r="E362" s="98" t="str">
        <f>EMPLOYEE_MASTER!M362</f>
        <v>First Secretary</v>
      </c>
      <c r="F362" s="98" t="str">
        <f>EMPLOYEE_MASTER!Z362</f>
        <v>Diplomatic</v>
      </c>
      <c r="G362" s="99">
        <f>EMPLOYEE_MASTER!P362</f>
        <v>4</v>
      </c>
      <c r="H362" s="99">
        <f>EMPLOYEE_MASTER!Q362</f>
        <v>1</v>
      </c>
      <c r="I362" s="100" t="str">
        <f t="shared" si="40"/>
        <v>G04-S01</v>
      </c>
      <c r="J362" s="100">
        <f>IFERROR(VLOOKUP(I362,LK_GradeStep!$C$4:$D$85,2,0),0)</f>
        <v>286</v>
      </c>
      <c r="K362" s="100">
        <f>IFERROR(VLOOKUP(I362,LK_GradeStep!$C$4:$E$85,3,0),10000)</f>
        <v>10000</v>
      </c>
      <c r="L362" s="100">
        <f t="shared" si="41"/>
        <v>2860000</v>
      </c>
      <c r="M362" s="101">
        <f>IFERROR(VLOOKUP(EMPLOYEE_MASTER!AQ362,LK_AllowanceRates!$A$5:$B$11,2,0),0)</f>
        <v>900000</v>
      </c>
      <c r="N362" s="101">
        <f ca="1">IFERROR(IF(EMPLOYEE_MASTER!J362&lt;=5,  EMPLOYEE_MASTER!J362*LK_AllowanceRates!$B$12,IF(EMPLOYEE_MASTER!J362&lt;=15, EMPLOYEE_MASTER!J362*LK_AllowanceRates!$B$13,IF(EMPLOYEE_MASTER!J362&lt;=25, EMPLOYEE_MASTER!J362*LK_AllowanceRates!$B$14,EMPLOYEE_MASTER!J362*LK_AllowanceRates!$B$15))),0)</f>
        <v>1200000</v>
      </c>
      <c r="O362" s="101">
        <f>IF(EMPLOYEE_MASTER!AS362="Teaching",L362*LK_AllowanceRates!$B$16,0)</f>
        <v>0</v>
      </c>
      <c r="P362" s="101">
        <f>IF(EMPLOYEE_MASTER!AS362="Medical",LK_AllowanceRates!$B$17,0)</f>
        <v>0</v>
      </c>
      <c r="Q362" s="101">
        <f>IF(EMPLOYEE_MASTER!AR362="Yes",LK_AllowanceRates!$B$18,0)</f>
        <v>0</v>
      </c>
      <c r="R362" s="101">
        <f>IF(EMPLOYEE_MASTER!AC362="Yes",LK_AllowanceRates!$B$19,0)</f>
        <v>0</v>
      </c>
      <c r="S362" s="101">
        <f>IF(EMPLOYEE_MASTER!AA362="Yes",L362*LK_AllowanceRates!$B$20,0)</f>
        <v>0</v>
      </c>
      <c r="T362" s="101">
        <f>IF(EMPLOYEE_MASTER!AB362="Yes",LK_AllowanceRates!$B$21,0)</f>
        <v>20240000</v>
      </c>
      <c r="U362" s="101">
        <f>IF(EMPLOYEE_MASTER!P362&gt;=6,LK_AllowanceRates!$B$22,0)</f>
        <v>0</v>
      </c>
      <c r="V362" s="101">
        <f>IF(EMPLOYEE_MASTER!AO362="Yes",LK_AllowanceRates!$B$23,0)</f>
        <v>0</v>
      </c>
      <c r="W362" s="101">
        <f>EMPLOYEE_MASTER!AP362*LK_AllowanceRates!$B$24</f>
        <v>0</v>
      </c>
      <c r="X362" s="101">
        <v>0</v>
      </c>
      <c r="Y362" s="102">
        <v>0</v>
      </c>
      <c r="Z362" s="102">
        <v>0</v>
      </c>
      <c r="AA362" s="102">
        <v>0</v>
      </c>
      <c r="AB362" s="103">
        <f t="shared" ca="1" si="42"/>
        <v>22340000</v>
      </c>
      <c r="AC362" s="104">
        <f t="shared" ca="1" si="43"/>
        <v>25200000</v>
      </c>
      <c r="AD362" s="105">
        <f>ROUND(L362*LK_AllowanceRates!$B$25/100,0)</f>
        <v>157300</v>
      </c>
      <c r="AE362" s="106">
        <f t="shared" ca="1" si="44"/>
        <v>25042700</v>
      </c>
      <c r="AF362" s="106">
        <f t="shared" ca="1" si="45"/>
        <v>3193540</v>
      </c>
      <c r="AG362" s="107">
        <v>0</v>
      </c>
      <c r="AH362" s="107">
        <v>0</v>
      </c>
      <c r="AI362" s="108">
        <f t="shared" ca="1" si="46"/>
        <v>3350840</v>
      </c>
      <c r="AJ362" s="109">
        <f t="shared" ca="1" si="47"/>
        <v>21849160</v>
      </c>
    </row>
    <row r="363" spans="1:36" ht="15" customHeight="1" x14ac:dyDescent="0.3">
      <c r="A363" s="98" t="str">
        <f>EMPLOYEE_MASTER!A363</f>
        <v>LAO00360</v>
      </c>
      <c r="B363" s="98" t="str">
        <f>EMPLOYEE_MASTER!C363</f>
        <v>Khammany</v>
      </c>
      <c r="C363" s="98" t="str">
        <f>EMPLOYEE_MASTER!D363</f>
        <v>Vongkhamphanh</v>
      </c>
      <c r="D363" s="98" t="str">
        <f>EMPLOYEE_MASTER!T363</f>
        <v>Ministry of Natural Resources &amp; Environment (MoNRE)</v>
      </c>
      <c r="E363" s="98" t="str">
        <f>EMPLOYEE_MASTER!M363</f>
        <v>Survey Officer</v>
      </c>
      <c r="F363" s="98" t="str">
        <f>EMPLOYEE_MASTER!Z363</f>
        <v>Technical</v>
      </c>
      <c r="G363" s="99">
        <f>EMPLOYEE_MASTER!P363</f>
        <v>3</v>
      </c>
      <c r="H363" s="99">
        <f>EMPLOYEE_MASTER!Q363</f>
        <v>1</v>
      </c>
      <c r="I363" s="100" t="str">
        <f t="shared" si="40"/>
        <v>G03-S01</v>
      </c>
      <c r="J363" s="100">
        <f>IFERROR(VLOOKUP(I363,LK_GradeStep!$C$4:$D$85,2,0),0)</f>
        <v>276</v>
      </c>
      <c r="K363" s="100">
        <f>IFERROR(VLOOKUP(I363,LK_GradeStep!$C$4:$E$85,3,0),10000)</f>
        <v>10000</v>
      </c>
      <c r="L363" s="100">
        <f t="shared" si="41"/>
        <v>2760000</v>
      </c>
      <c r="M363" s="101">
        <f>IFERROR(VLOOKUP(EMPLOYEE_MASTER!AQ363,LK_AllowanceRates!$A$5:$B$11,2,0),0)</f>
        <v>900000</v>
      </c>
      <c r="N363" s="101">
        <f ca="1">IFERROR(IF(EMPLOYEE_MASTER!J363&lt;=5,  EMPLOYEE_MASTER!J363*LK_AllowanceRates!$B$12,IF(EMPLOYEE_MASTER!J363&lt;=15, EMPLOYEE_MASTER!J363*LK_AllowanceRates!$B$13,IF(EMPLOYEE_MASTER!J363&lt;=25, EMPLOYEE_MASTER!J363*LK_AllowanceRates!$B$14,EMPLOYEE_MASTER!J363*LK_AllowanceRates!$B$15))),0)</f>
        <v>660000</v>
      </c>
      <c r="O363" s="101">
        <f>IF(EMPLOYEE_MASTER!AS363="Teaching",L363*LK_AllowanceRates!$B$16,0)</f>
        <v>0</v>
      </c>
      <c r="P363" s="101">
        <f>IF(EMPLOYEE_MASTER!AS363="Medical",LK_AllowanceRates!$B$17,0)</f>
        <v>0</v>
      </c>
      <c r="Q363" s="101">
        <f>IF(EMPLOYEE_MASTER!AR363="Yes",LK_AllowanceRates!$B$18,0)</f>
        <v>0</v>
      </c>
      <c r="R363" s="101">
        <f>IF(EMPLOYEE_MASTER!AC363="Yes",LK_AllowanceRates!$B$19,0)</f>
        <v>0</v>
      </c>
      <c r="S363" s="101">
        <f>IF(EMPLOYEE_MASTER!AA363="Yes",L363*LK_AllowanceRates!$B$20,0)</f>
        <v>0</v>
      </c>
      <c r="T363" s="101">
        <f>IF(EMPLOYEE_MASTER!AB363="Yes",LK_AllowanceRates!$B$21,0)</f>
        <v>0</v>
      </c>
      <c r="U363" s="101">
        <f>IF(EMPLOYEE_MASTER!P363&gt;=6,LK_AllowanceRates!$B$22,0)</f>
        <v>0</v>
      </c>
      <c r="V363" s="101">
        <f>IF(EMPLOYEE_MASTER!AO363="Yes",LK_AllowanceRates!$B$23,0)</f>
        <v>200000</v>
      </c>
      <c r="W363" s="101">
        <f>EMPLOYEE_MASTER!AP363*LK_AllowanceRates!$B$24</f>
        <v>400000</v>
      </c>
      <c r="X363" s="101">
        <v>0</v>
      </c>
      <c r="Y363" s="102">
        <v>0</v>
      </c>
      <c r="Z363" s="102">
        <v>0</v>
      </c>
      <c r="AA363" s="102">
        <v>0</v>
      </c>
      <c r="AB363" s="103">
        <f t="shared" ca="1" si="42"/>
        <v>2160000</v>
      </c>
      <c r="AC363" s="104">
        <f t="shared" ca="1" si="43"/>
        <v>4920000</v>
      </c>
      <c r="AD363" s="105">
        <f>ROUND(L363*LK_AllowanceRates!$B$25/100,0)</f>
        <v>151800</v>
      </c>
      <c r="AE363" s="106">
        <f t="shared" ca="1" si="44"/>
        <v>4768200</v>
      </c>
      <c r="AF363" s="106">
        <f t="shared" ca="1" si="45"/>
        <v>173410</v>
      </c>
      <c r="AG363" s="107">
        <v>0</v>
      </c>
      <c r="AH363" s="107">
        <v>0</v>
      </c>
      <c r="AI363" s="108">
        <f t="shared" ca="1" si="46"/>
        <v>325210</v>
      </c>
      <c r="AJ363" s="109">
        <f t="shared" ca="1" si="47"/>
        <v>4594790</v>
      </c>
    </row>
    <row r="364" spans="1:36" ht="15" customHeight="1" x14ac:dyDescent="0.3">
      <c r="A364" s="98" t="str">
        <f>EMPLOYEE_MASTER!A364</f>
        <v>LAO00361</v>
      </c>
      <c r="B364" s="98" t="str">
        <f>EMPLOYEE_MASTER!C364</f>
        <v>Khamsouk</v>
      </c>
      <c r="C364" s="98" t="str">
        <f>EMPLOYEE_MASTER!D364</f>
        <v>Chanthavong</v>
      </c>
      <c r="D364" s="98" t="str">
        <f>EMPLOYEE_MASTER!T364</f>
        <v>Ministry of Education and Sports (MoES)</v>
      </c>
      <c r="E364" s="98" t="str">
        <f>EMPLOYEE_MASTER!M364</f>
        <v>School Principal</v>
      </c>
      <c r="F364" s="98" t="str">
        <f>EMPLOYEE_MASTER!Z364</f>
        <v>Teacher</v>
      </c>
      <c r="G364" s="99">
        <f>EMPLOYEE_MASTER!P364</f>
        <v>2</v>
      </c>
      <c r="H364" s="99">
        <f>EMPLOYEE_MASTER!Q364</f>
        <v>4</v>
      </c>
      <c r="I364" s="100" t="str">
        <f t="shared" si="40"/>
        <v>G02-S04</v>
      </c>
      <c r="J364" s="100">
        <f>IFERROR(VLOOKUP(I364,LK_GradeStep!$C$4:$D$85,2,0),0)</f>
        <v>271</v>
      </c>
      <c r="K364" s="100">
        <f>IFERROR(VLOOKUP(I364,LK_GradeStep!$C$4:$E$85,3,0),10000)</f>
        <v>10000</v>
      </c>
      <c r="L364" s="100">
        <f t="shared" si="41"/>
        <v>2710000</v>
      </c>
      <c r="M364" s="101">
        <f>IFERROR(VLOOKUP(EMPLOYEE_MASTER!AQ364,LK_AllowanceRates!$A$5:$B$11,2,0),0)</f>
        <v>900000</v>
      </c>
      <c r="N364" s="101">
        <f ca="1">IFERROR(IF(EMPLOYEE_MASTER!J364&lt;=5,  EMPLOYEE_MASTER!J364*LK_AllowanceRates!$B$12,IF(EMPLOYEE_MASTER!J364&lt;=15, EMPLOYEE_MASTER!J364*LK_AllowanceRates!$B$13,IF(EMPLOYEE_MASTER!J364&lt;=25, EMPLOYEE_MASTER!J364*LK_AllowanceRates!$B$14,EMPLOYEE_MASTER!J364*LK_AllowanceRates!$B$15))),0)</f>
        <v>540000</v>
      </c>
      <c r="O364" s="101">
        <f>IF(EMPLOYEE_MASTER!AS364="Teaching",L364*LK_AllowanceRates!$B$16,0)</f>
        <v>542000</v>
      </c>
      <c r="P364" s="101">
        <f>IF(EMPLOYEE_MASTER!AS364="Medical",LK_AllowanceRates!$B$17,0)</f>
        <v>0</v>
      </c>
      <c r="Q364" s="101">
        <f>IF(EMPLOYEE_MASTER!AR364="Yes",LK_AllowanceRates!$B$18,0)</f>
        <v>0</v>
      </c>
      <c r="R364" s="101">
        <f>IF(EMPLOYEE_MASTER!AC364="Yes",LK_AllowanceRates!$B$19,0)</f>
        <v>1000000</v>
      </c>
      <c r="S364" s="101">
        <f>IF(EMPLOYEE_MASTER!AA364="Yes",L364*LK_AllowanceRates!$B$20,0)</f>
        <v>677500</v>
      </c>
      <c r="T364" s="101">
        <f>IF(EMPLOYEE_MASTER!AB364="Yes",LK_AllowanceRates!$B$21,0)</f>
        <v>0</v>
      </c>
      <c r="U364" s="101">
        <f>IF(EMPLOYEE_MASTER!P364&gt;=6,LK_AllowanceRates!$B$22,0)</f>
        <v>0</v>
      </c>
      <c r="V364" s="101">
        <f>IF(EMPLOYEE_MASTER!AO364="Yes",LK_AllowanceRates!$B$23,0)</f>
        <v>0</v>
      </c>
      <c r="W364" s="101">
        <f>EMPLOYEE_MASTER!AP364*LK_AllowanceRates!$B$24</f>
        <v>0</v>
      </c>
      <c r="X364" s="101">
        <v>0</v>
      </c>
      <c r="Y364" s="102">
        <v>0</v>
      </c>
      <c r="Z364" s="102">
        <v>0</v>
      </c>
      <c r="AA364" s="102">
        <v>0</v>
      </c>
      <c r="AB364" s="103">
        <f t="shared" ca="1" si="42"/>
        <v>3659500</v>
      </c>
      <c r="AC364" s="104">
        <f t="shared" ca="1" si="43"/>
        <v>6369500</v>
      </c>
      <c r="AD364" s="105">
        <f>ROUND(L364*LK_AllowanceRates!$B$25/100,0)</f>
        <v>149050</v>
      </c>
      <c r="AE364" s="106">
        <f t="shared" ca="1" si="44"/>
        <v>6220450</v>
      </c>
      <c r="AF364" s="106">
        <f t="shared" ca="1" si="45"/>
        <v>307045</v>
      </c>
      <c r="AG364" s="107">
        <v>0</v>
      </c>
      <c r="AH364" s="107">
        <v>0</v>
      </c>
      <c r="AI364" s="108">
        <f t="shared" ca="1" si="46"/>
        <v>456095</v>
      </c>
      <c r="AJ364" s="109">
        <f t="shared" ca="1" si="47"/>
        <v>5913405</v>
      </c>
    </row>
    <row r="365" spans="1:36" ht="15" customHeight="1" x14ac:dyDescent="0.3">
      <c r="A365" s="98" t="str">
        <f>EMPLOYEE_MASTER!A365</f>
        <v>LAO00362</v>
      </c>
      <c r="B365" s="98" t="str">
        <f>EMPLOYEE_MASTER!C365</f>
        <v>Lattanaphone</v>
      </c>
      <c r="C365" s="98" t="str">
        <f>EMPLOYEE_MASTER!D365</f>
        <v>Phommasack</v>
      </c>
      <c r="D365" s="98" t="str">
        <f>EMPLOYEE_MASTER!T365</f>
        <v>Ministry of Labour &amp; Social Welfare (MLSW)</v>
      </c>
      <c r="E365" s="98" t="str">
        <f>EMPLOYEE_MASTER!M365</f>
        <v>Department Director</v>
      </c>
      <c r="F365" s="98" t="str">
        <f>EMPLOYEE_MASTER!Z365</f>
        <v>Administration</v>
      </c>
      <c r="G365" s="99">
        <f>EMPLOYEE_MASTER!P365</f>
        <v>4</v>
      </c>
      <c r="H365" s="99">
        <f>EMPLOYEE_MASTER!Q365</f>
        <v>2</v>
      </c>
      <c r="I365" s="100" t="str">
        <f t="shared" si="40"/>
        <v>G04-S02</v>
      </c>
      <c r="J365" s="100">
        <f>IFERROR(VLOOKUP(I365,LK_GradeStep!$C$4:$D$85,2,0),0)</f>
        <v>288</v>
      </c>
      <c r="K365" s="100">
        <f>IFERROR(VLOOKUP(I365,LK_GradeStep!$C$4:$E$85,3,0),10000)</f>
        <v>10000</v>
      </c>
      <c r="L365" s="100">
        <f t="shared" si="41"/>
        <v>2880000</v>
      </c>
      <c r="M365" s="101">
        <f>IFERROR(VLOOKUP(EMPLOYEE_MASTER!AQ365,LK_AllowanceRates!$A$5:$B$11,2,0),0)</f>
        <v>2500000</v>
      </c>
      <c r="N365" s="101">
        <f ca="1">IFERROR(IF(EMPLOYEE_MASTER!J365&lt;=5,  EMPLOYEE_MASTER!J365*LK_AllowanceRates!$B$12,IF(EMPLOYEE_MASTER!J365&lt;=15, EMPLOYEE_MASTER!J365*LK_AllowanceRates!$B$13,IF(EMPLOYEE_MASTER!J365&lt;=25, EMPLOYEE_MASTER!J365*LK_AllowanceRates!$B$14,EMPLOYEE_MASTER!J365*LK_AllowanceRates!$B$15))),0)</f>
        <v>660000</v>
      </c>
      <c r="O365" s="101">
        <f>IF(EMPLOYEE_MASTER!AS365="Teaching",L365*LK_AllowanceRates!$B$16,0)</f>
        <v>0</v>
      </c>
      <c r="P365" s="101">
        <f>IF(EMPLOYEE_MASTER!AS365="Medical",LK_AllowanceRates!$B$17,0)</f>
        <v>0</v>
      </c>
      <c r="Q365" s="101">
        <f>IF(EMPLOYEE_MASTER!AR365="Yes",LK_AllowanceRates!$B$18,0)</f>
        <v>0</v>
      </c>
      <c r="R365" s="101">
        <f>IF(EMPLOYEE_MASTER!AC365="Yes",LK_AllowanceRates!$B$19,0)</f>
        <v>0</v>
      </c>
      <c r="S365" s="101">
        <f>IF(EMPLOYEE_MASTER!AA365="Yes",L365*LK_AllowanceRates!$B$20,0)</f>
        <v>0</v>
      </c>
      <c r="T365" s="101">
        <f>IF(EMPLOYEE_MASTER!AB365="Yes",LK_AllowanceRates!$B$21,0)</f>
        <v>0</v>
      </c>
      <c r="U365" s="101">
        <f>IF(EMPLOYEE_MASTER!P365&gt;=6,LK_AllowanceRates!$B$22,0)</f>
        <v>0</v>
      </c>
      <c r="V365" s="101">
        <f>IF(EMPLOYEE_MASTER!AO365="Yes",LK_AllowanceRates!$B$23,0)</f>
        <v>200000</v>
      </c>
      <c r="W365" s="101">
        <f>EMPLOYEE_MASTER!AP365*LK_AllowanceRates!$B$24</f>
        <v>600000</v>
      </c>
      <c r="X365" s="101">
        <v>0</v>
      </c>
      <c r="Y365" s="102">
        <v>0</v>
      </c>
      <c r="Z365" s="102">
        <v>0</v>
      </c>
      <c r="AA365" s="102">
        <v>0</v>
      </c>
      <c r="AB365" s="103">
        <f t="shared" ca="1" si="42"/>
        <v>3960000</v>
      </c>
      <c r="AC365" s="104">
        <f t="shared" ca="1" si="43"/>
        <v>6840000</v>
      </c>
      <c r="AD365" s="105">
        <f>ROUND(L365*LK_AllowanceRates!$B$25/100,0)</f>
        <v>158400</v>
      </c>
      <c r="AE365" s="106">
        <f t="shared" ca="1" si="44"/>
        <v>6681600</v>
      </c>
      <c r="AF365" s="106">
        <f t="shared" ca="1" si="45"/>
        <v>353160</v>
      </c>
      <c r="AG365" s="107">
        <v>0</v>
      </c>
      <c r="AH365" s="107">
        <v>0</v>
      </c>
      <c r="AI365" s="108">
        <f t="shared" ca="1" si="46"/>
        <v>511560</v>
      </c>
      <c r="AJ365" s="109">
        <f t="shared" ca="1" si="47"/>
        <v>6328440</v>
      </c>
    </row>
    <row r="366" spans="1:36" ht="15" customHeight="1" x14ac:dyDescent="0.3">
      <c r="A366" s="98" t="str">
        <f>EMPLOYEE_MASTER!A366</f>
        <v>LAO00363</v>
      </c>
      <c r="B366" s="98" t="str">
        <f>EMPLOYEE_MASTER!C366</f>
        <v>Nouphet</v>
      </c>
      <c r="C366" s="98" t="str">
        <f>EMPLOYEE_MASTER!D366</f>
        <v>Phommavong</v>
      </c>
      <c r="D366" s="98" t="str">
        <f>EMPLOYEE_MASTER!T366</f>
        <v>Savannakhet Province Administration</v>
      </c>
      <c r="E366" s="98" t="str">
        <f>EMPLOYEE_MASTER!M366</f>
        <v>Administrative Officer</v>
      </c>
      <c r="F366" s="98" t="str">
        <f>EMPLOYEE_MASTER!Z366</f>
        <v>Administration</v>
      </c>
      <c r="G366" s="99">
        <f>EMPLOYEE_MASTER!P366</f>
        <v>3</v>
      </c>
      <c r="H366" s="99">
        <f>EMPLOYEE_MASTER!Q366</f>
        <v>5</v>
      </c>
      <c r="I366" s="100" t="str">
        <f t="shared" si="40"/>
        <v>G03-S05</v>
      </c>
      <c r="J366" s="100">
        <f>IFERROR(VLOOKUP(I366,LK_GradeStep!$C$4:$D$85,2,0),0)</f>
        <v>280</v>
      </c>
      <c r="K366" s="100">
        <f>IFERROR(VLOOKUP(I366,LK_GradeStep!$C$4:$E$85,3,0),10000)</f>
        <v>10000</v>
      </c>
      <c r="L366" s="100">
        <f t="shared" si="41"/>
        <v>2800000</v>
      </c>
      <c r="M366" s="101">
        <f>IFERROR(VLOOKUP(EMPLOYEE_MASTER!AQ366,LK_AllowanceRates!$A$5:$B$11,2,0),0)</f>
        <v>900000</v>
      </c>
      <c r="N366" s="101">
        <f ca="1">IFERROR(IF(EMPLOYEE_MASTER!J366&lt;=5,  EMPLOYEE_MASTER!J366*LK_AllowanceRates!$B$12,IF(EMPLOYEE_MASTER!J366&lt;=15, EMPLOYEE_MASTER!J366*LK_AllowanceRates!$B$13,IF(EMPLOYEE_MASTER!J366&lt;=25, EMPLOYEE_MASTER!J366*LK_AllowanceRates!$B$14,EMPLOYEE_MASTER!J366*LK_AllowanceRates!$B$15))),0)</f>
        <v>1240000</v>
      </c>
      <c r="O366" s="101">
        <f>IF(EMPLOYEE_MASTER!AS366="Teaching",L366*LK_AllowanceRates!$B$16,0)</f>
        <v>0</v>
      </c>
      <c r="P366" s="101">
        <f>IF(EMPLOYEE_MASTER!AS366="Medical",LK_AllowanceRates!$B$17,0)</f>
        <v>0</v>
      </c>
      <c r="Q366" s="101">
        <f>IF(EMPLOYEE_MASTER!AR366="Yes",LK_AllowanceRates!$B$18,0)</f>
        <v>0</v>
      </c>
      <c r="R366" s="101">
        <f>IF(EMPLOYEE_MASTER!AC366="Yes",LK_AllowanceRates!$B$19,0)</f>
        <v>0</v>
      </c>
      <c r="S366" s="101">
        <f>IF(EMPLOYEE_MASTER!AA366="Yes",L366*LK_AllowanceRates!$B$20,0)</f>
        <v>700000</v>
      </c>
      <c r="T366" s="101">
        <f>IF(EMPLOYEE_MASTER!AB366="Yes",LK_AllowanceRates!$B$21,0)</f>
        <v>0</v>
      </c>
      <c r="U366" s="101">
        <f>IF(EMPLOYEE_MASTER!P366&gt;=6,LK_AllowanceRates!$B$22,0)</f>
        <v>0</v>
      </c>
      <c r="V366" s="101">
        <f>IF(EMPLOYEE_MASTER!AO366="Yes",LK_AllowanceRates!$B$23,0)</f>
        <v>0</v>
      </c>
      <c r="W366" s="101">
        <f>EMPLOYEE_MASTER!AP366*LK_AllowanceRates!$B$24</f>
        <v>0</v>
      </c>
      <c r="X366" s="101">
        <v>0</v>
      </c>
      <c r="Y366" s="102">
        <v>0</v>
      </c>
      <c r="Z366" s="102">
        <v>0</v>
      </c>
      <c r="AA366" s="102">
        <v>0</v>
      </c>
      <c r="AB366" s="103">
        <f t="shared" ca="1" si="42"/>
        <v>2840000</v>
      </c>
      <c r="AC366" s="104">
        <f t="shared" ca="1" si="43"/>
        <v>5640000</v>
      </c>
      <c r="AD366" s="105">
        <f>ROUND(L366*LK_AllowanceRates!$B$25/100,0)</f>
        <v>154000</v>
      </c>
      <c r="AE366" s="106">
        <f t="shared" ca="1" si="44"/>
        <v>5486000</v>
      </c>
      <c r="AF366" s="106">
        <f t="shared" ca="1" si="45"/>
        <v>233600</v>
      </c>
      <c r="AG366" s="107">
        <v>0</v>
      </c>
      <c r="AH366" s="107">
        <v>0</v>
      </c>
      <c r="AI366" s="108">
        <f t="shared" ca="1" si="46"/>
        <v>387600</v>
      </c>
      <c r="AJ366" s="109">
        <f t="shared" ca="1" si="47"/>
        <v>5252400</v>
      </c>
    </row>
    <row r="367" spans="1:36" ht="15" customHeight="1" x14ac:dyDescent="0.3">
      <c r="A367" s="98" t="str">
        <f>EMPLOYEE_MASTER!A367</f>
        <v>LAO00364</v>
      </c>
      <c r="B367" s="98" t="str">
        <f>EMPLOYEE_MASTER!C367</f>
        <v>Visoune</v>
      </c>
      <c r="C367" s="98" t="str">
        <f>EMPLOYEE_MASTER!D367</f>
        <v>Vongkhamphanh</v>
      </c>
      <c r="D367" s="98" t="str">
        <f>EMPLOYEE_MASTER!T367</f>
        <v>Ministry of Education and Sports (MoES)</v>
      </c>
      <c r="E367" s="98" t="str">
        <f>EMPLOYEE_MASTER!M367</f>
        <v>School Principal</v>
      </c>
      <c r="F367" s="98" t="str">
        <f>EMPLOYEE_MASTER!Z367</f>
        <v>Teacher</v>
      </c>
      <c r="G367" s="99">
        <f>EMPLOYEE_MASTER!P367</f>
        <v>3</v>
      </c>
      <c r="H367" s="99">
        <f>EMPLOYEE_MASTER!Q367</f>
        <v>1</v>
      </c>
      <c r="I367" s="100" t="str">
        <f t="shared" si="40"/>
        <v>G03-S01</v>
      </c>
      <c r="J367" s="100">
        <f>IFERROR(VLOOKUP(I367,LK_GradeStep!$C$4:$D$85,2,0),0)</f>
        <v>276</v>
      </c>
      <c r="K367" s="100">
        <f>IFERROR(VLOOKUP(I367,LK_GradeStep!$C$4:$E$85,3,0),10000)</f>
        <v>10000</v>
      </c>
      <c r="L367" s="100">
        <f t="shared" si="41"/>
        <v>2760000</v>
      </c>
      <c r="M367" s="101">
        <f>IFERROR(VLOOKUP(EMPLOYEE_MASTER!AQ367,LK_AllowanceRates!$A$5:$B$11,2,0),0)</f>
        <v>900000</v>
      </c>
      <c r="N367" s="101">
        <f ca="1">IFERROR(IF(EMPLOYEE_MASTER!J367&lt;=5,  EMPLOYEE_MASTER!J367*LK_AllowanceRates!$B$12,IF(EMPLOYEE_MASTER!J367&lt;=15, EMPLOYEE_MASTER!J367*LK_AllowanceRates!$B$13,IF(EMPLOYEE_MASTER!J367&lt;=25, EMPLOYEE_MASTER!J367*LK_AllowanceRates!$B$14,EMPLOYEE_MASTER!J367*LK_AllowanceRates!$B$15))),0)</f>
        <v>120000</v>
      </c>
      <c r="O367" s="101">
        <f>IF(EMPLOYEE_MASTER!AS367="Teaching",L367*LK_AllowanceRates!$B$16,0)</f>
        <v>552000</v>
      </c>
      <c r="P367" s="101">
        <f>IF(EMPLOYEE_MASTER!AS367="Medical",LK_AllowanceRates!$B$17,0)</f>
        <v>0</v>
      </c>
      <c r="Q367" s="101">
        <f>IF(EMPLOYEE_MASTER!AR367="Yes",LK_AllowanceRates!$B$18,0)</f>
        <v>0</v>
      </c>
      <c r="R367" s="101">
        <f>IF(EMPLOYEE_MASTER!AC367="Yes",LK_AllowanceRates!$B$19,0)</f>
        <v>0</v>
      </c>
      <c r="S367" s="101">
        <f>IF(EMPLOYEE_MASTER!AA367="Yes",L367*LK_AllowanceRates!$B$20,0)</f>
        <v>0</v>
      </c>
      <c r="T367" s="101">
        <f>IF(EMPLOYEE_MASTER!AB367="Yes",LK_AllowanceRates!$B$21,0)</f>
        <v>0</v>
      </c>
      <c r="U367" s="101">
        <f>IF(EMPLOYEE_MASTER!P367&gt;=6,LK_AllowanceRates!$B$22,0)</f>
        <v>0</v>
      </c>
      <c r="V367" s="101">
        <f>IF(EMPLOYEE_MASTER!AO367="Yes",LK_AllowanceRates!$B$23,0)</f>
        <v>200000</v>
      </c>
      <c r="W367" s="101">
        <f>EMPLOYEE_MASTER!AP367*LK_AllowanceRates!$B$24</f>
        <v>0</v>
      </c>
      <c r="X367" s="101">
        <v>0</v>
      </c>
      <c r="Y367" s="102">
        <v>0</v>
      </c>
      <c r="Z367" s="102">
        <v>0</v>
      </c>
      <c r="AA367" s="102">
        <v>0</v>
      </c>
      <c r="AB367" s="103">
        <f t="shared" ca="1" si="42"/>
        <v>1772000</v>
      </c>
      <c r="AC367" s="104">
        <f t="shared" ca="1" si="43"/>
        <v>4532000</v>
      </c>
      <c r="AD367" s="105">
        <f>ROUND(L367*LK_AllowanceRates!$B$25/100,0)</f>
        <v>151800</v>
      </c>
      <c r="AE367" s="106">
        <f t="shared" ca="1" si="44"/>
        <v>4380200</v>
      </c>
      <c r="AF367" s="106">
        <f t="shared" ca="1" si="45"/>
        <v>154010</v>
      </c>
      <c r="AG367" s="107">
        <v>0</v>
      </c>
      <c r="AH367" s="107">
        <v>0</v>
      </c>
      <c r="AI367" s="108">
        <f t="shared" ca="1" si="46"/>
        <v>305810</v>
      </c>
      <c r="AJ367" s="109">
        <f t="shared" ca="1" si="47"/>
        <v>4226190</v>
      </c>
    </row>
    <row r="368" spans="1:36" ht="15" customHeight="1" x14ac:dyDescent="0.3">
      <c r="A368" s="98" t="str">
        <f>EMPLOYEE_MASTER!A368</f>
        <v>LAO00365</v>
      </c>
      <c r="B368" s="98" t="str">
        <f>EMPLOYEE_MASTER!C368</f>
        <v>Visoune</v>
      </c>
      <c r="C368" s="98" t="str">
        <f>EMPLOYEE_MASTER!D368</f>
        <v>Sengdara</v>
      </c>
      <c r="D368" s="98" t="str">
        <f>EMPLOYEE_MASTER!T368</f>
        <v>Savannakhet Province Administration</v>
      </c>
      <c r="E368" s="98" t="str">
        <f>EMPLOYEE_MASTER!M368</f>
        <v>Administrative Officer</v>
      </c>
      <c r="F368" s="98" t="str">
        <f>EMPLOYEE_MASTER!Z368</f>
        <v>Administration</v>
      </c>
      <c r="G368" s="99">
        <f>EMPLOYEE_MASTER!P368</f>
        <v>3</v>
      </c>
      <c r="H368" s="99">
        <f>EMPLOYEE_MASTER!Q368</f>
        <v>2</v>
      </c>
      <c r="I368" s="100" t="str">
        <f t="shared" si="40"/>
        <v>G03-S02</v>
      </c>
      <c r="J368" s="100">
        <f>IFERROR(VLOOKUP(I368,LK_GradeStep!$C$4:$D$85,2,0),0)</f>
        <v>277</v>
      </c>
      <c r="K368" s="100">
        <f>IFERROR(VLOOKUP(I368,LK_GradeStep!$C$4:$E$85,3,0),10000)</f>
        <v>10000</v>
      </c>
      <c r="L368" s="100">
        <f t="shared" si="41"/>
        <v>2770000</v>
      </c>
      <c r="M368" s="101">
        <f>IFERROR(VLOOKUP(EMPLOYEE_MASTER!AQ368,LK_AllowanceRates!$A$5:$B$11,2,0),0)</f>
        <v>900000</v>
      </c>
      <c r="N368" s="101">
        <f ca="1">IFERROR(IF(EMPLOYEE_MASTER!J368&lt;=5,  EMPLOYEE_MASTER!J368*LK_AllowanceRates!$B$12,IF(EMPLOYEE_MASTER!J368&lt;=15, EMPLOYEE_MASTER!J368*LK_AllowanceRates!$B$13,IF(EMPLOYEE_MASTER!J368&lt;=25, EMPLOYEE_MASTER!J368*LK_AllowanceRates!$B$14,EMPLOYEE_MASTER!J368*LK_AllowanceRates!$B$15))),0)</f>
        <v>200000</v>
      </c>
      <c r="O368" s="101">
        <f>IF(EMPLOYEE_MASTER!AS368="Teaching",L368*LK_AllowanceRates!$B$16,0)</f>
        <v>0</v>
      </c>
      <c r="P368" s="101">
        <f>IF(EMPLOYEE_MASTER!AS368="Medical",LK_AllowanceRates!$B$17,0)</f>
        <v>0</v>
      </c>
      <c r="Q368" s="101">
        <f>IF(EMPLOYEE_MASTER!AR368="Yes",LK_AllowanceRates!$B$18,0)</f>
        <v>0</v>
      </c>
      <c r="R368" s="101">
        <f>IF(EMPLOYEE_MASTER!AC368="Yes",LK_AllowanceRates!$B$19,0)</f>
        <v>1000000</v>
      </c>
      <c r="S368" s="101">
        <f>IF(EMPLOYEE_MASTER!AA368="Yes",L368*LK_AllowanceRates!$B$20,0)</f>
        <v>692500</v>
      </c>
      <c r="T368" s="101">
        <f>IF(EMPLOYEE_MASTER!AB368="Yes",LK_AllowanceRates!$B$21,0)</f>
        <v>0</v>
      </c>
      <c r="U368" s="101">
        <f>IF(EMPLOYEE_MASTER!P368&gt;=6,LK_AllowanceRates!$B$22,0)</f>
        <v>0</v>
      </c>
      <c r="V368" s="101">
        <f>IF(EMPLOYEE_MASTER!AO368="Yes",LK_AllowanceRates!$B$23,0)</f>
        <v>200000</v>
      </c>
      <c r="W368" s="101">
        <f>EMPLOYEE_MASTER!AP368*LK_AllowanceRates!$B$24</f>
        <v>600000</v>
      </c>
      <c r="X368" s="101">
        <v>0</v>
      </c>
      <c r="Y368" s="102">
        <v>0</v>
      </c>
      <c r="Z368" s="102">
        <v>0</v>
      </c>
      <c r="AA368" s="102">
        <v>0</v>
      </c>
      <c r="AB368" s="103">
        <f t="shared" ca="1" si="42"/>
        <v>3592500</v>
      </c>
      <c r="AC368" s="104">
        <f t="shared" ca="1" si="43"/>
        <v>6362500</v>
      </c>
      <c r="AD368" s="105">
        <f>ROUND(L368*LK_AllowanceRates!$B$25/100,0)</f>
        <v>152350</v>
      </c>
      <c r="AE368" s="106">
        <f t="shared" ca="1" si="44"/>
        <v>6210150</v>
      </c>
      <c r="AF368" s="106">
        <f t="shared" ca="1" si="45"/>
        <v>306015</v>
      </c>
      <c r="AG368" s="107">
        <v>0</v>
      </c>
      <c r="AH368" s="107">
        <v>0</v>
      </c>
      <c r="AI368" s="108">
        <f t="shared" ca="1" si="46"/>
        <v>458365</v>
      </c>
      <c r="AJ368" s="109">
        <f t="shared" ca="1" si="47"/>
        <v>5904135</v>
      </c>
    </row>
    <row r="369" spans="1:36" ht="15" customHeight="1" x14ac:dyDescent="0.3">
      <c r="A369" s="98" t="str">
        <f>EMPLOYEE_MASTER!A369</f>
        <v>LAO00366</v>
      </c>
      <c r="B369" s="98" t="str">
        <f>EMPLOYEE_MASTER!C369</f>
        <v>Xayavong</v>
      </c>
      <c r="C369" s="98" t="str">
        <f>EMPLOYEE_MASTER!D369</f>
        <v>Soulisack</v>
      </c>
      <c r="D369" s="98" t="str">
        <f>EMPLOYEE_MASTER!T369</f>
        <v>Champasak Province Administration</v>
      </c>
      <c r="E369" s="98" t="str">
        <f>EMPLOYEE_MASTER!M369</f>
        <v>Deputy Department Director</v>
      </c>
      <c r="F369" s="98" t="str">
        <f>EMPLOYEE_MASTER!Z369</f>
        <v>Administration</v>
      </c>
      <c r="G369" s="99">
        <f>EMPLOYEE_MASTER!P369</f>
        <v>4</v>
      </c>
      <c r="H369" s="99">
        <f>EMPLOYEE_MASTER!Q369</f>
        <v>1</v>
      </c>
      <c r="I369" s="100" t="str">
        <f t="shared" si="40"/>
        <v>G04-S01</v>
      </c>
      <c r="J369" s="100">
        <f>IFERROR(VLOOKUP(I369,LK_GradeStep!$C$4:$D$85,2,0),0)</f>
        <v>286</v>
      </c>
      <c r="K369" s="100">
        <f>IFERROR(VLOOKUP(I369,LK_GradeStep!$C$4:$E$85,3,0),10000)</f>
        <v>10000</v>
      </c>
      <c r="L369" s="100">
        <f t="shared" si="41"/>
        <v>2860000</v>
      </c>
      <c r="M369" s="101">
        <f>IFERROR(VLOOKUP(EMPLOYEE_MASTER!AQ369,LK_AllowanceRates!$A$5:$B$11,2,0),0)</f>
        <v>900000</v>
      </c>
      <c r="N369" s="101">
        <f ca="1">IFERROR(IF(EMPLOYEE_MASTER!J369&lt;=5,  EMPLOYEE_MASTER!J369*LK_AllowanceRates!$B$12,IF(EMPLOYEE_MASTER!J369&lt;=15, EMPLOYEE_MASTER!J369*LK_AllowanceRates!$B$13,IF(EMPLOYEE_MASTER!J369&lt;=25, EMPLOYEE_MASTER!J369*LK_AllowanceRates!$B$14,EMPLOYEE_MASTER!J369*LK_AllowanceRates!$B$15))),0)</f>
        <v>750000</v>
      </c>
      <c r="O369" s="101">
        <f>IF(EMPLOYEE_MASTER!AS369="Teaching",L369*LK_AllowanceRates!$B$16,0)</f>
        <v>0</v>
      </c>
      <c r="P369" s="101">
        <f>IF(EMPLOYEE_MASTER!AS369="Medical",LK_AllowanceRates!$B$17,0)</f>
        <v>0</v>
      </c>
      <c r="Q369" s="101">
        <f>IF(EMPLOYEE_MASTER!AR369="Yes",LK_AllowanceRates!$B$18,0)</f>
        <v>0</v>
      </c>
      <c r="R369" s="101">
        <f>IF(EMPLOYEE_MASTER!AC369="Yes",LK_AllowanceRates!$B$19,0)</f>
        <v>0</v>
      </c>
      <c r="S369" s="101">
        <f>IF(EMPLOYEE_MASTER!AA369="Yes",L369*LK_AllowanceRates!$B$20,0)</f>
        <v>715000</v>
      </c>
      <c r="T369" s="101">
        <f>IF(EMPLOYEE_MASTER!AB369="Yes",LK_AllowanceRates!$B$21,0)</f>
        <v>0</v>
      </c>
      <c r="U369" s="101">
        <f>IF(EMPLOYEE_MASTER!P369&gt;=6,LK_AllowanceRates!$B$22,0)</f>
        <v>0</v>
      </c>
      <c r="V369" s="101">
        <f>IF(EMPLOYEE_MASTER!AO369="Yes",LK_AllowanceRates!$B$23,0)</f>
        <v>0</v>
      </c>
      <c r="W369" s="101">
        <f>EMPLOYEE_MASTER!AP369*LK_AllowanceRates!$B$24</f>
        <v>0</v>
      </c>
      <c r="X369" s="101">
        <v>0</v>
      </c>
      <c r="Y369" s="102">
        <v>0</v>
      </c>
      <c r="Z369" s="102">
        <v>0</v>
      </c>
      <c r="AA369" s="102">
        <v>0</v>
      </c>
      <c r="AB369" s="103">
        <f t="shared" ca="1" si="42"/>
        <v>2365000</v>
      </c>
      <c r="AC369" s="104">
        <f t="shared" ca="1" si="43"/>
        <v>5225000</v>
      </c>
      <c r="AD369" s="105">
        <f>ROUND(L369*LK_AllowanceRates!$B$25/100,0)</f>
        <v>157300</v>
      </c>
      <c r="AE369" s="106">
        <f t="shared" ca="1" si="44"/>
        <v>5067700</v>
      </c>
      <c r="AF369" s="106">
        <f t="shared" ca="1" si="45"/>
        <v>191770</v>
      </c>
      <c r="AG369" s="107">
        <v>0</v>
      </c>
      <c r="AH369" s="107">
        <v>0</v>
      </c>
      <c r="AI369" s="108">
        <f t="shared" ca="1" si="46"/>
        <v>349070</v>
      </c>
      <c r="AJ369" s="109">
        <f t="shared" ca="1" si="47"/>
        <v>4875930</v>
      </c>
    </row>
    <row r="370" spans="1:36" ht="15" customHeight="1" x14ac:dyDescent="0.3">
      <c r="A370" s="98" t="str">
        <f>EMPLOYEE_MASTER!A370</f>
        <v>LAO00367</v>
      </c>
      <c r="B370" s="98" t="str">
        <f>EMPLOYEE_MASTER!C370</f>
        <v>Nouphet</v>
      </c>
      <c r="C370" s="98" t="str">
        <f>EMPLOYEE_MASTER!D370</f>
        <v>Sisoulath</v>
      </c>
      <c r="D370" s="98" t="str">
        <f>EMPLOYEE_MASTER!T370</f>
        <v>Ministry of Health (MoH)</v>
      </c>
      <c r="E370" s="98" t="str">
        <f>EMPLOYEE_MASTER!M370</f>
        <v>Medical Doctor</v>
      </c>
      <c r="F370" s="98" t="str">
        <f>EMPLOYEE_MASTER!Z370</f>
        <v>Medical</v>
      </c>
      <c r="G370" s="99">
        <f>EMPLOYEE_MASTER!P370</f>
        <v>4</v>
      </c>
      <c r="H370" s="99">
        <f>EMPLOYEE_MASTER!Q370</f>
        <v>6</v>
      </c>
      <c r="I370" s="100" t="str">
        <f t="shared" si="40"/>
        <v>G04-S06</v>
      </c>
      <c r="J370" s="100">
        <f>IFERROR(VLOOKUP(I370,LK_GradeStep!$C$4:$D$85,2,0),0)</f>
        <v>296</v>
      </c>
      <c r="K370" s="100">
        <f>IFERROR(VLOOKUP(I370,LK_GradeStep!$C$4:$E$85,3,0),10000)</f>
        <v>10000</v>
      </c>
      <c r="L370" s="100">
        <f t="shared" si="41"/>
        <v>2960000</v>
      </c>
      <c r="M370" s="101">
        <f>IFERROR(VLOOKUP(EMPLOYEE_MASTER!AQ370,LK_AllowanceRates!$A$5:$B$11,2,0),0)</f>
        <v>900000</v>
      </c>
      <c r="N370" s="101">
        <f ca="1">IFERROR(IF(EMPLOYEE_MASTER!J370&lt;=5,  EMPLOYEE_MASTER!J370*LK_AllowanceRates!$B$12,IF(EMPLOYEE_MASTER!J370&lt;=15, EMPLOYEE_MASTER!J370*LK_AllowanceRates!$B$13,IF(EMPLOYEE_MASTER!J370&lt;=25, EMPLOYEE_MASTER!J370*LK_AllowanceRates!$B$14,EMPLOYEE_MASTER!J370*LK_AllowanceRates!$B$15))),0)</f>
        <v>200000</v>
      </c>
      <c r="O370" s="101">
        <f>IF(EMPLOYEE_MASTER!AS370="Teaching",L370*LK_AllowanceRates!$B$16,0)</f>
        <v>0</v>
      </c>
      <c r="P370" s="101">
        <f>IF(EMPLOYEE_MASTER!AS370="Medical",LK_AllowanceRates!$B$17,0)</f>
        <v>500000</v>
      </c>
      <c r="Q370" s="101">
        <f>IF(EMPLOYEE_MASTER!AR370="Yes",LK_AllowanceRates!$B$18,0)</f>
        <v>0</v>
      </c>
      <c r="R370" s="101">
        <f>IF(EMPLOYEE_MASTER!AC370="Yes",LK_AllowanceRates!$B$19,0)</f>
        <v>0</v>
      </c>
      <c r="S370" s="101">
        <f>IF(EMPLOYEE_MASTER!AA370="Yes",L370*LK_AllowanceRates!$B$20,0)</f>
        <v>0</v>
      </c>
      <c r="T370" s="101">
        <f>IF(EMPLOYEE_MASTER!AB370="Yes",LK_AllowanceRates!$B$21,0)</f>
        <v>0</v>
      </c>
      <c r="U370" s="101">
        <f>IF(EMPLOYEE_MASTER!P370&gt;=6,LK_AllowanceRates!$B$22,0)</f>
        <v>0</v>
      </c>
      <c r="V370" s="101">
        <f>IF(EMPLOYEE_MASTER!AO370="Yes",LK_AllowanceRates!$B$23,0)</f>
        <v>0</v>
      </c>
      <c r="W370" s="101">
        <f>EMPLOYEE_MASTER!AP370*LK_AllowanceRates!$B$24</f>
        <v>0</v>
      </c>
      <c r="X370" s="101">
        <v>0</v>
      </c>
      <c r="Y370" s="102">
        <v>0</v>
      </c>
      <c r="Z370" s="102">
        <v>0</v>
      </c>
      <c r="AA370" s="102">
        <v>0</v>
      </c>
      <c r="AB370" s="103">
        <f t="shared" ca="1" si="42"/>
        <v>1600000</v>
      </c>
      <c r="AC370" s="104">
        <f t="shared" ca="1" si="43"/>
        <v>4560000</v>
      </c>
      <c r="AD370" s="105">
        <f>ROUND(L370*LK_AllowanceRates!$B$25/100,0)</f>
        <v>162800</v>
      </c>
      <c r="AE370" s="106">
        <f t="shared" ca="1" si="44"/>
        <v>4397200</v>
      </c>
      <c r="AF370" s="106">
        <f t="shared" ca="1" si="45"/>
        <v>154860</v>
      </c>
      <c r="AG370" s="107">
        <v>0</v>
      </c>
      <c r="AH370" s="107">
        <v>0</v>
      </c>
      <c r="AI370" s="108">
        <f t="shared" ca="1" si="46"/>
        <v>317660</v>
      </c>
      <c r="AJ370" s="109">
        <f t="shared" ca="1" si="47"/>
        <v>4242340</v>
      </c>
    </row>
    <row r="371" spans="1:36" ht="15" customHeight="1" x14ac:dyDescent="0.3">
      <c r="A371" s="98" t="str">
        <f>EMPLOYEE_MASTER!A371</f>
        <v>LAO00368</v>
      </c>
      <c r="B371" s="98" t="str">
        <f>EMPLOYEE_MASTER!C371</f>
        <v>Dalavanh</v>
      </c>
      <c r="C371" s="98" t="str">
        <f>EMPLOYEE_MASTER!D371</f>
        <v>Vilayphitak</v>
      </c>
      <c r="D371" s="98" t="str">
        <f>EMPLOYEE_MASTER!T371</f>
        <v>Ministry of Foreign Affairs (MFA)</v>
      </c>
      <c r="E371" s="98" t="str">
        <f>EMPLOYEE_MASTER!M371</f>
        <v>Deputy Chief of Mission</v>
      </c>
      <c r="F371" s="98" t="str">
        <f>EMPLOYEE_MASTER!Z371</f>
        <v>Diplomatic</v>
      </c>
      <c r="G371" s="99">
        <f>EMPLOYEE_MASTER!P371</f>
        <v>5</v>
      </c>
      <c r="H371" s="99">
        <f>EMPLOYEE_MASTER!Q371</f>
        <v>1</v>
      </c>
      <c r="I371" s="100" t="str">
        <f t="shared" si="40"/>
        <v>G05-S01</v>
      </c>
      <c r="J371" s="100">
        <f>IFERROR(VLOOKUP(I371,LK_GradeStep!$C$4:$D$85,2,0),0)</f>
        <v>308</v>
      </c>
      <c r="K371" s="100">
        <f>IFERROR(VLOOKUP(I371,LK_GradeStep!$C$4:$E$85,3,0),10000)</f>
        <v>10000</v>
      </c>
      <c r="L371" s="100">
        <f t="shared" si="41"/>
        <v>3080000</v>
      </c>
      <c r="M371" s="101">
        <f>IFERROR(VLOOKUP(EMPLOYEE_MASTER!AQ371,LK_AllowanceRates!$A$5:$B$11,2,0),0)</f>
        <v>900000</v>
      </c>
      <c r="N371" s="101">
        <f ca="1">IFERROR(IF(EMPLOYEE_MASTER!J371&lt;=5,  EMPLOYEE_MASTER!J371*LK_AllowanceRates!$B$12,IF(EMPLOYEE_MASTER!J371&lt;=15, EMPLOYEE_MASTER!J371*LK_AllowanceRates!$B$13,IF(EMPLOYEE_MASTER!J371&lt;=25, EMPLOYEE_MASTER!J371*LK_AllowanceRates!$B$14,EMPLOYEE_MASTER!J371*LK_AllowanceRates!$B$15))),0)</f>
        <v>1280000</v>
      </c>
      <c r="O371" s="101">
        <f>IF(EMPLOYEE_MASTER!AS371="Teaching",L371*LK_AllowanceRates!$B$16,0)</f>
        <v>0</v>
      </c>
      <c r="P371" s="101">
        <f>IF(EMPLOYEE_MASTER!AS371="Medical",LK_AllowanceRates!$B$17,0)</f>
        <v>0</v>
      </c>
      <c r="Q371" s="101">
        <f>IF(EMPLOYEE_MASTER!AR371="Yes",LK_AllowanceRates!$B$18,0)</f>
        <v>0</v>
      </c>
      <c r="R371" s="101">
        <f>IF(EMPLOYEE_MASTER!AC371="Yes",LK_AllowanceRates!$B$19,0)</f>
        <v>0</v>
      </c>
      <c r="S371" s="101">
        <f>IF(EMPLOYEE_MASTER!AA371="Yes",L371*LK_AllowanceRates!$B$20,0)</f>
        <v>0</v>
      </c>
      <c r="T371" s="101">
        <f>IF(EMPLOYEE_MASTER!AB371="Yes",LK_AllowanceRates!$B$21,0)</f>
        <v>20240000</v>
      </c>
      <c r="U371" s="101">
        <f>IF(EMPLOYEE_MASTER!P371&gt;=6,LK_AllowanceRates!$B$22,0)</f>
        <v>0</v>
      </c>
      <c r="V371" s="101">
        <f>IF(EMPLOYEE_MASTER!AO371="Yes",LK_AllowanceRates!$B$23,0)</f>
        <v>0</v>
      </c>
      <c r="W371" s="101">
        <f>EMPLOYEE_MASTER!AP371*LK_AllowanceRates!$B$24</f>
        <v>0</v>
      </c>
      <c r="X371" s="101">
        <v>0</v>
      </c>
      <c r="Y371" s="102">
        <v>0</v>
      </c>
      <c r="Z371" s="102">
        <v>0</v>
      </c>
      <c r="AA371" s="102">
        <v>0</v>
      </c>
      <c r="AB371" s="103">
        <f t="shared" ca="1" si="42"/>
        <v>22420000</v>
      </c>
      <c r="AC371" s="104">
        <f t="shared" ca="1" si="43"/>
        <v>25500000</v>
      </c>
      <c r="AD371" s="105">
        <f>ROUND(L371*LK_AllowanceRates!$B$25/100,0)</f>
        <v>169400</v>
      </c>
      <c r="AE371" s="106">
        <f t="shared" ca="1" si="44"/>
        <v>25330600</v>
      </c>
      <c r="AF371" s="106">
        <f t="shared" ca="1" si="45"/>
        <v>3251120</v>
      </c>
      <c r="AG371" s="107">
        <v>0</v>
      </c>
      <c r="AH371" s="107">
        <v>0</v>
      </c>
      <c r="AI371" s="108">
        <f t="shared" ca="1" si="46"/>
        <v>3420520</v>
      </c>
      <c r="AJ371" s="109">
        <f t="shared" ca="1" si="47"/>
        <v>22079480</v>
      </c>
    </row>
    <row r="372" spans="1:36" ht="15" customHeight="1" x14ac:dyDescent="0.3">
      <c r="A372" s="98" t="str">
        <f>EMPLOYEE_MASTER!A372</f>
        <v>LAO00369</v>
      </c>
      <c r="B372" s="98" t="str">
        <f>EMPLOYEE_MASTER!C372</f>
        <v>Phonedeth</v>
      </c>
      <c r="C372" s="98" t="str">
        <f>EMPLOYEE_MASTER!D372</f>
        <v>Souksavanh</v>
      </c>
      <c r="D372" s="98" t="str">
        <f>EMPLOYEE_MASTER!T372</f>
        <v>Ministry of Industry &amp; Commerce (MoIC)</v>
      </c>
      <c r="E372" s="98" t="str">
        <f>EMPLOYEE_MASTER!M372</f>
        <v>Senior Administrative Officer</v>
      </c>
      <c r="F372" s="98" t="str">
        <f>EMPLOYEE_MASTER!Z372</f>
        <v>Administration</v>
      </c>
      <c r="G372" s="99">
        <f>EMPLOYEE_MASTER!P372</f>
        <v>4</v>
      </c>
      <c r="H372" s="99">
        <f>EMPLOYEE_MASTER!Q372</f>
        <v>4</v>
      </c>
      <c r="I372" s="100" t="str">
        <f t="shared" si="40"/>
        <v>G04-S04</v>
      </c>
      <c r="J372" s="100">
        <f>IFERROR(VLOOKUP(I372,LK_GradeStep!$C$4:$D$85,2,0),0)</f>
        <v>292</v>
      </c>
      <c r="K372" s="100">
        <f>IFERROR(VLOOKUP(I372,LK_GradeStep!$C$4:$E$85,3,0),10000)</f>
        <v>10000</v>
      </c>
      <c r="L372" s="100">
        <f t="shared" si="41"/>
        <v>2920000</v>
      </c>
      <c r="M372" s="101">
        <f>IFERROR(VLOOKUP(EMPLOYEE_MASTER!AQ372,LK_AllowanceRates!$A$5:$B$11,2,0),0)</f>
        <v>900000</v>
      </c>
      <c r="N372" s="101">
        <f ca="1">IFERROR(IF(EMPLOYEE_MASTER!J372&lt;=5,  EMPLOYEE_MASTER!J372*LK_AllowanceRates!$B$12,IF(EMPLOYEE_MASTER!J372&lt;=15, EMPLOYEE_MASTER!J372*LK_AllowanceRates!$B$13,IF(EMPLOYEE_MASTER!J372&lt;=25, EMPLOYEE_MASTER!J372*LK_AllowanceRates!$B$14,EMPLOYEE_MASTER!J372*LK_AllowanceRates!$B$15))),0)</f>
        <v>180000</v>
      </c>
      <c r="O372" s="101">
        <f>IF(EMPLOYEE_MASTER!AS372="Teaching",L372*LK_AllowanceRates!$B$16,0)</f>
        <v>0</v>
      </c>
      <c r="P372" s="101">
        <f>IF(EMPLOYEE_MASTER!AS372="Medical",LK_AllowanceRates!$B$17,0)</f>
        <v>0</v>
      </c>
      <c r="Q372" s="101">
        <f>IF(EMPLOYEE_MASTER!AR372="Yes",LK_AllowanceRates!$B$18,0)</f>
        <v>0</v>
      </c>
      <c r="R372" s="101">
        <f>IF(EMPLOYEE_MASTER!AC372="Yes",LK_AllowanceRates!$B$19,0)</f>
        <v>1000000</v>
      </c>
      <c r="S372" s="101">
        <f>IF(EMPLOYEE_MASTER!AA372="Yes",L372*LK_AllowanceRates!$B$20,0)</f>
        <v>730000</v>
      </c>
      <c r="T372" s="101">
        <f>IF(EMPLOYEE_MASTER!AB372="Yes",LK_AllowanceRates!$B$21,0)</f>
        <v>0</v>
      </c>
      <c r="U372" s="101">
        <f>IF(EMPLOYEE_MASTER!P372&gt;=6,LK_AllowanceRates!$B$22,0)</f>
        <v>0</v>
      </c>
      <c r="V372" s="101">
        <f>IF(EMPLOYEE_MASTER!AO372="Yes",LK_AllowanceRates!$B$23,0)</f>
        <v>200000</v>
      </c>
      <c r="W372" s="101">
        <f>EMPLOYEE_MASTER!AP372*LK_AllowanceRates!$B$24</f>
        <v>600000</v>
      </c>
      <c r="X372" s="101">
        <v>0</v>
      </c>
      <c r="Y372" s="102">
        <v>0</v>
      </c>
      <c r="Z372" s="102">
        <v>0</v>
      </c>
      <c r="AA372" s="102">
        <v>0</v>
      </c>
      <c r="AB372" s="103">
        <f t="shared" ca="1" si="42"/>
        <v>3610000</v>
      </c>
      <c r="AC372" s="104">
        <f t="shared" ca="1" si="43"/>
        <v>6530000</v>
      </c>
      <c r="AD372" s="105">
        <f>ROUND(L372*LK_AllowanceRates!$B$25/100,0)</f>
        <v>160600</v>
      </c>
      <c r="AE372" s="106">
        <f t="shared" ca="1" si="44"/>
        <v>6369400</v>
      </c>
      <c r="AF372" s="106">
        <f t="shared" ca="1" si="45"/>
        <v>321940</v>
      </c>
      <c r="AG372" s="107">
        <v>0</v>
      </c>
      <c r="AH372" s="107">
        <v>0</v>
      </c>
      <c r="AI372" s="108">
        <f t="shared" ca="1" si="46"/>
        <v>482540</v>
      </c>
      <c r="AJ372" s="109">
        <f t="shared" ca="1" si="47"/>
        <v>6047460</v>
      </c>
    </row>
    <row r="373" spans="1:36" ht="15" customHeight="1" x14ac:dyDescent="0.3">
      <c r="A373" s="98" t="str">
        <f>EMPLOYEE_MASTER!A373</f>
        <v>LAO00370</v>
      </c>
      <c r="B373" s="98" t="str">
        <f>EMPLOYEE_MASTER!C373</f>
        <v>Somsak</v>
      </c>
      <c r="C373" s="98" t="str">
        <f>EMPLOYEE_MASTER!D373</f>
        <v>Xaysomboun</v>
      </c>
      <c r="D373" s="98" t="str">
        <f>EMPLOYEE_MASTER!T373</f>
        <v>Ministry of Public Works &amp; Transport (MPWT)</v>
      </c>
      <c r="E373" s="98" t="str">
        <f>EMPLOYEE_MASTER!M373</f>
        <v>Technical Specialist</v>
      </c>
      <c r="F373" s="98" t="str">
        <f>EMPLOYEE_MASTER!Z373</f>
        <v>Technical</v>
      </c>
      <c r="G373" s="99">
        <f>EMPLOYEE_MASTER!P373</f>
        <v>4</v>
      </c>
      <c r="H373" s="99">
        <f>EMPLOYEE_MASTER!Q373</f>
        <v>13</v>
      </c>
      <c r="I373" s="100" t="str">
        <f t="shared" si="40"/>
        <v>G04-S13</v>
      </c>
      <c r="J373" s="100">
        <f>IFERROR(VLOOKUP(I373,LK_GradeStep!$C$4:$D$85,2,0),0)</f>
        <v>328</v>
      </c>
      <c r="K373" s="100">
        <f>IFERROR(VLOOKUP(I373,LK_GradeStep!$C$4:$E$85,3,0),10000)</f>
        <v>10000</v>
      </c>
      <c r="L373" s="100">
        <f t="shared" si="41"/>
        <v>3280000</v>
      </c>
      <c r="M373" s="101">
        <f>IFERROR(VLOOKUP(EMPLOYEE_MASTER!AQ373,LK_AllowanceRates!$A$5:$B$11,2,0),0)</f>
        <v>900000</v>
      </c>
      <c r="N373" s="101">
        <f ca="1">IFERROR(IF(EMPLOYEE_MASTER!J373&lt;=5,  EMPLOYEE_MASTER!J373*LK_AllowanceRates!$B$12,IF(EMPLOYEE_MASTER!J373&lt;=15, EMPLOYEE_MASTER!J373*LK_AllowanceRates!$B$13,IF(EMPLOYEE_MASTER!J373&lt;=25, EMPLOYEE_MASTER!J373*LK_AllowanceRates!$B$14,EMPLOYEE_MASTER!J373*LK_AllowanceRates!$B$15))),0)</f>
        <v>120000</v>
      </c>
      <c r="O373" s="101">
        <f>IF(EMPLOYEE_MASTER!AS373="Teaching",L373*LK_AllowanceRates!$B$16,0)</f>
        <v>0</v>
      </c>
      <c r="P373" s="101">
        <f>IF(EMPLOYEE_MASTER!AS373="Medical",LK_AllowanceRates!$B$17,0)</f>
        <v>0</v>
      </c>
      <c r="Q373" s="101">
        <f>IF(EMPLOYEE_MASTER!AR373="Yes",LK_AllowanceRates!$B$18,0)</f>
        <v>0</v>
      </c>
      <c r="R373" s="101">
        <f>IF(EMPLOYEE_MASTER!AC373="Yes",LK_AllowanceRates!$B$19,0)</f>
        <v>1000000</v>
      </c>
      <c r="S373" s="101">
        <f>IF(EMPLOYEE_MASTER!AA373="Yes",L373*LK_AllowanceRates!$B$20,0)</f>
        <v>820000</v>
      </c>
      <c r="T373" s="101">
        <f>IF(EMPLOYEE_MASTER!AB373="Yes",LK_AllowanceRates!$B$21,0)</f>
        <v>0</v>
      </c>
      <c r="U373" s="101">
        <f>IF(EMPLOYEE_MASTER!P373&gt;=6,LK_AllowanceRates!$B$22,0)</f>
        <v>0</v>
      </c>
      <c r="V373" s="101">
        <f>IF(EMPLOYEE_MASTER!AO373="Yes",LK_AllowanceRates!$B$23,0)</f>
        <v>200000</v>
      </c>
      <c r="W373" s="101">
        <f>EMPLOYEE_MASTER!AP373*LK_AllowanceRates!$B$24</f>
        <v>600000</v>
      </c>
      <c r="X373" s="101">
        <v>0</v>
      </c>
      <c r="Y373" s="102">
        <v>0</v>
      </c>
      <c r="Z373" s="102">
        <v>0</v>
      </c>
      <c r="AA373" s="102">
        <v>0</v>
      </c>
      <c r="AB373" s="103">
        <f t="shared" ca="1" si="42"/>
        <v>3640000</v>
      </c>
      <c r="AC373" s="104">
        <f t="shared" ca="1" si="43"/>
        <v>6920000</v>
      </c>
      <c r="AD373" s="105">
        <f>ROUND(L373*LK_AllowanceRates!$B$25/100,0)</f>
        <v>180400</v>
      </c>
      <c r="AE373" s="106">
        <f t="shared" ca="1" si="44"/>
        <v>6739600</v>
      </c>
      <c r="AF373" s="106">
        <f t="shared" ca="1" si="45"/>
        <v>358960</v>
      </c>
      <c r="AG373" s="107">
        <v>0</v>
      </c>
      <c r="AH373" s="107">
        <v>0</v>
      </c>
      <c r="AI373" s="108">
        <f t="shared" ca="1" si="46"/>
        <v>539360</v>
      </c>
      <c r="AJ373" s="109">
        <f t="shared" ca="1" si="47"/>
        <v>6380640</v>
      </c>
    </row>
    <row r="374" spans="1:36" ht="15" customHeight="1" x14ac:dyDescent="0.3">
      <c r="A374" s="98" t="str">
        <f>EMPLOYEE_MASTER!A374</f>
        <v>LAO00371</v>
      </c>
      <c r="B374" s="98" t="str">
        <f>EMPLOYEE_MASTER!C374</f>
        <v>Sidalay</v>
      </c>
      <c r="C374" s="98" t="str">
        <f>EMPLOYEE_MASTER!D374</f>
        <v>Vongsamphanh</v>
      </c>
      <c r="D374" s="98" t="str">
        <f>EMPLOYEE_MASTER!T374</f>
        <v>Ministry of Agriculture and Forestry (MoAF)</v>
      </c>
      <c r="E374" s="98" t="str">
        <f>EMPLOYEE_MASTER!M374</f>
        <v>Technical Officer</v>
      </c>
      <c r="F374" s="98" t="str">
        <f>EMPLOYEE_MASTER!Z374</f>
        <v>Technical</v>
      </c>
      <c r="G374" s="99">
        <f>EMPLOYEE_MASTER!P374</f>
        <v>3</v>
      </c>
      <c r="H374" s="99">
        <f>EMPLOYEE_MASTER!Q374</f>
        <v>1</v>
      </c>
      <c r="I374" s="100" t="str">
        <f t="shared" si="40"/>
        <v>G03-S01</v>
      </c>
      <c r="J374" s="100">
        <f>IFERROR(VLOOKUP(I374,LK_GradeStep!$C$4:$D$85,2,0),0)</f>
        <v>276</v>
      </c>
      <c r="K374" s="100">
        <f>IFERROR(VLOOKUP(I374,LK_GradeStep!$C$4:$E$85,3,0),10000)</f>
        <v>10000</v>
      </c>
      <c r="L374" s="100">
        <f t="shared" si="41"/>
        <v>2760000</v>
      </c>
      <c r="M374" s="101">
        <f>IFERROR(VLOOKUP(EMPLOYEE_MASTER!AQ374,LK_AllowanceRates!$A$5:$B$11,2,0),0)</f>
        <v>900000</v>
      </c>
      <c r="N374" s="101">
        <f ca="1">IFERROR(IF(EMPLOYEE_MASTER!J374&lt;=5,  EMPLOYEE_MASTER!J374*LK_AllowanceRates!$B$12,IF(EMPLOYEE_MASTER!J374&lt;=15, EMPLOYEE_MASTER!J374*LK_AllowanceRates!$B$13,IF(EMPLOYEE_MASTER!J374&lt;=25, EMPLOYEE_MASTER!J374*LK_AllowanceRates!$B$14,EMPLOYEE_MASTER!J374*LK_AllowanceRates!$B$15))),0)</f>
        <v>1280000</v>
      </c>
      <c r="O374" s="101">
        <f>IF(EMPLOYEE_MASTER!AS374="Teaching",L374*LK_AllowanceRates!$B$16,0)</f>
        <v>0</v>
      </c>
      <c r="P374" s="101">
        <f>IF(EMPLOYEE_MASTER!AS374="Medical",LK_AllowanceRates!$B$17,0)</f>
        <v>0</v>
      </c>
      <c r="Q374" s="101">
        <f>IF(EMPLOYEE_MASTER!AR374="Yes",LK_AllowanceRates!$B$18,0)</f>
        <v>0</v>
      </c>
      <c r="R374" s="101">
        <f>IF(EMPLOYEE_MASTER!AC374="Yes",LK_AllowanceRates!$B$19,0)</f>
        <v>1000000</v>
      </c>
      <c r="S374" s="101">
        <f>IF(EMPLOYEE_MASTER!AA374="Yes",L374*LK_AllowanceRates!$B$20,0)</f>
        <v>690000</v>
      </c>
      <c r="T374" s="101">
        <f>IF(EMPLOYEE_MASTER!AB374="Yes",LK_AllowanceRates!$B$21,0)</f>
        <v>0</v>
      </c>
      <c r="U374" s="101">
        <f>IF(EMPLOYEE_MASTER!P374&gt;=6,LK_AllowanceRates!$B$22,0)</f>
        <v>0</v>
      </c>
      <c r="V374" s="101">
        <f>IF(EMPLOYEE_MASTER!AO374="Yes",LK_AllowanceRates!$B$23,0)</f>
        <v>0</v>
      </c>
      <c r="W374" s="101">
        <f>EMPLOYEE_MASTER!AP374*LK_AllowanceRates!$B$24</f>
        <v>0</v>
      </c>
      <c r="X374" s="101">
        <v>0</v>
      </c>
      <c r="Y374" s="102">
        <v>0</v>
      </c>
      <c r="Z374" s="102">
        <v>0</v>
      </c>
      <c r="AA374" s="102">
        <v>0</v>
      </c>
      <c r="AB374" s="103">
        <f t="shared" ca="1" si="42"/>
        <v>3870000</v>
      </c>
      <c r="AC374" s="104">
        <f t="shared" ca="1" si="43"/>
        <v>6630000</v>
      </c>
      <c r="AD374" s="105">
        <f>ROUND(L374*LK_AllowanceRates!$B$25/100,0)</f>
        <v>151800</v>
      </c>
      <c r="AE374" s="106">
        <f t="shared" ca="1" si="44"/>
        <v>6478200</v>
      </c>
      <c r="AF374" s="106">
        <f t="shared" ca="1" si="45"/>
        <v>332820</v>
      </c>
      <c r="AG374" s="107">
        <v>0</v>
      </c>
      <c r="AH374" s="107">
        <v>0</v>
      </c>
      <c r="AI374" s="108">
        <f t="shared" ca="1" si="46"/>
        <v>484620</v>
      </c>
      <c r="AJ374" s="109">
        <f t="shared" ca="1" si="47"/>
        <v>6145380</v>
      </c>
    </row>
    <row r="375" spans="1:36" ht="15" customHeight="1" x14ac:dyDescent="0.3">
      <c r="A375" s="98" t="str">
        <f>EMPLOYEE_MASTER!A375</f>
        <v>LAO00372</v>
      </c>
      <c r="B375" s="98" t="str">
        <f>EMPLOYEE_MASTER!C375</f>
        <v>Bounpone</v>
      </c>
      <c r="C375" s="98" t="str">
        <f>EMPLOYEE_MASTER!D375</f>
        <v>Keokhamphanh</v>
      </c>
      <c r="D375" s="98" t="str">
        <f>EMPLOYEE_MASTER!T375</f>
        <v>Ministry of Justice (MoJ)</v>
      </c>
      <c r="E375" s="98" t="str">
        <f>EMPLOYEE_MASTER!M375</f>
        <v>Senior Legal Officer</v>
      </c>
      <c r="F375" s="98" t="str">
        <f>EMPLOYEE_MASTER!Z375</f>
        <v>Legal</v>
      </c>
      <c r="G375" s="99">
        <f>EMPLOYEE_MASTER!P375</f>
        <v>5</v>
      </c>
      <c r="H375" s="99">
        <f>EMPLOYEE_MASTER!Q375</f>
        <v>12</v>
      </c>
      <c r="I375" s="100" t="str">
        <f t="shared" si="40"/>
        <v>G05-S12</v>
      </c>
      <c r="J375" s="100">
        <f>IFERROR(VLOOKUP(I375,LK_GradeStep!$C$4:$D$85,2,0),0)</f>
        <v>388</v>
      </c>
      <c r="K375" s="100">
        <f>IFERROR(VLOOKUP(I375,LK_GradeStep!$C$4:$E$85,3,0),10000)</f>
        <v>10000</v>
      </c>
      <c r="L375" s="100">
        <f t="shared" si="41"/>
        <v>3880000</v>
      </c>
      <c r="M375" s="101">
        <f>IFERROR(VLOOKUP(EMPLOYEE_MASTER!AQ375,LK_AllowanceRates!$A$5:$B$11,2,0),0)</f>
        <v>900000</v>
      </c>
      <c r="N375" s="101">
        <f ca="1">IFERROR(IF(EMPLOYEE_MASTER!J375&lt;=5,  EMPLOYEE_MASTER!J375*LK_AllowanceRates!$B$12,IF(EMPLOYEE_MASTER!J375&lt;=15, EMPLOYEE_MASTER!J375*LK_AllowanceRates!$B$13,IF(EMPLOYEE_MASTER!J375&lt;=25, EMPLOYEE_MASTER!J375*LK_AllowanceRates!$B$14,EMPLOYEE_MASTER!J375*LK_AllowanceRates!$B$15))),0)</f>
        <v>50000</v>
      </c>
      <c r="O375" s="101">
        <f>IF(EMPLOYEE_MASTER!AS375="Teaching",L375*LK_AllowanceRates!$B$16,0)</f>
        <v>0</v>
      </c>
      <c r="P375" s="101">
        <f>IF(EMPLOYEE_MASTER!AS375="Medical",LK_AllowanceRates!$B$17,0)</f>
        <v>0</v>
      </c>
      <c r="Q375" s="101">
        <f>IF(EMPLOYEE_MASTER!AR375="Yes",LK_AllowanceRates!$B$18,0)</f>
        <v>0</v>
      </c>
      <c r="R375" s="101">
        <f>IF(EMPLOYEE_MASTER!AC375="Yes",LK_AllowanceRates!$B$19,0)</f>
        <v>1000000</v>
      </c>
      <c r="S375" s="101">
        <f>IF(EMPLOYEE_MASTER!AA375="Yes",L375*LK_AllowanceRates!$B$20,0)</f>
        <v>970000</v>
      </c>
      <c r="T375" s="101">
        <f>IF(EMPLOYEE_MASTER!AB375="Yes",LK_AllowanceRates!$B$21,0)</f>
        <v>0</v>
      </c>
      <c r="U375" s="101">
        <f>IF(EMPLOYEE_MASTER!P375&gt;=6,LK_AllowanceRates!$B$22,0)</f>
        <v>0</v>
      </c>
      <c r="V375" s="101">
        <f>IF(EMPLOYEE_MASTER!AO375="Yes",LK_AllowanceRates!$B$23,0)</f>
        <v>200000</v>
      </c>
      <c r="W375" s="101">
        <f>EMPLOYEE_MASTER!AP375*LK_AllowanceRates!$B$24</f>
        <v>600000</v>
      </c>
      <c r="X375" s="101">
        <v>0</v>
      </c>
      <c r="Y375" s="102">
        <v>0</v>
      </c>
      <c r="Z375" s="102">
        <v>0</v>
      </c>
      <c r="AA375" s="102">
        <v>0</v>
      </c>
      <c r="AB375" s="103">
        <f t="shared" ca="1" si="42"/>
        <v>3720000</v>
      </c>
      <c r="AC375" s="104">
        <f t="shared" ca="1" si="43"/>
        <v>7600000</v>
      </c>
      <c r="AD375" s="105">
        <f>ROUND(L375*LK_AllowanceRates!$B$25/100,0)</f>
        <v>213400</v>
      </c>
      <c r="AE375" s="106">
        <f t="shared" ca="1" si="44"/>
        <v>7386600</v>
      </c>
      <c r="AF375" s="106">
        <f t="shared" ca="1" si="45"/>
        <v>423660</v>
      </c>
      <c r="AG375" s="107">
        <v>0</v>
      </c>
      <c r="AH375" s="107">
        <v>0</v>
      </c>
      <c r="AI375" s="108">
        <f t="shared" ca="1" si="46"/>
        <v>637060</v>
      </c>
      <c r="AJ375" s="109">
        <f t="shared" ca="1" si="47"/>
        <v>6962940</v>
      </c>
    </row>
    <row r="376" spans="1:36" ht="15" customHeight="1" x14ac:dyDescent="0.3">
      <c r="A376" s="98" t="str">
        <f>EMPLOYEE_MASTER!A376</f>
        <v>LAO00373</v>
      </c>
      <c r="B376" s="98" t="str">
        <f>EMPLOYEE_MASTER!C376</f>
        <v>Thongsavanh</v>
      </c>
      <c r="C376" s="98" t="str">
        <f>EMPLOYEE_MASTER!D376</f>
        <v>Souksavanh</v>
      </c>
      <c r="D376" s="98" t="str">
        <f>EMPLOYEE_MASTER!T376</f>
        <v>National Assembly (NA)</v>
      </c>
      <c r="E376" s="98" t="str">
        <f>EMPLOYEE_MASTER!M376</f>
        <v>Clerk</v>
      </c>
      <c r="F376" s="98" t="str">
        <f>EMPLOYEE_MASTER!Z376</f>
        <v>Administration</v>
      </c>
      <c r="G376" s="99">
        <f>EMPLOYEE_MASTER!P376</f>
        <v>2</v>
      </c>
      <c r="H376" s="99">
        <f>EMPLOYEE_MASTER!Q376</f>
        <v>13</v>
      </c>
      <c r="I376" s="100" t="str">
        <f t="shared" si="40"/>
        <v>G02-S13</v>
      </c>
      <c r="J376" s="100">
        <f>IFERROR(VLOOKUP(I376,LK_GradeStep!$C$4:$D$85,2,0),0)</f>
        <v>280</v>
      </c>
      <c r="K376" s="100">
        <f>IFERROR(VLOOKUP(I376,LK_GradeStep!$C$4:$E$85,3,0),10000)</f>
        <v>10000</v>
      </c>
      <c r="L376" s="100">
        <f t="shared" si="41"/>
        <v>2800000</v>
      </c>
      <c r="M376" s="101">
        <f>IFERROR(VLOOKUP(EMPLOYEE_MASTER!AQ376,LK_AllowanceRates!$A$5:$B$11,2,0),0)</f>
        <v>900000</v>
      </c>
      <c r="N376" s="101">
        <f ca="1">IFERROR(IF(EMPLOYEE_MASTER!J376&lt;=5,  EMPLOYEE_MASTER!J376*LK_AllowanceRates!$B$12,IF(EMPLOYEE_MASTER!J376&lt;=15, EMPLOYEE_MASTER!J376*LK_AllowanceRates!$B$13,IF(EMPLOYEE_MASTER!J376&lt;=25, EMPLOYEE_MASTER!J376*LK_AllowanceRates!$B$14,EMPLOYEE_MASTER!J376*LK_AllowanceRates!$B$15))),0)</f>
        <v>180000</v>
      </c>
      <c r="O376" s="101">
        <f>IF(EMPLOYEE_MASTER!AS376="Teaching",L376*LK_AllowanceRates!$B$16,0)</f>
        <v>0</v>
      </c>
      <c r="P376" s="101">
        <f>IF(EMPLOYEE_MASTER!AS376="Medical",LK_AllowanceRates!$B$17,0)</f>
        <v>0</v>
      </c>
      <c r="Q376" s="101">
        <f>IF(EMPLOYEE_MASTER!AR376="Yes",LK_AllowanceRates!$B$18,0)</f>
        <v>1000000</v>
      </c>
      <c r="R376" s="101">
        <f>IF(EMPLOYEE_MASTER!AC376="Yes",LK_AllowanceRates!$B$19,0)</f>
        <v>0</v>
      </c>
      <c r="S376" s="101">
        <f>IF(EMPLOYEE_MASTER!AA376="Yes",L376*LK_AllowanceRates!$B$20,0)</f>
        <v>0</v>
      </c>
      <c r="T376" s="101">
        <f>IF(EMPLOYEE_MASTER!AB376="Yes",LK_AllowanceRates!$B$21,0)</f>
        <v>0</v>
      </c>
      <c r="U376" s="101">
        <f>IF(EMPLOYEE_MASTER!P376&gt;=6,LK_AllowanceRates!$B$22,0)</f>
        <v>0</v>
      </c>
      <c r="V376" s="101">
        <f>IF(EMPLOYEE_MASTER!AO376="Yes",LK_AllowanceRates!$B$23,0)</f>
        <v>0</v>
      </c>
      <c r="W376" s="101">
        <f>EMPLOYEE_MASTER!AP376*LK_AllowanceRates!$B$24</f>
        <v>0</v>
      </c>
      <c r="X376" s="101">
        <v>0</v>
      </c>
      <c r="Y376" s="102">
        <v>0</v>
      </c>
      <c r="Z376" s="102">
        <v>0</v>
      </c>
      <c r="AA376" s="102">
        <v>0</v>
      </c>
      <c r="AB376" s="103">
        <f t="shared" ca="1" si="42"/>
        <v>2080000</v>
      </c>
      <c r="AC376" s="104">
        <f t="shared" ca="1" si="43"/>
        <v>4880000</v>
      </c>
      <c r="AD376" s="105">
        <f>ROUND(L376*LK_AllowanceRates!$B$25/100,0)</f>
        <v>154000</v>
      </c>
      <c r="AE376" s="106">
        <f t="shared" ca="1" si="44"/>
        <v>4726000</v>
      </c>
      <c r="AF376" s="106">
        <f t="shared" ca="1" si="45"/>
        <v>171300</v>
      </c>
      <c r="AG376" s="107">
        <v>0</v>
      </c>
      <c r="AH376" s="107">
        <v>0</v>
      </c>
      <c r="AI376" s="108">
        <f t="shared" ca="1" si="46"/>
        <v>325300</v>
      </c>
      <c r="AJ376" s="109">
        <f t="shared" ca="1" si="47"/>
        <v>4554700</v>
      </c>
    </row>
    <row r="377" spans="1:36" ht="15" customHeight="1" x14ac:dyDescent="0.3">
      <c r="A377" s="98" t="str">
        <f>EMPLOYEE_MASTER!A377</f>
        <v>LAO00374</v>
      </c>
      <c r="B377" s="98" t="str">
        <f>EMPLOYEE_MASTER!C377</f>
        <v>Phonesavanh</v>
      </c>
      <c r="C377" s="98" t="str">
        <f>EMPLOYEE_MASTER!D377</f>
        <v>Xaysomboun</v>
      </c>
      <c r="D377" s="98" t="str">
        <f>EMPLOYEE_MASTER!T377</f>
        <v>National Assembly (NA)</v>
      </c>
      <c r="E377" s="98" t="str">
        <f>EMPLOYEE_MASTER!M377</f>
        <v>Division Chief</v>
      </c>
      <c r="F377" s="98" t="str">
        <f>EMPLOYEE_MASTER!Z377</f>
        <v>Administration</v>
      </c>
      <c r="G377" s="99">
        <f>EMPLOYEE_MASTER!P377</f>
        <v>5</v>
      </c>
      <c r="H377" s="99">
        <f>EMPLOYEE_MASTER!Q377</f>
        <v>1</v>
      </c>
      <c r="I377" s="100" t="str">
        <f t="shared" si="40"/>
        <v>G05-S01</v>
      </c>
      <c r="J377" s="100">
        <f>IFERROR(VLOOKUP(I377,LK_GradeStep!$C$4:$D$85,2,0),0)</f>
        <v>308</v>
      </c>
      <c r="K377" s="100">
        <f>IFERROR(VLOOKUP(I377,LK_GradeStep!$C$4:$E$85,3,0),10000)</f>
        <v>10000</v>
      </c>
      <c r="L377" s="100">
        <f t="shared" si="41"/>
        <v>3080000</v>
      </c>
      <c r="M377" s="101">
        <f>IFERROR(VLOOKUP(EMPLOYEE_MASTER!AQ377,LK_AllowanceRates!$A$5:$B$11,2,0),0)</f>
        <v>1900000</v>
      </c>
      <c r="N377" s="101">
        <f ca="1">IFERROR(IF(EMPLOYEE_MASTER!J377&lt;=5,  EMPLOYEE_MASTER!J377*LK_AllowanceRates!$B$12,IF(EMPLOYEE_MASTER!J377&lt;=15, EMPLOYEE_MASTER!J377*LK_AllowanceRates!$B$13,IF(EMPLOYEE_MASTER!J377&lt;=25, EMPLOYEE_MASTER!J377*LK_AllowanceRates!$B$14,EMPLOYEE_MASTER!J377*LK_AllowanceRates!$B$15))),0)</f>
        <v>570000</v>
      </c>
      <c r="O377" s="101">
        <f>IF(EMPLOYEE_MASTER!AS377="Teaching",L377*LK_AllowanceRates!$B$16,0)</f>
        <v>0</v>
      </c>
      <c r="P377" s="101">
        <f>IF(EMPLOYEE_MASTER!AS377="Medical",LK_AllowanceRates!$B$17,0)</f>
        <v>0</v>
      </c>
      <c r="Q377" s="101">
        <f>IF(EMPLOYEE_MASTER!AR377="Yes",LK_AllowanceRates!$B$18,0)</f>
        <v>1000000</v>
      </c>
      <c r="R377" s="101">
        <f>IF(EMPLOYEE_MASTER!AC377="Yes",LK_AllowanceRates!$B$19,0)</f>
        <v>0</v>
      </c>
      <c r="S377" s="101">
        <f>IF(EMPLOYEE_MASTER!AA377="Yes",L377*LK_AllowanceRates!$B$20,0)</f>
        <v>0</v>
      </c>
      <c r="T377" s="101">
        <f>IF(EMPLOYEE_MASTER!AB377="Yes",LK_AllowanceRates!$B$21,0)</f>
        <v>0</v>
      </c>
      <c r="U377" s="101">
        <f>IF(EMPLOYEE_MASTER!P377&gt;=6,LK_AllowanceRates!$B$22,0)</f>
        <v>0</v>
      </c>
      <c r="V377" s="101">
        <f>IF(EMPLOYEE_MASTER!AO377="Yes",LK_AllowanceRates!$B$23,0)</f>
        <v>200000</v>
      </c>
      <c r="W377" s="101">
        <f>EMPLOYEE_MASTER!AP377*LK_AllowanceRates!$B$24</f>
        <v>600000</v>
      </c>
      <c r="X377" s="101">
        <v>0</v>
      </c>
      <c r="Y377" s="102">
        <v>0</v>
      </c>
      <c r="Z377" s="102">
        <v>0</v>
      </c>
      <c r="AA377" s="102">
        <v>0</v>
      </c>
      <c r="AB377" s="103">
        <f t="shared" ca="1" si="42"/>
        <v>4270000</v>
      </c>
      <c r="AC377" s="104">
        <f t="shared" ca="1" si="43"/>
        <v>7350000</v>
      </c>
      <c r="AD377" s="105">
        <f>ROUND(L377*LK_AllowanceRates!$B$25/100,0)</f>
        <v>169400</v>
      </c>
      <c r="AE377" s="106">
        <f t="shared" ca="1" si="44"/>
        <v>7180600</v>
      </c>
      <c r="AF377" s="106">
        <f t="shared" ca="1" si="45"/>
        <v>403060</v>
      </c>
      <c r="AG377" s="107">
        <v>0</v>
      </c>
      <c r="AH377" s="107">
        <v>0</v>
      </c>
      <c r="AI377" s="108">
        <f t="shared" ca="1" si="46"/>
        <v>572460</v>
      </c>
      <c r="AJ377" s="109">
        <f t="shared" ca="1" si="47"/>
        <v>6777540</v>
      </c>
    </row>
    <row r="378" spans="1:36" ht="15" customHeight="1" x14ac:dyDescent="0.3">
      <c r="A378" s="98" t="str">
        <f>EMPLOYEE_MASTER!A378</f>
        <v>LAO00375</v>
      </c>
      <c r="B378" s="98" t="str">
        <f>EMPLOYEE_MASTER!C378</f>
        <v>Lattana</v>
      </c>
      <c r="C378" s="98" t="str">
        <f>EMPLOYEE_MASTER!D378</f>
        <v>Kheudkham</v>
      </c>
      <c r="D378" s="98" t="str">
        <f>EMPLOYEE_MASTER!T378</f>
        <v>Ministry of Planning &amp; Investment (MPI)</v>
      </c>
      <c r="E378" s="98" t="str">
        <f>EMPLOYEE_MASTER!M378</f>
        <v>Administrative Officer</v>
      </c>
      <c r="F378" s="98" t="str">
        <f>EMPLOYEE_MASTER!Z378</f>
        <v>Administration</v>
      </c>
      <c r="G378" s="99">
        <f>EMPLOYEE_MASTER!P378</f>
        <v>4</v>
      </c>
      <c r="H378" s="99">
        <f>EMPLOYEE_MASTER!Q378</f>
        <v>6</v>
      </c>
      <c r="I378" s="100" t="str">
        <f t="shared" si="40"/>
        <v>G04-S06</v>
      </c>
      <c r="J378" s="100">
        <f>IFERROR(VLOOKUP(I378,LK_GradeStep!$C$4:$D$85,2,0),0)</f>
        <v>296</v>
      </c>
      <c r="K378" s="100">
        <f>IFERROR(VLOOKUP(I378,LK_GradeStep!$C$4:$E$85,3,0),10000)</f>
        <v>10000</v>
      </c>
      <c r="L378" s="100">
        <f t="shared" si="41"/>
        <v>2960000</v>
      </c>
      <c r="M378" s="101">
        <f>IFERROR(VLOOKUP(EMPLOYEE_MASTER!AQ378,LK_AllowanceRates!$A$5:$B$11,2,0),0)</f>
        <v>900000</v>
      </c>
      <c r="N378" s="101">
        <f ca="1">IFERROR(IF(EMPLOYEE_MASTER!J378&lt;=5,  EMPLOYEE_MASTER!J378*LK_AllowanceRates!$B$12,IF(EMPLOYEE_MASTER!J378&lt;=15, EMPLOYEE_MASTER!J378*LK_AllowanceRates!$B$13,IF(EMPLOYEE_MASTER!J378&lt;=25, EMPLOYEE_MASTER!J378*LK_AllowanceRates!$B$14,EMPLOYEE_MASTER!J378*LK_AllowanceRates!$B$15))),0)</f>
        <v>40000</v>
      </c>
      <c r="O378" s="101">
        <f>IF(EMPLOYEE_MASTER!AS378="Teaching",L378*LK_AllowanceRates!$B$16,0)</f>
        <v>0</v>
      </c>
      <c r="P378" s="101">
        <f>IF(EMPLOYEE_MASTER!AS378="Medical",LK_AllowanceRates!$B$17,0)</f>
        <v>0</v>
      </c>
      <c r="Q378" s="101">
        <f>IF(EMPLOYEE_MASTER!AR378="Yes",LK_AllowanceRates!$B$18,0)</f>
        <v>0</v>
      </c>
      <c r="R378" s="101">
        <f>IF(EMPLOYEE_MASTER!AC378="Yes",LK_AllowanceRates!$B$19,0)</f>
        <v>0</v>
      </c>
      <c r="S378" s="101">
        <f>IF(EMPLOYEE_MASTER!AA378="Yes",L378*LK_AllowanceRates!$B$20,0)</f>
        <v>0</v>
      </c>
      <c r="T378" s="101">
        <f>IF(EMPLOYEE_MASTER!AB378="Yes",LK_AllowanceRates!$B$21,0)</f>
        <v>0</v>
      </c>
      <c r="U378" s="101">
        <f>IF(EMPLOYEE_MASTER!P378&gt;=6,LK_AllowanceRates!$B$22,0)</f>
        <v>0</v>
      </c>
      <c r="V378" s="101">
        <f>IF(EMPLOYEE_MASTER!AO378="Yes",LK_AllowanceRates!$B$23,0)</f>
        <v>200000</v>
      </c>
      <c r="W378" s="101">
        <f>EMPLOYEE_MASTER!AP378*LK_AllowanceRates!$B$24</f>
        <v>400000</v>
      </c>
      <c r="X378" s="101">
        <v>0</v>
      </c>
      <c r="Y378" s="102">
        <v>0</v>
      </c>
      <c r="Z378" s="102">
        <v>0</v>
      </c>
      <c r="AA378" s="102">
        <v>0</v>
      </c>
      <c r="AB378" s="103">
        <f t="shared" ca="1" si="42"/>
        <v>1540000</v>
      </c>
      <c r="AC378" s="104">
        <f t="shared" ca="1" si="43"/>
        <v>4500000</v>
      </c>
      <c r="AD378" s="105">
        <f>ROUND(L378*LK_AllowanceRates!$B$25/100,0)</f>
        <v>162800</v>
      </c>
      <c r="AE378" s="106">
        <f t="shared" ca="1" si="44"/>
        <v>4337200</v>
      </c>
      <c r="AF378" s="106">
        <f t="shared" ca="1" si="45"/>
        <v>151860</v>
      </c>
      <c r="AG378" s="107">
        <v>0</v>
      </c>
      <c r="AH378" s="107">
        <v>0</v>
      </c>
      <c r="AI378" s="108">
        <f t="shared" ca="1" si="46"/>
        <v>314660</v>
      </c>
      <c r="AJ378" s="109">
        <f t="shared" ca="1" si="47"/>
        <v>4185340</v>
      </c>
    </row>
    <row r="379" spans="1:36" ht="15" customHeight="1" x14ac:dyDescent="0.3">
      <c r="A379" s="98" t="str">
        <f>EMPLOYEE_MASTER!A379</f>
        <v>LAO00376</v>
      </c>
      <c r="B379" s="98" t="str">
        <f>EMPLOYEE_MASTER!C379</f>
        <v>Siphone</v>
      </c>
      <c r="C379" s="98" t="str">
        <f>EMPLOYEE_MASTER!D379</f>
        <v>Keobounphan</v>
      </c>
      <c r="D379" s="98" t="str">
        <f>EMPLOYEE_MASTER!T379</f>
        <v>Ministry of Natural Resources &amp; Environment (MoNRE)</v>
      </c>
      <c r="E379" s="98" t="str">
        <f>EMPLOYEE_MASTER!M379</f>
        <v>Survey Officer</v>
      </c>
      <c r="F379" s="98" t="str">
        <f>EMPLOYEE_MASTER!Z379</f>
        <v>Technical</v>
      </c>
      <c r="G379" s="99">
        <f>EMPLOYEE_MASTER!P379</f>
        <v>4</v>
      </c>
      <c r="H379" s="99">
        <f>EMPLOYEE_MASTER!Q379</f>
        <v>13</v>
      </c>
      <c r="I379" s="100" t="str">
        <f t="shared" si="40"/>
        <v>G04-S13</v>
      </c>
      <c r="J379" s="100">
        <f>IFERROR(VLOOKUP(I379,LK_GradeStep!$C$4:$D$85,2,0),0)</f>
        <v>328</v>
      </c>
      <c r="K379" s="100">
        <f>IFERROR(VLOOKUP(I379,LK_GradeStep!$C$4:$E$85,3,0),10000)</f>
        <v>10000</v>
      </c>
      <c r="L379" s="100">
        <f t="shared" si="41"/>
        <v>3280000</v>
      </c>
      <c r="M379" s="101">
        <f>IFERROR(VLOOKUP(EMPLOYEE_MASTER!AQ379,LK_AllowanceRates!$A$5:$B$11,2,0),0)</f>
        <v>900000</v>
      </c>
      <c r="N379" s="101">
        <f ca="1">IFERROR(IF(EMPLOYEE_MASTER!J379&lt;=5,  EMPLOYEE_MASTER!J379*LK_AllowanceRates!$B$12,IF(EMPLOYEE_MASTER!J379&lt;=15, EMPLOYEE_MASTER!J379*LK_AllowanceRates!$B$13,IF(EMPLOYEE_MASTER!J379&lt;=25, EMPLOYEE_MASTER!J379*LK_AllowanceRates!$B$14,EMPLOYEE_MASTER!J379*LK_AllowanceRates!$B$15))),0)</f>
        <v>200000</v>
      </c>
      <c r="O379" s="101">
        <f>IF(EMPLOYEE_MASTER!AS379="Teaching",L379*LK_AllowanceRates!$B$16,0)</f>
        <v>0</v>
      </c>
      <c r="P379" s="101">
        <f>IF(EMPLOYEE_MASTER!AS379="Medical",LK_AllowanceRates!$B$17,0)</f>
        <v>0</v>
      </c>
      <c r="Q379" s="101">
        <f>IF(EMPLOYEE_MASTER!AR379="Yes",LK_AllowanceRates!$B$18,0)</f>
        <v>0</v>
      </c>
      <c r="R379" s="101">
        <f>IF(EMPLOYEE_MASTER!AC379="Yes",LK_AllowanceRates!$B$19,0)</f>
        <v>1000000</v>
      </c>
      <c r="S379" s="101">
        <f>IF(EMPLOYEE_MASTER!AA379="Yes",L379*LK_AllowanceRates!$B$20,0)</f>
        <v>820000</v>
      </c>
      <c r="T379" s="101">
        <f>IF(EMPLOYEE_MASTER!AB379="Yes",LK_AllowanceRates!$B$21,0)</f>
        <v>0</v>
      </c>
      <c r="U379" s="101">
        <f>IF(EMPLOYEE_MASTER!P379&gt;=6,LK_AllowanceRates!$B$22,0)</f>
        <v>0</v>
      </c>
      <c r="V379" s="101">
        <f>IF(EMPLOYEE_MASTER!AO379="Yes",LK_AllowanceRates!$B$23,0)</f>
        <v>0</v>
      </c>
      <c r="W379" s="101">
        <f>EMPLOYEE_MASTER!AP379*LK_AllowanceRates!$B$24</f>
        <v>0</v>
      </c>
      <c r="X379" s="101">
        <v>0</v>
      </c>
      <c r="Y379" s="102">
        <v>0</v>
      </c>
      <c r="Z379" s="102">
        <v>0</v>
      </c>
      <c r="AA379" s="102">
        <v>0</v>
      </c>
      <c r="AB379" s="103">
        <f t="shared" ca="1" si="42"/>
        <v>2920000</v>
      </c>
      <c r="AC379" s="104">
        <f t="shared" ca="1" si="43"/>
        <v>6200000</v>
      </c>
      <c r="AD379" s="105">
        <f>ROUND(L379*LK_AllowanceRates!$B$25/100,0)</f>
        <v>180400</v>
      </c>
      <c r="AE379" s="106">
        <f t="shared" ca="1" si="44"/>
        <v>6019600</v>
      </c>
      <c r="AF379" s="106">
        <f t="shared" ca="1" si="45"/>
        <v>286960</v>
      </c>
      <c r="AG379" s="107">
        <v>0</v>
      </c>
      <c r="AH379" s="107">
        <v>0</v>
      </c>
      <c r="AI379" s="108">
        <f t="shared" ca="1" si="46"/>
        <v>467360</v>
      </c>
      <c r="AJ379" s="109">
        <f t="shared" ca="1" si="47"/>
        <v>5732640</v>
      </c>
    </row>
    <row r="380" spans="1:36" ht="15" customHeight="1" x14ac:dyDescent="0.3">
      <c r="A380" s="98" t="str">
        <f>EMPLOYEE_MASTER!A380</f>
        <v>LAO00377</v>
      </c>
      <c r="B380" s="98" t="str">
        <f>EMPLOYEE_MASTER!C380</f>
        <v>Phonepadith</v>
      </c>
      <c r="C380" s="98" t="str">
        <f>EMPLOYEE_MASTER!D380</f>
        <v>Phiaylack</v>
      </c>
      <c r="D380" s="98" t="str">
        <f>EMPLOYEE_MASTER!T380</f>
        <v>Ministry of Education and Sports (MoES)</v>
      </c>
      <c r="E380" s="98" t="str">
        <f>EMPLOYEE_MASTER!M380</f>
        <v>Education Officer</v>
      </c>
      <c r="F380" s="98" t="str">
        <f>EMPLOYEE_MASTER!Z380</f>
        <v>Teacher</v>
      </c>
      <c r="G380" s="99">
        <f>EMPLOYEE_MASTER!P380</f>
        <v>2</v>
      </c>
      <c r="H380" s="99">
        <f>EMPLOYEE_MASTER!Q380</f>
        <v>1</v>
      </c>
      <c r="I380" s="100" t="str">
        <f t="shared" si="40"/>
        <v>G02-S01</v>
      </c>
      <c r="J380" s="100">
        <f>IFERROR(VLOOKUP(I380,LK_GradeStep!$C$4:$D$85,2,0),0)</f>
        <v>268</v>
      </c>
      <c r="K380" s="100">
        <f>IFERROR(VLOOKUP(I380,LK_GradeStep!$C$4:$E$85,3,0),10000)</f>
        <v>10000</v>
      </c>
      <c r="L380" s="100">
        <f t="shared" si="41"/>
        <v>2680000</v>
      </c>
      <c r="M380" s="101">
        <f>IFERROR(VLOOKUP(EMPLOYEE_MASTER!AQ380,LK_AllowanceRates!$A$5:$B$11,2,0),0)</f>
        <v>900000</v>
      </c>
      <c r="N380" s="101">
        <f ca="1">IFERROR(IF(EMPLOYEE_MASTER!J380&lt;=5,  EMPLOYEE_MASTER!J380*LK_AllowanceRates!$B$12,IF(EMPLOYEE_MASTER!J380&lt;=15, EMPLOYEE_MASTER!J380*LK_AllowanceRates!$B$13,IF(EMPLOYEE_MASTER!J380&lt;=25, EMPLOYEE_MASTER!J380*LK_AllowanceRates!$B$14,EMPLOYEE_MASTER!J380*LK_AllowanceRates!$B$15))),0)</f>
        <v>1160000</v>
      </c>
      <c r="O380" s="101">
        <f>IF(EMPLOYEE_MASTER!AS380="Teaching",L380*LK_AllowanceRates!$B$16,0)</f>
        <v>536000</v>
      </c>
      <c r="P380" s="101">
        <f>IF(EMPLOYEE_MASTER!AS380="Medical",LK_AllowanceRates!$B$17,0)</f>
        <v>0</v>
      </c>
      <c r="Q380" s="101">
        <f>IF(EMPLOYEE_MASTER!AR380="Yes",LK_AllowanceRates!$B$18,0)</f>
        <v>0</v>
      </c>
      <c r="R380" s="101">
        <f>IF(EMPLOYEE_MASTER!AC380="Yes",LK_AllowanceRates!$B$19,0)</f>
        <v>1000000</v>
      </c>
      <c r="S380" s="101">
        <f>IF(EMPLOYEE_MASTER!AA380="Yes",L380*LK_AllowanceRates!$B$20,0)</f>
        <v>670000</v>
      </c>
      <c r="T380" s="101">
        <f>IF(EMPLOYEE_MASTER!AB380="Yes",LK_AllowanceRates!$B$21,0)</f>
        <v>0</v>
      </c>
      <c r="U380" s="101">
        <f>IF(EMPLOYEE_MASTER!P380&gt;=6,LK_AllowanceRates!$B$22,0)</f>
        <v>0</v>
      </c>
      <c r="V380" s="101">
        <f>IF(EMPLOYEE_MASTER!AO380="Yes",LK_AllowanceRates!$B$23,0)</f>
        <v>0</v>
      </c>
      <c r="W380" s="101">
        <f>EMPLOYEE_MASTER!AP380*LK_AllowanceRates!$B$24</f>
        <v>0</v>
      </c>
      <c r="X380" s="101">
        <v>0</v>
      </c>
      <c r="Y380" s="102">
        <v>0</v>
      </c>
      <c r="Z380" s="102">
        <v>0</v>
      </c>
      <c r="AA380" s="102">
        <v>0</v>
      </c>
      <c r="AB380" s="103">
        <f t="shared" ca="1" si="42"/>
        <v>4266000</v>
      </c>
      <c r="AC380" s="104">
        <f t="shared" ca="1" si="43"/>
        <v>6946000</v>
      </c>
      <c r="AD380" s="105">
        <f>ROUND(L380*LK_AllowanceRates!$B$25/100,0)</f>
        <v>147400</v>
      </c>
      <c r="AE380" s="106">
        <f t="shared" ca="1" si="44"/>
        <v>6798600</v>
      </c>
      <c r="AF380" s="106">
        <f t="shared" ca="1" si="45"/>
        <v>364860</v>
      </c>
      <c r="AG380" s="107">
        <v>0</v>
      </c>
      <c r="AH380" s="107">
        <v>0</v>
      </c>
      <c r="AI380" s="108">
        <f t="shared" ca="1" si="46"/>
        <v>512260</v>
      </c>
      <c r="AJ380" s="109">
        <f t="shared" ca="1" si="47"/>
        <v>6433740</v>
      </c>
    </row>
    <row r="381" spans="1:36" ht="15" customHeight="1" x14ac:dyDescent="0.3">
      <c r="A381" s="98" t="str">
        <f>EMPLOYEE_MASTER!A381</f>
        <v>LAO00378</v>
      </c>
      <c r="B381" s="98" t="str">
        <f>EMPLOYEE_MASTER!C381</f>
        <v>Vilayhong</v>
      </c>
      <c r="C381" s="98" t="str">
        <f>EMPLOYEE_MASTER!D381</f>
        <v>Thammavong</v>
      </c>
      <c r="D381" s="98" t="str">
        <f>EMPLOYEE_MASTER!T381</f>
        <v>Ministry of Health (MoH)</v>
      </c>
      <c r="E381" s="98" t="str">
        <f>EMPLOYEE_MASTER!M381</f>
        <v>Health Inspector</v>
      </c>
      <c r="F381" s="98" t="str">
        <f>EMPLOYEE_MASTER!Z381</f>
        <v>Medical</v>
      </c>
      <c r="G381" s="99">
        <f>EMPLOYEE_MASTER!P381</f>
        <v>4</v>
      </c>
      <c r="H381" s="99">
        <f>EMPLOYEE_MASTER!Q381</f>
        <v>1</v>
      </c>
      <c r="I381" s="100" t="str">
        <f t="shared" si="40"/>
        <v>G04-S01</v>
      </c>
      <c r="J381" s="100">
        <f>IFERROR(VLOOKUP(I381,LK_GradeStep!$C$4:$D$85,2,0),0)</f>
        <v>286</v>
      </c>
      <c r="K381" s="100">
        <f>IFERROR(VLOOKUP(I381,LK_GradeStep!$C$4:$E$85,3,0),10000)</f>
        <v>10000</v>
      </c>
      <c r="L381" s="100">
        <f t="shared" si="41"/>
        <v>2860000</v>
      </c>
      <c r="M381" s="101">
        <f>IFERROR(VLOOKUP(EMPLOYEE_MASTER!AQ381,LK_AllowanceRates!$A$5:$B$11,2,0),0)</f>
        <v>900000</v>
      </c>
      <c r="N381" s="101">
        <f ca="1">IFERROR(IF(EMPLOYEE_MASTER!J381&lt;=5,  EMPLOYEE_MASTER!J381*LK_AllowanceRates!$B$12,IF(EMPLOYEE_MASTER!J381&lt;=15, EMPLOYEE_MASTER!J381*LK_AllowanceRates!$B$13,IF(EMPLOYEE_MASTER!J381&lt;=25, EMPLOYEE_MASTER!J381*LK_AllowanceRates!$B$14,EMPLOYEE_MASTER!J381*LK_AllowanceRates!$B$15))),0)</f>
        <v>1120000</v>
      </c>
      <c r="O381" s="101">
        <f>IF(EMPLOYEE_MASTER!AS381="Teaching",L381*LK_AllowanceRates!$B$16,0)</f>
        <v>0</v>
      </c>
      <c r="P381" s="101">
        <f>IF(EMPLOYEE_MASTER!AS381="Medical",LK_AllowanceRates!$B$17,0)</f>
        <v>500000</v>
      </c>
      <c r="Q381" s="101">
        <f>IF(EMPLOYEE_MASTER!AR381="Yes",LK_AllowanceRates!$B$18,0)</f>
        <v>0</v>
      </c>
      <c r="R381" s="101">
        <f>IF(EMPLOYEE_MASTER!AC381="Yes",LK_AllowanceRates!$B$19,0)</f>
        <v>0</v>
      </c>
      <c r="S381" s="101">
        <f>IF(EMPLOYEE_MASTER!AA381="Yes",L381*LK_AllowanceRates!$B$20,0)</f>
        <v>0</v>
      </c>
      <c r="T381" s="101">
        <f>IF(EMPLOYEE_MASTER!AB381="Yes",LK_AllowanceRates!$B$21,0)</f>
        <v>0</v>
      </c>
      <c r="U381" s="101">
        <f>IF(EMPLOYEE_MASTER!P381&gt;=6,LK_AllowanceRates!$B$22,0)</f>
        <v>0</v>
      </c>
      <c r="V381" s="101">
        <f>IF(EMPLOYEE_MASTER!AO381="Yes",LK_AllowanceRates!$B$23,0)</f>
        <v>200000</v>
      </c>
      <c r="W381" s="101">
        <f>EMPLOYEE_MASTER!AP381*LK_AllowanceRates!$B$24</f>
        <v>200000</v>
      </c>
      <c r="X381" s="101">
        <v>0</v>
      </c>
      <c r="Y381" s="102">
        <v>0</v>
      </c>
      <c r="Z381" s="102">
        <v>0</v>
      </c>
      <c r="AA381" s="102">
        <v>0</v>
      </c>
      <c r="AB381" s="103">
        <f t="shared" ca="1" si="42"/>
        <v>2920000</v>
      </c>
      <c r="AC381" s="104">
        <f t="shared" ca="1" si="43"/>
        <v>5780000</v>
      </c>
      <c r="AD381" s="105">
        <f>ROUND(L381*LK_AllowanceRates!$B$25/100,0)</f>
        <v>157300</v>
      </c>
      <c r="AE381" s="106">
        <f t="shared" ca="1" si="44"/>
        <v>5622700</v>
      </c>
      <c r="AF381" s="106">
        <f t="shared" ca="1" si="45"/>
        <v>247270</v>
      </c>
      <c r="AG381" s="107">
        <v>0</v>
      </c>
      <c r="AH381" s="107">
        <v>0</v>
      </c>
      <c r="AI381" s="108">
        <f t="shared" ca="1" si="46"/>
        <v>404570</v>
      </c>
      <c r="AJ381" s="109">
        <f t="shared" ca="1" si="47"/>
        <v>5375430</v>
      </c>
    </row>
    <row r="382" spans="1:36" ht="15" customHeight="1" x14ac:dyDescent="0.3">
      <c r="A382" s="98" t="str">
        <f>EMPLOYEE_MASTER!A382</f>
        <v>LAO00379</v>
      </c>
      <c r="B382" s="98" t="str">
        <f>EMPLOYEE_MASTER!C382</f>
        <v>Sinorath</v>
      </c>
      <c r="C382" s="98" t="str">
        <f>EMPLOYEE_MASTER!D382</f>
        <v>Phaymany</v>
      </c>
      <c r="D382" s="98" t="str">
        <f>EMPLOYEE_MASTER!T382</f>
        <v>Ministry of Education and Sports (MoES)</v>
      </c>
      <c r="E382" s="98" t="str">
        <f>EMPLOYEE_MASTER!M382</f>
        <v>Associate Professor</v>
      </c>
      <c r="F382" s="98" t="str">
        <f>EMPLOYEE_MASTER!Z382</f>
        <v>Teacher</v>
      </c>
      <c r="G382" s="99">
        <f>EMPLOYEE_MASTER!P382</f>
        <v>5</v>
      </c>
      <c r="H382" s="99">
        <f>EMPLOYEE_MASTER!Q382</f>
        <v>11</v>
      </c>
      <c r="I382" s="100" t="str">
        <f t="shared" si="40"/>
        <v>G05-S11</v>
      </c>
      <c r="J382" s="100">
        <f>IFERROR(VLOOKUP(I382,LK_GradeStep!$C$4:$D$85,2,0),0)</f>
        <v>378</v>
      </c>
      <c r="K382" s="100">
        <f>IFERROR(VLOOKUP(I382,LK_GradeStep!$C$4:$E$85,3,0),10000)</f>
        <v>10000</v>
      </c>
      <c r="L382" s="100">
        <f t="shared" si="41"/>
        <v>3780000</v>
      </c>
      <c r="M382" s="101">
        <f>IFERROR(VLOOKUP(EMPLOYEE_MASTER!AQ382,LK_AllowanceRates!$A$5:$B$11,2,0),0)</f>
        <v>900000</v>
      </c>
      <c r="N382" s="101">
        <f ca="1">IFERROR(IF(EMPLOYEE_MASTER!J382&lt;=5,  EMPLOYEE_MASTER!J382*LK_AllowanceRates!$B$12,IF(EMPLOYEE_MASTER!J382&lt;=15, EMPLOYEE_MASTER!J382*LK_AllowanceRates!$B$13,IF(EMPLOYEE_MASTER!J382&lt;=25, EMPLOYEE_MASTER!J382*LK_AllowanceRates!$B$14,EMPLOYEE_MASTER!J382*LK_AllowanceRates!$B$15))),0)</f>
        <v>0</v>
      </c>
      <c r="O382" s="101">
        <f>IF(EMPLOYEE_MASTER!AS382="Teaching",L382*LK_AllowanceRates!$B$16,0)</f>
        <v>756000</v>
      </c>
      <c r="P382" s="101">
        <f>IF(EMPLOYEE_MASTER!AS382="Medical",LK_AllowanceRates!$B$17,0)</f>
        <v>0</v>
      </c>
      <c r="Q382" s="101">
        <f>IF(EMPLOYEE_MASTER!AR382="Yes",LK_AllowanceRates!$B$18,0)</f>
        <v>0</v>
      </c>
      <c r="R382" s="101">
        <f>IF(EMPLOYEE_MASTER!AC382="Yes",LK_AllowanceRates!$B$19,0)</f>
        <v>1000000</v>
      </c>
      <c r="S382" s="101">
        <f>IF(EMPLOYEE_MASTER!AA382="Yes",L382*LK_AllowanceRates!$B$20,0)</f>
        <v>945000</v>
      </c>
      <c r="T382" s="101">
        <f>IF(EMPLOYEE_MASTER!AB382="Yes",LK_AllowanceRates!$B$21,0)</f>
        <v>0</v>
      </c>
      <c r="U382" s="101">
        <f>IF(EMPLOYEE_MASTER!P382&gt;=6,LK_AllowanceRates!$B$22,0)</f>
        <v>0</v>
      </c>
      <c r="V382" s="101">
        <f>IF(EMPLOYEE_MASTER!AO382="Yes",LK_AllowanceRates!$B$23,0)</f>
        <v>0</v>
      </c>
      <c r="W382" s="101">
        <f>EMPLOYEE_MASTER!AP382*LK_AllowanceRates!$B$24</f>
        <v>0</v>
      </c>
      <c r="X382" s="101">
        <v>0</v>
      </c>
      <c r="Y382" s="102">
        <v>0</v>
      </c>
      <c r="Z382" s="102">
        <v>0</v>
      </c>
      <c r="AA382" s="102">
        <v>0</v>
      </c>
      <c r="AB382" s="103">
        <f t="shared" ca="1" si="42"/>
        <v>3601000</v>
      </c>
      <c r="AC382" s="104">
        <f t="shared" ca="1" si="43"/>
        <v>7381000</v>
      </c>
      <c r="AD382" s="105">
        <f>ROUND(L382*LK_AllowanceRates!$B$25/100,0)</f>
        <v>207900</v>
      </c>
      <c r="AE382" s="106">
        <f t="shared" ca="1" si="44"/>
        <v>7173100</v>
      </c>
      <c r="AF382" s="106">
        <f t="shared" ca="1" si="45"/>
        <v>402310</v>
      </c>
      <c r="AG382" s="107">
        <v>0</v>
      </c>
      <c r="AH382" s="107">
        <v>0</v>
      </c>
      <c r="AI382" s="108">
        <f t="shared" ca="1" si="46"/>
        <v>610210</v>
      </c>
      <c r="AJ382" s="109">
        <f t="shared" ca="1" si="47"/>
        <v>6770790</v>
      </c>
    </row>
    <row r="383" spans="1:36" ht="15" customHeight="1" x14ac:dyDescent="0.3">
      <c r="A383" s="98" t="str">
        <f>EMPLOYEE_MASTER!A383</f>
        <v>LAO00380</v>
      </c>
      <c r="B383" s="98" t="str">
        <f>EMPLOYEE_MASTER!C383</f>
        <v>Soudabout</v>
      </c>
      <c r="C383" s="98" t="str">
        <f>EMPLOYEE_MASTER!D383</f>
        <v>Phetsamone</v>
      </c>
      <c r="D383" s="98" t="str">
        <f>EMPLOYEE_MASTER!T383</f>
        <v>Ministry of Public Works &amp; Transport (MPWT)</v>
      </c>
      <c r="E383" s="98" t="str">
        <f>EMPLOYEE_MASTER!M383</f>
        <v>Survey Officer</v>
      </c>
      <c r="F383" s="98" t="str">
        <f>EMPLOYEE_MASTER!Z383</f>
        <v>Technical</v>
      </c>
      <c r="G383" s="99">
        <f>EMPLOYEE_MASTER!P383</f>
        <v>2</v>
      </c>
      <c r="H383" s="99">
        <f>EMPLOYEE_MASTER!Q383</f>
        <v>2</v>
      </c>
      <c r="I383" s="100" t="str">
        <f t="shared" si="40"/>
        <v>G02-S02</v>
      </c>
      <c r="J383" s="100">
        <f>IFERROR(VLOOKUP(I383,LK_GradeStep!$C$4:$D$85,2,0),0)</f>
        <v>269</v>
      </c>
      <c r="K383" s="100">
        <f>IFERROR(VLOOKUP(I383,LK_GradeStep!$C$4:$E$85,3,0),10000)</f>
        <v>10000</v>
      </c>
      <c r="L383" s="100">
        <f t="shared" si="41"/>
        <v>2690000</v>
      </c>
      <c r="M383" s="101">
        <f>IFERROR(VLOOKUP(EMPLOYEE_MASTER!AQ383,LK_AllowanceRates!$A$5:$B$11,2,0),0)</f>
        <v>900000</v>
      </c>
      <c r="N383" s="101">
        <f ca="1">IFERROR(IF(EMPLOYEE_MASTER!J383&lt;=5,  EMPLOYEE_MASTER!J383*LK_AllowanceRates!$B$12,IF(EMPLOYEE_MASTER!J383&lt;=15, EMPLOYEE_MASTER!J383*LK_AllowanceRates!$B$13,IF(EMPLOYEE_MASTER!J383&lt;=25, EMPLOYEE_MASTER!J383*LK_AllowanceRates!$B$14,EMPLOYEE_MASTER!J383*LK_AllowanceRates!$B$15))),0)</f>
        <v>160000</v>
      </c>
      <c r="O383" s="101">
        <f>IF(EMPLOYEE_MASTER!AS383="Teaching",L383*LK_AllowanceRates!$B$16,0)</f>
        <v>0</v>
      </c>
      <c r="P383" s="101">
        <f>IF(EMPLOYEE_MASTER!AS383="Medical",LK_AllowanceRates!$B$17,0)</f>
        <v>0</v>
      </c>
      <c r="Q383" s="101">
        <f>IF(EMPLOYEE_MASTER!AR383="Yes",LK_AllowanceRates!$B$18,0)</f>
        <v>0</v>
      </c>
      <c r="R383" s="101">
        <f>IF(EMPLOYEE_MASTER!AC383="Yes",LK_AllowanceRates!$B$19,0)</f>
        <v>1000000</v>
      </c>
      <c r="S383" s="101">
        <f>IF(EMPLOYEE_MASTER!AA383="Yes",L383*LK_AllowanceRates!$B$20,0)</f>
        <v>672500</v>
      </c>
      <c r="T383" s="101">
        <f>IF(EMPLOYEE_MASTER!AB383="Yes",LK_AllowanceRates!$B$21,0)</f>
        <v>0</v>
      </c>
      <c r="U383" s="101">
        <f>IF(EMPLOYEE_MASTER!P383&gt;=6,LK_AllowanceRates!$B$22,0)</f>
        <v>0</v>
      </c>
      <c r="V383" s="101">
        <f>IF(EMPLOYEE_MASTER!AO383="Yes",LK_AllowanceRates!$B$23,0)</f>
        <v>200000</v>
      </c>
      <c r="W383" s="101">
        <f>EMPLOYEE_MASTER!AP383*LK_AllowanceRates!$B$24</f>
        <v>0</v>
      </c>
      <c r="X383" s="101">
        <v>0</v>
      </c>
      <c r="Y383" s="102">
        <v>0</v>
      </c>
      <c r="Z383" s="102">
        <v>0</v>
      </c>
      <c r="AA383" s="102">
        <v>0</v>
      </c>
      <c r="AB383" s="103">
        <f t="shared" ca="1" si="42"/>
        <v>2932500</v>
      </c>
      <c r="AC383" s="104">
        <f t="shared" ca="1" si="43"/>
        <v>5622500</v>
      </c>
      <c r="AD383" s="105">
        <f>ROUND(L383*LK_AllowanceRates!$B$25/100,0)</f>
        <v>147950</v>
      </c>
      <c r="AE383" s="106">
        <f t="shared" ca="1" si="44"/>
        <v>5474550</v>
      </c>
      <c r="AF383" s="106">
        <f t="shared" ca="1" si="45"/>
        <v>232455</v>
      </c>
      <c r="AG383" s="107">
        <v>0</v>
      </c>
      <c r="AH383" s="107">
        <v>0</v>
      </c>
      <c r="AI383" s="108">
        <f t="shared" ca="1" si="46"/>
        <v>380405</v>
      </c>
      <c r="AJ383" s="109">
        <f t="shared" ca="1" si="47"/>
        <v>5242095</v>
      </c>
    </row>
    <row r="384" spans="1:36" ht="15" customHeight="1" x14ac:dyDescent="0.3">
      <c r="A384" s="98" t="str">
        <f>EMPLOYEE_MASTER!A384</f>
        <v>LAO00381</v>
      </c>
      <c r="B384" s="98" t="str">
        <f>EMPLOYEE_MASTER!C384</f>
        <v>Vilaychith</v>
      </c>
      <c r="C384" s="98" t="str">
        <f>EMPLOYEE_MASTER!D384</f>
        <v>Khambounheuang</v>
      </c>
      <c r="D384" s="98" t="str">
        <f>EMPLOYEE_MASTER!T384</f>
        <v>Ministry of Education and Sports (MoES)</v>
      </c>
      <c r="E384" s="98" t="str">
        <f>EMPLOYEE_MASTER!M384</f>
        <v>University Lecturer</v>
      </c>
      <c r="F384" s="98" t="str">
        <f>EMPLOYEE_MASTER!Z384</f>
        <v>Teacher</v>
      </c>
      <c r="G384" s="99">
        <f>EMPLOYEE_MASTER!P384</f>
        <v>4</v>
      </c>
      <c r="H384" s="99">
        <f>EMPLOYEE_MASTER!Q384</f>
        <v>1</v>
      </c>
      <c r="I384" s="100" t="str">
        <f t="shared" si="40"/>
        <v>G04-S01</v>
      </c>
      <c r="J384" s="100">
        <f>IFERROR(VLOOKUP(I384,LK_GradeStep!$C$4:$D$85,2,0),0)</f>
        <v>286</v>
      </c>
      <c r="K384" s="100">
        <f>IFERROR(VLOOKUP(I384,LK_GradeStep!$C$4:$E$85,3,0),10000)</f>
        <v>10000</v>
      </c>
      <c r="L384" s="100">
        <f t="shared" si="41"/>
        <v>2860000</v>
      </c>
      <c r="M384" s="101">
        <f>IFERROR(VLOOKUP(EMPLOYEE_MASTER!AQ384,LK_AllowanceRates!$A$5:$B$11,2,0),0)</f>
        <v>900000</v>
      </c>
      <c r="N384" s="101">
        <f ca="1">IFERROR(IF(EMPLOYEE_MASTER!J384&lt;=5,  EMPLOYEE_MASTER!J384*LK_AllowanceRates!$B$12,IF(EMPLOYEE_MASTER!J384&lt;=15, EMPLOYEE_MASTER!J384*LK_AllowanceRates!$B$13,IF(EMPLOYEE_MASTER!J384&lt;=25, EMPLOYEE_MASTER!J384*LK_AllowanceRates!$B$14,EMPLOYEE_MASTER!J384*LK_AllowanceRates!$B$15))),0)</f>
        <v>570000</v>
      </c>
      <c r="O384" s="101">
        <f>IF(EMPLOYEE_MASTER!AS384="Teaching",L384*LK_AllowanceRates!$B$16,0)</f>
        <v>572000</v>
      </c>
      <c r="P384" s="101">
        <f>IF(EMPLOYEE_MASTER!AS384="Medical",LK_AllowanceRates!$B$17,0)</f>
        <v>0</v>
      </c>
      <c r="Q384" s="101">
        <f>IF(EMPLOYEE_MASTER!AR384="Yes",LK_AllowanceRates!$B$18,0)</f>
        <v>0</v>
      </c>
      <c r="R384" s="101">
        <f>IF(EMPLOYEE_MASTER!AC384="Yes",LK_AllowanceRates!$B$19,0)</f>
        <v>1000000</v>
      </c>
      <c r="S384" s="101">
        <f>IF(EMPLOYEE_MASTER!AA384="Yes",L384*LK_AllowanceRates!$B$20,0)</f>
        <v>0</v>
      </c>
      <c r="T384" s="101">
        <f>IF(EMPLOYEE_MASTER!AB384="Yes",LK_AllowanceRates!$B$21,0)</f>
        <v>0</v>
      </c>
      <c r="U384" s="101">
        <f>IF(EMPLOYEE_MASTER!P384&gt;=6,LK_AllowanceRates!$B$22,0)</f>
        <v>0</v>
      </c>
      <c r="V384" s="101">
        <f>IF(EMPLOYEE_MASTER!AO384="Yes",LK_AllowanceRates!$B$23,0)</f>
        <v>200000</v>
      </c>
      <c r="W384" s="101">
        <f>EMPLOYEE_MASTER!AP384*LK_AllowanceRates!$B$24</f>
        <v>200000</v>
      </c>
      <c r="X384" s="101">
        <v>0</v>
      </c>
      <c r="Y384" s="102">
        <v>0</v>
      </c>
      <c r="Z384" s="102">
        <v>0</v>
      </c>
      <c r="AA384" s="102">
        <v>0</v>
      </c>
      <c r="AB384" s="103">
        <f t="shared" ca="1" si="42"/>
        <v>3442000</v>
      </c>
      <c r="AC384" s="104">
        <f t="shared" ca="1" si="43"/>
        <v>6302000</v>
      </c>
      <c r="AD384" s="105">
        <f>ROUND(L384*LK_AllowanceRates!$B$25/100,0)</f>
        <v>157300</v>
      </c>
      <c r="AE384" s="106">
        <f t="shared" ca="1" si="44"/>
        <v>6144700</v>
      </c>
      <c r="AF384" s="106">
        <f t="shared" ca="1" si="45"/>
        <v>299470</v>
      </c>
      <c r="AG384" s="107">
        <v>0</v>
      </c>
      <c r="AH384" s="107">
        <v>0</v>
      </c>
      <c r="AI384" s="108">
        <f t="shared" ca="1" si="46"/>
        <v>456770</v>
      </c>
      <c r="AJ384" s="109">
        <f t="shared" ca="1" si="47"/>
        <v>5845230</v>
      </c>
    </row>
    <row r="385" spans="1:36" ht="15" customHeight="1" x14ac:dyDescent="0.3">
      <c r="A385" s="98" t="str">
        <f>EMPLOYEE_MASTER!A385</f>
        <v>LAO00382</v>
      </c>
      <c r="B385" s="98" t="str">
        <f>EMPLOYEE_MASTER!C385</f>
        <v>Bounmy</v>
      </c>
      <c r="C385" s="98" t="str">
        <f>EMPLOYEE_MASTER!D385</f>
        <v>Phommasack</v>
      </c>
      <c r="D385" s="98" t="str">
        <f>EMPLOYEE_MASTER!T385</f>
        <v>Savannakhet Province Administration</v>
      </c>
      <c r="E385" s="98" t="str">
        <f>EMPLOYEE_MASTER!M385</f>
        <v>Officer</v>
      </c>
      <c r="F385" s="98" t="str">
        <f>EMPLOYEE_MASTER!Z385</f>
        <v>Administration</v>
      </c>
      <c r="G385" s="99">
        <f>EMPLOYEE_MASTER!P385</f>
        <v>3</v>
      </c>
      <c r="H385" s="99">
        <f>EMPLOYEE_MASTER!Q385</f>
        <v>1</v>
      </c>
      <c r="I385" s="100" t="str">
        <f t="shared" si="40"/>
        <v>G03-S01</v>
      </c>
      <c r="J385" s="100">
        <f>IFERROR(VLOOKUP(I385,LK_GradeStep!$C$4:$D$85,2,0),0)</f>
        <v>276</v>
      </c>
      <c r="K385" s="100">
        <f>IFERROR(VLOOKUP(I385,LK_GradeStep!$C$4:$E$85,3,0),10000)</f>
        <v>10000</v>
      </c>
      <c r="L385" s="100">
        <f t="shared" si="41"/>
        <v>2760000</v>
      </c>
      <c r="M385" s="101">
        <f>IFERROR(VLOOKUP(EMPLOYEE_MASTER!AQ385,LK_AllowanceRates!$A$5:$B$11,2,0),0)</f>
        <v>900000</v>
      </c>
      <c r="N385" s="101">
        <f ca="1">IFERROR(IF(EMPLOYEE_MASTER!J385&lt;=5,  EMPLOYEE_MASTER!J385*LK_AllowanceRates!$B$12,IF(EMPLOYEE_MASTER!J385&lt;=15, EMPLOYEE_MASTER!J385*LK_AllowanceRates!$B$13,IF(EMPLOYEE_MASTER!J385&lt;=25, EMPLOYEE_MASTER!J385*LK_AllowanceRates!$B$14,EMPLOYEE_MASTER!J385*LK_AllowanceRates!$B$15))),0)</f>
        <v>1040000</v>
      </c>
      <c r="O385" s="101">
        <f>IF(EMPLOYEE_MASTER!AS385="Teaching",L385*LK_AllowanceRates!$B$16,0)</f>
        <v>0</v>
      </c>
      <c r="P385" s="101">
        <f>IF(EMPLOYEE_MASTER!AS385="Medical",LK_AllowanceRates!$B$17,0)</f>
        <v>0</v>
      </c>
      <c r="Q385" s="101">
        <f>IF(EMPLOYEE_MASTER!AR385="Yes",LK_AllowanceRates!$B$18,0)</f>
        <v>0</v>
      </c>
      <c r="R385" s="101">
        <f>IF(EMPLOYEE_MASTER!AC385="Yes",LK_AllowanceRates!$B$19,0)</f>
        <v>0</v>
      </c>
      <c r="S385" s="101">
        <f>IF(EMPLOYEE_MASTER!AA385="Yes",L385*LK_AllowanceRates!$B$20,0)</f>
        <v>690000</v>
      </c>
      <c r="T385" s="101">
        <f>IF(EMPLOYEE_MASTER!AB385="Yes",LK_AllowanceRates!$B$21,0)</f>
        <v>0</v>
      </c>
      <c r="U385" s="101">
        <f>IF(EMPLOYEE_MASTER!P385&gt;=6,LK_AllowanceRates!$B$22,0)</f>
        <v>0</v>
      </c>
      <c r="V385" s="101">
        <f>IF(EMPLOYEE_MASTER!AO385="Yes",LK_AllowanceRates!$B$23,0)</f>
        <v>0</v>
      </c>
      <c r="W385" s="101">
        <f>EMPLOYEE_MASTER!AP385*LK_AllowanceRates!$B$24</f>
        <v>0</v>
      </c>
      <c r="X385" s="101">
        <v>0</v>
      </c>
      <c r="Y385" s="102">
        <v>0</v>
      </c>
      <c r="Z385" s="102">
        <v>0</v>
      </c>
      <c r="AA385" s="102">
        <v>0</v>
      </c>
      <c r="AB385" s="103">
        <f t="shared" ca="1" si="42"/>
        <v>2630000</v>
      </c>
      <c r="AC385" s="104">
        <f t="shared" ca="1" si="43"/>
        <v>5390000</v>
      </c>
      <c r="AD385" s="105">
        <f>ROUND(L385*LK_AllowanceRates!$B$25/100,0)</f>
        <v>151800</v>
      </c>
      <c r="AE385" s="106">
        <f t="shared" ca="1" si="44"/>
        <v>5238200</v>
      </c>
      <c r="AF385" s="106">
        <f t="shared" ca="1" si="45"/>
        <v>208820</v>
      </c>
      <c r="AG385" s="107">
        <v>0</v>
      </c>
      <c r="AH385" s="107">
        <v>0</v>
      </c>
      <c r="AI385" s="108">
        <f t="shared" ca="1" si="46"/>
        <v>360620</v>
      </c>
      <c r="AJ385" s="109">
        <f t="shared" ca="1" si="47"/>
        <v>5029380</v>
      </c>
    </row>
    <row r="386" spans="1:36" ht="15" customHeight="1" x14ac:dyDescent="0.3">
      <c r="A386" s="98" t="str">
        <f>EMPLOYEE_MASTER!A386</f>
        <v>LAO00383</v>
      </c>
      <c r="B386" s="98" t="str">
        <f>EMPLOYEE_MASTER!C386</f>
        <v>Phonethip</v>
      </c>
      <c r="C386" s="98" t="str">
        <f>EMPLOYEE_MASTER!D386</f>
        <v>Phongphichith</v>
      </c>
      <c r="D386" s="98" t="str">
        <f>EMPLOYEE_MASTER!T386</f>
        <v>Ministry of Education and Sports (MoES)</v>
      </c>
      <c r="E386" s="98" t="str">
        <f>EMPLOYEE_MASTER!M386</f>
        <v>Deputy Principal</v>
      </c>
      <c r="F386" s="98" t="str">
        <f>EMPLOYEE_MASTER!Z386</f>
        <v>Teacher</v>
      </c>
      <c r="G386" s="99">
        <f>EMPLOYEE_MASTER!P386</f>
        <v>2</v>
      </c>
      <c r="H386" s="99">
        <f>EMPLOYEE_MASTER!Q386</f>
        <v>1</v>
      </c>
      <c r="I386" s="100" t="str">
        <f t="shared" si="40"/>
        <v>G02-S01</v>
      </c>
      <c r="J386" s="100">
        <f>IFERROR(VLOOKUP(I386,LK_GradeStep!$C$4:$D$85,2,0),0)</f>
        <v>268</v>
      </c>
      <c r="K386" s="100">
        <f>IFERROR(VLOOKUP(I386,LK_GradeStep!$C$4:$E$85,3,0),10000)</f>
        <v>10000</v>
      </c>
      <c r="L386" s="100">
        <f t="shared" si="41"/>
        <v>2680000</v>
      </c>
      <c r="M386" s="101">
        <f>IFERROR(VLOOKUP(EMPLOYEE_MASTER!AQ386,LK_AllowanceRates!$A$5:$B$11,2,0),0)</f>
        <v>900000</v>
      </c>
      <c r="N386" s="101">
        <f ca="1">IFERROR(IF(EMPLOYEE_MASTER!J386&lt;=5,  EMPLOYEE_MASTER!J386*LK_AllowanceRates!$B$12,IF(EMPLOYEE_MASTER!J386&lt;=15, EMPLOYEE_MASTER!J386*LK_AllowanceRates!$B$13,IF(EMPLOYEE_MASTER!J386&lt;=25, EMPLOYEE_MASTER!J386*LK_AllowanceRates!$B$14,EMPLOYEE_MASTER!J386*LK_AllowanceRates!$B$15))),0)</f>
        <v>1320000</v>
      </c>
      <c r="O386" s="101">
        <f>IF(EMPLOYEE_MASTER!AS386="Teaching",L386*LK_AllowanceRates!$B$16,0)</f>
        <v>536000</v>
      </c>
      <c r="P386" s="101">
        <f>IF(EMPLOYEE_MASTER!AS386="Medical",LK_AllowanceRates!$B$17,0)</f>
        <v>0</v>
      </c>
      <c r="Q386" s="101">
        <f>IF(EMPLOYEE_MASTER!AR386="Yes",LK_AllowanceRates!$B$18,0)</f>
        <v>0</v>
      </c>
      <c r="R386" s="101">
        <f>IF(EMPLOYEE_MASTER!AC386="Yes",LK_AllowanceRates!$B$19,0)</f>
        <v>1000000</v>
      </c>
      <c r="S386" s="101">
        <f>IF(EMPLOYEE_MASTER!AA386="Yes",L386*LK_AllowanceRates!$B$20,0)</f>
        <v>670000</v>
      </c>
      <c r="T386" s="101">
        <f>IF(EMPLOYEE_MASTER!AB386="Yes",LK_AllowanceRates!$B$21,0)</f>
        <v>0</v>
      </c>
      <c r="U386" s="101">
        <f>IF(EMPLOYEE_MASTER!P386&gt;=6,LK_AllowanceRates!$B$22,0)</f>
        <v>0</v>
      </c>
      <c r="V386" s="101">
        <f>IF(EMPLOYEE_MASTER!AO386="Yes",LK_AllowanceRates!$B$23,0)</f>
        <v>0</v>
      </c>
      <c r="W386" s="101">
        <f>EMPLOYEE_MASTER!AP386*LK_AllowanceRates!$B$24</f>
        <v>0</v>
      </c>
      <c r="X386" s="101">
        <v>0</v>
      </c>
      <c r="Y386" s="102">
        <v>0</v>
      </c>
      <c r="Z386" s="102">
        <v>0</v>
      </c>
      <c r="AA386" s="102">
        <v>0</v>
      </c>
      <c r="AB386" s="103">
        <f t="shared" ca="1" si="42"/>
        <v>4426000</v>
      </c>
      <c r="AC386" s="104">
        <f t="shared" ca="1" si="43"/>
        <v>7106000</v>
      </c>
      <c r="AD386" s="105">
        <f>ROUND(L386*LK_AllowanceRates!$B$25/100,0)</f>
        <v>147400</v>
      </c>
      <c r="AE386" s="106">
        <f t="shared" ca="1" si="44"/>
        <v>6958600</v>
      </c>
      <c r="AF386" s="106">
        <f t="shared" ca="1" si="45"/>
        <v>380860</v>
      </c>
      <c r="AG386" s="107">
        <v>0</v>
      </c>
      <c r="AH386" s="107">
        <v>0</v>
      </c>
      <c r="AI386" s="108">
        <f t="shared" ca="1" si="46"/>
        <v>528260</v>
      </c>
      <c r="AJ386" s="109">
        <f t="shared" ca="1" si="47"/>
        <v>6577740</v>
      </c>
    </row>
    <row r="387" spans="1:36" ht="15" customHeight="1" x14ac:dyDescent="0.3">
      <c r="A387" s="98" t="str">
        <f>EMPLOYEE_MASTER!A387</f>
        <v>LAO00384</v>
      </c>
      <c r="B387" s="98" t="str">
        <f>EMPLOYEE_MASTER!C387</f>
        <v>Souphavanh</v>
      </c>
      <c r="C387" s="98" t="str">
        <f>EMPLOYEE_MASTER!D387</f>
        <v>Phommasack</v>
      </c>
      <c r="D387" s="98" t="str">
        <f>EMPLOYEE_MASTER!T387</f>
        <v>Ministry of Health (MoH)</v>
      </c>
      <c r="E387" s="98" t="str">
        <f>EMPLOYEE_MASTER!M387</f>
        <v>Laboratory Technician</v>
      </c>
      <c r="F387" s="98" t="str">
        <f>EMPLOYEE_MASTER!Z387</f>
        <v>Medical</v>
      </c>
      <c r="G387" s="99">
        <f>EMPLOYEE_MASTER!P387</f>
        <v>4</v>
      </c>
      <c r="H387" s="99">
        <f>EMPLOYEE_MASTER!Q387</f>
        <v>1</v>
      </c>
      <c r="I387" s="100" t="str">
        <f t="shared" si="40"/>
        <v>G04-S01</v>
      </c>
      <c r="J387" s="100">
        <f>IFERROR(VLOOKUP(I387,LK_GradeStep!$C$4:$D$85,2,0),0)</f>
        <v>286</v>
      </c>
      <c r="K387" s="100">
        <f>IFERROR(VLOOKUP(I387,LK_GradeStep!$C$4:$E$85,3,0),10000)</f>
        <v>10000</v>
      </c>
      <c r="L387" s="100">
        <f t="shared" si="41"/>
        <v>2860000</v>
      </c>
      <c r="M387" s="101">
        <f>IFERROR(VLOOKUP(EMPLOYEE_MASTER!AQ387,LK_AllowanceRates!$A$5:$B$11,2,0),0)</f>
        <v>900000</v>
      </c>
      <c r="N387" s="101">
        <f ca="1">IFERROR(IF(EMPLOYEE_MASTER!J387&lt;=5,  EMPLOYEE_MASTER!J387*LK_AllowanceRates!$B$12,IF(EMPLOYEE_MASTER!J387&lt;=15, EMPLOYEE_MASTER!J387*LK_AllowanceRates!$B$13,IF(EMPLOYEE_MASTER!J387&lt;=25, EMPLOYEE_MASTER!J387*LK_AllowanceRates!$B$14,EMPLOYEE_MASTER!J387*LK_AllowanceRates!$B$15))),0)</f>
        <v>1160000</v>
      </c>
      <c r="O387" s="101">
        <f>IF(EMPLOYEE_MASTER!AS387="Teaching",L387*LK_AllowanceRates!$B$16,0)</f>
        <v>0</v>
      </c>
      <c r="P387" s="101">
        <f>IF(EMPLOYEE_MASTER!AS387="Medical",LK_AllowanceRates!$B$17,0)</f>
        <v>500000</v>
      </c>
      <c r="Q387" s="101">
        <f>IF(EMPLOYEE_MASTER!AR387="Yes",LK_AllowanceRates!$B$18,0)</f>
        <v>0</v>
      </c>
      <c r="R387" s="101">
        <f>IF(EMPLOYEE_MASTER!AC387="Yes",LK_AllowanceRates!$B$19,0)</f>
        <v>1000000</v>
      </c>
      <c r="S387" s="101">
        <f>IF(EMPLOYEE_MASTER!AA387="Yes",L387*LK_AllowanceRates!$B$20,0)</f>
        <v>0</v>
      </c>
      <c r="T387" s="101">
        <f>IF(EMPLOYEE_MASTER!AB387="Yes",LK_AllowanceRates!$B$21,0)</f>
        <v>0</v>
      </c>
      <c r="U387" s="101">
        <f>IF(EMPLOYEE_MASTER!P387&gt;=6,LK_AllowanceRates!$B$22,0)</f>
        <v>0</v>
      </c>
      <c r="V387" s="101">
        <f>IF(EMPLOYEE_MASTER!AO387="Yes",LK_AllowanceRates!$B$23,0)</f>
        <v>0</v>
      </c>
      <c r="W387" s="101">
        <f>EMPLOYEE_MASTER!AP387*LK_AllowanceRates!$B$24</f>
        <v>0</v>
      </c>
      <c r="X387" s="101">
        <v>0</v>
      </c>
      <c r="Y387" s="102">
        <v>0</v>
      </c>
      <c r="Z387" s="102">
        <v>0</v>
      </c>
      <c r="AA387" s="102">
        <v>0</v>
      </c>
      <c r="AB387" s="103">
        <f t="shared" ca="1" si="42"/>
        <v>3560000</v>
      </c>
      <c r="AC387" s="104">
        <f t="shared" ca="1" si="43"/>
        <v>6420000</v>
      </c>
      <c r="AD387" s="105">
        <f>ROUND(L387*LK_AllowanceRates!$B$25/100,0)</f>
        <v>157300</v>
      </c>
      <c r="AE387" s="106">
        <f t="shared" ca="1" si="44"/>
        <v>6262700</v>
      </c>
      <c r="AF387" s="106">
        <f t="shared" ca="1" si="45"/>
        <v>311270</v>
      </c>
      <c r="AG387" s="107">
        <v>0</v>
      </c>
      <c r="AH387" s="107">
        <v>0</v>
      </c>
      <c r="AI387" s="108">
        <f t="shared" ca="1" si="46"/>
        <v>468570</v>
      </c>
      <c r="AJ387" s="109">
        <f t="shared" ca="1" si="47"/>
        <v>5951430</v>
      </c>
    </row>
    <row r="388" spans="1:36" ht="15" customHeight="1" x14ac:dyDescent="0.3">
      <c r="A388" s="98" t="str">
        <f>EMPLOYEE_MASTER!A388</f>
        <v>LAO00385</v>
      </c>
      <c r="B388" s="98" t="str">
        <f>EMPLOYEE_MASTER!C388</f>
        <v>Nongkham</v>
      </c>
      <c r="C388" s="98" t="str">
        <f>EMPLOYEE_MASTER!D388</f>
        <v>Phiaylack</v>
      </c>
      <c r="D388" s="98" t="str">
        <f>EMPLOYEE_MASTER!T388</f>
        <v>Ministry of Education and Sports (MoES)</v>
      </c>
      <c r="E388" s="98" t="str">
        <f>EMPLOYEE_MASTER!M388</f>
        <v>Associate Professor</v>
      </c>
      <c r="F388" s="98" t="str">
        <f>EMPLOYEE_MASTER!Z388</f>
        <v>Teacher</v>
      </c>
      <c r="G388" s="99">
        <f>EMPLOYEE_MASTER!P388</f>
        <v>5</v>
      </c>
      <c r="H388" s="99">
        <f>EMPLOYEE_MASTER!Q388</f>
        <v>6</v>
      </c>
      <c r="I388" s="100" t="str">
        <f t="shared" ref="I388:I451" si="48">"G"&amp;TEXT(G388,"00")&amp;"-S"&amp;TEXT(H388,"00")</f>
        <v>G05-S06</v>
      </c>
      <c r="J388" s="100">
        <f>IFERROR(VLOOKUP(I388,LK_GradeStep!$C$4:$D$85,2,0),0)</f>
        <v>333</v>
      </c>
      <c r="K388" s="100">
        <f>IFERROR(VLOOKUP(I388,LK_GradeStep!$C$4:$E$85,3,0),10000)</f>
        <v>10000</v>
      </c>
      <c r="L388" s="100">
        <f t="shared" ref="L388:L451" si="49">IFERROR(J388*K388,0)</f>
        <v>3330000</v>
      </c>
      <c r="M388" s="101">
        <f>IFERROR(VLOOKUP(EMPLOYEE_MASTER!AQ388,LK_AllowanceRates!$A$5:$B$11,2,0),0)</f>
        <v>900000</v>
      </c>
      <c r="N388" s="101">
        <f ca="1">IFERROR(IF(EMPLOYEE_MASTER!J388&lt;=5,  EMPLOYEE_MASTER!J388*LK_AllowanceRates!$B$12,IF(EMPLOYEE_MASTER!J388&lt;=15, EMPLOYEE_MASTER!J388*LK_AllowanceRates!$B$13,IF(EMPLOYEE_MASTER!J388&lt;=25, EMPLOYEE_MASTER!J388*LK_AllowanceRates!$B$14,EMPLOYEE_MASTER!J388*LK_AllowanceRates!$B$15))),0)</f>
        <v>720000</v>
      </c>
      <c r="O388" s="101">
        <f>IF(EMPLOYEE_MASTER!AS388="Teaching",L388*LK_AllowanceRates!$B$16,0)</f>
        <v>666000</v>
      </c>
      <c r="P388" s="101">
        <f>IF(EMPLOYEE_MASTER!AS388="Medical",LK_AllowanceRates!$B$17,0)</f>
        <v>0</v>
      </c>
      <c r="Q388" s="101">
        <f>IF(EMPLOYEE_MASTER!AR388="Yes",LK_AllowanceRates!$B$18,0)</f>
        <v>0</v>
      </c>
      <c r="R388" s="101">
        <f>IF(EMPLOYEE_MASTER!AC388="Yes",LK_AllowanceRates!$B$19,0)</f>
        <v>0</v>
      </c>
      <c r="S388" s="101">
        <f>IF(EMPLOYEE_MASTER!AA388="Yes",L388*LK_AllowanceRates!$B$20,0)</f>
        <v>832500</v>
      </c>
      <c r="T388" s="101">
        <f>IF(EMPLOYEE_MASTER!AB388="Yes",LK_AllowanceRates!$B$21,0)</f>
        <v>0</v>
      </c>
      <c r="U388" s="101">
        <f>IF(EMPLOYEE_MASTER!P388&gt;=6,LK_AllowanceRates!$B$22,0)</f>
        <v>0</v>
      </c>
      <c r="V388" s="101">
        <f>IF(EMPLOYEE_MASTER!AO388="Yes",LK_AllowanceRates!$B$23,0)</f>
        <v>200000</v>
      </c>
      <c r="W388" s="101">
        <f>EMPLOYEE_MASTER!AP388*LK_AllowanceRates!$B$24</f>
        <v>600000</v>
      </c>
      <c r="X388" s="101">
        <v>0</v>
      </c>
      <c r="Y388" s="102">
        <v>0</v>
      </c>
      <c r="Z388" s="102">
        <v>0</v>
      </c>
      <c r="AA388" s="102">
        <v>0</v>
      </c>
      <c r="AB388" s="103">
        <f t="shared" ref="AB388:AB451" ca="1" si="50">SUM(M388:AA388)</f>
        <v>3918500</v>
      </c>
      <c r="AC388" s="104">
        <f t="shared" ref="AC388:AC451" ca="1" si="51">L388+AB388</f>
        <v>7248500</v>
      </c>
      <c r="AD388" s="105">
        <f>ROUND(L388*LK_AllowanceRates!$B$25/100,0)</f>
        <v>183150</v>
      </c>
      <c r="AE388" s="106">
        <f t="shared" ref="AE388:AE451" ca="1" si="52">IFERROR(AC388-AD388,0)</f>
        <v>7065350</v>
      </c>
      <c r="AF388" s="106">
        <f t="shared" ref="AF388:AF451" ca="1" si="53">IFERROR(IF(AE388&lt;=1300000,0,IF(AE388&lt;=5000000,(AE388-1300000)*0.05,IF(AE388&lt;=10000000,185000+(AE388-5000000)*0.1,IF(AE388&lt;=20000000,685000+(AE388-10000000)*0.15,IF(AE388&lt;=40000000,2185000+(AE388-20000000)*0.2,6185000+(AE388-40000000)*0.24))))),0)</f>
        <v>391535</v>
      </c>
      <c r="AG388" s="107">
        <v>0</v>
      </c>
      <c r="AH388" s="107">
        <v>0</v>
      </c>
      <c r="AI388" s="108">
        <f t="shared" ref="AI388:AI451" ca="1" si="54">AD388+AF388+AG388+AH388</f>
        <v>574685</v>
      </c>
      <c r="AJ388" s="109">
        <f t="shared" ref="AJ388:AJ451" ca="1" si="55">IFERROR(AC388-AI388,0)</f>
        <v>6673815</v>
      </c>
    </row>
    <row r="389" spans="1:36" ht="15" customHeight="1" x14ac:dyDescent="0.3">
      <c r="A389" s="98" t="str">
        <f>EMPLOYEE_MASTER!A389</f>
        <v>LAO00386</v>
      </c>
      <c r="B389" s="98" t="str">
        <f>EMPLOYEE_MASTER!C389</f>
        <v>Vanhkham</v>
      </c>
      <c r="C389" s="98" t="str">
        <f>EMPLOYEE_MASTER!D389</f>
        <v>Khounkham</v>
      </c>
      <c r="D389" s="98" t="str">
        <f>EMPLOYEE_MASTER!T389</f>
        <v>Ministry of Justice (MoJ)</v>
      </c>
      <c r="E389" s="98" t="str">
        <f>EMPLOYEE_MASTER!M389</f>
        <v>Section Chief</v>
      </c>
      <c r="F389" s="98" t="str">
        <f>EMPLOYEE_MASTER!Z389</f>
        <v>Legal</v>
      </c>
      <c r="G389" s="99">
        <f>EMPLOYEE_MASTER!P389</f>
        <v>5</v>
      </c>
      <c r="H389" s="99">
        <f>EMPLOYEE_MASTER!Q389</f>
        <v>7</v>
      </c>
      <c r="I389" s="100" t="str">
        <f t="shared" si="48"/>
        <v>G05-S07</v>
      </c>
      <c r="J389" s="100">
        <f>IFERROR(VLOOKUP(I389,LK_GradeStep!$C$4:$D$85,2,0),0)</f>
        <v>338</v>
      </c>
      <c r="K389" s="100">
        <f>IFERROR(VLOOKUP(I389,LK_GradeStep!$C$4:$E$85,3,0),10000)</f>
        <v>10000</v>
      </c>
      <c r="L389" s="100">
        <f t="shared" si="49"/>
        <v>3380000</v>
      </c>
      <c r="M389" s="101">
        <f>IFERROR(VLOOKUP(EMPLOYEE_MASTER!AQ389,LK_AllowanceRates!$A$5:$B$11,2,0),0)</f>
        <v>1500000</v>
      </c>
      <c r="N389" s="101">
        <f ca="1">IFERROR(IF(EMPLOYEE_MASTER!J389&lt;=5,  EMPLOYEE_MASTER!J389*LK_AllowanceRates!$B$12,IF(EMPLOYEE_MASTER!J389&lt;=15, EMPLOYEE_MASTER!J389*LK_AllowanceRates!$B$13,IF(EMPLOYEE_MASTER!J389&lt;=25, EMPLOYEE_MASTER!J389*LK_AllowanceRates!$B$14,EMPLOYEE_MASTER!J389*LK_AllowanceRates!$B$15))),0)</f>
        <v>180000</v>
      </c>
      <c r="O389" s="101">
        <f>IF(EMPLOYEE_MASTER!AS389="Teaching",L389*LK_AllowanceRates!$B$16,0)</f>
        <v>0</v>
      </c>
      <c r="P389" s="101">
        <f>IF(EMPLOYEE_MASTER!AS389="Medical",LK_AllowanceRates!$B$17,0)</f>
        <v>0</v>
      </c>
      <c r="Q389" s="101">
        <f>IF(EMPLOYEE_MASTER!AR389="Yes",LK_AllowanceRates!$B$18,0)</f>
        <v>0</v>
      </c>
      <c r="R389" s="101">
        <f>IF(EMPLOYEE_MASTER!AC389="Yes",LK_AllowanceRates!$B$19,0)</f>
        <v>0</v>
      </c>
      <c r="S389" s="101">
        <f>IF(EMPLOYEE_MASTER!AA389="Yes",L389*LK_AllowanceRates!$B$20,0)</f>
        <v>0</v>
      </c>
      <c r="T389" s="101">
        <f>IF(EMPLOYEE_MASTER!AB389="Yes",LK_AllowanceRates!$B$21,0)</f>
        <v>0</v>
      </c>
      <c r="U389" s="101">
        <f>IF(EMPLOYEE_MASTER!P389&gt;=6,LK_AllowanceRates!$B$22,0)</f>
        <v>0</v>
      </c>
      <c r="V389" s="101">
        <f>IF(EMPLOYEE_MASTER!AO389="Yes",LK_AllowanceRates!$B$23,0)</f>
        <v>200000</v>
      </c>
      <c r="W389" s="101">
        <f>EMPLOYEE_MASTER!AP389*LK_AllowanceRates!$B$24</f>
        <v>600000</v>
      </c>
      <c r="X389" s="101">
        <v>0</v>
      </c>
      <c r="Y389" s="102">
        <v>0</v>
      </c>
      <c r="Z389" s="102">
        <v>0</v>
      </c>
      <c r="AA389" s="102">
        <v>0</v>
      </c>
      <c r="AB389" s="103">
        <f t="shared" ca="1" si="50"/>
        <v>2480000</v>
      </c>
      <c r="AC389" s="104">
        <f t="shared" ca="1" si="51"/>
        <v>5860000</v>
      </c>
      <c r="AD389" s="105">
        <f>ROUND(L389*LK_AllowanceRates!$B$25/100,0)</f>
        <v>185900</v>
      </c>
      <c r="AE389" s="106">
        <f t="shared" ca="1" si="52"/>
        <v>5674100</v>
      </c>
      <c r="AF389" s="106">
        <f t="shared" ca="1" si="53"/>
        <v>252410</v>
      </c>
      <c r="AG389" s="107">
        <v>0</v>
      </c>
      <c r="AH389" s="107">
        <v>0</v>
      </c>
      <c r="AI389" s="108">
        <f t="shared" ca="1" si="54"/>
        <v>438310</v>
      </c>
      <c r="AJ389" s="109">
        <f t="shared" ca="1" si="55"/>
        <v>5421690</v>
      </c>
    </row>
    <row r="390" spans="1:36" ht="15" customHeight="1" x14ac:dyDescent="0.3">
      <c r="A390" s="98" t="str">
        <f>EMPLOYEE_MASTER!A390</f>
        <v>LAO00387</v>
      </c>
      <c r="B390" s="98" t="str">
        <f>EMPLOYEE_MASTER!C390</f>
        <v>Chanthida</v>
      </c>
      <c r="C390" s="98" t="str">
        <f>EMPLOYEE_MASTER!D390</f>
        <v>Phetsamone</v>
      </c>
      <c r="D390" s="98" t="str">
        <f>EMPLOYEE_MASTER!T390</f>
        <v>Luang Prabang Province Administration</v>
      </c>
      <c r="E390" s="98" t="str">
        <f>EMPLOYEE_MASTER!M390</f>
        <v>Deputy Director</v>
      </c>
      <c r="F390" s="98" t="str">
        <f>EMPLOYEE_MASTER!Z390</f>
        <v>Administration</v>
      </c>
      <c r="G390" s="99">
        <f>EMPLOYEE_MASTER!P390</f>
        <v>4</v>
      </c>
      <c r="H390" s="99">
        <f>EMPLOYEE_MASTER!Q390</f>
        <v>1</v>
      </c>
      <c r="I390" s="100" t="str">
        <f t="shared" si="48"/>
        <v>G04-S01</v>
      </c>
      <c r="J390" s="100">
        <f>IFERROR(VLOOKUP(I390,LK_GradeStep!$C$4:$D$85,2,0),0)</f>
        <v>286</v>
      </c>
      <c r="K390" s="100">
        <f>IFERROR(VLOOKUP(I390,LK_GradeStep!$C$4:$E$85,3,0),10000)</f>
        <v>10000</v>
      </c>
      <c r="L390" s="100">
        <f t="shared" si="49"/>
        <v>2860000</v>
      </c>
      <c r="M390" s="101">
        <f>IFERROR(VLOOKUP(EMPLOYEE_MASTER!AQ390,LK_AllowanceRates!$A$5:$B$11,2,0),0)</f>
        <v>2300000</v>
      </c>
      <c r="N390" s="101">
        <f ca="1">IFERROR(IF(EMPLOYEE_MASTER!J390&lt;=5,  EMPLOYEE_MASTER!J390*LK_AllowanceRates!$B$12,IF(EMPLOYEE_MASTER!J390&lt;=15, EMPLOYEE_MASTER!J390*LK_AllowanceRates!$B$13,IF(EMPLOYEE_MASTER!J390&lt;=25, EMPLOYEE_MASTER!J390*LK_AllowanceRates!$B$14,EMPLOYEE_MASTER!J390*LK_AllowanceRates!$B$15))),0)</f>
        <v>1280000</v>
      </c>
      <c r="O390" s="101">
        <f>IF(EMPLOYEE_MASTER!AS390="Teaching",L390*LK_AllowanceRates!$B$16,0)</f>
        <v>0</v>
      </c>
      <c r="P390" s="101">
        <f>IF(EMPLOYEE_MASTER!AS390="Medical",LK_AllowanceRates!$B$17,0)</f>
        <v>0</v>
      </c>
      <c r="Q390" s="101">
        <f>IF(EMPLOYEE_MASTER!AR390="Yes",LK_AllowanceRates!$B$18,0)</f>
        <v>0</v>
      </c>
      <c r="R390" s="101">
        <f>IF(EMPLOYEE_MASTER!AC390="Yes",LK_AllowanceRates!$B$19,0)</f>
        <v>0</v>
      </c>
      <c r="S390" s="101">
        <f>IF(EMPLOYEE_MASTER!AA390="Yes",L390*LK_AllowanceRates!$B$20,0)</f>
        <v>0</v>
      </c>
      <c r="T390" s="101">
        <f>IF(EMPLOYEE_MASTER!AB390="Yes",LK_AllowanceRates!$B$21,0)</f>
        <v>0</v>
      </c>
      <c r="U390" s="101">
        <f>IF(EMPLOYEE_MASTER!P390&gt;=6,LK_AllowanceRates!$B$22,0)</f>
        <v>0</v>
      </c>
      <c r="V390" s="101">
        <f>IF(EMPLOYEE_MASTER!AO390="Yes",LK_AllowanceRates!$B$23,0)</f>
        <v>200000</v>
      </c>
      <c r="W390" s="101">
        <f>EMPLOYEE_MASTER!AP390*LK_AllowanceRates!$B$24</f>
        <v>0</v>
      </c>
      <c r="X390" s="101">
        <v>0</v>
      </c>
      <c r="Y390" s="102">
        <v>0</v>
      </c>
      <c r="Z390" s="102">
        <v>0</v>
      </c>
      <c r="AA390" s="102">
        <v>0</v>
      </c>
      <c r="AB390" s="103">
        <f t="shared" ca="1" si="50"/>
        <v>3780000</v>
      </c>
      <c r="AC390" s="104">
        <f t="shared" ca="1" si="51"/>
        <v>6640000</v>
      </c>
      <c r="AD390" s="105">
        <f>ROUND(L390*LK_AllowanceRates!$B$25/100,0)</f>
        <v>157300</v>
      </c>
      <c r="AE390" s="106">
        <f t="shared" ca="1" si="52"/>
        <v>6482700</v>
      </c>
      <c r="AF390" s="106">
        <f t="shared" ca="1" si="53"/>
        <v>333270</v>
      </c>
      <c r="AG390" s="107">
        <v>0</v>
      </c>
      <c r="AH390" s="107">
        <v>0</v>
      </c>
      <c r="AI390" s="108">
        <f t="shared" ca="1" si="54"/>
        <v>490570</v>
      </c>
      <c r="AJ390" s="109">
        <f t="shared" ca="1" si="55"/>
        <v>6149430</v>
      </c>
    </row>
    <row r="391" spans="1:36" ht="15" customHeight="1" x14ac:dyDescent="0.3">
      <c r="A391" s="98" t="str">
        <f>EMPLOYEE_MASTER!A391</f>
        <v>LAO00388</v>
      </c>
      <c r="B391" s="98" t="str">
        <f>EMPLOYEE_MASTER!C391</f>
        <v>Souphine</v>
      </c>
      <c r="C391" s="98" t="str">
        <f>EMPLOYEE_MASTER!D391</f>
        <v>Vongkhamphanh</v>
      </c>
      <c r="D391" s="98" t="str">
        <f>EMPLOYEE_MASTER!T391</f>
        <v>Ministry of Natural Resources &amp; Environment (MoNRE)</v>
      </c>
      <c r="E391" s="98" t="str">
        <f>EMPLOYEE_MASTER!M391</f>
        <v>Project Officer</v>
      </c>
      <c r="F391" s="98" t="str">
        <f>EMPLOYEE_MASTER!Z391</f>
        <v>Technical</v>
      </c>
      <c r="G391" s="99">
        <f>EMPLOYEE_MASTER!P391</f>
        <v>2</v>
      </c>
      <c r="H391" s="99">
        <f>EMPLOYEE_MASTER!Q391</f>
        <v>7</v>
      </c>
      <c r="I391" s="100" t="str">
        <f t="shared" si="48"/>
        <v>G02-S07</v>
      </c>
      <c r="J391" s="100">
        <f>IFERROR(VLOOKUP(I391,LK_GradeStep!$C$4:$D$85,2,0),0)</f>
        <v>274</v>
      </c>
      <c r="K391" s="100">
        <f>IFERROR(VLOOKUP(I391,LK_GradeStep!$C$4:$E$85,3,0),10000)</f>
        <v>10000</v>
      </c>
      <c r="L391" s="100">
        <f t="shared" si="49"/>
        <v>2740000</v>
      </c>
      <c r="M391" s="101">
        <f>IFERROR(VLOOKUP(EMPLOYEE_MASTER!AQ391,LK_AllowanceRates!$A$5:$B$11,2,0),0)</f>
        <v>900000</v>
      </c>
      <c r="N391" s="101">
        <f ca="1">IFERROR(IF(EMPLOYEE_MASTER!J391&lt;=5,  EMPLOYEE_MASTER!J391*LK_AllowanceRates!$B$12,IF(EMPLOYEE_MASTER!J391&lt;=15, EMPLOYEE_MASTER!J391*LK_AllowanceRates!$B$13,IF(EMPLOYEE_MASTER!J391&lt;=25, EMPLOYEE_MASTER!J391*LK_AllowanceRates!$B$14,EMPLOYEE_MASTER!J391*LK_AllowanceRates!$B$15))),0)</f>
        <v>570000</v>
      </c>
      <c r="O391" s="101">
        <f>IF(EMPLOYEE_MASTER!AS391="Teaching",L391*LK_AllowanceRates!$B$16,0)</f>
        <v>0</v>
      </c>
      <c r="P391" s="101">
        <f>IF(EMPLOYEE_MASTER!AS391="Medical",LK_AllowanceRates!$B$17,0)</f>
        <v>0</v>
      </c>
      <c r="Q391" s="101">
        <f>IF(EMPLOYEE_MASTER!AR391="Yes",LK_AllowanceRates!$B$18,0)</f>
        <v>0</v>
      </c>
      <c r="R391" s="101">
        <f>IF(EMPLOYEE_MASTER!AC391="Yes",LK_AllowanceRates!$B$19,0)</f>
        <v>1000000</v>
      </c>
      <c r="S391" s="101">
        <f>IF(EMPLOYEE_MASTER!AA391="Yes",L391*LK_AllowanceRates!$B$20,0)</f>
        <v>685000</v>
      </c>
      <c r="T391" s="101">
        <f>IF(EMPLOYEE_MASTER!AB391="Yes",LK_AllowanceRates!$B$21,0)</f>
        <v>0</v>
      </c>
      <c r="U391" s="101">
        <f>IF(EMPLOYEE_MASTER!P391&gt;=6,LK_AllowanceRates!$B$22,0)</f>
        <v>0</v>
      </c>
      <c r="V391" s="101">
        <f>IF(EMPLOYEE_MASTER!AO391="Yes",LK_AllowanceRates!$B$23,0)</f>
        <v>200000</v>
      </c>
      <c r="W391" s="101">
        <f>EMPLOYEE_MASTER!AP391*LK_AllowanceRates!$B$24</f>
        <v>600000</v>
      </c>
      <c r="X391" s="101">
        <v>0</v>
      </c>
      <c r="Y391" s="102">
        <v>0</v>
      </c>
      <c r="Z391" s="102">
        <v>0</v>
      </c>
      <c r="AA391" s="102">
        <v>0</v>
      </c>
      <c r="AB391" s="103">
        <f t="shared" ca="1" si="50"/>
        <v>3955000</v>
      </c>
      <c r="AC391" s="104">
        <f t="shared" ca="1" si="51"/>
        <v>6695000</v>
      </c>
      <c r="AD391" s="105">
        <f>ROUND(L391*LK_AllowanceRates!$B$25/100,0)</f>
        <v>150700</v>
      </c>
      <c r="AE391" s="106">
        <f t="shared" ca="1" si="52"/>
        <v>6544300</v>
      </c>
      <c r="AF391" s="106">
        <f t="shared" ca="1" si="53"/>
        <v>339430</v>
      </c>
      <c r="AG391" s="107">
        <v>0</v>
      </c>
      <c r="AH391" s="107">
        <v>0</v>
      </c>
      <c r="AI391" s="108">
        <f t="shared" ca="1" si="54"/>
        <v>490130</v>
      </c>
      <c r="AJ391" s="109">
        <f t="shared" ca="1" si="55"/>
        <v>6204870</v>
      </c>
    </row>
    <row r="392" spans="1:36" ht="15" customHeight="1" x14ac:dyDescent="0.3">
      <c r="A392" s="98" t="str">
        <f>EMPLOYEE_MASTER!A392</f>
        <v>LAO00389</v>
      </c>
      <c r="B392" s="98" t="str">
        <f>EMPLOYEE_MASTER!C392</f>
        <v>Vilaysack</v>
      </c>
      <c r="C392" s="98" t="str">
        <f>EMPLOYEE_MASTER!D392</f>
        <v>Douangmany</v>
      </c>
      <c r="D392" s="98" t="str">
        <f>EMPLOYEE_MASTER!T392</f>
        <v>Ministry of Justice (MoJ)</v>
      </c>
      <c r="E392" s="98" t="str">
        <f>EMPLOYEE_MASTER!M392</f>
        <v>Division Chief</v>
      </c>
      <c r="F392" s="98" t="str">
        <f>EMPLOYEE_MASTER!Z392</f>
        <v>Legal</v>
      </c>
      <c r="G392" s="99">
        <f>EMPLOYEE_MASTER!P392</f>
        <v>5</v>
      </c>
      <c r="H392" s="99">
        <f>EMPLOYEE_MASTER!Q392</f>
        <v>2</v>
      </c>
      <c r="I392" s="100" t="str">
        <f t="shared" si="48"/>
        <v>G05-S02</v>
      </c>
      <c r="J392" s="100">
        <f>IFERROR(VLOOKUP(I392,LK_GradeStep!$C$4:$D$85,2,0),0)</f>
        <v>313</v>
      </c>
      <c r="K392" s="100">
        <f>IFERROR(VLOOKUP(I392,LK_GradeStep!$C$4:$E$85,3,0),10000)</f>
        <v>10000</v>
      </c>
      <c r="L392" s="100">
        <f t="shared" si="49"/>
        <v>3130000</v>
      </c>
      <c r="M392" s="101">
        <f>IFERROR(VLOOKUP(EMPLOYEE_MASTER!AQ392,LK_AllowanceRates!$A$5:$B$11,2,0),0)</f>
        <v>1900000</v>
      </c>
      <c r="N392" s="101">
        <f ca="1">IFERROR(IF(EMPLOYEE_MASTER!J392&lt;=5,  EMPLOYEE_MASTER!J392*LK_AllowanceRates!$B$12,IF(EMPLOYEE_MASTER!J392&lt;=15, EMPLOYEE_MASTER!J392*LK_AllowanceRates!$B$13,IF(EMPLOYEE_MASTER!J392&lt;=25, EMPLOYEE_MASTER!J392*LK_AllowanceRates!$B$14,EMPLOYEE_MASTER!J392*LK_AllowanceRates!$B$15))),0)</f>
        <v>220000</v>
      </c>
      <c r="O392" s="101">
        <f>IF(EMPLOYEE_MASTER!AS392="Teaching",L392*LK_AllowanceRates!$B$16,0)</f>
        <v>0</v>
      </c>
      <c r="P392" s="101">
        <f>IF(EMPLOYEE_MASTER!AS392="Medical",LK_AllowanceRates!$B$17,0)</f>
        <v>0</v>
      </c>
      <c r="Q392" s="101">
        <f>IF(EMPLOYEE_MASTER!AR392="Yes",LK_AllowanceRates!$B$18,0)</f>
        <v>0</v>
      </c>
      <c r="R392" s="101">
        <f>IF(EMPLOYEE_MASTER!AC392="Yes",LK_AllowanceRates!$B$19,0)</f>
        <v>1000000</v>
      </c>
      <c r="S392" s="101">
        <f>IF(EMPLOYEE_MASTER!AA392="Yes",L392*LK_AllowanceRates!$B$20,0)</f>
        <v>782500</v>
      </c>
      <c r="T392" s="101">
        <f>IF(EMPLOYEE_MASTER!AB392="Yes",LK_AllowanceRates!$B$21,0)</f>
        <v>0</v>
      </c>
      <c r="U392" s="101">
        <f>IF(EMPLOYEE_MASTER!P392&gt;=6,LK_AllowanceRates!$B$22,0)</f>
        <v>0</v>
      </c>
      <c r="V392" s="101">
        <f>IF(EMPLOYEE_MASTER!AO392="Yes",LK_AllowanceRates!$B$23,0)</f>
        <v>200000</v>
      </c>
      <c r="W392" s="101">
        <f>EMPLOYEE_MASTER!AP392*LK_AllowanceRates!$B$24</f>
        <v>0</v>
      </c>
      <c r="X392" s="101">
        <v>0</v>
      </c>
      <c r="Y392" s="102">
        <v>0</v>
      </c>
      <c r="Z392" s="102">
        <v>0</v>
      </c>
      <c r="AA392" s="102">
        <v>0</v>
      </c>
      <c r="AB392" s="103">
        <f t="shared" ca="1" si="50"/>
        <v>4102500</v>
      </c>
      <c r="AC392" s="104">
        <f t="shared" ca="1" si="51"/>
        <v>7232500</v>
      </c>
      <c r="AD392" s="105">
        <f>ROUND(L392*LK_AllowanceRates!$B$25/100,0)</f>
        <v>172150</v>
      </c>
      <c r="AE392" s="106">
        <f t="shared" ca="1" si="52"/>
        <v>7060350</v>
      </c>
      <c r="AF392" s="106">
        <f t="shared" ca="1" si="53"/>
        <v>391035</v>
      </c>
      <c r="AG392" s="107">
        <v>0</v>
      </c>
      <c r="AH392" s="107">
        <v>0</v>
      </c>
      <c r="AI392" s="108">
        <f t="shared" ca="1" si="54"/>
        <v>563185</v>
      </c>
      <c r="AJ392" s="109">
        <f t="shared" ca="1" si="55"/>
        <v>6669315</v>
      </c>
    </row>
    <row r="393" spans="1:36" ht="15" customHeight="1" x14ac:dyDescent="0.3">
      <c r="A393" s="98" t="str">
        <f>EMPLOYEE_MASTER!A393</f>
        <v>LAO00390</v>
      </c>
      <c r="B393" s="98" t="str">
        <f>EMPLOYEE_MASTER!C393</f>
        <v>Santisouk</v>
      </c>
      <c r="C393" s="98" t="str">
        <f>EMPLOYEE_MASTER!D393</f>
        <v>Vilayvong</v>
      </c>
      <c r="D393" s="98" t="str">
        <f>EMPLOYEE_MASTER!T393</f>
        <v>Khammuane Province Administration</v>
      </c>
      <c r="E393" s="98" t="str">
        <f>EMPLOYEE_MASTER!M393</f>
        <v>Department Director</v>
      </c>
      <c r="F393" s="98" t="str">
        <f>EMPLOYEE_MASTER!Z393</f>
        <v>Administration</v>
      </c>
      <c r="G393" s="99">
        <f>EMPLOYEE_MASTER!P393</f>
        <v>5</v>
      </c>
      <c r="H393" s="99">
        <f>EMPLOYEE_MASTER!Q393</f>
        <v>11</v>
      </c>
      <c r="I393" s="100" t="str">
        <f t="shared" si="48"/>
        <v>G05-S11</v>
      </c>
      <c r="J393" s="100">
        <f>IFERROR(VLOOKUP(I393,LK_GradeStep!$C$4:$D$85,2,0),0)</f>
        <v>378</v>
      </c>
      <c r="K393" s="100">
        <f>IFERROR(VLOOKUP(I393,LK_GradeStep!$C$4:$E$85,3,0),10000)</f>
        <v>10000</v>
      </c>
      <c r="L393" s="100">
        <f t="shared" si="49"/>
        <v>3780000</v>
      </c>
      <c r="M393" s="101">
        <f>IFERROR(VLOOKUP(EMPLOYEE_MASTER!AQ393,LK_AllowanceRates!$A$5:$B$11,2,0),0)</f>
        <v>2500000</v>
      </c>
      <c r="N393" s="101">
        <f ca="1">IFERROR(IF(EMPLOYEE_MASTER!J393&lt;=5,  EMPLOYEE_MASTER!J393*LK_AllowanceRates!$B$12,IF(EMPLOYEE_MASTER!J393&lt;=15, EMPLOYEE_MASTER!J393*LK_AllowanceRates!$B$13,IF(EMPLOYEE_MASTER!J393&lt;=25, EMPLOYEE_MASTER!J393*LK_AllowanceRates!$B$14,EMPLOYEE_MASTER!J393*LK_AllowanceRates!$B$15))),0)</f>
        <v>140000</v>
      </c>
      <c r="O393" s="101">
        <f>IF(EMPLOYEE_MASTER!AS393="Teaching",L393*LK_AllowanceRates!$B$16,0)</f>
        <v>0</v>
      </c>
      <c r="P393" s="101">
        <f>IF(EMPLOYEE_MASTER!AS393="Medical",LK_AllowanceRates!$B$17,0)</f>
        <v>0</v>
      </c>
      <c r="Q393" s="101">
        <f>IF(EMPLOYEE_MASTER!AR393="Yes",LK_AllowanceRates!$B$18,0)</f>
        <v>0</v>
      </c>
      <c r="R393" s="101">
        <f>IF(EMPLOYEE_MASTER!AC393="Yes",LK_AllowanceRates!$B$19,0)</f>
        <v>0</v>
      </c>
      <c r="S393" s="101">
        <f>IF(EMPLOYEE_MASTER!AA393="Yes",L393*LK_AllowanceRates!$B$20,0)</f>
        <v>0</v>
      </c>
      <c r="T393" s="101">
        <f>IF(EMPLOYEE_MASTER!AB393="Yes",LK_AllowanceRates!$B$21,0)</f>
        <v>0</v>
      </c>
      <c r="U393" s="101">
        <f>IF(EMPLOYEE_MASTER!P393&gt;=6,LK_AllowanceRates!$B$22,0)</f>
        <v>0</v>
      </c>
      <c r="V393" s="101">
        <f>IF(EMPLOYEE_MASTER!AO393="Yes",LK_AllowanceRates!$B$23,0)</f>
        <v>200000</v>
      </c>
      <c r="W393" s="101">
        <f>EMPLOYEE_MASTER!AP393*LK_AllowanceRates!$B$24</f>
        <v>400000</v>
      </c>
      <c r="X393" s="101">
        <v>0</v>
      </c>
      <c r="Y393" s="102">
        <v>0</v>
      </c>
      <c r="Z393" s="102">
        <v>0</v>
      </c>
      <c r="AA393" s="102">
        <v>0</v>
      </c>
      <c r="AB393" s="103">
        <f t="shared" ca="1" si="50"/>
        <v>3240000</v>
      </c>
      <c r="AC393" s="104">
        <f t="shared" ca="1" si="51"/>
        <v>7020000</v>
      </c>
      <c r="AD393" s="105">
        <f>ROUND(L393*LK_AllowanceRates!$B$25/100,0)</f>
        <v>207900</v>
      </c>
      <c r="AE393" s="106">
        <f t="shared" ca="1" si="52"/>
        <v>6812100</v>
      </c>
      <c r="AF393" s="106">
        <f t="shared" ca="1" si="53"/>
        <v>366210</v>
      </c>
      <c r="AG393" s="107">
        <v>0</v>
      </c>
      <c r="AH393" s="107">
        <v>0</v>
      </c>
      <c r="AI393" s="108">
        <f t="shared" ca="1" si="54"/>
        <v>574110</v>
      </c>
      <c r="AJ393" s="109">
        <f t="shared" ca="1" si="55"/>
        <v>6445890</v>
      </c>
    </row>
    <row r="394" spans="1:36" ht="15" customHeight="1" x14ac:dyDescent="0.3">
      <c r="A394" s="98" t="str">
        <f>EMPLOYEE_MASTER!A394</f>
        <v>LAO00391</v>
      </c>
      <c r="B394" s="98" t="str">
        <f>EMPLOYEE_MASTER!C394</f>
        <v>Somsak</v>
      </c>
      <c r="C394" s="98" t="str">
        <f>EMPLOYEE_MASTER!D394</f>
        <v>Phaymany</v>
      </c>
      <c r="D394" s="98" t="str">
        <f>EMPLOYEE_MASTER!T394</f>
        <v>Ministry of Education and Sports (MoES)</v>
      </c>
      <c r="E394" s="98" t="str">
        <f>EMPLOYEE_MASTER!M394</f>
        <v>Technical Vocational Trainer</v>
      </c>
      <c r="F394" s="98" t="str">
        <f>EMPLOYEE_MASTER!Z394</f>
        <v>Teacher</v>
      </c>
      <c r="G394" s="99">
        <f>EMPLOYEE_MASTER!P394</f>
        <v>3</v>
      </c>
      <c r="H394" s="99">
        <f>EMPLOYEE_MASTER!Q394</f>
        <v>1</v>
      </c>
      <c r="I394" s="100" t="str">
        <f t="shared" si="48"/>
        <v>G03-S01</v>
      </c>
      <c r="J394" s="100">
        <f>IFERROR(VLOOKUP(I394,LK_GradeStep!$C$4:$D$85,2,0),0)</f>
        <v>276</v>
      </c>
      <c r="K394" s="100">
        <f>IFERROR(VLOOKUP(I394,LK_GradeStep!$C$4:$E$85,3,0),10000)</f>
        <v>10000</v>
      </c>
      <c r="L394" s="100">
        <f t="shared" si="49"/>
        <v>2760000</v>
      </c>
      <c r="M394" s="101">
        <f>IFERROR(VLOOKUP(EMPLOYEE_MASTER!AQ394,LK_AllowanceRates!$A$5:$B$11,2,0),0)</f>
        <v>900000</v>
      </c>
      <c r="N394" s="101">
        <f ca="1">IFERROR(IF(EMPLOYEE_MASTER!J394&lt;=5,  EMPLOYEE_MASTER!J394*LK_AllowanceRates!$B$12,IF(EMPLOYEE_MASTER!J394&lt;=15, EMPLOYEE_MASTER!J394*LK_AllowanceRates!$B$13,IF(EMPLOYEE_MASTER!J394&lt;=25, EMPLOYEE_MASTER!J394*LK_AllowanceRates!$B$14,EMPLOYEE_MASTER!J394*LK_AllowanceRates!$B$15))),0)</f>
        <v>1280000</v>
      </c>
      <c r="O394" s="101">
        <f>IF(EMPLOYEE_MASTER!AS394="Teaching",L394*LK_AllowanceRates!$B$16,0)</f>
        <v>552000</v>
      </c>
      <c r="P394" s="101">
        <f>IF(EMPLOYEE_MASTER!AS394="Medical",LK_AllowanceRates!$B$17,0)</f>
        <v>0</v>
      </c>
      <c r="Q394" s="101">
        <f>IF(EMPLOYEE_MASTER!AR394="Yes",LK_AllowanceRates!$B$18,0)</f>
        <v>0</v>
      </c>
      <c r="R394" s="101">
        <f>IF(EMPLOYEE_MASTER!AC394="Yes",LK_AllowanceRates!$B$19,0)</f>
        <v>1000000</v>
      </c>
      <c r="S394" s="101">
        <f>IF(EMPLOYEE_MASTER!AA394="Yes",L394*LK_AllowanceRates!$B$20,0)</f>
        <v>690000</v>
      </c>
      <c r="T394" s="101">
        <f>IF(EMPLOYEE_MASTER!AB394="Yes",LK_AllowanceRates!$B$21,0)</f>
        <v>0</v>
      </c>
      <c r="U394" s="101">
        <f>IF(EMPLOYEE_MASTER!P394&gt;=6,LK_AllowanceRates!$B$22,0)</f>
        <v>0</v>
      </c>
      <c r="V394" s="101">
        <f>IF(EMPLOYEE_MASTER!AO394="Yes",LK_AllowanceRates!$B$23,0)</f>
        <v>200000</v>
      </c>
      <c r="W394" s="101">
        <f>EMPLOYEE_MASTER!AP394*LK_AllowanceRates!$B$24</f>
        <v>200000</v>
      </c>
      <c r="X394" s="101">
        <v>0</v>
      </c>
      <c r="Y394" s="102">
        <v>0</v>
      </c>
      <c r="Z394" s="102">
        <v>0</v>
      </c>
      <c r="AA394" s="102">
        <v>0</v>
      </c>
      <c r="AB394" s="103">
        <f t="shared" ca="1" si="50"/>
        <v>4822000</v>
      </c>
      <c r="AC394" s="104">
        <f t="shared" ca="1" si="51"/>
        <v>7582000</v>
      </c>
      <c r="AD394" s="105">
        <f>ROUND(L394*LK_AllowanceRates!$B$25/100,0)</f>
        <v>151800</v>
      </c>
      <c r="AE394" s="106">
        <f t="shared" ca="1" si="52"/>
        <v>7430200</v>
      </c>
      <c r="AF394" s="106">
        <f t="shared" ca="1" si="53"/>
        <v>428020</v>
      </c>
      <c r="AG394" s="107">
        <v>0</v>
      </c>
      <c r="AH394" s="107">
        <v>0</v>
      </c>
      <c r="AI394" s="108">
        <f t="shared" ca="1" si="54"/>
        <v>579820</v>
      </c>
      <c r="AJ394" s="109">
        <f t="shared" ca="1" si="55"/>
        <v>7002180</v>
      </c>
    </row>
    <row r="395" spans="1:36" ht="15" customHeight="1" x14ac:dyDescent="0.3">
      <c r="A395" s="98" t="str">
        <f>EMPLOYEE_MASTER!A395</f>
        <v>LAO00392</v>
      </c>
      <c r="B395" s="98" t="str">
        <f>EMPLOYEE_MASTER!C395</f>
        <v>Bounsong</v>
      </c>
      <c r="C395" s="98" t="str">
        <f>EMPLOYEE_MASTER!D395</f>
        <v>Khounboulom</v>
      </c>
      <c r="D395" s="98" t="str">
        <f>EMPLOYEE_MASTER!T395</f>
        <v>Luang Prabang Province Administration</v>
      </c>
      <c r="E395" s="98" t="str">
        <f>EMPLOYEE_MASTER!M395</f>
        <v>Department Director</v>
      </c>
      <c r="F395" s="98" t="str">
        <f>EMPLOYEE_MASTER!Z395</f>
        <v>Administration</v>
      </c>
      <c r="G395" s="99">
        <f>EMPLOYEE_MASTER!P395</f>
        <v>5</v>
      </c>
      <c r="H395" s="99">
        <f>EMPLOYEE_MASTER!Q395</f>
        <v>1</v>
      </c>
      <c r="I395" s="100" t="str">
        <f t="shared" si="48"/>
        <v>G05-S01</v>
      </c>
      <c r="J395" s="100">
        <f>IFERROR(VLOOKUP(I395,LK_GradeStep!$C$4:$D$85,2,0),0)</f>
        <v>308</v>
      </c>
      <c r="K395" s="100">
        <f>IFERROR(VLOOKUP(I395,LK_GradeStep!$C$4:$E$85,3,0),10000)</f>
        <v>10000</v>
      </c>
      <c r="L395" s="100">
        <f t="shared" si="49"/>
        <v>3080000</v>
      </c>
      <c r="M395" s="101">
        <f>IFERROR(VLOOKUP(EMPLOYEE_MASTER!AQ395,LK_AllowanceRates!$A$5:$B$11,2,0),0)</f>
        <v>2500000</v>
      </c>
      <c r="N395" s="101">
        <f ca="1">IFERROR(IF(EMPLOYEE_MASTER!J395&lt;=5,  EMPLOYEE_MASTER!J395*LK_AllowanceRates!$B$12,IF(EMPLOYEE_MASTER!J395&lt;=15, EMPLOYEE_MASTER!J395*LK_AllowanceRates!$B$13,IF(EMPLOYEE_MASTER!J395&lt;=25, EMPLOYEE_MASTER!J395*LK_AllowanceRates!$B$14,EMPLOYEE_MASTER!J395*LK_AllowanceRates!$B$15))),0)</f>
        <v>180000</v>
      </c>
      <c r="O395" s="101">
        <f>IF(EMPLOYEE_MASTER!AS395="Teaching",L395*LK_AllowanceRates!$B$16,0)</f>
        <v>0</v>
      </c>
      <c r="P395" s="101">
        <f>IF(EMPLOYEE_MASTER!AS395="Medical",LK_AllowanceRates!$B$17,0)</f>
        <v>0</v>
      </c>
      <c r="Q395" s="101">
        <f>IF(EMPLOYEE_MASTER!AR395="Yes",LK_AllowanceRates!$B$18,0)</f>
        <v>0</v>
      </c>
      <c r="R395" s="101">
        <f>IF(EMPLOYEE_MASTER!AC395="Yes",LK_AllowanceRates!$B$19,0)</f>
        <v>1000000</v>
      </c>
      <c r="S395" s="101">
        <f>IF(EMPLOYEE_MASTER!AA395="Yes",L395*LK_AllowanceRates!$B$20,0)</f>
        <v>770000</v>
      </c>
      <c r="T395" s="101">
        <f>IF(EMPLOYEE_MASTER!AB395="Yes",LK_AllowanceRates!$B$21,0)</f>
        <v>0</v>
      </c>
      <c r="U395" s="101">
        <f>IF(EMPLOYEE_MASTER!P395&gt;=6,LK_AllowanceRates!$B$22,0)</f>
        <v>0</v>
      </c>
      <c r="V395" s="101">
        <f>IF(EMPLOYEE_MASTER!AO395="Yes",LK_AllowanceRates!$B$23,0)</f>
        <v>0</v>
      </c>
      <c r="W395" s="101">
        <f>EMPLOYEE_MASTER!AP395*LK_AllowanceRates!$B$24</f>
        <v>0</v>
      </c>
      <c r="X395" s="101">
        <v>0</v>
      </c>
      <c r="Y395" s="102">
        <v>0</v>
      </c>
      <c r="Z395" s="102">
        <v>0</v>
      </c>
      <c r="AA395" s="102">
        <v>0</v>
      </c>
      <c r="AB395" s="103">
        <f t="shared" ca="1" si="50"/>
        <v>4450000</v>
      </c>
      <c r="AC395" s="104">
        <f t="shared" ca="1" si="51"/>
        <v>7530000</v>
      </c>
      <c r="AD395" s="105">
        <f>ROUND(L395*LK_AllowanceRates!$B$25/100,0)</f>
        <v>169400</v>
      </c>
      <c r="AE395" s="106">
        <f t="shared" ca="1" si="52"/>
        <v>7360600</v>
      </c>
      <c r="AF395" s="106">
        <f t="shared" ca="1" si="53"/>
        <v>421060</v>
      </c>
      <c r="AG395" s="107">
        <v>0</v>
      </c>
      <c r="AH395" s="107">
        <v>0</v>
      </c>
      <c r="AI395" s="108">
        <f t="shared" ca="1" si="54"/>
        <v>590460</v>
      </c>
      <c r="AJ395" s="109">
        <f t="shared" ca="1" si="55"/>
        <v>6939540</v>
      </c>
    </row>
    <row r="396" spans="1:36" ht="15" customHeight="1" x14ac:dyDescent="0.3">
      <c r="A396" s="98" t="str">
        <f>EMPLOYEE_MASTER!A396</f>
        <v>LAO00393</v>
      </c>
      <c r="B396" s="98" t="str">
        <f>EMPLOYEE_MASTER!C396</f>
        <v>Souphan</v>
      </c>
      <c r="C396" s="98" t="str">
        <f>EMPLOYEE_MASTER!D396</f>
        <v>Phiaylack</v>
      </c>
      <c r="D396" s="98" t="str">
        <f>EMPLOYEE_MASTER!T396</f>
        <v>Ministry of Foreign Affairs (MFA)</v>
      </c>
      <c r="E396" s="98" t="str">
        <f>EMPLOYEE_MASTER!M396</f>
        <v>Deputy Chief of Mission</v>
      </c>
      <c r="F396" s="98" t="str">
        <f>EMPLOYEE_MASTER!Z396</f>
        <v>Diplomatic</v>
      </c>
      <c r="G396" s="99">
        <f>EMPLOYEE_MASTER!P396</f>
        <v>4</v>
      </c>
      <c r="H396" s="99">
        <f>EMPLOYEE_MASTER!Q396</f>
        <v>7</v>
      </c>
      <c r="I396" s="100" t="str">
        <f t="shared" si="48"/>
        <v>G04-S07</v>
      </c>
      <c r="J396" s="100">
        <f>IFERROR(VLOOKUP(I396,LK_GradeStep!$C$4:$D$85,2,0),0)</f>
        <v>298</v>
      </c>
      <c r="K396" s="100">
        <f>IFERROR(VLOOKUP(I396,LK_GradeStep!$C$4:$E$85,3,0),10000)</f>
        <v>10000</v>
      </c>
      <c r="L396" s="100">
        <f t="shared" si="49"/>
        <v>2980000</v>
      </c>
      <c r="M396" s="101">
        <f>IFERROR(VLOOKUP(EMPLOYEE_MASTER!AQ396,LK_AllowanceRates!$A$5:$B$11,2,0),0)</f>
        <v>900000</v>
      </c>
      <c r="N396" s="101">
        <f ca="1">IFERROR(IF(EMPLOYEE_MASTER!J396&lt;=5,  EMPLOYEE_MASTER!J396*LK_AllowanceRates!$B$12,IF(EMPLOYEE_MASTER!J396&lt;=15, EMPLOYEE_MASTER!J396*LK_AllowanceRates!$B$13,IF(EMPLOYEE_MASTER!J396&lt;=25, EMPLOYEE_MASTER!J396*LK_AllowanceRates!$B$14,EMPLOYEE_MASTER!J396*LK_AllowanceRates!$B$15))),0)</f>
        <v>510000</v>
      </c>
      <c r="O396" s="101">
        <f>IF(EMPLOYEE_MASTER!AS396="Teaching",L396*LK_AllowanceRates!$B$16,0)</f>
        <v>0</v>
      </c>
      <c r="P396" s="101">
        <f>IF(EMPLOYEE_MASTER!AS396="Medical",LK_AllowanceRates!$B$17,0)</f>
        <v>0</v>
      </c>
      <c r="Q396" s="101">
        <f>IF(EMPLOYEE_MASTER!AR396="Yes",LK_AllowanceRates!$B$18,0)</f>
        <v>0</v>
      </c>
      <c r="R396" s="101">
        <f>IF(EMPLOYEE_MASTER!AC396="Yes",LK_AllowanceRates!$B$19,0)</f>
        <v>0</v>
      </c>
      <c r="S396" s="101">
        <f>IF(EMPLOYEE_MASTER!AA396="Yes",L396*LK_AllowanceRates!$B$20,0)</f>
        <v>0</v>
      </c>
      <c r="T396" s="101">
        <f>IF(EMPLOYEE_MASTER!AB396="Yes",LK_AllowanceRates!$B$21,0)</f>
        <v>20240000</v>
      </c>
      <c r="U396" s="101">
        <f>IF(EMPLOYEE_MASTER!P396&gt;=6,LK_AllowanceRates!$B$22,0)</f>
        <v>0</v>
      </c>
      <c r="V396" s="101">
        <f>IF(EMPLOYEE_MASTER!AO396="Yes",LK_AllowanceRates!$B$23,0)</f>
        <v>200000</v>
      </c>
      <c r="W396" s="101">
        <f>EMPLOYEE_MASTER!AP396*LK_AllowanceRates!$B$24</f>
        <v>600000</v>
      </c>
      <c r="X396" s="101">
        <v>0</v>
      </c>
      <c r="Y396" s="102">
        <v>0</v>
      </c>
      <c r="Z396" s="102">
        <v>0</v>
      </c>
      <c r="AA396" s="102">
        <v>0</v>
      </c>
      <c r="AB396" s="103">
        <f t="shared" ca="1" si="50"/>
        <v>22450000</v>
      </c>
      <c r="AC396" s="104">
        <f t="shared" ca="1" si="51"/>
        <v>25430000</v>
      </c>
      <c r="AD396" s="105">
        <f>ROUND(L396*LK_AllowanceRates!$B$25/100,0)</f>
        <v>163900</v>
      </c>
      <c r="AE396" s="106">
        <f t="shared" ca="1" si="52"/>
        <v>25266100</v>
      </c>
      <c r="AF396" s="106">
        <f t="shared" ca="1" si="53"/>
        <v>3238220</v>
      </c>
      <c r="AG396" s="107">
        <v>0</v>
      </c>
      <c r="AH396" s="107">
        <v>0</v>
      </c>
      <c r="AI396" s="108">
        <f t="shared" ca="1" si="54"/>
        <v>3402120</v>
      </c>
      <c r="AJ396" s="109">
        <f t="shared" ca="1" si="55"/>
        <v>22027880</v>
      </c>
    </row>
    <row r="397" spans="1:36" ht="15" customHeight="1" x14ac:dyDescent="0.3">
      <c r="A397" s="98" t="str">
        <f>EMPLOYEE_MASTER!A397</f>
        <v>LAO00394</v>
      </c>
      <c r="B397" s="98" t="str">
        <f>EMPLOYEE_MASTER!C397</f>
        <v>Vixay</v>
      </c>
      <c r="C397" s="98" t="str">
        <f>EMPLOYEE_MASTER!D397</f>
        <v>Sisavath</v>
      </c>
      <c r="D397" s="98" t="str">
        <f>EMPLOYEE_MASTER!T397</f>
        <v>Vientiane Capital Administration</v>
      </c>
      <c r="E397" s="98" t="str">
        <f>EMPLOYEE_MASTER!M397</f>
        <v>Deputy Director</v>
      </c>
      <c r="F397" s="98" t="str">
        <f>EMPLOYEE_MASTER!Z397</f>
        <v>Administration</v>
      </c>
      <c r="G397" s="99">
        <f>EMPLOYEE_MASTER!P397</f>
        <v>4</v>
      </c>
      <c r="H397" s="99">
        <f>EMPLOYEE_MASTER!Q397</f>
        <v>13</v>
      </c>
      <c r="I397" s="100" t="str">
        <f t="shared" si="48"/>
        <v>G04-S13</v>
      </c>
      <c r="J397" s="100">
        <f>IFERROR(VLOOKUP(I397,LK_GradeStep!$C$4:$D$85,2,0),0)</f>
        <v>328</v>
      </c>
      <c r="K397" s="100">
        <f>IFERROR(VLOOKUP(I397,LK_GradeStep!$C$4:$E$85,3,0),10000)</f>
        <v>10000</v>
      </c>
      <c r="L397" s="100">
        <f t="shared" si="49"/>
        <v>3280000</v>
      </c>
      <c r="M397" s="101">
        <f>IFERROR(VLOOKUP(EMPLOYEE_MASTER!AQ397,LK_AllowanceRates!$A$5:$B$11,2,0),0)</f>
        <v>2300000</v>
      </c>
      <c r="N397" s="101">
        <f ca="1">IFERROR(IF(EMPLOYEE_MASTER!J397&lt;=5,  EMPLOYEE_MASTER!J397*LK_AllowanceRates!$B$12,IF(EMPLOYEE_MASTER!J397&lt;=15, EMPLOYEE_MASTER!J397*LK_AllowanceRates!$B$13,IF(EMPLOYEE_MASTER!J397&lt;=25, EMPLOYEE_MASTER!J397*LK_AllowanceRates!$B$14,EMPLOYEE_MASTER!J397*LK_AllowanceRates!$B$15))),0)</f>
        <v>120000</v>
      </c>
      <c r="O397" s="101">
        <f>IF(EMPLOYEE_MASTER!AS397="Teaching",L397*LK_AllowanceRates!$B$16,0)</f>
        <v>0</v>
      </c>
      <c r="P397" s="101">
        <f>IF(EMPLOYEE_MASTER!AS397="Medical",LK_AllowanceRates!$B$17,0)</f>
        <v>0</v>
      </c>
      <c r="Q397" s="101">
        <f>IF(EMPLOYEE_MASTER!AR397="Yes",LK_AllowanceRates!$B$18,0)</f>
        <v>0</v>
      </c>
      <c r="R397" s="101">
        <f>IF(EMPLOYEE_MASTER!AC397="Yes",LK_AllowanceRates!$B$19,0)</f>
        <v>0</v>
      </c>
      <c r="S397" s="101">
        <f>IF(EMPLOYEE_MASTER!AA397="Yes",L397*LK_AllowanceRates!$B$20,0)</f>
        <v>0</v>
      </c>
      <c r="T397" s="101">
        <f>IF(EMPLOYEE_MASTER!AB397="Yes",LK_AllowanceRates!$B$21,0)</f>
        <v>0</v>
      </c>
      <c r="U397" s="101">
        <f>IF(EMPLOYEE_MASTER!P397&gt;=6,LK_AllowanceRates!$B$22,0)</f>
        <v>0</v>
      </c>
      <c r="V397" s="101">
        <f>IF(EMPLOYEE_MASTER!AO397="Yes",LK_AllowanceRates!$B$23,0)</f>
        <v>200000</v>
      </c>
      <c r="W397" s="101">
        <f>EMPLOYEE_MASTER!AP397*LK_AllowanceRates!$B$24</f>
        <v>400000</v>
      </c>
      <c r="X397" s="101">
        <v>0</v>
      </c>
      <c r="Y397" s="102">
        <v>0</v>
      </c>
      <c r="Z397" s="102">
        <v>0</v>
      </c>
      <c r="AA397" s="102">
        <v>0</v>
      </c>
      <c r="AB397" s="103">
        <f t="shared" ca="1" si="50"/>
        <v>3020000</v>
      </c>
      <c r="AC397" s="104">
        <f t="shared" ca="1" si="51"/>
        <v>6300000</v>
      </c>
      <c r="AD397" s="105">
        <f>ROUND(L397*LK_AllowanceRates!$B$25/100,0)</f>
        <v>180400</v>
      </c>
      <c r="AE397" s="106">
        <f t="shared" ca="1" si="52"/>
        <v>6119600</v>
      </c>
      <c r="AF397" s="106">
        <f t="shared" ca="1" si="53"/>
        <v>296960</v>
      </c>
      <c r="AG397" s="107">
        <v>0</v>
      </c>
      <c r="AH397" s="107">
        <v>0</v>
      </c>
      <c r="AI397" s="108">
        <f t="shared" ca="1" si="54"/>
        <v>477360</v>
      </c>
      <c r="AJ397" s="109">
        <f t="shared" ca="1" si="55"/>
        <v>5822640</v>
      </c>
    </row>
    <row r="398" spans="1:36" ht="15" customHeight="1" x14ac:dyDescent="0.3">
      <c r="A398" s="98" t="str">
        <f>EMPLOYEE_MASTER!A398</f>
        <v>LAO00395</v>
      </c>
      <c r="B398" s="98" t="str">
        <f>EMPLOYEE_MASTER!C398</f>
        <v>Khampasong</v>
      </c>
      <c r="C398" s="98" t="str">
        <f>EMPLOYEE_MASTER!D398</f>
        <v>Sengmixay</v>
      </c>
      <c r="D398" s="98" t="str">
        <f>EMPLOYEE_MASTER!T398</f>
        <v>Khammuane Province Administration</v>
      </c>
      <c r="E398" s="98" t="str">
        <f>EMPLOYEE_MASTER!M398</f>
        <v>Division Chief</v>
      </c>
      <c r="F398" s="98" t="str">
        <f>EMPLOYEE_MASTER!Z398</f>
        <v>Administration</v>
      </c>
      <c r="G398" s="99">
        <f>EMPLOYEE_MASTER!P398</f>
        <v>4</v>
      </c>
      <c r="H398" s="99">
        <f>EMPLOYEE_MASTER!Q398</f>
        <v>1</v>
      </c>
      <c r="I398" s="100" t="str">
        <f t="shared" si="48"/>
        <v>G04-S01</v>
      </c>
      <c r="J398" s="100">
        <f>IFERROR(VLOOKUP(I398,LK_GradeStep!$C$4:$D$85,2,0),0)</f>
        <v>286</v>
      </c>
      <c r="K398" s="100">
        <f>IFERROR(VLOOKUP(I398,LK_GradeStep!$C$4:$E$85,3,0),10000)</f>
        <v>10000</v>
      </c>
      <c r="L398" s="100">
        <f t="shared" si="49"/>
        <v>2860000</v>
      </c>
      <c r="M398" s="101">
        <f>IFERROR(VLOOKUP(EMPLOYEE_MASTER!AQ398,LK_AllowanceRates!$A$5:$B$11,2,0),0)</f>
        <v>1900000</v>
      </c>
      <c r="N398" s="101">
        <f ca="1">IFERROR(IF(EMPLOYEE_MASTER!J398&lt;=5,  EMPLOYEE_MASTER!J398*LK_AllowanceRates!$B$12,IF(EMPLOYEE_MASTER!J398&lt;=15, EMPLOYEE_MASTER!J398*LK_AllowanceRates!$B$13,IF(EMPLOYEE_MASTER!J398&lt;=25, EMPLOYEE_MASTER!J398*LK_AllowanceRates!$B$14,EMPLOYEE_MASTER!J398*LK_AllowanceRates!$B$15))),0)</f>
        <v>600000</v>
      </c>
      <c r="O398" s="101">
        <f>IF(EMPLOYEE_MASTER!AS398="Teaching",L398*LK_AllowanceRates!$B$16,0)</f>
        <v>0</v>
      </c>
      <c r="P398" s="101">
        <f>IF(EMPLOYEE_MASTER!AS398="Medical",LK_AllowanceRates!$B$17,0)</f>
        <v>0</v>
      </c>
      <c r="Q398" s="101">
        <f>IF(EMPLOYEE_MASTER!AR398="Yes",LK_AllowanceRates!$B$18,0)</f>
        <v>0</v>
      </c>
      <c r="R398" s="101">
        <f>IF(EMPLOYEE_MASTER!AC398="Yes",LK_AllowanceRates!$B$19,0)</f>
        <v>1000000</v>
      </c>
      <c r="S398" s="101">
        <f>IF(EMPLOYEE_MASTER!AA398="Yes",L398*LK_AllowanceRates!$B$20,0)</f>
        <v>715000</v>
      </c>
      <c r="T398" s="101">
        <f>IF(EMPLOYEE_MASTER!AB398="Yes",LK_AllowanceRates!$B$21,0)</f>
        <v>0</v>
      </c>
      <c r="U398" s="101">
        <f>IF(EMPLOYEE_MASTER!P398&gt;=6,LK_AllowanceRates!$B$22,0)</f>
        <v>0</v>
      </c>
      <c r="V398" s="101">
        <f>IF(EMPLOYEE_MASTER!AO398="Yes",LK_AllowanceRates!$B$23,0)</f>
        <v>200000</v>
      </c>
      <c r="W398" s="101">
        <f>EMPLOYEE_MASTER!AP398*LK_AllowanceRates!$B$24</f>
        <v>200000</v>
      </c>
      <c r="X398" s="101">
        <v>0</v>
      </c>
      <c r="Y398" s="102">
        <v>0</v>
      </c>
      <c r="Z398" s="102">
        <v>0</v>
      </c>
      <c r="AA398" s="102">
        <v>0</v>
      </c>
      <c r="AB398" s="103">
        <f t="shared" ca="1" si="50"/>
        <v>4615000</v>
      </c>
      <c r="AC398" s="104">
        <f t="shared" ca="1" si="51"/>
        <v>7475000</v>
      </c>
      <c r="AD398" s="105">
        <f>ROUND(L398*LK_AllowanceRates!$B$25/100,0)</f>
        <v>157300</v>
      </c>
      <c r="AE398" s="106">
        <f t="shared" ca="1" si="52"/>
        <v>7317700</v>
      </c>
      <c r="AF398" s="106">
        <f t="shared" ca="1" si="53"/>
        <v>416770</v>
      </c>
      <c r="AG398" s="107">
        <v>0</v>
      </c>
      <c r="AH398" s="107">
        <v>0</v>
      </c>
      <c r="AI398" s="108">
        <f t="shared" ca="1" si="54"/>
        <v>574070</v>
      </c>
      <c r="AJ398" s="109">
        <f t="shared" ca="1" si="55"/>
        <v>6900930</v>
      </c>
    </row>
    <row r="399" spans="1:36" ht="15" customHeight="1" x14ac:dyDescent="0.3">
      <c r="A399" s="98" t="str">
        <f>EMPLOYEE_MASTER!A399</f>
        <v>LAO00396</v>
      </c>
      <c r="B399" s="98" t="str">
        <f>EMPLOYEE_MASTER!C399</f>
        <v>Vanhkham</v>
      </c>
      <c r="C399" s="98" t="str">
        <f>EMPLOYEE_MASTER!D399</f>
        <v>Phonemany</v>
      </c>
      <c r="D399" s="98" t="str">
        <f>EMPLOYEE_MASTER!T399</f>
        <v>Champasak Province Administration</v>
      </c>
      <c r="E399" s="98" t="str">
        <f>EMPLOYEE_MASTER!M399</f>
        <v>Administrative Officer</v>
      </c>
      <c r="F399" s="98" t="str">
        <f>EMPLOYEE_MASTER!Z399</f>
        <v>Administration</v>
      </c>
      <c r="G399" s="99">
        <f>EMPLOYEE_MASTER!P399</f>
        <v>2</v>
      </c>
      <c r="H399" s="99">
        <f>EMPLOYEE_MASTER!Q399</f>
        <v>6</v>
      </c>
      <c r="I399" s="100" t="str">
        <f t="shared" si="48"/>
        <v>G02-S06</v>
      </c>
      <c r="J399" s="100">
        <f>IFERROR(VLOOKUP(I399,LK_GradeStep!$C$4:$D$85,2,0),0)</f>
        <v>273</v>
      </c>
      <c r="K399" s="100">
        <f>IFERROR(VLOOKUP(I399,LK_GradeStep!$C$4:$E$85,3,0),10000)</f>
        <v>10000</v>
      </c>
      <c r="L399" s="100">
        <f t="shared" si="49"/>
        <v>2730000</v>
      </c>
      <c r="M399" s="101">
        <f>IFERROR(VLOOKUP(EMPLOYEE_MASTER!AQ399,LK_AllowanceRates!$A$5:$B$11,2,0),0)</f>
        <v>900000</v>
      </c>
      <c r="N399" s="101">
        <f ca="1">IFERROR(IF(EMPLOYEE_MASTER!J399&lt;=5,  EMPLOYEE_MASTER!J399*LK_AllowanceRates!$B$12,IF(EMPLOYEE_MASTER!J399&lt;=15, EMPLOYEE_MASTER!J399*LK_AllowanceRates!$B$13,IF(EMPLOYEE_MASTER!J399&lt;=25, EMPLOYEE_MASTER!J399*LK_AllowanceRates!$B$14,EMPLOYEE_MASTER!J399*LK_AllowanceRates!$B$15))),0)</f>
        <v>280000</v>
      </c>
      <c r="O399" s="101">
        <f>IF(EMPLOYEE_MASTER!AS399="Teaching",L399*LK_AllowanceRates!$B$16,0)</f>
        <v>0</v>
      </c>
      <c r="P399" s="101">
        <f>IF(EMPLOYEE_MASTER!AS399="Medical",LK_AllowanceRates!$B$17,0)</f>
        <v>0</v>
      </c>
      <c r="Q399" s="101">
        <f>IF(EMPLOYEE_MASTER!AR399="Yes",LK_AllowanceRates!$B$18,0)</f>
        <v>0</v>
      </c>
      <c r="R399" s="101">
        <f>IF(EMPLOYEE_MASTER!AC399="Yes",LK_AllowanceRates!$B$19,0)</f>
        <v>0</v>
      </c>
      <c r="S399" s="101">
        <f>IF(EMPLOYEE_MASTER!AA399="Yes",L399*LK_AllowanceRates!$B$20,0)</f>
        <v>0</v>
      </c>
      <c r="T399" s="101">
        <f>IF(EMPLOYEE_MASTER!AB399="Yes",LK_AllowanceRates!$B$21,0)</f>
        <v>0</v>
      </c>
      <c r="U399" s="101">
        <f>IF(EMPLOYEE_MASTER!P399&gt;=6,LK_AllowanceRates!$B$22,0)</f>
        <v>0</v>
      </c>
      <c r="V399" s="101">
        <f>IF(EMPLOYEE_MASTER!AO399="Yes",LK_AllowanceRates!$B$23,0)</f>
        <v>200000</v>
      </c>
      <c r="W399" s="101">
        <f>EMPLOYEE_MASTER!AP399*LK_AllowanceRates!$B$24</f>
        <v>400000</v>
      </c>
      <c r="X399" s="101">
        <v>0</v>
      </c>
      <c r="Y399" s="102">
        <v>0</v>
      </c>
      <c r="Z399" s="102">
        <v>0</v>
      </c>
      <c r="AA399" s="102">
        <v>0</v>
      </c>
      <c r="AB399" s="103">
        <f t="shared" ca="1" si="50"/>
        <v>1780000</v>
      </c>
      <c r="AC399" s="104">
        <f t="shared" ca="1" si="51"/>
        <v>4510000</v>
      </c>
      <c r="AD399" s="105">
        <f>ROUND(L399*LK_AllowanceRates!$B$25/100,0)</f>
        <v>150150</v>
      </c>
      <c r="AE399" s="106">
        <f t="shared" ca="1" si="52"/>
        <v>4359850</v>
      </c>
      <c r="AF399" s="106">
        <f t="shared" ca="1" si="53"/>
        <v>152992.5</v>
      </c>
      <c r="AG399" s="107">
        <v>0</v>
      </c>
      <c r="AH399" s="107">
        <v>0</v>
      </c>
      <c r="AI399" s="108">
        <f t="shared" ca="1" si="54"/>
        <v>303142.5</v>
      </c>
      <c r="AJ399" s="109">
        <f t="shared" ca="1" si="55"/>
        <v>4206857.5</v>
      </c>
    </row>
    <row r="400" spans="1:36" ht="15" customHeight="1" x14ac:dyDescent="0.3">
      <c r="A400" s="98" t="str">
        <f>EMPLOYEE_MASTER!A400</f>
        <v>LAO00397</v>
      </c>
      <c r="B400" s="98" t="str">
        <f>EMPLOYEE_MASTER!C400</f>
        <v>Santisouk</v>
      </c>
      <c r="C400" s="98" t="str">
        <f>EMPLOYEE_MASTER!D400</f>
        <v>Khounboulom</v>
      </c>
      <c r="D400" s="98" t="str">
        <f>EMPLOYEE_MASTER!T400</f>
        <v>Ministry of Labour &amp; Social Welfare (MLSW)</v>
      </c>
      <c r="E400" s="98" t="str">
        <f>EMPLOYEE_MASTER!M400</f>
        <v>Clerk</v>
      </c>
      <c r="F400" s="98" t="str">
        <f>EMPLOYEE_MASTER!Z400</f>
        <v>Administration</v>
      </c>
      <c r="G400" s="99">
        <f>EMPLOYEE_MASTER!P400</f>
        <v>4</v>
      </c>
      <c r="H400" s="99">
        <f>EMPLOYEE_MASTER!Q400</f>
        <v>1</v>
      </c>
      <c r="I400" s="100" t="str">
        <f t="shared" si="48"/>
        <v>G04-S01</v>
      </c>
      <c r="J400" s="100">
        <f>IFERROR(VLOOKUP(I400,LK_GradeStep!$C$4:$D$85,2,0),0)</f>
        <v>286</v>
      </c>
      <c r="K400" s="100">
        <f>IFERROR(VLOOKUP(I400,LK_GradeStep!$C$4:$E$85,3,0),10000)</f>
        <v>10000</v>
      </c>
      <c r="L400" s="100">
        <f t="shared" si="49"/>
        <v>2860000</v>
      </c>
      <c r="M400" s="101">
        <f>IFERROR(VLOOKUP(EMPLOYEE_MASTER!AQ400,LK_AllowanceRates!$A$5:$B$11,2,0),0)</f>
        <v>900000</v>
      </c>
      <c r="N400" s="101">
        <f ca="1">IFERROR(IF(EMPLOYEE_MASTER!J400&lt;=5,  EMPLOYEE_MASTER!J400*LK_AllowanceRates!$B$12,IF(EMPLOYEE_MASTER!J400&lt;=15, EMPLOYEE_MASTER!J400*LK_AllowanceRates!$B$13,IF(EMPLOYEE_MASTER!J400&lt;=25, EMPLOYEE_MASTER!J400*LK_AllowanceRates!$B$14,EMPLOYEE_MASTER!J400*LK_AllowanceRates!$B$15))),0)</f>
        <v>180000</v>
      </c>
      <c r="O400" s="101">
        <f>IF(EMPLOYEE_MASTER!AS400="Teaching",L400*LK_AllowanceRates!$B$16,0)</f>
        <v>0</v>
      </c>
      <c r="P400" s="101">
        <f>IF(EMPLOYEE_MASTER!AS400="Medical",LK_AllowanceRates!$B$17,0)</f>
        <v>0</v>
      </c>
      <c r="Q400" s="101">
        <f>IF(EMPLOYEE_MASTER!AR400="Yes",LK_AllowanceRates!$B$18,0)</f>
        <v>0</v>
      </c>
      <c r="R400" s="101">
        <f>IF(EMPLOYEE_MASTER!AC400="Yes",LK_AllowanceRates!$B$19,0)</f>
        <v>1000000</v>
      </c>
      <c r="S400" s="101">
        <f>IF(EMPLOYEE_MASTER!AA400="Yes",L400*LK_AllowanceRates!$B$20,0)</f>
        <v>0</v>
      </c>
      <c r="T400" s="101">
        <f>IF(EMPLOYEE_MASTER!AB400="Yes",LK_AllowanceRates!$B$21,0)</f>
        <v>0</v>
      </c>
      <c r="U400" s="101">
        <f>IF(EMPLOYEE_MASTER!P400&gt;=6,LK_AllowanceRates!$B$22,0)</f>
        <v>0</v>
      </c>
      <c r="V400" s="101">
        <f>IF(EMPLOYEE_MASTER!AO400="Yes",LK_AllowanceRates!$B$23,0)</f>
        <v>0</v>
      </c>
      <c r="W400" s="101">
        <f>EMPLOYEE_MASTER!AP400*LK_AllowanceRates!$B$24</f>
        <v>0</v>
      </c>
      <c r="X400" s="101">
        <v>0</v>
      </c>
      <c r="Y400" s="102">
        <v>0</v>
      </c>
      <c r="Z400" s="102">
        <v>0</v>
      </c>
      <c r="AA400" s="102">
        <v>0</v>
      </c>
      <c r="AB400" s="103">
        <f t="shared" ca="1" si="50"/>
        <v>2080000</v>
      </c>
      <c r="AC400" s="104">
        <f t="shared" ca="1" si="51"/>
        <v>4940000</v>
      </c>
      <c r="AD400" s="105">
        <f>ROUND(L400*LK_AllowanceRates!$B$25/100,0)</f>
        <v>157300</v>
      </c>
      <c r="AE400" s="106">
        <f t="shared" ca="1" si="52"/>
        <v>4782700</v>
      </c>
      <c r="AF400" s="106">
        <f t="shared" ca="1" si="53"/>
        <v>174135</v>
      </c>
      <c r="AG400" s="107">
        <v>0</v>
      </c>
      <c r="AH400" s="107">
        <v>0</v>
      </c>
      <c r="AI400" s="108">
        <f t="shared" ca="1" si="54"/>
        <v>331435</v>
      </c>
      <c r="AJ400" s="109">
        <f t="shared" ca="1" si="55"/>
        <v>4608565</v>
      </c>
    </row>
    <row r="401" spans="1:36" ht="15" customHeight="1" x14ac:dyDescent="0.3">
      <c r="A401" s="98" t="str">
        <f>EMPLOYEE_MASTER!A401</f>
        <v>LAO00398</v>
      </c>
      <c r="B401" s="98" t="str">
        <f>EMPLOYEE_MASTER!C401</f>
        <v>Soubanh</v>
      </c>
      <c r="C401" s="98" t="str">
        <f>EMPLOYEE_MASTER!D401</f>
        <v>Khonesavanh</v>
      </c>
      <c r="D401" s="98" t="str">
        <f>EMPLOYEE_MASTER!T401</f>
        <v>Ministry of Health (MoH)</v>
      </c>
      <c r="E401" s="98" t="str">
        <f>EMPLOYEE_MASTER!M401</f>
        <v>Hospital Director</v>
      </c>
      <c r="F401" s="98" t="str">
        <f>EMPLOYEE_MASTER!Z401</f>
        <v>Medical</v>
      </c>
      <c r="G401" s="99">
        <f>EMPLOYEE_MASTER!P401</f>
        <v>5</v>
      </c>
      <c r="H401" s="99">
        <f>EMPLOYEE_MASTER!Q401</f>
        <v>5</v>
      </c>
      <c r="I401" s="100" t="str">
        <f t="shared" si="48"/>
        <v>G05-S05</v>
      </c>
      <c r="J401" s="100">
        <f>IFERROR(VLOOKUP(I401,LK_GradeStep!$C$4:$D$85,2,0),0)</f>
        <v>328</v>
      </c>
      <c r="K401" s="100">
        <f>IFERROR(VLOOKUP(I401,LK_GradeStep!$C$4:$E$85,3,0),10000)</f>
        <v>10000</v>
      </c>
      <c r="L401" s="100">
        <f t="shared" si="49"/>
        <v>3280000</v>
      </c>
      <c r="M401" s="101">
        <f>IFERROR(VLOOKUP(EMPLOYEE_MASTER!AQ401,LK_AllowanceRates!$A$5:$B$11,2,0),0)</f>
        <v>2500000</v>
      </c>
      <c r="N401" s="101">
        <f ca="1">IFERROR(IF(EMPLOYEE_MASTER!J401&lt;=5,  EMPLOYEE_MASTER!J401*LK_AllowanceRates!$B$12,IF(EMPLOYEE_MASTER!J401&lt;=15, EMPLOYEE_MASTER!J401*LK_AllowanceRates!$B$13,IF(EMPLOYEE_MASTER!J401&lt;=25, EMPLOYEE_MASTER!J401*LK_AllowanceRates!$B$14,EMPLOYEE_MASTER!J401*LK_AllowanceRates!$B$15))),0)</f>
        <v>510000</v>
      </c>
      <c r="O401" s="101">
        <f>IF(EMPLOYEE_MASTER!AS401="Teaching",L401*LK_AllowanceRates!$B$16,0)</f>
        <v>0</v>
      </c>
      <c r="P401" s="101">
        <f>IF(EMPLOYEE_MASTER!AS401="Medical",LK_AllowanceRates!$B$17,0)</f>
        <v>500000</v>
      </c>
      <c r="Q401" s="101">
        <f>IF(EMPLOYEE_MASTER!AR401="Yes",LK_AllowanceRates!$B$18,0)</f>
        <v>0</v>
      </c>
      <c r="R401" s="101">
        <f>IF(EMPLOYEE_MASTER!AC401="Yes",LK_AllowanceRates!$B$19,0)</f>
        <v>0</v>
      </c>
      <c r="S401" s="101">
        <f>IF(EMPLOYEE_MASTER!AA401="Yes",L401*LK_AllowanceRates!$B$20,0)</f>
        <v>0</v>
      </c>
      <c r="T401" s="101">
        <f>IF(EMPLOYEE_MASTER!AB401="Yes",LK_AllowanceRates!$B$21,0)</f>
        <v>0</v>
      </c>
      <c r="U401" s="101">
        <f>IF(EMPLOYEE_MASTER!P401&gt;=6,LK_AllowanceRates!$B$22,0)</f>
        <v>0</v>
      </c>
      <c r="V401" s="101">
        <f>IF(EMPLOYEE_MASTER!AO401="Yes",LK_AllowanceRates!$B$23,0)</f>
        <v>200000</v>
      </c>
      <c r="W401" s="101">
        <f>EMPLOYEE_MASTER!AP401*LK_AllowanceRates!$B$24</f>
        <v>400000</v>
      </c>
      <c r="X401" s="101">
        <v>0</v>
      </c>
      <c r="Y401" s="102">
        <v>0</v>
      </c>
      <c r="Z401" s="102">
        <v>0</v>
      </c>
      <c r="AA401" s="102">
        <v>0</v>
      </c>
      <c r="AB401" s="103">
        <f t="shared" ca="1" si="50"/>
        <v>4110000</v>
      </c>
      <c r="AC401" s="104">
        <f t="shared" ca="1" si="51"/>
        <v>7390000</v>
      </c>
      <c r="AD401" s="105">
        <f>ROUND(L401*LK_AllowanceRates!$B$25/100,0)</f>
        <v>180400</v>
      </c>
      <c r="AE401" s="106">
        <f t="shared" ca="1" si="52"/>
        <v>7209600</v>
      </c>
      <c r="AF401" s="106">
        <f t="shared" ca="1" si="53"/>
        <v>405960</v>
      </c>
      <c r="AG401" s="107">
        <v>0</v>
      </c>
      <c r="AH401" s="107">
        <v>0</v>
      </c>
      <c r="AI401" s="108">
        <f t="shared" ca="1" si="54"/>
        <v>586360</v>
      </c>
      <c r="AJ401" s="109">
        <f t="shared" ca="1" si="55"/>
        <v>6803640</v>
      </c>
    </row>
    <row r="402" spans="1:36" ht="15" customHeight="1" x14ac:dyDescent="0.3">
      <c r="A402" s="98" t="str">
        <f>EMPLOYEE_MASTER!A402</f>
        <v>LAO00399</v>
      </c>
      <c r="B402" s="98" t="str">
        <f>EMPLOYEE_MASTER!C402</f>
        <v>Phongsavanh</v>
      </c>
      <c r="C402" s="98" t="str">
        <f>EMPLOYEE_MASTER!D402</f>
        <v>Thammavong</v>
      </c>
      <c r="D402" s="98" t="str">
        <f>EMPLOYEE_MASTER!T402</f>
        <v>Vientiane Capital Administration</v>
      </c>
      <c r="E402" s="98" t="str">
        <f>EMPLOYEE_MASTER!M402</f>
        <v>Senior Administrative Officer</v>
      </c>
      <c r="F402" s="98" t="str">
        <f>EMPLOYEE_MASTER!Z402</f>
        <v>Administration</v>
      </c>
      <c r="G402" s="99">
        <f>EMPLOYEE_MASTER!P402</f>
        <v>5</v>
      </c>
      <c r="H402" s="99">
        <f>EMPLOYEE_MASTER!Q402</f>
        <v>1</v>
      </c>
      <c r="I402" s="100" t="str">
        <f t="shared" si="48"/>
        <v>G05-S01</v>
      </c>
      <c r="J402" s="100">
        <f>IFERROR(VLOOKUP(I402,LK_GradeStep!$C$4:$D$85,2,0),0)</f>
        <v>308</v>
      </c>
      <c r="K402" s="100">
        <f>IFERROR(VLOOKUP(I402,LK_GradeStep!$C$4:$E$85,3,0),10000)</f>
        <v>10000</v>
      </c>
      <c r="L402" s="100">
        <f t="shared" si="49"/>
        <v>3080000</v>
      </c>
      <c r="M402" s="101">
        <f>IFERROR(VLOOKUP(EMPLOYEE_MASTER!AQ402,LK_AllowanceRates!$A$5:$B$11,2,0),0)</f>
        <v>900000</v>
      </c>
      <c r="N402" s="101">
        <f ca="1">IFERROR(IF(EMPLOYEE_MASTER!J402&lt;=5,  EMPLOYEE_MASTER!J402*LK_AllowanceRates!$B$12,IF(EMPLOYEE_MASTER!J402&lt;=15, EMPLOYEE_MASTER!J402*LK_AllowanceRates!$B$13,IF(EMPLOYEE_MASTER!J402&lt;=25, EMPLOYEE_MASTER!J402*LK_AllowanceRates!$B$14,EMPLOYEE_MASTER!J402*LK_AllowanceRates!$B$15))),0)</f>
        <v>1200000</v>
      </c>
      <c r="O402" s="101">
        <f>IF(EMPLOYEE_MASTER!AS402="Teaching",L402*LK_AllowanceRates!$B$16,0)</f>
        <v>0</v>
      </c>
      <c r="P402" s="101">
        <f>IF(EMPLOYEE_MASTER!AS402="Medical",LK_AllowanceRates!$B$17,0)</f>
        <v>0</v>
      </c>
      <c r="Q402" s="101">
        <f>IF(EMPLOYEE_MASTER!AR402="Yes",LK_AllowanceRates!$B$18,0)</f>
        <v>0</v>
      </c>
      <c r="R402" s="101">
        <f>IF(EMPLOYEE_MASTER!AC402="Yes",LK_AllowanceRates!$B$19,0)</f>
        <v>0</v>
      </c>
      <c r="S402" s="101">
        <f>IF(EMPLOYEE_MASTER!AA402="Yes",L402*LK_AllowanceRates!$B$20,0)</f>
        <v>0</v>
      </c>
      <c r="T402" s="101">
        <f>IF(EMPLOYEE_MASTER!AB402="Yes",LK_AllowanceRates!$B$21,0)</f>
        <v>0</v>
      </c>
      <c r="U402" s="101">
        <f>IF(EMPLOYEE_MASTER!P402&gt;=6,LK_AllowanceRates!$B$22,0)</f>
        <v>0</v>
      </c>
      <c r="V402" s="101">
        <f>IF(EMPLOYEE_MASTER!AO402="Yes",LK_AllowanceRates!$B$23,0)</f>
        <v>200000</v>
      </c>
      <c r="W402" s="101">
        <f>EMPLOYEE_MASTER!AP402*LK_AllowanceRates!$B$24</f>
        <v>400000</v>
      </c>
      <c r="X402" s="101">
        <v>0</v>
      </c>
      <c r="Y402" s="102">
        <v>0</v>
      </c>
      <c r="Z402" s="102">
        <v>0</v>
      </c>
      <c r="AA402" s="102">
        <v>0</v>
      </c>
      <c r="AB402" s="103">
        <f t="shared" ca="1" si="50"/>
        <v>2700000</v>
      </c>
      <c r="AC402" s="104">
        <f t="shared" ca="1" si="51"/>
        <v>5780000</v>
      </c>
      <c r="AD402" s="105">
        <f>ROUND(L402*LK_AllowanceRates!$B$25/100,0)</f>
        <v>169400</v>
      </c>
      <c r="AE402" s="106">
        <f t="shared" ca="1" si="52"/>
        <v>5610600</v>
      </c>
      <c r="AF402" s="106">
        <f t="shared" ca="1" si="53"/>
        <v>246060</v>
      </c>
      <c r="AG402" s="107">
        <v>0</v>
      </c>
      <c r="AH402" s="107">
        <v>0</v>
      </c>
      <c r="AI402" s="108">
        <f t="shared" ca="1" si="54"/>
        <v>415460</v>
      </c>
      <c r="AJ402" s="109">
        <f t="shared" ca="1" si="55"/>
        <v>5364540</v>
      </c>
    </row>
    <row r="403" spans="1:36" ht="15" customHeight="1" x14ac:dyDescent="0.3">
      <c r="A403" s="98" t="str">
        <f>EMPLOYEE_MASTER!A403</f>
        <v>LAO00400</v>
      </c>
      <c r="B403" s="98" t="str">
        <f>EMPLOYEE_MASTER!C403</f>
        <v>Sounthone</v>
      </c>
      <c r="C403" s="98" t="str">
        <f>EMPLOYEE_MASTER!D403</f>
        <v>Khamphilavong</v>
      </c>
      <c r="D403" s="98" t="str">
        <f>EMPLOYEE_MASTER!T403</f>
        <v>Ministry of Industry &amp; Commerce (MoIC)</v>
      </c>
      <c r="E403" s="98" t="str">
        <f>EMPLOYEE_MASTER!M403</f>
        <v>Deputy Department Director</v>
      </c>
      <c r="F403" s="98" t="str">
        <f>EMPLOYEE_MASTER!Z403</f>
        <v>Administration</v>
      </c>
      <c r="G403" s="99">
        <f>EMPLOYEE_MASTER!P403</f>
        <v>4</v>
      </c>
      <c r="H403" s="99">
        <f>EMPLOYEE_MASTER!Q403</f>
        <v>3</v>
      </c>
      <c r="I403" s="100" t="str">
        <f t="shared" si="48"/>
        <v>G04-S03</v>
      </c>
      <c r="J403" s="100">
        <f>IFERROR(VLOOKUP(I403,LK_GradeStep!$C$4:$D$85,2,0),0)</f>
        <v>290</v>
      </c>
      <c r="K403" s="100">
        <f>IFERROR(VLOOKUP(I403,LK_GradeStep!$C$4:$E$85,3,0),10000)</f>
        <v>10000</v>
      </c>
      <c r="L403" s="100">
        <f t="shared" si="49"/>
        <v>2900000</v>
      </c>
      <c r="M403" s="101">
        <f>IFERROR(VLOOKUP(EMPLOYEE_MASTER!AQ403,LK_AllowanceRates!$A$5:$B$11,2,0),0)</f>
        <v>900000</v>
      </c>
      <c r="N403" s="101">
        <f ca="1">IFERROR(IF(EMPLOYEE_MASTER!J403&lt;=5,  EMPLOYEE_MASTER!J403*LK_AllowanceRates!$B$12,IF(EMPLOYEE_MASTER!J403&lt;=15, EMPLOYEE_MASTER!J403*LK_AllowanceRates!$B$13,IF(EMPLOYEE_MASTER!J403&lt;=25, EMPLOYEE_MASTER!J403*LK_AllowanceRates!$B$14,EMPLOYEE_MASTER!J403*LK_AllowanceRates!$B$15))),0)</f>
        <v>300000</v>
      </c>
      <c r="O403" s="101">
        <f>IF(EMPLOYEE_MASTER!AS403="Teaching",L403*LK_AllowanceRates!$B$16,0)</f>
        <v>0</v>
      </c>
      <c r="P403" s="101">
        <f>IF(EMPLOYEE_MASTER!AS403="Medical",LK_AllowanceRates!$B$17,0)</f>
        <v>0</v>
      </c>
      <c r="Q403" s="101">
        <f>IF(EMPLOYEE_MASTER!AR403="Yes",LK_AllowanceRates!$B$18,0)</f>
        <v>0</v>
      </c>
      <c r="R403" s="101">
        <f>IF(EMPLOYEE_MASTER!AC403="Yes",LK_AllowanceRates!$B$19,0)</f>
        <v>1000000</v>
      </c>
      <c r="S403" s="101">
        <f>IF(EMPLOYEE_MASTER!AA403="Yes",L403*LK_AllowanceRates!$B$20,0)</f>
        <v>0</v>
      </c>
      <c r="T403" s="101">
        <f>IF(EMPLOYEE_MASTER!AB403="Yes",LK_AllowanceRates!$B$21,0)</f>
        <v>0</v>
      </c>
      <c r="U403" s="101">
        <f>IF(EMPLOYEE_MASTER!P403&gt;=6,LK_AllowanceRates!$B$22,0)</f>
        <v>0</v>
      </c>
      <c r="V403" s="101">
        <f>IF(EMPLOYEE_MASTER!AO403="Yes",LK_AllowanceRates!$B$23,0)</f>
        <v>0</v>
      </c>
      <c r="W403" s="101">
        <f>EMPLOYEE_MASTER!AP403*LK_AllowanceRates!$B$24</f>
        <v>0</v>
      </c>
      <c r="X403" s="101">
        <v>0</v>
      </c>
      <c r="Y403" s="102">
        <v>0</v>
      </c>
      <c r="Z403" s="102">
        <v>0</v>
      </c>
      <c r="AA403" s="102">
        <v>0</v>
      </c>
      <c r="AB403" s="103">
        <f t="shared" ca="1" si="50"/>
        <v>2200000</v>
      </c>
      <c r="AC403" s="104">
        <f t="shared" ca="1" si="51"/>
        <v>5100000</v>
      </c>
      <c r="AD403" s="105">
        <f>ROUND(L403*LK_AllowanceRates!$B$25/100,0)</f>
        <v>159500</v>
      </c>
      <c r="AE403" s="106">
        <f t="shared" ca="1" si="52"/>
        <v>4940500</v>
      </c>
      <c r="AF403" s="106">
        <f t="shared" ca="1" si="53"/>
        <v>182025</v>
      </c>
      <c r="AG403" s="107">
        <v>0</v>
      </c>
      <c r="AH403" s="107">
        <v>0</v>
      </c>
      <c r="AI403" s="108">
        <f t="shared" ca="1" si="54"/>
        <v>341525</v>
      </c>
      <c r="AJ403" s="109">
        <f t="shared" ca="1" si="55"/>
        <v>4758475</v>
      </c>
    </row>
    <row r="404" spans="1:36" ht="15" customHeight="1" x14ac:dyDescent="0.3">
      <c r="A404" s="98" t="str">
        <f>EMPLOYEE_MASTER!A404</f>
        <v>LAO00401</v>
      </c>
      <c r="B404" s="98" t="str">
        <f>EMPLOYEE_MASTER!C404</f>
        <v>Sisamone</v>
      </c>
      <c r="C404" s="98" t="str">
        <f>EMPLOYEE_MASTER!D404</f>
        <v>Khamphilavong</v>
      </c>
      <c r="D404" s="98" t="str">
        <f>EMPLOYEE_MASTER!T404</f>
        <v>Ministry of Health (MoH)</v>
      </c>
      <c r="E404" s="98" t="str">
        <f>EMPLOYEE_MASTER!M404</f>
        <v>Senior Doctor</v>
      </c>
      <c r="F404" s="98" t="str">
        <f>EMPLOYEE_MASTER!Z404</f>
        <v>Medical</v>
      </c>
      <c r="G404" s="99">
        <f>EMPLOYEE_MASTER!P404</f>
        <v>4</v>
      </c>
      <c r="H404" s="99">
        <f>EMPLOYEE_MASTER!Q404</f>
        <v>1</v>
      </c>
      <c r="I404" s="100" t="str">
        <f t="shared" si="48"/>
        <v>G04-S01</v>
      </c>
      <c r="J404" s="100">
        <f>IFERROR(VLOOKUP(I404,LK_GradeStep!$C$4:$D$85,2,0),0)</f>
        <v>286</v>
      </c>
      <c r="K404" s="100">
        <f>IFERROR(VLOOKUP(I404,LK_GradeStep!$C$4:$E$85,3,0),10000)</f>
        <v>10000</v>
      </c>
      <c r="L404" s="100">
        <f t="shared" si="49"/>
        <v>2860000</v>
      </c>
      <c r="M404" s="101">
        <f>IFERROR(VLOOKUP(EMPLOYEE_MASTER!AQ404,LK_AllowanceRates!$A$5:$B$11,2,0),0)</f>
        <v>900000</v>
      </c>
      <c r="N404" s="101">
        <f ca="1">IFERROR(IF(EMPLOYEE_MASTER!J404&lt;=5,  EMPLOYEE_MASTER!J404*LK_AllowanceRates!$B$12,IF(EMPLOYEE_MASTER!J404&lt;=15, EMPLOYEE_MASTER!J404*LK_AllowanceRates!$B$13,IF(EMPLOYEE_MASTER!J404&lt;=25, EMPLOYEE_MASTER!J404*LK_AllowanceRates!$B$14,EMPLOYEE_MASTER!J404*LK_AllowanceRates!$B$15))),0)</f>
        <v>1440000</v>
      </c>
      <c r="O404" s="101">
        <f>IF(EMPLOYEE_MASTER!AS404="Teaching",L404*LK_AllowanceRates!$B$16,0)</f>
        <v>0</v>
      </c>
      <c r="P404" s="101">
        <f>IF(EMPLOYEE_MASTER!AS404="Medical",LK_AllowanceRates!$B$17,0)</f>
        <v>500000</v>
      </c>
      <c r="Q404" s="101">
        <f>IF(EMPLOYEE_MASTER!AR404="Yes",LK_AllowanceRates!$B$18,0)</f>
        <v>0</v>
      </c>
      <c r="R404" s="101">
        <f>IF(EMPLOYEE_MASTER!AC404="Yes",LK_AllowanceRates!$B$19,0)</f>
        <v>0</v>
      </c>
      <c r="S404" s="101">
        <f>IF(EMPLOYEE_MASTER!AA404="Yes",L404*LK_AllowanceRates!$B$20,0)</f>
        <v>0</v>
      </c>
      <c r="T404" s="101">
        <f>IF(EMPLOYEE_MASTER!AB404="Yes",LK_AllowanceRates!$B$21,0)</f>
        <v>0</v>
      </c>
      <c r="U404" s="101">
        <f>IF(EMPLOYEE_MASTER!P404&gt;=6,LK_AllowanceRates!$B$22,0)</f>
        <v>0</v>
      </c>
      <c r="V404" s="101">
        <f>IF(EMPLOYEE_MASTER!AO404="Yes",LK_AllowanceRates!$B$23,0)</f>
        <v>200000</v>
      </c>
      <c r="W404" s="101">
        <f>EMPLOYEE_MASTER!AP404*LK_AllowanceRates!$B$24</f>
        <v>400000</v>
      </c>
      <c r="X404" s="101">
        <v>0</v>
      </c>
      <c r="Y404" s="102">
        <v>0</v>
      </c>
      <c r="Z404" s="102">
        <v>0</v>
      </c>
      <c r="AA404" s="102">
        <v>0</v>
      </c>
      <c r="AB404" s="103">
        <f t="shared" ca="1" si="50"/>
        <v>3440000</v>
      </c>
      <c r="AC404" s="104">
        <f t="shared" ca="1" si="51"/>
        <v>6300000</v>
      </c>
      <c r="AD404" s="105">
        <f>ROUND(L404*LK_AllowanceRates!$B$25/100,0)</f>
        <v>157300</v>
      </c>
      <c r="AE404" s="106">
        <f t="shared" ca="1" si="52"/>
        <v>6142700</v>
      </c>
      <c r="AF404" s="106">
        <f t="shared" ca="1" si="53"/>
        <v>299270</v>
      </c>
      <c r="AG404" s="107">
        <v>0</v>
      </c>
      <c r="AH404" s="107">
        <v>0</v>
      </c>
      <c r="AI404" s="108">
        <f t="shared" ca="1" si="54"/>
        <v>456570</v>
      </c>
      <c r="AJ404" s="109">
        <f t="shared" ca="1" si="55"/>
        <v>5843430</v>
      </c>
    </row>
    <row r="405" spans="1:36" ht="15" customHeight="1" x14ac:dyDescent="0.3">
      <c r="A405" s="98" t="str">
        <f>EMPLOYEE_MASTER!A405</f>
        <v>LAO00402</v>
      </c>
      <c r="B405" s="98" t="str">
        <f>EMPLOYEE_MASTER!C405</f>
        <v>Bounlert</v>
      </c>
      <c r="C405" s="98" t="str">
        <f>EMPLOYEE_MASTER!D405</f>
        <v>Vilayvong</v>
      </c>
      <c r="D405" s="98" t="str">
        <f>EMPLOYEE_MASTER!T405</f>
        <v>Ministry of Justice (MoJ)</v>
      </c>
      <c r="E405" s="98" t="str">
        <f>EMPLOYEE_MASTER!M405</f>
        <v>Division Chief</v>
      </c>
      <c r="F405" s="98" t="str">
        <f>EMPLOYEE_MASTER!Z405</f>
        <v>Legal</v>
      </c>
      <c r="G405" s="99">
        <f>EMPLOYEE_MASTER!P405</f>
        <v>4</v>
      </c>
      <c r="H405" s="99">
        <f>EMPLOYEE_MASTER!Q405</f>
        <v>6</v>
      </c>
      <c r="I405" s="100" t="str">
        <f t="shared" si="48"/>
        <v>G04-S06</v>
      </c>
      <c r="J405" s="100">
        <f>IFERROR(VLOOKUP(I405,LK_GradeStep!$C$4:$D$85,2,0),0)</f>
        <v>296</v>
      </c>
      <c r="K405" s="100">
        <f>IFERROR(VLOOKUP(I405,LK_GradeStep!$C$4:$E$85,3,0),10000)</f>
        <v>10000</v>
      </c>
      <c r="L405" s="100">
        <f t="shared" si="49"/>
        <v>2960000</v>
      </c>
      <c r="M405" s="101">
        <f>IFERROR(VLOOKUP(EMPLOYEE_MASTER!AQ405,LK_AllowanceRates!$A$5:$B$11,2,0),0)</f>
        <v>1900000</v>
      </c>
      <c r="N405" s="101">
        <f ca="1">IFERROR(IF(EMPLOYEE_MASTER!J405&lt;=5,  EMPLOYEE_MASTER!J405*LK_AllowanceRates!$B$12,IF(EMPLOYEE_MASTER!J405&lt;=15, EMPLOYEE_MASTER!J405*LK_AllowanceRates!$B$13,IF(EMPLOYEE_MASTER!J405&lt;=25, EMPLOYEE_MASTER!J405*LK_AllowanceRates!$B$14,EMPLOYEE_MASTER!J405*LK_AllowanceRates!$B$15))),0)</f>
        <v>690000</v>
      </c>
      <c r="O405" s="101">
        <f>IF(EMPLOYEE_MASTER!AS405="Teaching",L405*LK_AllowanceRates!$B$16,0)</f>
        <v>0</v>
      </c>
      <c r="P405" s="101">
        <f>IF(EMPLOYEE_MASTER!AS405="Medical",LK_AllowanceRates!$B$17,0)</f>
        <v>0</v>
      </c>
      <c r="Q405" s="101">
        <f>IF(EMPLOYEE_MASTER!AR405="Yes",LK_AllowanceRates!$B$18,0)</f>
        <v>0</v>
      </c>
      <c r="R405" s="101">
        <f>IF(EMPLOYEE_MASTER!AC405="Yes",LK_AllowanceRates!$B$19,0)</f>
        <v>0</v>
      </c>
      <c r="S405" s="101">
        <f>IF(EMPLOYEE_MASTER!AA405="Yes",L405*LK_AllowanceRates!$B$20,0)</f>
        <v>740000</v>
      </c>
      <c r="T405" s="101">
        <f>IF(EMPLOYEE_MASTER!AB405="Yes",LK_AllowanceRates!$B$21,0)</f>
        <v>0</v>
      </c>
      <c r="U405" s="101">
        <f>IF(EMPLOYEE_MASTER!P405&gt;=6,LK_AllowanceRates!$B$22,0)</f>
        <v>0</v>
      </c>
      <c r="V405" s="101">
        <f>IF(EMPLOYEE_MASTER!AO405="Yes",LK_AllowanceRates!$B$23,0)</f>
        <v>0</v>
      </c>
      <c r="W405" s="101">
        <f>EMPLOYEE_MASTER!AP405*LK_AllowanceRates!$B$24</f>
        <v>0</v>
      </c>
      <c r="X405" s="101">
        <v>0</v>
      </c>
      <c r="Y405" s="102">
        <v>0</v>
      </c>
      <c r="Z405" s="102">
        <v>0</v>
      </c>
      <c r="AA405" s="102">
        <v>0</v>
      </c>
      <c r="AB405" s="103">
        <f t="shared" ca="1" si="50"/>
        <v>3330000</v>
      </c>
      <c r="AC405" s="104">
        <f t="shared" ca="1" si="51"/>
        <v>6290000</v>
      </c>
      <c r="AD405" s="105">
        <f>ROUND(L405*LK_AllowanceRates!$B$25/100,0)</f>
        <v>162800</v>
      </c>
      <c r="AE405" s="106">
        <f t="shared" ca="1" si="52"/>
        <v>6127200</v>
      </c>
      <c r="AF405" s="106">
        <f t="shared" ca="1" si="53"/>
        <v>297720</v>
      </c>
      <c r="AG405" s="107">
        <v>0</v>
      </c>
      <c r="AH405" s="107">
        <v>0</v>
      </c>
      <c r="AI405" s="108">
        <f t="shared" ca="1" si="54"/>
        <v>460520</v>
      </c>
      <c r="AJ405" s="109">
        <f t="shared" ca="1" si="55"/>
        <v>5829480</v>
      </c>
    </row>
    <row r="406" spans="1:36" ht="15" customHeight="1" x14ac:dyDescent="0.3">
      <c r="A406" s="98" t="str">
        <f>EMPLOYEE_MASTER!A406</f>
        <v>LAO00403</v>
      </c>
      <c r="B406" s="98" t="str">
        <f>EMPLOYEE_MASTER!C406</f>
        <v>Keovilay</v>
      </c>
      <c r="C406" s="98" t="str">
        <f>EMPLOYEE_MASTER!D406</f>
        <v>Kheudkham</v>
      </c>
      <c r="D406" s="98" t="str">
        <f>EMPLOYEE_MASTER!T406</f>
        <v>Ministry of Justice (MoJ)</v>
      </c>
      <c r="E406" s="98" t="str">
        <f>EMPLOYEE_MASTER!M406</f>
        <v>Section Chief</v>
      </c>
      <c r="F406" s="98" t="str">
        <f>EMPLOYEE_MASTER!Z406</f>
        <v>Legal</v>
      </c>
      <c r="G406" s="99">
        <f>EMPLOYEE_MASTER!P406</f>
        <v>5</v>
      </c>
      <c r="H406" s="99">
        <f>EMPLOYEE_MASTER!Q406</f>
        <v>1</v>
      </c>
      <c r="I406" s="100" t="str">
        <f t="shared" si="48"/>
        <v>G05-S01</v>
      </c>
      <c r="J406" s="100">
        <f>IFERROR(VLOOKUP(I406,LK_GradeStep!$C$4:$D$85,2,0),0)</f>
        <v>308</v>
      </c>
      <c r="K406" s="100">
        <f>IFERROR(VLOOKUP(I406,LK_GradeStep!$C$4:$E$85,3,0),10000)</f>
        <v>10000</v>
      </c>
      <c r="L406" s="100">
        <f t="shared" si="49"/>
        <v>3080000</v>
      </c>
      <c r="M406" s="101">
        <f>IFERROR(VLOOKUP(EMPLOYEE_MASTER!AQ406,LK_AllowanceRates!$A$5:$B$11,2,0),0)</f>
        <v>1500000</v>
      </c>
      <c r="N406" s="101">
        <f ca="1">IFERROR(IF(EMPLOYEE_MASTER!J406&lt;=5,  EMPLOYEE_MASTER!J406*LK_AllowanceRates!$B$12,IF(EMPLOYEE_MASTER!J406&lt;=15, EMPLOYEE_MASTER!J406*LK_AllowanceRates!$B$13,IF(EMPLOYEE_MASTER!J406&lt;=25, EMPLOYEE_MASTER!J406*LK_AllowanceRates!$B$14,EMPLOYEE_MASTER!J406*LK_AllowanceRates!$B$15))),0)</f>
        <v>140000</v>
      </c>
      <c r="O406" s="101">
        <f>IF(EMPLOYEE_MASTER!AS406="Teaching",L406*LK_AllowanceRates!$B$16,0)</f>
        <v>0</v>
      </c>
      <c r="P406" s="101">
        <f>IF(EMPLOYEE_MASTER!AS406="Medical",LK_AllowanceRates!$B$17,0)</f>
        <v>0</v>
      </c>
      <c r="Q406" s="101">
        <f>IF(EMPLOYEE_MASTER!AR406="Yes",LK_AllowanceRates!$B$18,0)</f>
        <v>0</v>
      </c>
      <c r="R406" s="101">
        <f>IF(EMPLOYEE_MASTER!AC406="Yes",LK_AllowanceRates!$B$19,0)</f>
        <v>0</v>
      </c>
      <c r="S406" s="101">
        <f>IF(EMPLOYEE_MASTER!AA406="Yes",L406*LK_AllowanceRates!$B$20,0)</f>
        <v>770000</v>
      </c>
      <c r="T406" s="101">
        <f>IF(EMPLOYEE_MASTER!AB406="Yes",LK_AllowanceRates!$B$21,0)</f>
        <v>0</v>
      </c>
      <c r="U406" s="101">
        <f>IF(EMPLOYEE_MASTER!P406&gt;=6,LK_AllowanceRates!$B$22,0)</f>
        <v>0</v>
      </c>
      <c r="V406" s="101">
        <f>IF(EMPLOYEE_MASTER!AO406="Yes",LK_AllowanceRates!$B$23,0)</f>
        <v>0</v>
      </c>
      <c r="W406" s="101">
        <f>EMPLOYEE_MASTER!AP406*LK_AllowanceRates!$B$24</f>
        <v>0</v>
      </c>
      <c r="X406" s="101">
        <v>0</v>
      </c>
      <c r="Y406" s="102">
        <v>0</v>
      </c>
      <c r="Z406" s="102">
        <v>0</v>
      </c>
      <c r="AA406" s="102">
        <v>0</v>
      </c>
      <c r="AB406" s="103">
        <f t="shared" ca="1" si="50"/>
        <v>2410000</v>
      </c>
      <c r="AC406" s="104">
        <f t="shared" ca="1" si="51"/>
        <v>5490000</v>
      </c>
      <c r="AD406" s="105">
        <f>ROUND(L406*LK_AllowanceRates!$B$25/100,0)</f>
        <v>169400</v>
      </c>
      <c r="AE406" s="106">
        <f t="shared" ca="1" si="52"/>
        <v>5320600</v>
      </c>
      <c r="AF406" s="106">
        <f t="shared" ca="1" si="53"/>
        <v>217060</v>
      </c>
      <c r="AG406" s="107">
        <v>0</v>
      </c>
      <c r="AH406" s="107">
        <v>0</v>
      </c>
      <c r="AI406" s="108">
        <f t="shared" ca="1" si="54"/>
        <v>386460</v>
      </c>
      <c r="AJ406" s="109">
        <f t="shared" ca="1" si="55"/>
        <v>5103540</v>
      </c>
    </row>
    <row r="407" spans="1:36" ht="15" customHeight="1" x14ac:dyDescent="0.3">
      <c r="A407" s="98" t="str">
        <f>EMPLOYEE_MASTER!A407</f>
        <v>LAO00404</v>
      </c>
      <c r="B407" s="98" t="str">
        <f>EMPLOYEE_MASTER!C407</f>
        <v>Soulivanh</v>
      </c>
      <c r="C407" s="98" t="str">
        <f>EMPLOYEE_MASTER!D407</f>
        <v>Khounkham</v>
      </c>
      <c r="D407" s="98" t="str">
        <f>EMPLOYEE_MASTER!T407</f>
        <v>Savannakhet Province Administration</v>
      </c>
      <c r="E407" s="98" t="str">
        <f>EMPLOYEE_MASTER!M407</f>
        <v>Department Director</v>
      </c>
      <c r="F407" s="98" t="str">
        <f>EMPLOYEE_MASTER!Z407</f>
        <v>Administration</v>
      </c>
      <c r="G407" s="99">
        <f>EMPLOYEE_MASTER!P407</f>
        <v>4</v>
      </c>
      <c r="H407" s="99">
        <f>EMPLOYEE_MASTER!Q407</f>
        <v>13</v>
      </c>
      <c r="I407" s="100" t="str">
        <f t="shared" si="48"/>
        <v>G04-S13</v>
      </c>
      <c r="J407" s="100">
        <f>IFERROR(VLOOKUP(I407,LK_GradeStep!$C$4:$D$85,2,0),0)</f>
        <v>328</v>
      </c>
      <c r="K407" s="100">
        <f>IFERROR(VLOOKUP(I407,LK_GradeStep!$C$4:$E$85,3,0),10000)</f>
        <v>10000</v>
      </c>
      <c r="L407" s="100">
        <f t="shared" si="49"/>
        <v>3280000</v>
      </c>
      <c r="M407" s="101">
        <f>IFERROR(VLOOKUP(EMPLOYEE_MASTER!AQ407,LK_AllowanceRates!$A$5:$B$11,2,0),0)</f>
        <v>2500000</v>
      </c>
      <c r="N407" s="101">
        <f ca="1">IFERROR(IF(EMPLOYEE_MASTER!J407&lt;=5,  EMPLOYEE_MASTER!J407*LK_AllowanceRates!$B$12,IF(EMPLOYEE_MASTER!J407&lt;=15, EMPLOYEE_MASTER!J407*LK_AllowanceRates!$B$13,IF(EMPLOYEE_MASTER!J407&lt;=25, EMPLOYEE_MASTER!J407*LK_AllowanceRates!$B$14,EMPLOYEE_MASTER!J407*LK_AllowanceRates!$B$15))),0)</f>
        <v>120000</v>
      </c>
      <c r="O407" s="101">
        <f>IF(EMPLOYEE_MASTER!AS407="Teaching",L407*LK_AllowanceRates!$B$16,0)</f>
        <v>0</v>
      </c>
      <c r="P407" s="101">
        <f>IF(EMPLOYEE_MASTER!AS407="Medical",LK_AllowanceRates!$B$17,0)</f>
        <v>0</v>
      </c>
      <c r="Q407" s="101">
        <f>IF(EMPLOYEE_MASTER!AR407="Yes",LK_AllowanceRates!$B$18,0)</f>
        <v>0</v>
      </c>
      <c r="R407" s="101">
        <f>IF(EMPLOYEE_MASTER!AC407="Yes",LK_AllowanceRates!$B$19,0)</f>
        <v>1000000</v>
      </c>
      <c r="S407" s="101">
        <f>IF(EMPLOYEE_MASTER!AA407="Yes",L407*LK_AllowanceRates!$B$20,0)</f>
        <v>820000</v>
      </c>
      <c r="T407" s="101">
        <f>IF(EMPLOYEE_MASTER!AB407="Yes",LK_AllowanceRates!$B$21,0)</f>
        <v>0</v>
      </c>
      <c r="U407" s="101">
        <f>IF(EMPLOYEE_MASTER!P407&gt;=6,LK_AllowanceRates!$B$22,0)</f>
        <v>0</v>
      </c>
      <c r="V407" s="101">
        <f>IF(EMPLOYEE_MASTER!AO407="Yes",LK_AllowanceRates!$B$23,0)</f>
        <v>200000</v>
      </c>
      <c r="W407" s="101">
        <f>EMPLOYEE_MASTER!AP407*LK_AllowanceRates!$B$24</f>
        <v>600000</v>
      </c>
      <c r="X407" s="101">
        <v>0</v>
      </c>
      <c r="Y407" s="102">
        <v>0</v>
      </c>
      <c r="Z407" s="102">
        <v>0</v>
      </c>
      <c r="AA407" s="102">
        <v>0</v>
      </c>
      <c r="AB407" s="103">
        <f t="shared" ca="1" si="50"/>
        <v>5240000</v>
      </c>
      <c r="AC407" s="104">
        <f t="shared" ca="1" si="51"/>
        <v>8520000</v>
      </c>
      <c r="AD407" s="105">
        <f>ROUND(L407*LK_AllowanceRates!$B$25/100,0)</f>
        <v>180400</v>
      </c>
      <c r="AE407" s="106">
        <f t="shared" ca="1" si="52"/>
        <v>8339600</v>
      </c>
      <c r="AF407" s="106">
        <f t="shared" ca="1" si="53"/>
        <v>518960</v>
      </c>
      <c r="AG407" s="107">
        <v>0</v>
      </c>
      <c r="AH407" s="107">
        <v>0</v>
      </c>
      <c r="AI407" s="108">
        <f t="shared" ca="1" si="54"/>
        <v>699360</v>
      </c>
      <c r="AJ407" s="109">
        <f t="shared" ca="1" si="55"/>
        <v>7820640</v>
      </c>
    </row>
    <row r="408" spans="1:36" ht="15" customHeight="1" x14ac:dyDescent="0.3">
      <c r="A408" s="98" t="str">
        <f>EMPLOYEE_MASTER!A408</f>
        <v>LAO00405</v>
      </c>
      <c r="B408" s="98" t="str">
        <f>EMPLOYEE_MASTER!C408</f>
        <v>Sengphet</v>
      </c>
      <c r="C408" s="98" t="str">
        <f>EMPLOYEE_MASTER!D408</f>
        <v>Xaysomboun</v>
      </c>
      <c r="D408" s="98" t="str">
        <f>EMPLOYEE_MASTER!T408</f>
        <v>Ministry of Education and Sports (MoES)</v>
      </c>
      <c r="E408" s="98" t="str">
        <f>EMPLOYEE_MASTER!M408</f>
        <v>University Lecturer</v>
      </c>
      <c r="F408" s="98" t="str">
        <f>EMPLOYEE_MASTER!Z408</f>
        <v>Teacher</v>
      </c>
      <c r="G408" s="99">
        <f>EMPLOYEE_MASTER!P408</f>
        <v>4</v>
      </c>
      <c r="H408" s="99">
        <f>EMPLOYEE_MASTER!Q408</f>
        <v>1</v>
      </c>
      <c r="I408" s="100" t="str">
        <f t="shared" si="48"/>
        <v>G04-S01</v>
      </c>
      <c r="J408" s="100">
        <f>IFERROR(VLOOKUP(I408,LK_GradeStep!$C$4:$D$85,2,0),0)</f>
        <v>286</v>
      </c>
      <c r="K408" s="100">
        <f>IFERROR(VLOOKUP(I408,LK_GradeStep!$C$4:$E$85,3,0),10000)</f>
        <v>10000</v>
      </c>
      <c r="L408" s="100">
        <f t="shared" si="49"/>
        <v>2860000</v>
      </c>
      <c r="M408" s="101">
        <f>IFERROR(VLOOKUP(EMPLOYEE_MASTER!AQ408,LK_AllowanceRates!$A$5:$B$11,2,0),0)</f>
        <v>900000</v>
      </c>
      <c r="N408" s="101">
        <f ca="1">IFERROR(IF(EMPLOYEE_MASTER!J408&lt;=5,  EMPLOYEE_MASTER!J408*LK_AllowanceRates!$B$12,IF(EMPLOYEE_MASTER!J408&lt;=15, EMPLOYEE_MASTER!J408*LK_AllowanceRates!$B$13,IF(EMPLOYEE_MASTER!J408&lt;=25, EMPLOYEE_MASTER!J408*LK_AllowanceRates!$B$14,EMPLOYEE_MASTER!J408*LK_AllowanceRates!$B$15))),0)</f>
        <v>1200000</v>
      </c>
      <c r="O408" s="101">
        <f>IF(EMPLOYEE_MASTER!AS408="Teaching",L408*LK_AllowanceRates!$B$16,0)</f>
        <v>572000</v>
      </c>
      <c r="P408" s="101">
        <f>IF(EMPLOYEE_MASTER!AS408="Medical",LK_AllowanceRates!$B$17,0)</f>
        <v>0</v>
      </c>
      <c r="Q408" s="101">
        <f>IF(EMPLOYEE_MASTER!AR408="Yes",LK_AllowanceRates!$B$18,0)</f>
        <v>0</v>
      </c>
      <c r="R408" s="101">
        <f>IF(EMPLOYEE_MASTER!AC408="Yes",LK_AllowanceRates!$B$19,0)</f>
        <v>0</v>
      </c>
      <c r="S408" s="101">
        <f>IF(EMPLOYEE_MASTER!AA408="Yes",L408*LK_AllowanceRates!$B$20,0)</f>
        <v>0</v>
      </c>
      <c r="T408" s="101">
        <f>IF(EMPLOYEE_MASTER!AB408="Yes",LK_AllowanceRates!$B$21,0)</f>
        <v>0</v>
      </c>
      <c r="U408" s="101">
        <f>IF(EMPLOYEE_MASTER!P408&gt;=6,LK_AllowanceRates!$B$22,0)</f>
        <v>0</v>
      </c>
      <c r="V408" s="101">
        <f>IF(EMPLOYEE_MASTER!AO408="Yes",LK_AllowanceRates!$B$23,0)</f>
        <v>0</v>
      </c>
      <c r="W408" s="101">
        <f>EMPLOYEE_MASTER!AP408*LK_AllowanceRates!$B$24</f>
        <v>0</v>
      </c>
      <c r="X408" s="101">
        <v>0</v>
      </c>
      <c r="Y408" s="102">
        <v>0</v>
      </c>
      <c r="Z408" s="102">
        <v>0</v>
      </c>
      <c r="AA408" s="102">
        <v>0</v>
      </c>
      <c r="AB408" s="103">
        <f t="shared" ca="1" si="50"/>
        <v>2672000</v>
      </c>
      <c r="AC408" s="104">
        <f t="shared" ca="1" si="51"/>
        <v>5532000</v>
      </c>
      <c r="AD408" s="105">
        <f>ROUND(L408*LK_AllowanceRates!$B$25/100,0)</f>
        <v>157300</v>
      </c>
      <c r="AE408" s="106">
        <f t="shared" ca="1" si="52"/>
        <v>5374700</v>
      </c>
      <c r="AF408" s="106">
        <f t="shared" ca="1" si="53"/>
        <v>222470</v>
      </c>
      <c r="AG408" s="107">
        <v>0</v>
      </c>
      <c r="AH408" s="107">
        <v>0</v>
      </c>
      <c r="AI408" s="108">
        <f t="shared" ca="1" si="54"/>
        <v>379770</v>
      </c>
      <c r="AJ408" s="109">
        <f t="shared" ca="1" si="55"/>
        <v>5152230</v>
      </c>
    </row>
    <row r="409" spans="1:36" ht="15" customHeight="1" x14ac:dyDescent="0.3">
      <c r="A409" s="98" t="str">
        <f>EMPLOYEE_MASTER!A409</f>
        <v>LAO00406</v>
      </c>
      <c r="B409" s="98" t="str">
        <f>EMPLOYEE_MASTER!C409</f>
        <v>Sivilay</v>
      </c>
      <c r="C409" s="98" t="str">
        <f>EMPLOYEE_MASTER!D409</f>
        <v>Vongsack</v>
      </c>
      <c r="D409" s="98" t="str">
        <f>EMPLOYEE_MASTER!T409</f>
        <v>Ministry of Justice (MoJ)</v>
      </c>
      <c r="E409" s="98" t="str">
        <f>EMPLOYEE_MASTER!M409</f>
        <v>Legal Officer</v>
      </c>
      <c r="F409" s="98" t="str">
        <f>EMPLOYEE_MASTER!Z409</f>
        <v>Legal</v>
      </c>
      <c r="G409" s="99">
        <f>EMPLOYEE_MASTER!P409</f>
        <v>4</v>
      </c>
      <c r="H409" s="99">
        <f>EMPLOYEE_MASTER!Q409</f>
        <v>13</v>
      </c>
      <c r="I409" s="100" t="str">
        <f t="shared" si="48"/>
        <v>G04-S13</v>
      </c>
      <c r="J409" s="100">
        <f>IFERROR(VLOOKUP(I409,LK_GradeStep!$C$4:$D$85,2,0),0)</f>
        <v>328</v>
      </c>
      <c r="K409" s="100">
        <f>IFERROR(VLOOKUP(I409,LK_GradeStep!$C$4:$E$85,3,0),10000)</f>
        <v>10000</v>
      </c>
      <c r="L409" s="100">
        <f t="shared" si="49"/>
        <v>3280000</v>
      </c>
      <c r="M409" s="101">
        <f>IFERROR(VLOOKUP(EMPLOYEE_MASTER!AQ409,LK_AllowanceRates!$A$5:$B$11,2,0),0)</f>
        <v>900000</v>
      </c>
      <c r="N409" s="101">
        <f ca="1">IFERROR(IF(EMPLOYEE_MASTER!J409&lt;=5,  EMPLOYEE_MASTER!J409*LK_AllowanceRates!$B$12,IF(EMPLOYEE_MASTER!J409&lt;=15, EMPLOYEE_MASTER!J409*LK_AllowanceRates!$B$13,IF(EMPLOYEE_MASTER!J409&lt;=25, EMPLOYEE_MASTER!J409*LK_AllowanceRates!$B$14,EMPLOYEE_MASTER!J409*LK_AllowanceRates!$B$15))),0)</f>
        <v>20000</v>
      </c>
      <c r="O409" s="101">
        <f>IF(EMPLOYEE_MASTER!AS409="Teaching",L409*LK_AllowanceRates!$B$16,0)</f>
        <v>0</v>
      </c>
      <c r="P409" s="101">
        <f>IF(EMPLOYEE_MASTER!AS409="Medical",LK_AllowanceRates!$B$17,0)</f>
        <v>0</v>
      </c>
      <c r="Q409" s="101">
        <f>IF(EMPLOYEE_MASTER!AR409="Yes",LK_AllowanceRates!$B$18,0)</f>
        <v>0</v>
      </c>
      <c r="R409" s="101">
        <f>IF(EMPLOYEE_MASTER!AC409="Yes",LK_AllowanceRates!$B$19,0)</f>
        <v>0</v>
      </c>
      <c r="S409" s="101">
        <f>IF(EMPLOYEE_MASTER!AA409="Yes",L409*LK_AllowanceRates!$B$20,0)</f>
        <v>0</v>
      </c>
      <c r="T409" s="101">
        <f>IF(EMPLOYEE_MASTER!AB409="Yes",LK_AllowanceRates!$B$21,0)</f>
        <v>0</v>
      </c>
      <c r="U409" s="101">
        <f>IF(EMPLOYEE_MASTER!P409&gt;=6,LK_AllowanceRates!$B$22,0)</f>
        <v>0</v>
      </c>
      <c r="V409" s="101">
        <f>IF(EMPLOYEE_MASTER!AO409="Yes",LK_AllowanceRates!$B$23,0)</f>
        <v>200000</v>
      </c>
      <c r="W409" s="101">
        <f>EMPLOYEE_MASTER!AP409*LK_AllowanceRates!$B$24</f>
        <v>600000</v>
      </c>
      <c r="X409" s="101">
        <v>0</v>
      </c>
      <c r="Y409" s="102">
        <v>0</v>
      </c>
      <c r="Z409" s="102">
        <v>0</v>
      </c>
      <c r="AA409" s="102">
        <v>0</v>
      </c>
      <c r="AB409" s="103">
        <f t="shared" ca="1" si="50"/>
        <v>1720000</v>
      </c>
      <c r="AC409" s="104">
        <f t="shared" ca="1" si="51"/>
        <v>5000000</v>
      </c>
      <c r="AD409" s="105">
        <f>ROUND(L409*LK_AllowanceRates!$B$25/100,0)</f>
        <v>180400</v>
      </c>
      <c r="AE409" s="106">
        <f t="shared" ca="1" si="52"/>
        <v>4819600</v>
      </c>
      <c r="AF409" s="106">
        <f t="shared" ca="1" si="53"/>
        <v>175980</v>
      </c>
      <c r="AG409" s="107">
        <v>0</v>
      </c>
      <c r="AH409" s="107">
        <v>0</v>
      </c>
      <c r="AI409" s="108">
        <f t="shared" ca="1" si="54"/>
        <v>356380</v>
      </c>
      <c r="AJ409" s="109">
        <f t="shared" ca="1" si="55"/>
        <v>4643620</v>
      </c>
    </row>
    <row r="410" spans="1:36" ht="15" customHeight="1" x14ac:dyDescent="0.3">
      <c r="A410" s="98" t="str">
        <f>EMPLOYEE_MASTER!A410</f>
        <v>LAO00407</v>
      </c>
      <c r="B410" s="98" t="str">
        <f>EMPLOYEE_MASTER!C410</f>
        <v>Bounkhong</v>
      </c>
      <c r="C410" s="98" t="str">
        <f>EMPLOYEE_MASTER!D410</f>
        <v>Phaymany</v>
      </c>
      <c r="D410" s="98" t="str">
        <f>EMPLOYEE_MASTER!T410</f>
        <v>Ministry of Education and Sports (MoES)</v>
      </c>
      <c r="E410" s="98" t="str">
        <f>EMPLOYEE_MASTER!M410</f>
        <v>School Principal</v>
      </c>
      <c r="F410" s="98" t="str">
        <f>EMPLOYEE_MASTER!Z410</f>
        <v>Teacher</v>
      </c>
      <c r="G410" s="99">
        <f>EMPLOYEE_MASTER!P410</f>
        <v>2</v>
      </c>
      <c r="H410" s="99">
        <f>EMPLOYEE_MASTER!Q410</f>
        <v>6</v>
      </c>
      <c r="I410" s="100" t="str">
        <f t="shared" si="48"/>
        <v>G02-S06</v>
      </c>
      <c r="J410" s="100">
        <f>IFERROR(VLOOKUP(I410,LK_GradeStep!$C$4:$D$85,2,0),0)</f>
        <v>273</v>
      </c>
      <c r="K410" s="100">
        <f>IFERROR(VLOOKUP(I410,LK_GradeStep!$C$4:$E$85,3,0),10000)</f>
        <v>10000</v>
      </c>
      <c r="L410" s="100">
        <f t="shared" si="49"/>
        <v>2730000</v>
      </c>
      <c r="M410" s="101">
        <f>IFERROR(VLOOKUP(EMPLOYEE_MASTER!AQ410,LK_AllowanceRates!$A$5:$B$11,2,0),0)</f>
        <v>900000</v>
      </c>
      <c r="N410" s="101">
        <f ca="1">IFERROR(IF(EMPLOYEE_MASTER!J410&lt;=5,  EMPLOYEE_MASTER!J410*LK_AllowanceRates!$B$12,IF(EMPLOYEE_MASTER!J410&lt;=15, EMPLOYEE_MASTER!J410*LK_AllowanceRates!$B$13,IF(EMPLOYEE_MASTER!J410&lt;=25, EMPLOYEE_MASTER!J410*LK_AllowanceRates!$B$14,EMPLOYEE_MASTER!J410*LK_AllowanceRates!$B$15))),0)</f>
        <v>720000</v>
      </c>
      <c r="O410" s="101">
        <f>IF(EMPLOYEE_MASTER!AS410="Teaching",L410*LK_AllowanceRates!$B$16,0)</f>
        <v>546000</v>
      </c>
      <c r="P410" s="101">
        <f>IF(EMPLOYEE_MASTER!AS410="Medical",LK_AllowanceRates!$B$17,0)</f>
        <v>0</v>
      </c>
      <c r="Q410" s="101">
        <f>IF(EMPLOYEE_MASTER!AR410="Yes",LK_AllowanceRates!$B$18,0)</f>
        <v>0</v>
      </c>
      <c r="R410" s="101">
        <f>IF(EMPLOYEE_MASTER!AC410="Yes",LK_AllowanceRates!$B$19,0)</f>
        <v>1000000</v>
      </c>
      <c r="S410" s="101">
        <f>IF(EMPLOYEE_MASTER!AA410="Yes",L410*LK_AllowanceRates!$B$20,0)</f>
        <v>682500</v>
      </c>
      <c r="T410" s="101">
        <f>IF(EMPLOYEE_MASTER!AB410="Yes",LK_AllowanceRates!$B$21,0)</f>
        <v>0</v>
      </c>
      <c r="U410" s="101">
        <f>IF(EMPLOYEE_MASTER!P410&gt;=6,LK_AllowanceRates!$B$22,0)</f>
        <v>0</v>
      </c>
      <c r="V410" s="101">
        <f>IF(EMPLOYEE_MASTER!AO410="Yes",LK_AllowanceRates!$B$23,0)</f>
        <v>200000</v>
      </c>
      <c r="W410" s="101">
        <f>EMPLOYEE_MASTER!AP410*LK_AllowanceRates!$B$24</f>
        <v>600000</v>
      </c>
      <c r="X410" s="101">
        <v>0</v>
      </c>
      <c r="Y410" s="102">
        <v>0</v>
      </c>
      <c r="Z410" s="102">
        <v>0</v>
      </c>
      <c r="AA410" s="102">
        <v>0</v>
      </c>
      <c r="AB410" s="103">
        <f t="shared" ca="1" si="50"/>
        <v>4648500</v>
      </c>
      <c r="AC410" s="104">
        <f t="shared" ca="1" si="51"/>
        <v>7378500</v>
      </c>
      <c r="AD410" s="105">
        <f>ROUND(L410*LK_AllowanceRates!$B$25/100,0)</f>
        <v>150150</v>
      </c>
      <c r="AE410" s="106">
        <f t="shared" ca="1" si="52"/>
        <v>7228350</v>
      </c>
      <c r="AF410" s="106">
        <f t="shared" ca="1" si="53"/>
        <v>407835</v>
      </c>
      <c r="AG410" s="107">
        <v>0</v>
      </c>
      <c r="AH410" s="107">
        <v>0</v>
      </c>
      <c r="AI410" s="108">
        <f t="shared" ca="1" si="54"/>
        <v>557985</v>
      </c>
      <c r="AJ410" s="109">
        <f t="shared" ca="1" si="55"/>
        <v>6820515</v>
      </c>
    </row>
    <row r="411" spans="1:36" ht="15" customHeight="1" x14ac:dyDescent="0.3">
      <c r="A411" s="98" t="str">
        <f>EMPLOYEE_MASTER!A411</f>
        <v>LAO00408</v>
      </c>
      <c r="B411" s="98" t="str">
        <f>EMPLOYEE_MASTER!C411</f>
        <v>Senglavanh</v>
      </c>
      <c r="C411" s="98" t="str">
        <f>EMPLOYEE_MASTER!D411</f>
        <v>Phonemany</v>
      </c>
      <c r="D411" s="98" t="str">
        <f>EMPLOYEE_MASTER!T411</f>
        <v>Ministry of Home Affairs (MoHA)</v>
      </c>
      <c r="E411" s="98" t="str">
        <f>EMPLOYEE_MASTER!M411</f>
        <v>Deputy Director</v>
      </c>
      <c r="F411" s="98" t="str">
        <f>EMPLOYEE_MASTER!Z411</f>
        <v>Administration</v>
      </c>
      <c r="G411" s="99">
        <f>EMPLOYEE_MASTER!P411</f>
        <v>4</v>
      </c>
      <c r="H411" s="99">
        <f>EMPLOYEE_MASTER!Q411</f>
        <v>1</v>
      </c>
      <c r="I411" s="100" t="str">
        <f t="shared" si="48"/>
        <v>G04-S01</v>
      </c>
      <c r="J411" s="100">
        <f>IFERROR(VLOOKUP(I411,LK_GradeStep!$C$4:$D$85,2,0),0)</f>
        <v>286</v>
      </c>
      <c r="K411" s="100">
        <f>IFERROR(VLOOKUP(I411,LK_GradeStep!$C$4:$E$85,3,0),10000)</f>
        <v>10000</v>
      </c>
      <c r="L411" s="100">
        <f t="shared" si="49"/>
        <v>2860000</v>
      </c>
      <c r="M411" s="101">
        <f>IFERROR(VLOOKUP(EMPLOYEE_MASTER!AQ411,LK_AllowanceRates!$A$5:$B$11,2,0),0)</f>
        <v>2300000</v>
      </c>
      <c r="N411" s="101">
        <f ca="1">IFERROR(IF(EMPLOYEE_MASTER!J411&lt;=5,  EMPLOYEE_MASTER!J411*LK_AllowanceRates!$B$12,IF(EMPLOYEE_MASTER!J411&lt;=15, EMPLOYEE_MASTER!J411*LK_AllowanceRates!$B$13,IF(EMPLOYEE_MASTER!J411&lt;=25, EMPLOYEE_MASTER!J411*LK_AllowanceRates!$B$14,EMPLOYEE_MASTER!J411*LK_AllowanceRates!$B$15))),0)</f>
        <v>220000</v>
      </c>
      <c r="O411" s="101">
        <f>IF(EMPLOYEE_MASTER!AS411="Teaching",L411*LK_AllowanceRates!$B$16,0)</f>
        <v>0</v>
      </c>
      <c r="P411" s="101">
        <f>IF(EMPLOYEE_MASTER!AS411="Medical",LK_AllowanceRates!$B$17,0)</f>
        <v>0</v>
      </c>
      <c r="Q411" s="101">
        <f>IF(EMPLOYEE_MASTER!AR411="Yes",LK_AllowanceRates!$B$18,0)</f>
        <v>0</v>
      </c>
      <c r="R411" s="101">
        <f>IF(EMPLOYEE_MASTER!AC411="Yes",LK_AllowanceRates!$B$19,0)</f>
        <v>0</v>
      </c>
      <c r="S411" s="101">
        <f>IF(EMPLOYEE_MASTER!AA411="Yes",L411*LK_AllowanceRates!$B$20,0)</f>
        <v>715000</v>
      </c>
      <c r="T411" s="101">
        <f>IF(EMPLOYEE_MASTER!AB411="Yes",LK_AllowanceRates!$B$21,0)</f>
        <v>0</v>
      </c>
      <c r="U411" s="101">
        <f>IF(EMPLOYEE_MASTER!P411&gt;=6,LK_AllowanceRates!$B$22,0)</f>
        <v>0</v>
      </c>
      <c r="V411" s="101">
        <f>IF(EMPLOYEE_MASTER!AO411="Yes",LK_AllowanceRates!$B$23,0)</f>
        <v>0</v>
      </c>
      <c r="W411" s="101">
        <f>EMPLOYEE_MASTER!AP411*LK_AllowanceRates!$B$24</f>
        <v>0</v>
      </c>
      <c r="X411" s="101">
        <v>0</v>
      </c>
      <c r="Y411" s="102">
        <v>0</v>
      </c>
      <c r="Z411" s="102">
        <v>0</v>
      </c>
      <c r="AA411" s="102">
        <v>0</v>
      </c>
      <c r="AB411" s="103">
        <f t="shared" ca="1" si="50"/>
        <v>3235000</v>
      </c>
      <c r="AC411" s="104">
        <f t="shared" ca="1" si="51"/>
        <v>6095000</v>
      </c>
      <c r="AD411" s="105">
        <f>ROUND(L411*LK_AllowanceRates!$B$25/100,0)</f>
        <v>157300</v>
      </c>
      <c r="AE411" s="106">
        <f t="shared" ca="1" si="52"/>
        <v>5937700</v>
      </c>
      <c r="AF411" s="106">
        <f t="shared" ca="1" si="53"/>
        <v>278770</v>
      </c>
      <c r="AG411" s="107">
        <v>0</v>
      </c>
      <c r="AH411" s="107">
        <v>0</v>
      </c>
      <c r="AI411" s="108">
        <f t="shared" ca="1" si="54"/>
        <v>436070</v>
      </c>
      <c r="AJ411" s="109">
        <f t="shared" ca="1" si="55"/>
        <v>5658930</v>
      </c>
    </row>
    <row r="412" spans="1:36" ht="15" customHeight="1" x14ac:dyDescent="0.3">
      <c r="A412" s="98" t="str">
        <f>EMPLOYEE_MASTER!A412</f>
        <v>LAO00409</v>
      </c>
      <c r="B412" s="98" t="str">
        <f>EMPLOYEE_MASTER!C412</f>
        <v>Soubanh</v>
      </c>
      <c r="C412" s="98" t="str">
        <f>EMPLOYEE_MASTER!D412</f>
        <v>Thammavong</v>
      </c>
      <c r="D412" s="98" t="str">
        <f>EMPLOYEE_MASTER!T412</f>
        <v>Ministry of Home Affairs (MoHA)</v>
      </c>
      <c r="E412" s="98" t="str">
        <f>EMPLOYEE_MASTER!M412</f>
        <v>Division Chief</v>
      </c>
      <c r="F412" s="98" t="str">
        <f>EMPLOYEE_MASTER!Z412</f>
        <v>Administration</v>
      </c>
      <c r="G412" s="99">
        <f>EMPLOYEE_MASTER!P412</f>
        <v>4</v>
      </c>
      <c r="H412" s="99">
        <f>EMPLOYEE_MASTER!Q412</f>
        <v>2</v>
      </c>
      <c r="I412" s="100" t="str">
        <f t="shared" si="48"/>
        <v>G04-S02</v>
      </c>
      <c r="J412" s="100">
        <f>IFERROR(VLOOKUP(I412,LK_GradeStep!$C$4:$D$85,2,0),0)</f>
        <v>288</v>
      </c>
      <c r="K412" s="100">
        <f>IFERROR(VLOOKUP(I412,LK_GradeStep!$C$4:$E$85,3,0),10000)</f>
        <v>10000</v>
      </c>
      <c r="L412" s="100">
        <f t="shared" si="49"/>
        <v>2880000</v>
      </c>
      <c r="M412" s="101">
        <f>IFERROR(VLOOKUP(EMPLOYEE_MASTER!AQ412,LK_AllowanceRates!$A$5:$B$11,2,0),0)</f>
        <v>1900000</v>
      </c>
      <c r="N412" s="101">
        <f ca="1">IFERROR(IF(EMPLOYEE_MASTER!J412&lt;=5,  EMPLOYEE_MASTER!J412*LK_AllowanceRates!$B$12,IF(EMPLOYEE_MASTER!J412&lt;=15, EMPLOYEE_MASTER!J412*LK_AllowanceRates!$B$13,IF(EMPLOYEE_MASTER!J412&lt;=25, EMPLOYEE_MASTER!J412*LK_AllowanceRates!$B$14,EMPLOYEE_MASTER!J412*LK_AllowanceRates!$B$15))),0)</f>
        <v>200000</v>
      </c>
      <c r="O412" s="101">
        <f>IF(EMPLOYEE_MASTER!AS412="Teaching",L412*LK_AllowanceRates!$B$16,0)</f>
        <v>0</v>
      </c>
      <c r="P412" s="101">
        <f>IF(EMPLOYEE_MASTER!AS412="Medical",LK_AllowanceRates!$B$17,0)</f>
        <v>0</v>
      </c>
      <c r="Q412" s="101">
        <f>IF(EMPLOYEE_MASTER!AR412="Yes",LK_AllowanceRates!$B$18,0)</f>
        <v>0</v>
      </c>
      <c r="R412" s="101">
        <f>IF(EMPLOYEE_MASTER!AC412="Yes",LK_AllowanceRates!$B$19,0)</f>
        <v>0</v>
      </c>
      <c r="S412" s="101">
        <f>IF(EMPLOYEE_MASTER!AA412="Yes",L412*LK_AllowanceRates!$B$20,0)</f>
        <v>720000</v>
      </c>
      <c r="T412" s="101">
        <f>IF(EMPLOYEE_MASTER!AB412="Yes",LK_AllowanceRates!$B$21,0)</f>
        <v>0</v>
      </c>
      <c r="U412" s="101">
        <f>IF(EMPLOYEE_MASTER!P412&gt;=6,LK_AllowanceRates!$B$22,0)</f>
        <v>0</v>
      </c>
      <c r="V412" s="101">
        <f>IF(EMPLOYEE_MASTER!AO412="Yes",LK_AllowanceRates!$B$23,0)</f>
        <v>200000</v>
      </c>
      <c r="W412" s="101">
        <f>EMPLOYEE_MASTER!AP412*LK_AllowanceRates!$B$24</f>
        <v>200000</v>
      </c>
      <c r="X412" s="101">
        <v>0</v>
      </c>
      <c r="Y412" s="102">
        <v>0</v>
      </c>
      <c r="Z412" s="102">
        <v>0</v>
      </c>
      <c r="AA412" s="102">
        <v>0</v>
      </c>
      <c r="AB412" s="103">
        <f t="shared" ca="1" si="50"/>
        <v>3220000</v>
      </c>
      <c r="AC412" s="104">
        <f t="shared" ca="1" si="51"/>
        <v>6100000</v>
      </c>
      <c r="AD412" s="105">
        <f>ROUND(L412*LK_AllowanceRates!$B$25/100,0)</f>
        <v>158400</v>
      </c>
      <c r="AE412" s="106">
        <f t="shared" ca="1" si="52"/>
        <v>5941600</v>
      </c>
      <c r="AF412" s="106">
        <f t="shared" ca="1" si="53"/>
        <v>279160</v>
      </c>
      <c r="AG412" s="107">
        <v>0</v>
      </c>
      <c r="AH412" s="107">
        <v>0</v>
      </c>
      <c r="AI412" s="108">
        <f t="shared" ca="1" si="54"/>
        <v>437560</v>
      </c>
      <c r="AJ412" s="109">
        <f t="shared" ca="1" si="55"/>
        <v>5662440</v>
      </c>
    </row>
    <row r="413" spans="1:36" ht="15" customHeight="1" x14ac:dyDescent="0.3">
      <c r="A413" s="98" t="str">
        <f>EMPLOYEE_MASTER!A413</f>
        <v>LAO00410</v>
      </c>
      <c r="B413" s="98" t="str">
        <f>EMPLOYEE_MASTER!C413</f>
        <v>Siphone</v>
      </c>
      <c r="C413" s="98" t="str">
        <f>EMPLOYEE_MASTER!D413</f>
        <v>Kheudkham</v>
      </c>
      <c r="D413" s="98" t="str">
        <f>EMPLOYEE_MASTER!T413</f>
        <v>Ministry of Health (MoH)</v>
      </c>
      <c r="E413" s="98" t="str">
        <f>EMPLOYEE_MASTER!M413</f>
        <v>Medical Specialist</v>
      </c>
      <c r="F413" s="98" t="str">
        <f>EMPLOYEE_MASTER!Z413</f>
        <v>Medical</v>
      </c>
      <c r="G413" s="99">
        <f>EMPLOYEE_MASTER!P413</f>
        <v>5</v>
      </c>
      <c r="H413" s="99">
        <f>EMPLOYEE_MASTER!Q413</f>
        <v>1</v>
      </c>
      <c r="I413" s="100" t="str">
        <f t="shared" si="48"/>
        <v>G05-S01</v>
      </c>
      <c r="J413" s="100">
        <f>IFERROR(VLOOKUP(I413,LK_GradeStep!$C$4:$D$85,2,0),0)</f>
        <v>308</v>
      </c>
      <c r="K413" s="100">
        <f>IFERROR(VLOOKUP(I413,LK_GradeStep!$C$4:$E$85,3,0),10000)</f>
        <v>10000</v>
      </c>
      <c r="L413" s="100">
        <f t="shared" si="49"/>
        <v>3080000</v>
      </c>
      <c r="M413" s="101">
        <f>IFERROR(VLOOKUP(EMPLOYEE_MASTER!AQ413,LK_AllowanceRates!$A$5:$B$11,2,0),0)</f>
        <v>900000</v>
      </c>
      <c r="N413" s="101">
        <f ca="1">IFERROR(IF(EMPLOYEE_MASTER!J413&lt;=5,  EMPLOYEE_MASTER!J413*LK_AllowanceRates!$B$12,IF(EMPLOYEE_MASTER!J413&lt;=15, EMPLOYEE_MASTER!J413*LK_AllowanceRates!$B$13,IF(EMPLOYEE_MASTER!J413&lt;=25, EMPLOYEE_MASTER!J413*LK_AllowanceRates!$B$14,EMPLOYEE_MASTER!J413*LK_AllowanceRates!$B$15))),0)</f>
        <v>1400000</v>
      </c>
      <c r="O413" s="101">
        <f>IF(EMPLOYEE_MASTER!AS413="Teaching",L413*LK_AllowanceRates!$B$16,0)</f>
        <v>0</v>
      </c>
      <c r="P413" s="101">
        <f>IF(EMPLOYEE_MASTER!AS413="Medical",LK_AllowanceRates!$B$17,0)</f>
        <v>500000</v>
      </c>
      <c r="Q413" s="101">
        <f>IF(EMPLOYEE_MASTER!AR413="Yes",LK_AllowanceRates!$B$18,0)</f>
        <v>0</v>
      </c>
      <c r="R413" s="101">
        <f>IF(EMPLOYEE_MASTER!AC413="Yes",LK_AllowanceRates!$B$19,0)</f>
        <v>1000000</v>
      </c>
      <c r="S413" s="101">
        <f>IF(EMPLOYEE_MASTER!AA413="Yes",L413*LK_AllowanceRates!$B$20,0)</f>
        <v>0</v>
      </c>
      <c r="T413" s="101">
        <f>IF(EMPLOYEE_MASTER!AB413="Yes",LK_AllowanceRates!$B$21,0)</f>
        <v>0</v>
      </c>
      <c r="U413" s="101">
        <f>IF(EMPLOYEE_MASTER!P413&gt;=6,LK_AllowanceRates!$B$22,0)</f>
        <v>0</v>
      </c>
      <c r="V413" s="101">
        <f>IF(EMPLOYEE_MASTER!AO413="Yes",LK_AllowanceRates!$B$23,0)</f>
        <v>0</v>
      </c>
      <c r="W413" s="101">
        <f>EMPLOYEE_MASTER!AP413*LK_AllowanceRates!$B$24</f>
        <v>0</v>
      </c>
      <c r="X413" s="101">
        <v>0</v>
      </c>
      <c r="Y413" s="102">
        <v>0</v>
      </c>
      <c r="Z413" s="102">
        <v>0</v>
      </c>
      <c r="AA413" s="102">
        <v>0</v>
      </c>
      <c r="AB413" s="103">
        <f t="shared" ca="1" si="50"/>
        <v>3800000</v>
      </c>
      <c r="AC413" s="104">
        <f t="shared" ca="1" si="51"/>
        <v>6880000</v>
      </c>
      <c r="AD413" s="105">
        <f>ROUND(L413*LK_AllowanceRates!$B$25/100,0)</f>
        <v>169400</v>
      </c>
      <c r="AE413" s="106">
        <f t="shared" ca="1" si="52"/>
        <v>6710600</v>
      </c>
      <c r="AF413" s="106">
        <f t="shared" ca="1" si="53"/>
        <v>356060</v>
      </c>
      <c r="AG413" s="107">
        <v>0</v>
      </c>
      <c r="AH413" s="107">
        <v>0</v>
      </c>
      <c r="AI413" s="108">
        <f t="shared" ca="1" si="54"/>
        <v>525460</v>
      </c>
      <c r="AJ413" s="109">
        <f t="shared" ca="1" si="55"/>
        <v>6354540</v>
      </c>
    </row>
    <row r="414" spans="1:36" ht="15" customHeight="1" x14ac:dyDescent="0.3">
      <c r="A414" s="98" t="str">
        <f>EMPLOYEE_MASTER!A414</f>
        <v>LAO00411</v>
      </c>
      <c r="B414" s="98" t="str">
        <f>EMPLOYEE_MASTER!C414</f>
        <v>Keovilay</v>
      </c>
      <c r="C414" s="98" t="str">
        <f>EMPLOYEE_MASTER!D414</f>
        <v>Singvongsa</v>
      </c>
      <c r="D414" s="98" t="str">
        <f>EMPLOYEE_MASTER!T414</f>
        <v>Ministry of Home Affairs (MoHA)</v>
      </c>
      <c r="E414" s="98" t="str">
        <f>EMPLOYEE_MASTER!M414</f>
        <v>Section Chief</v>
      </c>
      <c r="F414" s="98" t="str">
        <f>EMPLOYEE_MASTER!Z414</f>
        <v>Administration</v>
      </c>
      <c r="G414" s="99">
        <f>EMPLOYEE_MASTER!P414</f>
        <v>4</v>
      </c>
      <c r="H414" s="99">
        <f>EMPLOYEE_MASTER!Q414</f>
        <v>1</v>
      </c>
      <c r="I414" s="100" t="str">
        <f t="shared" si="48"/>
        <v>G04-S01</v>
      </c>
      <c r="J414" s="100">
        <f>IFERROR(VLOOKUP(I414,LK_GradeStep!$C$4:$D$85,2,0),0)</f>
        <v>286</v>
      </c>
      <c r="K414" s="100">
        <f>IFERROR(VLOOKUP(I414,LK_GradeStep!$C$4:$E$85,3,0),10000)</f>
        <v>10000</v>
      </c>
      <c r="L414" s="100">
        <f t="shared" si="49"/>
        <v>2860000</v>
      </c>
      <c r="M414" s="101">
        <f>IFERROR(VLOOKUP(EMPLOYEE_MASTER!AQ414,LK_AllowanceRates!$A$5:$B$11,2,0),0)</f>
        <v>1500000</v>
      </c>
      <c r="N414" s="101">
        <f ca="1">IFERROR(IF(EMPLOYEE_MASTER!J414&lt;=5,  EMPLOYEE_MASTER!J414*LK_AllowanceRates!$B$12,IF(EMPLOYEE_MASTER!J414&lt;=15, EMPLOYEE_MASTER!J414*LK_AllowanceRates!$B$13,IF(EMPLOYEE_MASTER!J414&lt;=25, EMPLOYEE_MASTER!J414*LK_AllowanceRates!$B$14,EMPLOYEE_MASTER!J414*LK_AllowanceRates!$B$15))),0)</f>
        <v>570000</v>
      </c>
      <c r="O414" s="101">
        <f>IF(EMPLOYEE_MASTER!AS414="Teaching",L414*LK_AllowanceRates!$B$16,0)</f>
        <v>0</v>
      </c>
      <c r="P414" s="101">
        <f>IF(EMPLOYEE_MASTER!AS414="Medical",LK_AllowanceRates!$B$17,0)</f>
        <v>0</v>
      </c>
      <c r="Q414" s="101">
        <f>IF(EMPLOYEE_MASTER!AR414="Yes",LK_AllowanceRates!$B$18,0)</f>
        <v>0</v>
      </c>
      <c r="R414" s="101">
        <f>IF(EMPLOYEE_MASTER!AC414="Yes",LK_AllowanceRates!$B$19,0)</f>
        <v>1000000</v>
      </c>
      <c r="S414" s="101">
        <f>IF(EMPLOYEE_MASTER!AA414="Yes",L414*LK_AllowanceRates!$B$20,0)</f>
        <v>715000</v>
      </c>
      <c r="T414" s="101">
        <f>IF(EMPLOYEE_MASTER!AB414="Yes",LK_AllowanceRates!$B$21,0)</f>
        <v>0</v>
      </c>
      <c r="U414" s="101">
        <f>IF(EMPLOYEE_MASTER!P414&gt;=6,LK_AllowanceRates!$B$22,0)</f>
        <v>0</v>
      </c>
      <c r="V414" s="101">
        <f>IF(EMPLOYEE_MASTER!AO414="Yes",LK_AllowanceRates!$B$23,0)</f>
        <v>0</v>
      </c>
      <c r="W414" s="101">
        <f>EMPLOYEE_MASTER!AP414*LK_AllowanceRates!$B$24</f>
        <v>0</v>
      </c>
      <c r="X414" s="101">
        <v>0</v>
      </c>
      <c r="Y414" s="102">
        <v>0</v>
      </c>
      <c r="Z414" s="102">
        <v>0</v>
      </c>
      <c r="AA414" s="102">
        <v>0</v>
      </c>
      <c r="AB414" s="103">
        <f t="shared" ca="1" si="50"/>
        <v>3785000</v>
      </c>
      <c r="AC414" s="104">
        <f t="shared" ca="1" si="51"/>
        <v>6645000</v>
      </c>
      <c r="AD414" s="105">
        <f>ROUND(L414*LK_AllowanceRates!$B$25/100,0)</f>
        <v>157300</v>
      </c>
      <c r="AE414" s="106">
        <f t="shared" ca="1" si="52"/>
        <v>6487700</v>
      </c>
      <c r="AF414" s="106">
        <f t="shared" ca="1" si="53"/>
        <v>333770</v>
      </c>
      <c r="AG414" s="107">
        <v>0</v>
      </c>
      <c r="AH414" s="107">
        <v>0</v>
      </c>
      <c r="AI414" s="108">
        <f t="shared" ca="1" si="54"/>
        <v>491070</v>
      </c>
      <c r="AJ414" s="109">
        <f t="shared" ca="1" si="55"/>
        <v>6153930</v>
      </c>
    </row>
    <row r="415" spans="1:36" ht="15" customHeight="1" x14ac:dyDescent="0.3">
      <c r="A415" s="98" t="str">
        <f>EMPLOYEE_MASTER!A415</f>
        <v>LAO00412</v>
      </c>
      <c r="B415" s="98" t="str">
        <f>EMPLOYEE_MASTER!C415</f>
        <v>Sombath</v>
      </c>
      <c r="C415" s="98" t="str">
        <f>EMPLOYEE_MASTER!D415</f>
        <v>Xayavong</v>
      </c>
      <c r="D415" s="98" t="str">
        <f>EMPLOYEE_MASTER!T415</f>
        <v>Ministry of Industry &amp; Commerce (MoIC)</v>
      </c>
      <c r="E415" s="98" t="str">
        <f>EMPLOYEE_MASTER!M415</f>
        <v>Department Director</v>
      </c>
      <c r="F415" s="98" t="str">
        <f>EMPLOYEE_MASTER!Z415</f>
        <v>Administration</v>
      </c>
      <c r="G415" s="99">
        <f>EMPLOYEE_MASTER!P415</f>
        <v>4</v>
      </c>
      <c r="H415" s="99">
        <f>EMPLOYEE_MASTER!Q415</f>
        <v>9</v>
      </c>
      <c r="I415" s="100" t="str">
        <f t="shared" si="48"/>
        <v>G04-S09</v>
      </c>
      <c r="J415" s="100">
        <f>IFERROR(VLOOKUP(I415,LK_GradeStep!$C$4:$D$85,2,0),0)</f>
        <v>308</v>
      </c>
      <c r="K415" s="100">
        <f>IFERROR(VLOOKUP(I415,LK_GradeStep!$C$4:$E$85,3,0),10000)</f>
        <v>10000</v>
      </c>
      <c r="L415" s="100">
        <f t="shared" si="49"/>
        <v>3080000</v>
      </c>
      <c r="M415" s="101">
        <f>IFERROR(VLOOKUP(EMPLOYEE_MASTER!AQ415,LK_AllowanceRates!$A$5:$B$11,2,0),0)</f>
        <v>2500000</v>
      </c>
      <c r="N415" s="101">
        <f ca="1">IFERROR(IF(EMPLOYEE_MASTER!J415&lt;=5,  EMPLOYEE_MASTER!J415*LK_AllowanceRates!$B$12,IF(EMPLOYEE_MASTER!J415&lt;=15, EMPLOYEE_MASTER!J415*LK_AllowanceRates!$B$13,IF(EMPLOYEE_MASTER!J415&lt;=25, EMPLOYEE_MASTER!J415*LK_AllowanceRates!$B$14,EMPLOYEE_MASTER!J415*LK_AllowanceRates!$B$15))),0)</f>
        <v>630000</v>
      </c>
      <c r="O415" s="101">
        <f>IF(EMPLOYEE_MASTER!AS415="Teaching",L415*LK_AllowanceRates!$B$16,0)</f>
        <v>0</v>
      </c>
      <c r="P415" s="101">
        <f>IF(EMPLOYEE_MASTER!AS415="Medical",LK_AllowanceRates!$B$17,0)</f>
        <v>0</v>
      </c>
      <c r="Q415" s="101">
        <f>IF(EMPLOYEE_MASTER!AR415="Yes",LK_AllowanceRates!$B$18,0)</f>
        <v>0</v>
      </c>
      <c r="R415" s="101">
        <f>IF(EMPLOYEE_MASTER!AC415="Yes",LK_AllowanceRates!$B$19,0)</f>
        <v>0</v>
      </c>
      <c r="S415" s="101">
        <f>IF(EMPLOYEE_MASTER!AA415="Yes",L415*LK_AllowanceRates!$B$20,0)</f>
        <v>770000</v>
      </c>
      <c r="T415" s="101">
        <f>IF(EMPLOYEE_MASTER!AB415="Yes",LK_AllowanceRates!$B$21,0)</f>
        <v>0</v>
      </c>
      <c r="U415" s="101">
        <f>IF(EMPLOYEE_MASTER!P415&gt;=6,LK_AllowanceRates!$B$22,0)</f>
        <v>0</v>
      </c>
      <c r="V415" s="101">
        <f>IF(EMPLOYEE_MASTER!AO415="Yes",LK_AllowanceRates!$B$23,0)</f>
        <v>0</v>
      </c>
      <c r="W415" s="101">
        <f>EMPLOYEE_MASTER!AP415*LK_AllowanceRates!$B$24</f>
        <v>0</v>
      </c>
      <c r="X415" s="101">
        <v>0</v>
      </c>
      <c r="Y415" s="102">
        <v>0</v>
      </c>
      <c r="Z415" s="102">
        <v>0</v>
      </c>
      <c r="AA415" s="102">
        <v>0</v>
      </c>
      <c r="AB415" s="103">
        <f t="shared" ca="1" si="50"/>
        <v>3900000</v>
      </c>
      <c r="AC415" s="104">
        <f t="shared" ca="1" si="51"/>
        <v>6980000</v>
      </c>
      <c r="AD415" s="105">
        <f>ROUND(L415*LK_AllowanceRates!$B$25/100,0)</f>
        <v>169400</v>
      </c>
      <c r="AE415" s="106">
        <f t="shared" ca="1" si="52"/>
        <v>6810600</v>
      </c>
      <c r="AF415" s="106">
        <f t="shared" ca="1" si="53"/>
        <v>366060</v>
      </c>
      <c r="AG415" s="107">
        <v>0</v>
      </c>
      <c r="AH415" s="107">
        <v>0</v>
      </c>
      <c r="AI415" s="108">
        <f t="shared" ca="1" si="54"/>
        <v>535460</v>
      </c>
      <c r="AJ415" s="109">
        <f t="shared" ca="1" si="55"/>
        <v>6444540</v>
      </c>
    </row>
    <row r="416" spans="1:36" ht="15" customHeight="1" x14ac:dyDescent="0.3">
      <c r="A416" s="98" t="str">
        <f>EMPLOYEE_MASTER!A416</f>
        <v>LAO00413</v>
      </c>
      <c r="B416" s="98" t="str">
        <f>EMPLOYEE_MASTER!C416</f>
        <v>Phetsavanh</v>
      </c>
      <c r="C416" s="98" t="str">
        <f>EMPLOYEE_MASTER!D416</f>
        <v>Bounphanixay</v>
      </c>
      <c r="D416" s="98" t="str">
        <f>EMPLOYEE_MASTER!T416</f>
        <v>Ministry of Foreign Affairs (MFA)</v>
      </c>
      <c r="E416" s="98" t="str">
        <f>EMPLOYEE_MASTER!M416</f>
        <v>Charge d'Affaires</v>
      </c>
      <c r="F416" s="98" t="str">
        <f>EMPLOYEE_MASTER!Z416</f>
        <v>Diplomatic</v>
      </c>
      <c r="G416" s="99">
        <f>EMPLOYEE_MASTER!P416</f>
        <v>5</v>
      </c>
      <c r="H416" s="99">
        <f>EMPLOYEE_MASTER!Q416</f>
        <v>6</v>
      </c>
      <c r="I416" s="100" t="str">
        <f t="shared" si="48"/>
        <v>G05-S06</v>
      </c>
      <c r="J416" s="100">
        <f>IFERROR(VLOOKUP(I416,LK_GradeStep!$C$4:$D$85,2,0),0)</f>
        <v>333</v>
      </c>
      <c r="K416" s="100">
        <f>IFERROR(VLOOKUP(I416,LK_GradeStep!$C$4:$E$85,3,0),10000)</f>
        <v>10000</v>
      </c>
      <c r="L416" s="100">
        <f t="shared" si="49"/>
        <v>3330000</v>
      </c>
      <c r="M416" s="101">
        <f>IFERROR(VLOOKUP(EMPLOYEE_MASTER!AQ416,LK_AllowanceRates!$A$5:$B$11,2,0),0)</f>
        <v>900000</v>
      </c>
      <c r="N416" s="101">
        <f ca="1">IFERROR(IF(EMPLOYEE_MASTER!J416&lt;=5,  EMPLOYEE_MASTER!J416*LK_AllowanceRates!$B$12,IF(EMPLOYEE_MASTER!J416&lt;=15, EMPLOYEE_MASTER!J416*LK_AllowanceRates!$B$13,IF(EMPLOYEE_MASTER!J416&lt;=25, EMPLOYEE_MASTER!J416*LK_AllowanceRates!$B$14,EMPLOYEE_MASTER!J416*LK_AllowanceRates!$B$15))),0)</f>
        <v>20000</v>
      </c>
      <c r="O416" s="101">
        <f>IF(EMPLOYEE_MASTER!AS416="Teaching",L416*LK_AllowanceRates!$B$16,0)</f>
        <v>0</v>
      </c>
      <c r="P416" s="101">
        <f>IF(EMPLOYEE_MASTER!AS416="Medical",LK_AllowanceRates!$B$17,0)</f>
        <v>0</v>
      </c>
      <c r="Q416" s="101">
        <f>IF(EMPLOYEE_MASTER!AR416="Yes",LK_AllowanceRates!$B$18,0)</f>
        <v>0</v>
      </c>
      <c r="R416" s="101">
        <f>IF(EMPLOYEE_MASTER!AC416="Yes",LK_AllowanceRates!$B$19,0)</f>
        <v>0</v>
      </c>
      <c r="S416" s="101">
        <f>IF(EMPLOYEE_MASTER!AA416="Yes",L416*LK_AllowanceRates!$B$20,0)</f>
        <v>0</v>
      </c>
      <c r="T416" s="101">
        <f>IF(EMPLOYEE_MASTER!AB416="Yes",LK_AllowanceRates!$B$21,0)</f>
        <v>0</v>
      </c>
      <c r="U416" s="101">
        <f>IF(EMPLOYEE_MASTER!P416&gt;=6,LK_AllowanceRates!$B$22,0)</f>
        <v>0</v>
      </c>
      <c r="V416" s="101">
        <f>IF(EMPLOYEE_MASTER!AO416="Yes",LK_AllowanceRates!$B$23,0)</f>
        <v>0</v>
      </c>
      <c r="W416" s="101">
        <f>EMPLOYEE_MASTER!AP416*LK_AllowanceRates!$B$24</f>
        <v>0</v>
      </c>
      <c r="X416" s="101">
        <v>0</v>
      </c>
      <c r="Y416" s="102">
        <v>0</v>
      </c>
      <c r="Z416" s="102">
        <v>0</v>
      </c>
      <c r="AA416" s="102">
        <v>0</v>
      </c>
      <c r="AB416" s="103">
        <f t="shared" ca="1" si="50"/>
        <v>920000</v>
      </c>
      <c r="AC416" s="104">
        <f t="shared" ca="1" si="51"/>
        <v>4250000</v>
      </c>
      <c r="AD416" s="105">
        <f>ROUND(L416*LK_AllowanceRates!$B$25/100,0)</f>
        <v>183150</v>
      </c>
      <c r="AE416" s="106">
        <f t="shared" ca="1" si="52"/>
        <v>4066850</v>
      </c>
      <c r="AF416" s="106">
        <f t="shared" ca="1" si="53"/>
        <v>138342.5</v>
      </c>
      <c r="AG416" s="107">
        <v>0</v>
      </c>
      <c r="AH416" s="107">
        <v>0</v>
      </c>
      <c r="AI416" s="108">
        <f t="shared" ca="1" si="54"/>
        <v>321492.5</v>
      </c>
      <c r="AJ416" s="109">
        <f t="shared" ca="1" si="55"/>
        <v>3928507.5</v>
      </c>
    </row>
    <row r="417" spans="1:36" ht="15" customHeight="1" x14ac:dyDescent="0.3">
      <c r="A417" s="98" t="str">
        <f>EMPLOYEE_MASTER!A417</f>
        <v>LAO00414</v>
      </c>
      <c r="B417" s="98" t="str">
        <f>EMPLOYEE_MASTER!C417</f>
        <v>Sombath</v>
      </c>
      <c r="C417" s="98" t="str">
        <f>EMPLOYEE_MASTER!D417</f>
        <v>Phiaylack</v>
      </c>
      <c r="D417" s="98" t="str">
        <f>EMPLOYEE_MASTER!T417</f>
        <v>Luang Prabang Province Administration</v>
      </c>
      <c r="E417" s="98" t="str">
        <f>EMPLOYEE_MASTER!M417</f>
        <v>Deputy Director</v>
      </c>
      <c r="F417" s="98" t="str">
        <f>EMPLOYEE_MASTER!Z417</f>
        <v>Administration</v>
      </c>
      <c r="G417" s="99">
        <f>EMPLOYEE_MASTER!P417</f>
        <v>4</v>
      </c>
      <c r="H417" s="99">
        <f>EMPLOYEE_MASTER!Q417</f>
        <v>4</v>
      </c>
      <c r="I417" s="100" t="str">
        <f t="shared" si="48"/>
        <v>G04-S04</v>
      </c>
      <c r="J417" s="100">
        <f>IFERROR(VLOOKUP(I417,LK_GradeStep!$C$4:$D$85,2,0),0)</f>
        <v>292</v>
      </c>
      <c r="K417" s="100">
        <f>IFERROR(VLOOKUP(I417,LK_GradeStep!$C$4:$E$85,3,0),10000)</f>
        <v>10000</v>
      </c>
      <c r="L417" s="100">
        <f t="shared" si="49"/>
        <v>2920000</v>
      </c>
      <c r="M417" s="101">
        <f>IFERROR(VLOOKUP(EMPLOYEE_MASTER!AQ417,LK_AllowanceRates!$A$5:$B$11,2,0),0)</f>
        <v>2300000</v>
      </c>
      <c r="N417" s="101">
        <f ca="1">IFERROR(IF(EMPLOYEE_MASTER!J417&lt;=5,  EMPLOYEE_MASTER!J417*LK_AllowanceRates!$B$12,IF(EMPLOYEE_MASTER!J417&lt;=15, EMPLOYEE_MASTER!J417*LK_AllowanceRates!$B$13,IF(EMPLOYEE_MASTER!J417&lt;=25, EMPLOYEE_MASTER!J417*LK_AllowanceRates!$B$14,EMPLOYEE_MASTER!J417*LK_AllowanceRates!$B$15))),0)</f>
        <v>0</v>
      </c>
      <c r="O417" s="101">
        <f>IF(EMPLOYEE_MASTER!AS417="Teaching",L417*LK_AllowanceRates!$B$16,0)</f>
        <v>0</v>
      </c>
      <c r="P417" s="101">
        <f>IF(EMPLOYEE_MASTER!AS417="Medical",LK_AllowanceRates!$B$17,0)</f>
        <v>0</v>
      </c>
      <c r="Q417" s="101">
        <f>IF(EMPLOYEE_MASTER!AR417="Yes",LK_AllowanceRates!$B$18,0)</f>
        <v>0</v>
      </c>
      <c r="R417" s="101">
        <f>IF(EMPLOYEE_MASTER!AC417="Yes",LK_AllowanceRates!$B$19,0)</f>
        <v>0</v>
      </c>
      <c r="S417" s="101">
        <f>IF(EMPLOYEE_MASTER!AA417="Yes",L417*LK_AllowanceRates!$B$20,0)</f>
        <v>0</v>
      </c>
      <c r="T417" s="101">
        <f>IF(EMPLOYEE_MASTER!AB417="Yes",LK_AllowanceRates!$B$21,0)</f>
        <v>0</v>
      </c>
      <c r="U417" s="101">
        <f>IF(EMPLOYEE_MASTER!P417&gt;=6,LK_AllowanceRates!$B$22,0)</f>
        <v>0</v>
      </c>
      <c r="V417" s="101">
        <f>IF(EMPLOYEE_MASTER!AO417="Yes",LK_AllowanceRates!$B$23,0)</f>
        <v>200000</v>
      </c>
      <c r="W417" s="101">
        <f>EMPLOYEE_MASTER!AP417*LK_AllowanceRates!$B$24</f>
        <v>200000</v>
      </c>
      <c r="X417" s="101">
        <v>0</v>
      </c>
      <c r="Y417" s="102">
        <v>0</v>
      </c>
      <c r="Z417" s="102">
        <v>0</v>
      </c>
      <c r="AA417" s="102">
        <v>0</v>
      </c>
      <c r="AB417" s="103">
        <f t="shared" ca="1" si="50"/>
        <v>2700000</v>
      </c>
      <c r="AC417" s="104">
        <f t="shared" ca="1" si="51"/>
        <v>5620000</v>
      </c>
      <c r="AD417" s="105">
        <f>ROUND(L417*LK_AllowanceRates!$B$25/100,0)</f>
        <v>160600</v>
      </c>
      <c r="AE417" s="106">
        <f t="shared" ca="1" si="52"/>
        <v>5459400</v>
      </c>
      <c r="AF417" s="106">
        <f t="shared" ca="1" si="53"/>
        <v>230940</v>
      </c>
      <c r="AG417" s="107">
        <v>0</v>
      </c>
      <c r="AH417" s="107">
        <v>0</v>
      </c>
      <c r="AI417" s="108">
        <f t="shared" ca="1" si="54"/>
        <v>391540</v>
      </c>
      <c r="AJ417" s="109">
        <f t="shared" ca="1" si="55"/>
        <v>5228460</v>
      </c>
    </row>
    <row r="418" spans="1:36" ht="15" customHeight="1" x14ac:dyDescent="0.3">
      <c r="A418" s="98" t="str">
        <f>EMPLOYEE_MASTER!A418</f>
        <v>LAO00415</v>
      </c>
      <c r="B418" s="98" t="str">
        <f>EMPLOYEE_MASTER!C418</f>
        <v>Bounthieng</v>
      </c>
      <c r="C418" s="98" t="str">
        <f>EMPLOYEE_MASTER!D418</f>
        <v>Khounkham</v>
      </c>
      <c r="D418" s="98" t="str">
        <f>EMPLOYEE_MASTER!T418</f>
        <v>Luang Prabang Province Administration</v>
      </c>
      <c r="E418" s="98" t="str">
        <f>EMPLOYEE_MASTER!M418</f>
        <v>Division Chief</v>
      </c>
      <c r="F418" s="98" t="str">
        <f>EMPLOYEE_MASTER!Z418</f>
        <v>Administration</v>
      </c>
      <c r="G418" s="99">
        <f>EMPLOYEE_MASTER!P418</f>
        <v>4</v>
      </c>
      <c r="H418" s="99">
        <f>EMPLOYEE_MASTER!Q418</f>
        <v>6</v>
      </c>
      <c r="I418" s="100" t="str">
        <f t="shared" si="48"/>
        <v>G04-S06</v>
      </c>
      <c r="J418" s="100">
        <f>IFERROR(VLOOKUP(I418,LK_GradeStep!$C$4:$D$85,2,0),0)</f>
        <v>296</v>
      </c>
      <c r="K418" s="100">
        <f>IFERROR(VLOOKUP(I418,LK_GradeStep!$C$4:$E$85,3,0),10000)</f>
        <v>10000</v>
      </c>
      <c r="L418" s="100">
        <f t="shared" si="49"/>
        <v>2960000</v>
      </c>
      <c r="M418" s="101">
        <f>IFERROR(VLOOKUP(EMPLOYEE_MASTER!AQ418,LK_AllowanceRates!$A$5:$B$11,2,0),0)</f>
        <v>1900000</v>
      </c>
      <c r="N418" s="101">
        <f ca="1">IFERROR(IF(EMPLOYEE_MASTER!J418&lt;=5,  EMPLOYEE_MASTER!J418*LK_AllowanceRates!$B$12,IF(EMPLOYEE_MASTER!J418&lt;=15, EMPLOYEE_MASTER!J418*LK_AllowanceRates!$B$13,IF(EMPLOYEE_MASTER!J418&lt;=25, EMPLOYEE_MASTER!J418*LK_AllowanceRates!$B$14,EMPLOYEE_MASTER!J418*LK_AllowanceRates!$B$15))),0)</f>
        <v>660000</v>
      </c>
      <c r="O418" s="101">
        <f>IF(EMPLOYEE_MASTER!AS418="Teaching",L418*LK_AllowanceRates!$B$16,0)</f>
        <v>0</v>
      </c>
      <c r="P418" s="101">
        <f>IF(EMPLOYEE_MASTER!AS418="Medical",LK_AllowanceRates!$B$17,0)</f>
        <v>0</v>
      </c>
      <c r="Q418" s="101">
        <f>IF(EMPLOYEE_MASTER!AR418="Yes",LK_AllowanceRates!$B$18,0)</f>
        <v>0</v>
      </c>
      <c r="R418" s="101">
        <f>IF(EMPLOYEE_MASTER!AC418="Yes",LK_AllowanceRates!$B$19,0)</f>
        <v>1000000</v>
      </c>
      <c r="S418" s="101">
        <f>IF(EMPLOYEE_MASTER!AA418="Yes",L418*LK_AllowanceRates!$B$20,0)</f>
        <v>740000</v>
      </c>
      <c r="T418" s="101">
        <f>IF(EMPLOYEE_MASTER!AB418="Yes",LK_AllowanceRates!$B$21,0)</f>
        <v>0</v>
      </c>
      <c r="U418" s="101">
        <f>IF(EMPLOYEE_MASTER!P418&gt;=6,LK_AllowanceRates!$B$22,0)</f>
        <v>0</v>
      </c>
      <c r="V418" s="101">
        <f>IF(EMPLOYEE_MASTER!AO418="Yes",LK_AllowanceRates!$B$23,0)</f>
        <v>0</v>
      </c>
      <c r="W418" s="101">
        <f>EMPLOYEE_MASTER!AP418*LK_AllowanceRates!$B$24</f>
        <v>0</v>
      </c>
      <c r="X418" s="101">
        <v>0</v>
      </c>
      <c r="Y418" s="102">
        <v>0</v>
      </c>
      <c r="Z418" s="102">
        <v>0</v>
      </c>
      <c r="AA418" s="102">
        <v>0</v>
      </c>
      <c r="AB418" s="103">
        <f t="shared" ca="1" si="50"/>
        <v>4300000</v>
      </c>
      <c r="AC418" s="104">
        <f t="shared" ca="1" si="51"/>
        <v>7260000</v>
      </c>
      <c r="AD418" s="105">
        <f>ROUND(L418*LK_AllowanceRates!$B$25/100,0)</f>
        <v>162800</v>
      </c>
      <c r="AE418" s="106">
        <f t="shared" ca="1" si="52"/>
        <v>7097200</v>
      </c>
      <c r="AF418" s="106">
        <f t="shared" ca="1" si="53"/>
        <v>394720</v>
      </c>
      <c r="AG418" s="107">
        <v>0</v>
      </c>
      <c r="AH418" s="107">
        <v>0</v>
      </c>
      <c r="AI418" s="108">
        <f t="shared" ca="1" si="54"/>
        <v>557520</v>
      </c>
      <c r="AJ418" s="109">
        <f t="shared" ca="1" si="55"/>
        <v>6702480</v>
      </c>
    </row>
    <row r="419" spans="1:36" ht="15" customHeight="1" x14ac:dyDescent="0.3">
      <c r="A419" s="98" t="str">
        <f>EMPLOYEE_MASTER!A419</f>
        <v>LAO00416</v>
      </c>
      <c r="B419" s="98" t="str">
        <f>EMPLOYEE_MASTER!C419</f>
        <v>Sengmany</v>
      </c>
      <c r="C419" s="98" t="str">
        <f>EMPLOYEE_MASTER!D419</f>
        <v>Vongphachanh</v>
      </c>
      <c r="D419" s="98" t="str">
        <f>EMPLOYEE_MASTER!T419</f>
        <v>Ministry of Health (MoH)</v>
      </c>
      <c r="E419" s="98" t="str">
        <f>EMPLOYEE_MASTER!M419</f>
        <v>Laboratory Technician</v>
      </c>
      <c r="F419" s="98" t="str">
        <f>EMPLOYEE_MASTER!Z419</f>
        <v>Medical</v>
      </c>
      <c r="G419" s="99">
        <f>EMPLOYEE_MASTER!P419</f>
        <v>4</v>
      </c>
      <c r="H419" s="99">
        <f>EMPLOYEE_MASTER!Q419</f>
        <v>5</v>
      </c>
      <c r="I419" s="100" t="str">
        <f t="shared" si="48"/>
        <v>G04-S05</v>
      </c>
      <c r="J419" s="100">
        <f>IFERROR(VLOOKUP(I419,LK_GradeStep!$C$4:$D$85,2,0),0)</f>
        <v>294</v>
      </c>
      <c r="K419" s="100">
        <f>IFERROR(VLOOKUP(I419,LK_GradeStep!$C$4:$E$85,3,0),10000)</f>
        <v>10000</v>
      </c>
      <c r="L419" s="100">
        <f t="shared" si="49"/>
        <v>2940000</v>
      </c>
      <c r="M419" s="101">
        <f>IFERROR(VLOOKUP(EMPLOYEE_MASTER!AQ419,LK_AllowanceRates!$A$5:$B$11,2,0),0)</f>
        <v>900000</v>
      </c>
      <c r="N419" s="101">
        <f ca="1">IFERROR(IF(EMPLOYEE_MASTER!J419&lt;=5,  EMPLOYEE_MASTER!J419*LK_AllowanceRates!$B$12,IF(EMPLOYEE_MASTER!J419&lt;=15, EMPLOYEE_MASTER!J419*LK_AllowanceRates!$B$13,IF(EMPLOYEE_MASTER!J419&lt;=25, EMPLOYEE_MASTER!J419*LK_AllowanceRates!$B$14,EMPLOYEE_MASTER!J419*LK_AllowanceRates!$B$15))),0)</f>
        <v>140000</v>
      </c>
      <c r="O419" s="101">
        <f>IF(EMPLOYEE_MASTER!AS419="Teaching",L419*LK_AllowanceRates!$B$16,0)</f>
        <v>0</v>
      </c>
      <c r="P419" s="101">
        <f>IF(EMPLOYEE_MASTER!AS419="Medical",LK_AllowanceRates!$B$17,0)</f>
        <v>500000</v>
      </c>
      <c r="Q419" s="101">
        <f>IF(EMPLOYEE_MASTER!AR419="Yes",LK_AllowanceRates!$B$18,0)</f>
        <v>0</v>
      </c>
      <c r="R419" s="101">
        <f>IF(EMPLOYEE_MASTER!AC419="Yes",LK_AllowanceRates!$B$19,0)</f>
        <v>1000000</v>
      </c>
      <c r="S419" s="101">
        <f>IF(EMPLOYEE_MASTER!AA419="Yes",L419*LK_AllowanceRates!$B$20,0)</f>
        <v>735000</v>
      </c>
      <c r="T419" s="101">
        <f>IF(EMPLOYEE_MASTER!AB419="Yes",LK_AllowanceRates!$B$21,0)</f>
        <v>0</v>
      </c>
      <c r="U419" s="101">
        <f>IF(EMPLOYEE_MASTER!P419&gt;=6,LK_AllowanceRates!$B$22,0)</f>
        <v>0</v>
      </c>
      <c r="V419" s="101">
        <f>IF(EMPLOYEE_MASTER!AO419="Yes",LK_AllowanceRates!$B$23,0)</f>
        <v>0</v>
      </c>
      <c r="W419" s="101">
        <f>EMPLOYEE_MASTER!AP419*LK_AllowanceRates!$B$24</f>
        <v>0</v>
      </c>
      <c r="X419" s="101">
        <v>0</v>
      </c>
      <c r="Y419" s="102">
        <v>0</v>
      </c>
      <c r="Z419" s="102">
        <v>0</v>
      </c>
      <c r="AA419" s="102">
        <v>0</v>
      </c>
      <c r="AB419" s="103">
        <f t="shared" ca="1" si="50"/>
        <v>3275000</v>
      </c>
      <c r="AC419" s="104">
        <f t="shared" ca="1" si="51"/>
        <v>6215000</v>
      </c>
      <c r="AD419" s="105">
        <f>ROUND(L419*LK_AllowanceRates!$B$25/100,0)</f>
        <v>161700</v>
      </c>
      <c r="AE419" s="106">
        <f t="shared" ca="1" si="52"/>
        <v>6053300</v>
      </c>
      <c r="AF419" s="106">
        <f t="shared" ca="1" si="53"/>
        <v>290330</v>
      </c>
      <c r="AG419" s="107">
        <v>0</v>
      </c>
      <c r="AH419" s="107">
        <v>0</v>
      </c>
      <c r="AI419" s="108">
        <f t="shared" ca="1" si="54"/>
        <v>452030</v>
      </c>
      <c r="AJ419" s="109">
        <f t="shared" ca="1" si="55"/>
        <v>5762970</v>
      </c>
    </row>
    <row r="420" spans="1:36" ht="15" customHeight="1" x14ac:dyDescent="0.3">
      <c r="A420" s="98" t="str">
        <f>EMPLOYEE_MASTER!A420</f>
        <v>LAO00417</v>
      </c>
      <c r="B420" s="98" t="str">
        <f>EMPLOYEE_MASTER!C420</f>
        <v>Bounlan</v>
      </c>
      <c r="C420" s="98" t="str">
        <f>EMPLOYEE_MASTER!D420</f>
        <v>Bouavong</v>
      </c>
      <c r="D420" s="98" t="str">
        <f>EMPLOYEE_MASTER!T420</f>
        <v>Savannakhet Province Administration</v>
      </c>
      <c r="E420" s="98" t="str">
        <f>EMPLOYEE_MASTER!M420</f>
        <v>Deputy Director</v>
      </c>
      <c r="F420" s="98" t="str">
        <f>EMPLOYEE_MASTER!Z420</f>
        <v>Administration</v>
      </c>
      <c r="G420" s="99">
        <f>EMPLOYEE_MASTER!P420</f>
        <v>4</v>
      </c>
      <c r="H420" s="99">
        <f>EMPLOYEE_MASTER!Q420</f>
        <v>8</v>
      </c>
      <c r="I420" s="100" t="str">
        <f t="shared" si="48"/>
        <v>G04-S08</v>
      </c>
      <c r="J420" s="100">
        <f>IFERROR(VLOOKUP(I420,LK_GradeStep!$C$4:$D$85,2,0),0)</f>
        <v>303</v>
      </c>
      <c r="K420" s="100">
        <f>IFERROR(VLOOKUP(I420,LK_GradeStep!$C$4:$E$85,3,0),10000)</f>
        <v>10000</v>
      </c>
      <c r="L420" s="100">
        <f t="shared" si="49"/>
        <v>3030000</v>
      </c>
      <c r="M420" s="101">
        <f>IFERROR(VLOOKUP(EMPLOYEE_MASTER!AQ420,LK_AllowanceRates!$A$5:$B$11,2,0),0)</f>
        <v>2300000</v>
      </c>
      <c r="N420" s="101">
        <f ca="1">IFERROR(IF(EMPLOYEE_MASTER!J420&lt;=5,  EMPLOYEE_MASTER!J420*LK_AllowanceRates!$B$12,IF(EMPLOYEE_MASTER!J420&lt;=15, EMPLOYEE_MASTER!J420*LK_AllowanceRates!$B$13,IF(EMPLOYEE_MASTER!J420&lt;=25, EMPLOYEE_MASTER!J420*LK_AllowanceRates!$B$14,EMPLOYEE_MASTER!J420*LK_AllowanceRates!$B$15))),0)</f>
        <v>220000</v>
      </c>
      <c r="O420" s="101">
        <f>IF(EMPLOYEE_MASTER!AS420="Teaching",L420*LK_AllowanceRates!$B$16,0)</f>
        <v>0</v>
      </c>
      <c r="P420" s="101">
        <f>IF(EMPLOYEE_MASTER!AS420="Medical",LK_AllowanceRates!$B$17,0)</f>
        <v>0</v>
      </c>
      <c r="Q420" s="101">
        <f>IF(EMPLOYEE_MASTER!AR420="Yes",LK_AllowanceRates!$B$18,0)</f>
        <v>0</v>
      </c>
      <c r="R420" s="101">
        <f>IF(EMPLOYEE_MASTER!AC420="Yes",LK_AllowanceRates!$B$19,0)</f>
        <v>0</v>
      </c>
      <c r="S420" s="101">
        <f>IF(EMPLOYEE_MASTER!AA420="Yes",L420*LK_AllowanceRates!$B$20,0)</f>
        <v>757500</v>
      </c>
      <c r="T420" s="101">
        <f>IF(EMPLOYEE_MASTER!AB420="Yes",LK_AllowanceRates!$B$21,0)</f>
        <v>0</v>
      </c>
      <c r="U420" s="101">
        <f>IF(EMPLOYEE_MASTER!P420&gt;=6,LK_AllowanceRates!$B$22,0)</f>
        <v>0</v>
      </c>
      <c r="V420" s="101">
        <f>IF(EMPLOYEE_MASTER!AO420="Yes",LK_AllowanceRates!$B$23,0)</f>
        <v>0</v>
      </c>
      <c r="W420" s="101">
        <f>EMPLOYEE_MASTER!AP420*LK_AllowanceRates!$B$24</f>
        <v>0</v>
      </c>
      <c r="X420" s="101">
        <v>0</v>
      </c>
      <c r="Y420" s="102">
        <v>0</v>
      </c>
      <c r="Z420" s="102">
        <v>0</v>
      </c>
      <c r="AA420" s="102">
        <v>0</v>
      </c>
      <c r="AB420" s="103">
        <f t="shared" ca="1" si="50"/>
        <v>3277500</v>
      </c>
      <c r="AC420" s="104">
        <f t="shared" ca="1" si="51"/>
        <v>6307500</v>
      </c>
      <c r="AD420" s="105">
        <f>ROUND(L420*LK_AllowanceRates!$B$25/100,0)</f>
        <v>166650</v>
      </c>
      <c r="AE420" s="106">
        <f t="shared" ca="1" si="52"/>
        <v>6140850</v>
      </c>
      <c r="AF420" s="106">
        <f t="shared" ca="1" si="53"/>
        <v>299085</v>
      </c>
      <c r="AG420" s="107">
        <v>0</v>
      </c>
      <c r="AH420" s="107">
        <v>0</v>
      </c>
      <c r="AI420" s="108">
        <f t="shared" ca="1" si="54"/>
        <v>465735</v>
      </c>
      <c r="AJ420" s="109">
        <f t="shared" ca="1" si="55"/>
        <v>5841765</v>
      </c>
    </row>
    <row r="421" spans="1:36" ht="15" customHeight="1" x14ac:dyDescent="0.3">
      <c r="A421" s="98" t="str">
        <f>EMPLOYEE_MASTER!A421</f>
        <v>LAO00418</v>
      </c>
      <c r="B421" s="98" t="str">
        <f>EMPLOYEE_MASTER!C421</f>
        <v>Vilayphon</v>
      </c>
      <c r="C421" s="98" t="str">
        <f>EMPLOYEE_MASTER!D421</f>
        <v>Manodham</v>
      </c>
      <c r="D421" s="98" t="str">
        <f>EMPLOYEE_MASTER!T421</f>
        <v>Champasak Province Administration</v>
      </c>
      <c r="E421" s="98" t="str">
        <f>EMPLOYEE_MASTER!M421</f>
        <v>Clerk</v>
      </c>
      <c r="F421" s="98" t="str">
        <f>EMPLOYEE_MASTER!Z421</f>
        <v>Administration</v>
      </c>
      <c r="G421" s="99">
        <f>EMPLOYEE_MASTER!P421</f>
        <v>3</v>
      </c>
      <c r="H421" s="99">
        <f>EMPLOYEE_MASTER!Q421</f>
        <v>1</v>
      </c>
      <c r="I421" s="100" t="str">
        <f t="shared" si="48"/>
        <v>G03-S01</v>
      </c>
      <c r="J421" s="100">
        <f>IFERROR(VLOOKUP(I421,LK_GradeStep!$C$4:$D$85,2,0),0)</f>
        <v>276</v>
      </c>
      <c r="K421" s="100">
        <f>IFERROR(VLOOKUP(I421,LK_GradeStep!$C$4:$E$85,3,0),10000)</f>
        <v>10000</v>
      </c>
      <c r="L421" s="100">
        <f t="shared" si="49"/>
        <v>2760000</v>
      </c>
      <c r="M421" s="101">
        <f>IFERROR(VLOOKUP(EMPLOYEE_MASTER!AQ421,LK_AllowanceRates!$A$5:$B$11,2,0),0)</f>
        <v>900000</v>
      </c>
      <c r="N421" s="101">
        <f ca="1">IFERROR(IF(EMPLOYEE_MASTER!J421&lt;=5,  EMPLOYEE_MASTER!J421*LK_AllowanceRates!$B$12,IF(EMPLOYEE_MASTER!J421&lt;=15, EMPLOYEE_MASTER!J421*LK_AllowanceRates!$B$13,IF(EMPLOYEE_MASTER!J421&lt;=25, EMPLOYEE_MASTER!J421*LK_AllowanceRates!$B$14,EMPLOYEE_MASTER!J421*LK_AllowanceRates!$B$15))),0)</f>
        <v>1440000</v>
      </c>
      <c r="O421" s="101">
        <f>IF(EMPLOYEE_MASTER!AS421="Teaching",L421*LK_AllowanceRates!$B$16,0)</f>
        <v>0</v>
      </c>
      <c r="P421" s="101">
        <f>IF(EMPLOYEE_MASTER!AS421="Medical",LK_AllowanceRates!$B$17,0)</f>
        <v>0</v>
      </c>
      <c r="Q421" s="101">
        <f>IF(EMPLOYEE_MASTER!AR421="Yes",LK_AllowanceRates!$B$18,0)</f>
        <v>0</v>
      </c>
      <c r="R421" s="101">
        <f>IF(EMPLOYEE_MASTER!AC421="Yes",LK_AllowanceRates!$B$19,0)</f>
        <v>1000000</v>
      </c>
      <c r="S421" s="101">
        <f>IF(EMPLOYEE_MASTER!AA421="Yes",L421*LK_AllowanceRates!$B$20,0)</f>
        <v>0</v>
      </c>
      <c r="T421" s="101">
        <f>IF(EMPLOYEE_MASTER!AB421="Yes",LK_AllowanceRates!$B$21,0)</f>
        <v>0</v>
      </c>
      <c r="U421" s="101">
        <f>IF(EMPLOYEE_MASTER!P421&gt;=6,LK_AllowanceRates!$B$22,0)</f>
        <v>0</v>
      </c>
      <c r="V421" s="101">
        <f>IF(EMPLOYEE_MASTER!AO421="Yes",LK_AllowanceRates!$B$23,0)</f>
        <v>200000</v>
      </c>
      <c r="W421" s="101">
        <f>EMPLOYEE_MASTER!AP421*LK_AllowanceRates!$B$24</f>
        <v>400000</v>
      </c>
      <c r="X421" s="101">
        <v>0</v>
      </c>
      <c r="Y421" s="102">
        <v>0</v>
      </c>
      <c r="Z421" s="102">
        <v>0</v>
      </c>
      <c r="AA421" s="102">
        <v>0</v>
      </c>
      <c r="AB421" s="103">
        <f t="shared" ca="1" si="50"/>
        <v>3940000</v>
      </c>
      <c r="AC421" s="104">
        <f t="shared" ca="1" si="51"/>
        <v>6700000</v>
      </c>
      <c r="AD421" s="105">
        <f>ROUND(L421*LK_AllowanceRates!$B$25/100,0)</f>
        <v>151800</v>
      </c>
      <c r="AE421" s="106">
        <f t="shared" ca="1" si="52"/>
        <v>6548200</v>
      </c>
      <c r="AF421" s="106">
        <f t="shared" ca="1" si="53"/>
        <v>339820</v>
      </c>
      <c r="AG421" s="107">
        <v>0</v>
      </c>
      <c r="AH421" s="107">
        <v>0</v>
      </c>
      <c r="AI421" s="108">
        <f t="shared" ca="1" si="54"/>
        <v>491620</v>
      </c>
      <c r="AJ421" s="109">
        <f t="shared" ca="1" si="55"/>
        <v>6208380</v>
      </c>
    </row>
    <row r="422" spans="1:36" ht="15" customHeight="1" x14ac:dyDescent="0.3">
      <c r="A422" s="98" t="str">
        <f>EMPLOYEE_MASTER!A422</f>
        <v>LAO00419</v>
      </c>
      <c r="B422" s="98" t="str">
        <f>EMPLOYEE_MASTER!C422</f>
        <v>Souphine</v>
      </c>
      <c r="C422" s="98" t="str">
        <f>EMPLOYEE_MASTER!D422</f>
        <v>Dalasane</v>
      </c>
      <c r="D422" s="98" t="str">
        <f>EMPLOYEE_MASTER!T422</f>
        <v>Ministry of Education and Sports (MoES)</v>
      </c>
      <c r="E422" s="98" t="str">
        <f>EMPLOYEE_MASTER!M422</f>
        <v>Primary School Teacher</v>
      </c>
      <c r="F422" s="98" t="str">
        <f>EMPLOYEE_MASTER!Z422</f>
        <v>Teacher</v>
      </c>
      <c r="G422" s="99">
        <f>EMPLOYEE_MASTER!P422</f>
        <v>2</v>
      </c>
      <c r="H422" s="99">
        <f>EMPLOYEE_MASTER!Q422</f>
        <v>1</v>
      </c>
      <c r="I422" s="100" t="str">
        <f t="shared" si="48"/>
        <v>G02-S01</v>
      </c>
      <c r="J422" s="100">
        <f>IFERROR(VLOOKUP(I422,LK_GradeStep!$C$4:$D$85,2,0),0)</f>
        <v>268</v>
      </c>
      <c r="K422" s="100">
        <f>IFERROR(VLOOKUP(I422,LK_GradeStep!$C$4:$E$85,3,0),10000)</f>
        <v>10000</v>
      </c>
      <c r="L422" s="100">
        <f t="shared" si="49"/>
        <v>2680000</v>
      </c>
      <c r="M422" s="101">
        <f>IFERROR(VLOOKUP(EMPLOYEE_MASTER!AQ422,LK_AllowanceRates!$A$5:$B$11,2,0),0)</f>
        <v>900000</v>
      </c>
      <c r="N422" s="101">
        <f ca="1">IFERROR(IF(EMPLOYEE_MASTER!J422&lt;=5,  EMPLOYEE_MASTER!J422*LK_AllowanceRates!$B$12,IF(EMPLOYEE_MASTER!J422&lt;=15, EMPLOYEE_MASTER!J422*LK_AllowanceRates!$B$13,IF(EMPLOYEE_MASTER!J422&lt;=25, EMPLOYEE_MASTER!J422*LK_AllowanceRates!$B$14,EMPLOYEE_MASTER!J422*LK_AllowanceRates!$B$15))),0)</f>
        <v>1440000</v>
      </c>
      <c r="O422" s="101">
        <f>IF(EMPLOYEE_MASTER!AS422="Teaching",L422*LK_AllowanceRates!$B$16,0)</f>
        <v>536000</v>
      </c>
      <c r="P422" s="101">
        <f>IF(EMPLOYEE_MASTER!AS422="Medical",LK_AllowanceRates!$B$17,0)</f>
        <v>0</v>
      </c>
      <c r="Q422" s="101">
        <f>IF(EMPLOYEE_MASTER!AR422="Yes",LK_AllowanceRates!$B$18,0)</f>
        <v>0</v>
      </c>
      <c r="R422" s="101">
        <f>IF(EMPLOYEE_MASTER!AC422="Yes",LK_AllowanceRates!$B$19,0)</f>
        <v>1000000</v>
      </c>
      <c r="S422" s="101">
        <f>IF(EMPLOYEE_MASTER!AA422="Yes",L422*LK_AllowanceRates!$B$20,0)</f>
        <v>670000</v>
      </c>
      <c r="T422" s="101">
        <f>IF(EMPLOYEE_MASTER!AB422="Yes",LK_AllowanceRates!$B$21,0)</f>
        <v>0</v>
      </c>
      <c r="U422" s="101">
        <f>IF(EMPLOYEE_MASTER!P422&gt;=6,LK_AllowanceRates!$B$22,0)</f>
        <v>0</v>
      </c>
      <c r="V422" s="101">
        <f>IF(EMPLOYEE_MASTER!AO422="Yes",LK_AllowanceRates!$B$23,0)</f>
        <v>200000</v>
      </c>
      <c r="W422" s="101">
        <f>EMPLOYEE_MASTER!AP422*LK_AllowanceRates!$B$24</f>
        <v>400000</v>
      </c>
      <c r="X422" s="101">
        <v>0</v>
      </c>
      <c r="Y422" s="102">
        <v>0</v>
      </c>
      <c r="Z422" s="102">
        <v>0</v>
      </c>
      <c r="AA422" s="102">
        <v>0</v>
      </c>
      <c r="AB422" s="103">
        <f t="shared" ca="1" si="50"/>
        <v>5146000</v>
      </c>
      <c r="AC422" s="104">
        <f t="shared" ca="1" si="51"/>
        <v>7826000</v>
      </c>
      <c r="AD422" s="105">
        <f>ROUND(L422*LK_AllowanceRates!$B$25/100,0)</f>
        <v>147400</v>
      </c>
      <c r="AE422" s="106">
        <f t="shared" ca="1" si="52"/>
        <v>7678600</v>
      </c>
      <c r="AF422" s="106">
        <f t="shared" ca="1" si="53"/>
        <v>452860</v>
      </c>
      <c r="AG422" s="107">
        <v>0</v>
      </c>
      <c r="AH422" s="107">
        <v>0</v>
      </c>
      <c r="AI422" s="108">
        <f t="shared" ca="1" si="54"/>
        <v>600260</v>
      </c>
      <c r="AJ422" s="109">
        <f t="shared" ca="1" si="55"/>
        <v>7225740</v>
      </c>
    </row>
    <row r="423" spans="1:36" ht="15" customHeight="1" x14ac:dyDescent="0.3">
      <c r="A423" s="98" t="str">
        <f>EMPLOYEE_MASTER!A423</f>
        <v>LAO00420</v>
      </c>
      <c r="B423" s="98" t="str">
        <f>EMPLOYEE_MASTER!C423</f>
        <v>Phoxay</v>
      </c>
      <c r="C423" s="98" t="str">
        <f>EMPLOYEE_MASTER!D423</f>
        <v>Chanthavong</v>
      </c>
      <c r="D423" s="98" t="str">
        <f>EMPLOYEE_MASTER!T423</f>
        <v>National Assembly (NA)</v>
      </c>
      <c r="E423" s="98" t="str">
        <f>EMPLOYEE_MASTER!M423</f>
        <v>Division Chief</v>
      </c>
      <c r="F423" s="98" t="str">
        <f>EMPLOYEE_MASTER!Z423</f>
        <v>Administration</v>
      </c>
      <c r="G423" s="99">
        <f>EMPLOYEE_MASTER!P423</f>
        <v>5</v>
      </c>
      <c r="H423" s="99">
        <f>EMPLOYEE_MASTER!Q423</f>
        <v>12</v>
      </c>
      <c r="I423" s="100" t="str">
        <f t="shared" si="48"/>
        <v>G05-S12</v>
      </c>
      <c r="J423" s="100">
        <f>IFERROR(VLOOKUP(I423,LK_GradeStep!$C$4:$D$85,2,0),0)</f>
        <v>388</v>
      </c>
      <c r="K423" s="100">
        <f>IFERROR(VLOOKUP(I423,LK_GradeStep!$C$4:$E$85,3,0),10000)</f>
        <v>10000</v>
      </c>
      <c r="L423" s="100">
        <f t="shared" si="49"/>
        <v>3880000</v>
      </c>
      <c r="M423" s="101">
        <f>IFERROR(VLOOKUP(EMPLOYEE_MASTER!AQ423,LK_AllowanceRates!$A$5:$B$11,2,0),0)</f>
        <v>1900000</v>
      </c>
      <c r="N423" s="101">
        <f ca="1">IFERROR(IF(EMPLOYEE_MASTER!J423&lt;=5,  EMPLOYEE_MASTER!J423*LK_AllowanceRates!$B$12,IF(EMPLOYEE_MASTER!J423&lt;=15, EMPLOYEE_MASTER!J423*LK_AllowanceRates!$B$13,IF(EMPLOYEE_MASTER!J423&lt;=25, EMPLOYEE_MASTER!J423*LK_AllowanceRates!$B$14,EMPLOYEE_MASTER!J423*LK_AllowanceRates!$B$15))),0)</f>
        <v>160000</v>
      </c>
      <c r="O423" s="101">
        <f>IF(EMPLOYEE_MASTER!AS423="Teaching",L423*LK_AllowanceRates!$B$16,0)</f>
        <v>0</v>
      </c>
      <c r="P423" s="101">
        <f>IF(EMPLOYEE_MASTER!AS423="Medical",LK_AllowanceRates!$B$17,0)</f>
        <v>0</v>
      </c>
      <c r="Q423" s="101">
        <f>IF(EMPLOYEE_MASTER!AR423="Yes",LK_AllowanceRates!$B$18,0)</f>
        <v>1000000</v>
      </c>
      <c r="R423" s="101">
        <f>IF(EMPLOYEE_MASTER!AC423="Yes",LK_AllowanceRates!$B$19,0)</f>
        <v>0</v>
      </c>
      <c r="S423" s="101">
        <f>IF(EMPLOYEE_MASTER!AA423="Yes",L423*LK_AllowanceRates!$B$20,0)</f>
        <v>0</v>
      </c>
      <c r="T423" s="101">
        <f>IF(EMPLOYEE_MASTER!AB423="Yes",LK_AllowanceRates!$B$21,0)</f>
        <v>0</v>
      </c>
      <c r="U423" s="101">
        <f>IF(EMPLOYEE_MASTER!P423&gt;=6,LK_AllowanceRates!$B$22,0)</f>
        <v>0</v>
      </c>
      <c r="V423" s="101">
        <f>IF(EMPLOYEE_MASTER!AO423="Yes",LK_AllowanceRates!$B$23,0)</f>
        <v>200000</v>
      </c>
      <c r="W423" s="101">
        <f>EMPLOYEE_MASTER!AP423*LK_AllowanceRates!$B$24</f>
        <v>600000</v>
      </c>
      <c r="X423" s="101">
        <v>0</v>
      </c>
      <c r="Y423" s="102">
        <v>0</v>
      </c>
      <c r="Z423" s="102">
        <v>0</v>
      </c>
      <c r="AA423" s="102">
        <v>0</v>
      </c>
      <c r="AB423" s="103">
        <f t="shared" ca="1" si="50"/>
        <v>3860000</v>
      </c>
      <c r="AC423" s="104">
        <f t="shared" ca="1" si="51"/>
        <v>7740000</v>
      </c>
      <c r="AD423" s="105">
        <f>ROUND(L423*LK_AllowanceRates!$B$25/100,0)</f>
        <v>213400</v>
      </c>
      <c r="AE423" s="106">
        <f t="shared" ca="1" si="52"/>
        <v>7526600</v>
      </c>
      <c r="AF423" s="106">
        <f t="shared" ca="1" si="53"/>
        <v>437660</v>
      </c>
      <c r="AG423" s="107">
        <v>0</v>
      </c>
      <c r="AH423" s="107">
        <v>0</v>
      </c>
      <c r="AI423" s="108">
        <f t="shared" ca="1" si="54"/>
        <v>651060</v>
      </c>
      <c r="AJ423" s="109">
        <f t="shared" ca="1" si="55"/>
        <v>7088940</v>
      </c>
    </row>
    <row r="424" spans="1:36" ht="15" customHeight="1" x14ac:dyDescent="0.3">
      <c r="A424" s="98" t="str">
        <f>EMPLOYEE_MASTER!A424</f>
        <v>LAO00421</v>
      </c>
      <c r="B424" s="98" t="str">
        <f>EMPLOYEE_MASTER!C424</f>
        <v>Phonepadith</v>
      </c>
      <c r="C424" s="98" t="str">
        <f>EMPLOYEE_MASTER!D424</f>
        <v>Phomthong</v>
      </c>
      <c r="D424" s="98" t="str">
        <f>EMPLOYEE_MASTER!T424</f>
        <v>Ministry of Education and Sports (MoES)</v>
      </c>
      <c r="E424" s="98" t="str">
        <f>EMPLOYEE_MASTER!M424</f>
        <v>Senior Lecturer</v>
      </c>
      <c r="F424" s="98" t="str">
        <f>EMPLOYEE_MASTER!Z424</f>
        <v>Teacher</v>
      </c>
      <c r="G424" s="99">
        <f>EMPLOYEE_MASTER!P424</f>
        <v>5</v>
      </c>
      <c r="H424" s="99">
        <f>EMPLOYEE_MASTER!Q424</f>
        <v>1</v>
      </c>
      <c r="I424" s="100" t="str">
        <f t="shared" si="48"/>
        <v>G05-S01</v>
      </c>
      <c r="J424" s="100">
        <f>IFERROR(VLOOKUP(I424,LK_GradeStep!$C$4:$D$85,2,0),0)</f>
        <v>308</v>
      </c>
      <c r="K424" s="100">
        <f>IFERROR(VLOOKUP(I424,LK_GradeStep!$C$4:$E$85,3,0),10000)</f>
        <v>10000</v>
      </c>
      <c r="L424" s="100">
        <f t="shared" si="49"/>
        <v>3080000</v>
      </c>
      <c r="M424" s="101">
        <f>IFERROR(VLOOKUP(EMPLOYEE_MASTER!AQ424,LK_AllowanceRates!$A$5:$B$11,2,0),0)</f>
        <v>900000</v>
      </c>
      <c r="N424" s="101">
        <f ca="1">IFERROR(IF(EMPLOYEE_MASTER!J424&lt;=5,  EMPLOYEE_MASTER!J424*LK_AllowanceRates!$B$12,IF(EMPLOYEE_MASTER!J424&lt;=15, EMPLOYEE_MASTER!J424*LK_AllowanceRates!$B$13,IF(EMPLOYEE_MASTER!J424&lt;=25, EMPLOYEE_MASTER!J424*LK_AllowanceRates!$B$14,EMPLOYEE_MASTER!J424*LK_AllowanceRates!$B$15))),0)</f>
        <v>40000</v>
      </c>
      <c r="O424" s="101">
        <f>IF(EMPLOYEE_MASTER!AS424="Teaching",L424*LK_AllowanceRates!$B$16,0)</f>
        <v>616000</v>
      </c>
      <c r="P424" s="101">
        <f>IF(EMPLOYEE_MASTER!AS424="Medical",LK_AllowanceRates!$B$17,0)</f>
        <v>0</v>
      </c>
      <c r="Q424" s="101">
        <f>IF(EMPLOYEE_MASTER!AR424="Yes",LK_AllowanceRates!$B$18,0)</f>
        <v>0</v>
      </c>
      <c r="R424" s="101">
        <f>IF(EMPLOYEE_MASTER!AC424="Yes",LK_AllowanceRates!$B$19,0)</f>
        <v>1000000</v>
      </c>
      <c r="S424" s="101">
        <f>IF(EMPLOYEE_MASTER!AA424="Yes",L424*LK_AllowanceRates!$B$20,0)</f>
        <v>770000</v>
      </c>
      <c r="T424" s="101">
        <f>IF(EMPLOYEE_MASTER!AB424="Yes",LK_AllowanceRates!$B$21,0)</f>
        <v>0</v>
      </c>
      <c r="U424" s="101">
        <f>IF(EMPLOYEE_MASTER!P424&gt;=6,LK_AllowanceRates!$B$22,0)</f>
        <v>0</v>
      </c>
      <c r="V424" s="101">
        <f>IF(EMPLOYEE_MASTER!AO424="Yes",LK_AllowanceRates!$B$23,0)</f>
        <v>0</v>
      </c>
      <c r="W424" s="101">
        <f>EMPLOYEE_MASTER!AP424*LK_AllowanceRates!$B$24</f>
        <v>0</v>
      </c>
      <c r="X424" s="101">
        <v>0</v>
      </c>
      <c r="Y424" s="102">
        <v>0</v>
      </c>
      <c r="Z424" s="102">
        <v>0</v>
      </c>
      <c r="AA424" s="102">
        <v>0</v>
      </c>
      <c r="AB424" s="103">
        <f t="shared" ca="1" si="50"/>
        <v>3326000</v>
      </c>
      <c r="AC424" s="104">
        <f t="shared" ca="1" si="51"/>
        <v>6406000</v>
      </c>
      <c r="AD424" s="105">
        <f>ROUND(L424*LK_AllowanceRates!$B$25/100,0)</f>
        <v>169400</v>
      </c>
      <c r="AE424" s="106">
        <f t="shared" ca="1" si="52"/>
        <v>6236600</v>
      </c>
      <c r="AF424" s="106">
        <f t="shared" ca="1" si="53"/>
        <v>308660</v>
      </c>
      <c r="AG424" s="107">
        <v>0</v>
      </c>
      <c r="AH424" s="107">
        <v>0</v>
      </c>
      <c r="AI424" s="108">
        <f t="shared" ca="1" si="54"/>
        <v>478060</v>
      </c>
      <c r="AJ424" s="109">
        <f t="shared" ca="1" si="55"/>
        <v>5927940</v>
      </c>
    </row>
    <row r="425" spans="1:36" ht="15" customHeight="1" x14ac:dyDescent="0.3">
      <c r="A425" s="98" t="str">
        <f>EMPLOYEE_MASTER!A425</f>
        <v>LAO00422</v>
      </c>
      <c r="B425" s="98" t="str">
        <f>EMPLOYEE_MASTER!C425</f>
        <v>Souphine</v>
      </c>
      <c r="C425" s="98" t="str">
        <f>EMPLOYEE_MASTER!D425</f>
        <v>Siphaseuth</v>
      </c>
      <c r="D425" s="98" t="str">
        <f>EMPLOYEE_MASTER!T425</f>
        <v>Ministry of Justice (MoJ)</v>
      </c>
      <c r="E425" s="98" t="str">
        <f>EMPLOYEE_MASTER!M425</f>
        <v>Legislative Officer</v>
      </c>
      <c r="F425" s="98" t="str">
        <f>EMPLOYEE_MASTER!Z425</f>
        <v>Legal</v>
      </c>
      <c r="G425" s="99">
        <f>EMPLOYEE_MASTER!P425</f>
        <v>4</v>
      </c>
      <c r="H425" s="99">
        <f>EMPLOYEE_MASTER!Q425</f>
        <v>1</v>
      </c>
      <c r="I425" s="100" t="str">
        <f t="shared" si="48"/>
        <v>G04-S01</v>
      </c>
      <c r="J425" s="100">
        <f>IFERROR(VLOOKUP(I425,LK_GradeStep!$C$4:$D$85,2,0),0)</f>
        <v>286</v>
      </c>
      <c r="K425" s="100">
        <f>IFERROR(VLOOKUP(I425,LK_GradeStep!$C$4:$E$85,3,0),10000)</f>
        <v>10000</v>
      </c>
      <c r="L425" s="100">
        <f t="shared" si="49"/>
        <v>2860000</v>
      </c>
      <c r="M425" s="101">
        <f>IFERROR(VLOOKUP(EMPLOYEE_MASTER!AQ425,LK_AllowanceRates!$A$5:$B$11,2,0),0)</f>
        <v>900000</v>
      </c>
      <c r="N425" s="101">
        <f ca="1">IFERROR(IF(EMPLOYEE_MASTER!J425&lt;=5,  EMPLOYEE_MASTER!J425*LK_AllowanceRates!$B$12,IF(EMPLOYEE_MASTER!J425&lt;=15, EMPLOYEE_MASTER!J425*LK_AllowanceRates!$B$13,IF(EMPLOYEE_MASTER!J425&lt;=25, EMPLOYEE_MASTER!J425*LK_AllowanceRates!$B$14,EMPLOYEE_MASTER!J425*LK_AllowanceRates!$B$15))),0)</f>
        <v>200000</v>
      </c>
      <c r="O425" s="101">
        <f>IF(EMPLOYEE_MASTER!AS425="Teaching",L425*LK_AllowanceRates!$B$16,0)</f>
        <v>0</v>
      </c>
      <c r="P425" s="101">
        <f>IF(EMPLOYEE_MASTER!AS425="Medical",LK_AllowanceRates!$B$17,0)</f>
        <v>0</v>
      </c>
      <c r="Q425" s="101">
        <f>IF(EMPLOYEE_MASTER!AR425="Yes",LK_AllowanceRates!$B$18,0)</f>
        <v>0</v>
      </c>
      <c r="R425" s="101">
        <f>IF(EMPLOYEE_MASTER!AC425="Yes",LK_AllowanceRates!$B$19,0)</f>
        <v>0</v>
      </c>
      <c r="S425" s="101">
        <f>IF(EMPLOYEE_MASTER!AA425="Yes",L425*LK_AllowanceRates!$B$20,0)</f>
        <v>0</v>
      </c>
      <c r="T425" s="101">
        <f>IF(EMPLOYEE_MASTER!AB425="Yes",LK_AllowanceRates!$B$21,0)</f>
        <v>0</v>
      </c>
      <c r="U425" s="101">
        <f>IF(EMPLOYEE_MASTER!P425&gt;=6,LK_AllowanceRates!$B$22,0)</f>
        <v>0</v>
      </c>
      <c r="V425" s="101">
        <f>IF(EMPLOYEE_MASTER!AO425="Yes",LK_AllowanceRates!$B$23,0)</f>
        <v>200000</v>
      </c>
      <c r="W425" s="101">
        <f>EMPLOYEE_MASTER!AP425*LK_AllowanceRates!$B$24</f>
        <v>600000</v>
      </c>
      <c r="X425" s="101">
        <v>0</v>
      </c>
      <c r="Y425" s="102">
        <v>0</v>
      </c>
      <c r="Z425" s="102">
        <v>0</v>
      </c>
      <c r="AA425" s="102">
        <v>0</v>
      </c>
      <c r="AB425" s="103">
        <f t="shared" ca="1" si="50"/>
        <v>1900000</v>
      </c>
      <c r="AC425" s="104">
        <f t="shared" ca="1" si="51"/>
        <v>4760000</v>
      </c>
      <c r="AD425" s="105">
        <f>ROUND(L425*LK_AllowanceRates!$B$25/100,0)</f>
        <v>157300</v>
      </c>
      <c r="AE425" s="106">
        <f t="shared" ca="1" si="52"/>
        <v>4602700</v>
      </c>
      <c r="AF425" s="106">
        <f t="shared" ca="1" si="53"/>
        <v>165135</v>
      </c>
      <c r="AG425" s="107">
        <v>0</v>
      </c>
      <c r="AH425" s="107">
        <v>0</v>
      </c>
      <c r="AI425" s="108">
        <f t="shared" ca="1" si="54"/>
        <v>322435</v>
      </c>
      <c r="AJ425" s="109">
        <f t="shared" ca="1" si="55"/>
        <v>4437565</v>
      </c>
    </row>
    <row r="426" spans="1:36" ht="15" customHeight="1" x14ac:dyDescent="0.3">
      <c r="A426" s="98" t="str">
        <f>EMPLOYEE_MASTER!A426</f>
        <v>LAO00423</v>
      </c>
      <c r="B426" s="98" t="str">
        <f>EMPLOYEE_MASTER!C426</f>
        <v>Khammany</v>
      </c>
      <c r="C426" s="98" t="str">
        <f>EMPLOYEE_MASTER!D426</f>
        <v>Kheudkham</v>
      </c>
      <c r="D426" s="98" t="str">
        <f>EMPLOYEE_MASTER!T426</f>
        <v>Ministry of Health (MoH)</v>
      </c>
      <c r="E426" s="98" t="str">
        <f>EMPLOYEE_MASTER!M426</f>
        <v>Medical Specialist</v>
      </c>
      <c r="F426" s="98" t="str">
        <f>EMPLOYEE_MASTER!Z426</f>
        <v>Medical</v>
      </c>
      <c r="G426" s="99">
        <f>EMPLOYEE_MASTER!P426</f>
        <v>4</v>
      </c>
      <c r="H426" s="99">
        <f>EMPLOYEE_MASTER!Q426</f>
        <v>13</v>
      </c>
      <c r="I426" s="100" t="str">
        <f t="shared" si="48"/>
        <v>G04-S13</v>
      </c>
      <c r="J426" s="100">
        <f>IFERROR(VLOOKUP(I426,LK_GradeStep!$C$4:$D$85,2,0),0)</f>
        <v>328</v>
      </c>
      <c r="K426" s="100">
        <f>IFERROR(VLOOKUP(I426,LK_GradeStep!$C$4:$E$85,3,0),10000)</f>
        <v>10000</v>
      </c>
      <c r="L426" s="100">
        <f t="shared" si="49"/>
        <v>3280000</v>
      </c>
      <c r="M426" s="101">
        <f>IFERROR(VLOOKUP(EMPLOYEE_MASTER!AQ426,LK_AllowanceRates!$A$5:$B$11,2,0),0)</f>
        <v>900000</v>
      </c>
      <c r="N426" s="101">
        <f ca="1">IFERROR(IF(EMPLOYEE_MASTER!J426&lt;=5,  EMPLOYEE_MASTER!J426*LK_AllowanceRates!$B$12,IF(EMPLOYEE_MASTER!J426&lt;=15, EMPLOYEE_MASTER!J426*LK_AllowanceRates!$B$13,IF(EMPLOYEE_MASTER!J426&lt;=25, EMPLOYEE_MASTER!J426*LK_AllowanceRates!$B$14,EMPLOYEE_MASTER!J426*LK_AllowanceRates!$B$15))),0)</f>
        <v>30000</v>
      </c>
      <c r="O426" s="101">
        <f>IF(EMPLOYEE_MASTER!AS426="Teaching",L426*LK_AllowanceRates!$B$16,0)</f>
        <v>0</v>
      </c>
      <c r="P426" s="101">
        <f>IF(EMPLOYEE_MASTER!AS426="Medical",LK_AllowanceRates!$B$17,0)</f>
        <v>500000</v>
      </c>
      <c r="Q426" s="101">
        <f>IF(EMPLOYEE_MASTER!AR426="Yes",LK_AllowanceRates!$B$18,0)</f>
        <v>0</v>
      </c>
      <c r="R426" s="101">
        <f>IF(EMPLOYEE_MASTER!AC426="Yes",LK_AllowanceRates!$B$19,0)</f>
        <v>0</v>
      </c>
      <c r="S426" s="101">
        <f>IF(EMPLOYEE_MASTER!AA426="Yes",L426*LK_AllowanceRates!$B$20,0)</f>
        <v>0</v>
      </c>
      <c r="T426" s="101">
        <f>IF(EMPLOYEE_MASTER!AB426="Yes",LK_AllowanceRates!$B$21,0)</f>
        <v>0</v>
      </c>
      <c r="U426" s="101">
        <f>IF(EMPLOYEE_MASTER!P426&gt;=6,LK_AllowanceRates!$B$22,0)</f>
        <v>0</v>
      </c>
      <c r="V426" s="101">
        <f>IF(EMPLOYEE_MASTER!AO426="Yes",LK_AllowanceRates!$B$23,0)</f>
        <v>200000</v>
      </c>
      <c r="W426" s="101">
        <f>EMPLOYEE_MASTER!AP426*LK_AllowanceRates!$B$24</f>
        <v>400000</v>
      </c>
      <c r="X426" s="101">
        <v>0</v>
      </c>
      <c r="Y426" s="102">
        <v>0</v>
      </c>
      <c r="Z426" s="102">
        <v>0</v>
      </c>
      <c r="AA426" s="102">
        <v>0</v>
      </c>
      <c r="AB426" s="103">
        <f t="shared" ca="1" si="50"/>
        <v>2030000</v>
      </c>
      <c r="AC426" s="104">
        <f t="shared" ca="1" si="51"/>
        <v>5310000</v>
      </c>
      <c r="AD426" s="105">
        <f>ROUND(L426*LK_AllowanceRates!$B$25/100,0)</f>
        <v>180400</v>
      </c>
      <c r="AE426" s="106">
        <f t="shared" ca="1" si="52"/>
        <v>5129600</v>
      </c>
      <c r="AF426" s="106">
        <f t="shared" ca="1" si="53"/>
        <v>197960</v>
      </c>
      <c r="AG426" s="107">
        <v>0</v>
      </c>
      <c r="AH426" s="107">
        <v>0</v>
      </c>
      <c r="AI426" s="108">
        <f t="shared" ca="1" si="54"/>
        <v>378360</v>
      </c>
      <c r="AJ426" s="109">
        <f t="shared" ca="1" si="55"/>
        <v>4931640</v>
      </c>
    </row>
    <row r="427" spans="1:36" ht="15" customHeight="1" x14ac:dyDescent="0.3">
      <c r="A427" s="98" t="str">
        <f>EMPLOYEE_MASTER!A427</f>
        <v>LAO00424</v>
      </c>
      <c r="B427" s="98" t="str">
        <f>EMPLOYEE_MASTER!C427</f>
        <v>Sisamone</v>
      </c>
      <c r="C427" s="98" t="str">
        <f>EMPLOYEE_MASTER!D427</f>
        <v>Sisouvath</v>
      </c>
      <c r="D427" s="98" t="str">
        <f>EMPLOYEE_MASTER!T427</f>
        <v>Ministry of Health (MoH)</v>
      </c>
      <c r="E427" s="98" t="str">
        <f>EMPLOYEE_MASTER!M427</f>
        <v>Hospital Director</v>
      </c>
      <c r="F427" s="98" t="str">
        <f>EMPLOYEE_MASTER!Z427</f>
        <v>Medical</v>
      </c>
      <c r="G427" s="99">
        <f>EMPLOYEE_MASTER!P427</f>
        <v>5</v>
      </c>
      <c r="H427" s="99">
        <f>EMPLOYEE_MASTER!Q427</f>
        <v>1</v>
      </c>
      <c r="I427" s="100" t="str">
        <f t="shared" si="48"/>
        <v>G05-S01</v>
      </c>
      <c r="J427" s="100">
        <f>IFERROR(VLOOKUP(I427,LK_GradeStep!$C$4:$D$85,2,0),0)</f>
        <v>308</v>
      </c>
      <c r="K427" s="100">
        <f>IFERROR(VLOOKUP(I427,LK_GradeStep!$C$4:$E$85,3,0),10000)</f>
        <v>10000</v>
      </c>
      <c r="L427" s="100">
        <f t="shared" si="49"/>
        <v>3080000</v>
      </c>
      <c r="M427" s="101">
        <f>IFERROR(VLOOKUP(EMPLOYEE_MASTER!AQ427,LK_AllowanceRates!$A$5:$B$11,2,0),0)</f>
        <v>2500000</v>
      </c>
      <c r="N427" s="101">
        <f ca="1">IFERROR(IF(EMPLOYEE_MASTER!J427&lt;=5,  EMPLOYEE_MASTER!J427*LK_AllowanceRates!$B$12,IF(EMPLOYEE_MASTER!J427&lt;=15, EMPLOYEE_MASTER!J427*LK_AllowanceRates!$B$13,IF(EMPLOYEE_MASTER!J427&lt;=25, EMPLOYEE_MASTER!J427*LK_AllowanceRates!$B$14,EMPLOYEE_MASTER!J427*LK_AllowanceRates!$B$15))),0)</f>
        <v>1120000</v>
      </c>
      <c r="O427" s="101">
        <f>IF(EMPLOYEE_MASTER!AS427="Teaching",L427*LK_AllowanceRates!$B$16,0)</f>
        <v>0</v>
      </c>
      <c r="P427" s="101">
        <f>IF(EMPLOYEE_MASTER!AS427="Medical",LK_AllowanceRates!$B$17,0)</f>
        <v>500000</v>
      </c>
      <c r="Q427" s="101">
        <f>IF(EMPLOYEE_MASTER!AR427="Yes",LK_AllowanceRates!$B$18,0)</f>
        <v>0</v>
      </c>
      <c r="R427" s="101">
        <f>IF(EMPLOYEE_MASTER!AC427="Yes",LK_AllowanceRates!$B$19,0)</f>
        <v>0</v>
      </c>
      <c r="S427" s="101">
        <f>IF(EMPLOYEE_MASTER!AA427="Yes",L427*LK_AllowanceRates!$B$20,0)</f>
        <v>770000</v>
      </c>
      <c r="T427" s="101">
        <f>IF(EMPLOYEE_MASTER!AB427="Yes",LK_AllowanceRates!$B$21,0)</f>
        <v>0</v>
      </c>
      <c r="U427" s="101">
        <f>IF(EMPLOYEE_MASTER!P427&gt;=6,LK_AllowanceRates!$B$22,0)</f>
        <v>0</v>
      </c>
      <c r="V427" s="101">
        <f>IF(EMPLOYEE_MASTER!AO427="Yes",LK_AllowanceRates!$B$23,0)</f>
        <v>200000</v>
      </c>
      <c r="W427" s="101">
        <f>EMPLOYEE_MASTER!AP427*LK_AllowanceRates!$B$24</f>
        <v>200000</v>
      </c>
      <c r="X427" s="101">
        <v>0</v>
      </c>
      <c r="Y427" s="102">
        <v>0</v>
      </c>
      <c r="Z427" s="102">
        <v>0</v>
      </c>
      <c r="AA427" s="102">
        <v>0</v>
      </c>
      <c r="AB427" s="103">
        <f t="shared" ca="1" si="50"/>
        <v>5290000</v>
      </c>
      <c r="AC427" s="104">
        <f t="shared" ca="1" si="51"/>
        <v>8370000</v>
      </c>
      <c r="AD427" s="105">
        <f>ROUND(L427*LK_AllowanceRates!$B$25/100,0)</f>
        <v>169400</v>
      </c>
      <c r="AE427" s="106">
        <f t="shared" ca="1" si="52"/>
        <v>8200600</v>
      </c>
      <c r="AF427" s="106">
        <f t="shared" ca="1" si="53"/>
        <v>505060</v>
      </c>
      <c r="AG427" s="107">
        <v>0</v>
      </c>
      <c r="AH427" s="107">
        <v>0</v>
      </c>
      <c r="AI427" s="108">
        <f t="shared" ca="1" si="54"/>
        <v>674460</v>
      </c>
      <c r="AJ427" s="109">
        <f t="shared" ca="1" si="55"/>
        <v>7695540</v>
      </c>
    </row>
    <row r="428" spans="1:36" ht="15" customHeight="1" x14ac:dyDescent="0.3">
      <c r="A428" s="98" t="str">
        <f>EMPLOYEE_MASTER!A428</f>
        <v>LAO00425</v>
      </c>
      <c r="B428" s="98" t="str">
        <f>EMPLOYEE_MASTER!C428</f>
        <v>Sengphet</v>
      </c>
      <c r="C428" s="98" t="str">
        <f>EMPLOYEE_MASTER!D428</f>
        <v>Souksavanh</v>
      </c>
      <c r="D428" s="98" t="str">
        <f>EMPLOYEE_MASTER!T428</f>
        <v>Ministry of Planning &amp; Investment (MPI)</v>
      </c>
      <c r="E428" s="98" t="str">
        <f>EMPLOYEE_MASTER!M428</f>
        <v>Department Director</v>
      </c>
      <c r="F428" s="98" t="str">
        <f>EMPLOYEE_MASTER!Z428</f>
        <v>Administration</v>
      </c>
      <c r="G428" s="99">
        <f>EMPLOYEE_MASTER!P428</f>
        <v>4</v>
      </c>
      <c r="H428" s="99">
        <f>EMPLOYEE_MASTER!Q428</f>
        <v>7</v>
      </c>
      <c r="I428" s="100" t="str">
        <f t="shared" si="48"/>
        <v>G04-S07</v>
      </c>
      <c r="J428" s="100">
        <f>IFERROR(VLOOKUP(I428,LK_GradeStep!$C$4:$D$85,2,0),0)</f>
        <v>298</v>
      </c>
      <c r="K428" s="100">
        <f>IFERROR(VLOOKUP(I428,LK_GradeStep!$C$4:$E$85,3,0),10000)</f>
        <v>10000</v>
      </c>
      <c r="L428" s="100">
        <f t="shared" si="49"/>
        <v>2980000</v>
      </c>
      <c r="M428" s="101">
        <f>IFERROR(VLOOKUP(EMPLOYEE_MASTER!AQ428,LK_AllowanceRates!$A$5:$B$11,2,0),0)</f>
        <v>2500000</v>
      </c>
      <c r="N428" s="101">
        <f ca="1">IFERROR(IF(EMPLOYEE_MASTER!J428&lt;=5,  EMPLOYEE_MASTER!J428*LK_AllowanceRates!$B$12,IF(EMPLOYEE_MASTER!J428&lt;=15, EMPLOYEE_MASTER!J428*LK_AllowanceRates!$B$13,IF(EMPLOYEE_MASTER!J428&lt;=25, EMPLOYEE_MASTER!J428*LK_AllowanceRates!$B$14,EMPLOYEE_MASTER!J428*LK_AllowanceRates!$B$15))),0)</f>
        <v>480000</v>
      </c>
      <c r="O428" s="101">
        <f>IF(EMPLOYEE_MASTER!AS428="Teaching",L428*LK_AllowanceRates!$B$16,0)</f>
        <v>0</v>
      </c>
      <c r="P428" s="101">
        <f>IF(EMPLOYEE_MASTER!AS428="Medical",LK_AllowanceRates!$B$17,0)</f>
        <v>0</v>
      </c>
      <c r="Q428" s="101">
        <f>IF(EMPLOYEE_MASTER!AR428="Yes",LK_AllowanceRates!$B$18,0)</f>
        <v>0</v>
      </c>
      <c r="R428" s="101">
        <f>IF(EMPLOYEE_MASTER!AC428="Yes",LK_AllowanceRates!$B$19,0)</f>
        <v>0</v>
      </c>
      <c r="S428" s="101">
        <f>IF(EMPLOYEE_MASTER!AA428="Yes",L428*LK_AllowanceRates!$B$20,0)</f>
        <v>745000</v>
      </c>
      <c r="T428" s="101">
        <f>IF(EMPLOYEE_MASTER!AB428="Yes",LK_AllowanceRates!$B$21,0)</f>
        <v>0</v>
      </c>
      <c r="U428" s="101">
        <f>IF(EMPLOYEE_MASTER!P428&gt;=6,LK_AllowanceRates!$B$22,0)</f>
        <v>0</v>
      </c>
      <c r="V428" s="101">
        <f>IF(EMPLOYEE_MASTER!AO428="Yes",LK_AllowanceRates!$B$23,0)</f>
        <v>200000</v>
      </c>
      <c r="W428" s="101">
        <f>EMPLOYEE_MASTER!AP428*LK_AllowanceRates!$B$24</f>
        <v>0</v>
      </c>
      <c r="X428" s="101">
        <v>0</v>
      </c>
      <c r="Y428" s="102">
        <v>0</v>
      </c>
      <c r="Z428" s="102">
        <v>0</v>
      </c>
      <c r="AA428" s="102">
        <v>0</v>
      </c>
      <c r="AB428" s="103">
        <f t="shared" ca="1" si="50"/>
        <v>3925000</v>
      </c>
      <c r="AC428" s="104">
        <f t="shared" ca="1" si="51"/>
        <v>6905000</v>
      </c>
      <c r="AD428" s="105">
        <f>ROUND(L428*LK_AllowanceRates!$B$25/100,0)</f>
        <v>163900</v>
      </c>
      <c r="AE428" s="106">
        <f t="shared" ca="1" si="52"/>
        <v>6741100</v>
      </c>
      <c r="AF428" s="106">
        <f t="shared" ca="1" si="53"/>
        <v>359110</v>
      </c>
      <c r="AG428" s="107">
        <v>0</v>
      </c>
      <c r="AH428" s="107">
        <v>0</v>
      </c>
      <c r="AI428" s="108">
        <f t="shared" ca="1" si="54"/>
        <v>523010</v>
      </c>
      <c r="AJ428" s="109">
        <f t="shared" ca="1" si="55"/>
        <v>6381990</v>
      </c>
    </row>
    <row r="429" spans="1:36" ht="15" customHeight="1" x14ac:dyDescent="0.3">
      <c r="A429" s="98" t="str">
        <f>EMPLOYEE_MASTER!A429</f>
        <v>LAO00426</v>
      </c>
      <c r="B429" s="98" t="str">
        <f>EMPLOYEE_MASTER!C429</f>
        <v>Santisouk</v>
      </c>
      <c r="C429" s="98" t="str">
        <f>EMPLOYEE_MASTER!D429</f>
        <v>Sengdara</v>
      </c>
      <c r="D429" s="98" t="str">
        <f>EMPLOYEE_MASTER!T429</f>
        <v>Ministry of Education and Sports (MoES)</v>
      </c>
      <c r="E429" s="98" t="str">
        <f>EMPLOYEE_MASTER!M429</f>
        <v>Secondary School Teacher</v>
      </c>
      <c r="F429" s="98" t="str">
        <f>EMPLOYEE_MASTER!Z429</f>
        <v>Teacher</v>
      </c>
      <c r="G429" s="99">
        <f>EMPLOYEE_MASTER!P429</f>
        <v>4</v>
      </c>
      <c r="H429" s="99">
        <f>EMPLOYEE_MASTER!Q429</f>
        <v>1</v>
      </c>
      <c r="I429" s="100" t="str">
        <f t="shared" si="48"/>
        <v>G04-S01</v>
      </c>
      <c r="J429" s="100">
        <f>IFERROR(VLOOKUP(I429,LK_GradeStep!$C$4:$D$85,2,0),0)</f>
        <v>286</v>
      </c>
      <c r="K429" s="100">
        <f>IFERROR(VLOOKUP(I429,LK_GradeStep!$C$4:$E$85,3,0),10000)</f>
        <v>10000</v>
      </c>
      <c r="L429" s="100">
        <f t="shared" si="49"/>
        <v>2860000</v>
      </c>
      <c r="M429" s="101">
        <f>IFERROR(VLOOKUP(EMPLOYEE_MASTER!AQ429,LK_AllowanceRates!$A$5:$B$11,2,0),0)</f>
        <v>900000</v>
      </c>
      <c r="N429" s="101">
        <f ca="1">IFERROR(IF(EMPLOYEE_MASTER!J429&lt;=5,  EMPLOYEE_MASTER!J429*LK_AllowanceRates!$B$12,IF(EMPLOYEE_MASTER!J429&lt;=15, EMPLOYEE_MASTER!J429*LK_AllowanceRates!$B$13,IF(EMPLOYEE_MASTER!J429&lt;=25, EMPLOYEE_MASTER!J429*LK_AllowanceRates!$B$14,EMPLOYEE_MASTER!J429*LK_AllowanceRates!$B$15))),0)</f>
        <v>40000</v>
      </c>
      <c r="O429" s="101">
        <f>IF(EMPLOYEE_MASTER!AS429="Teaching",L429*LK_AllowanceRates!$B$16,0)</f>
        <v>572000</v>
      </c>
      <c r="P429" s="101">
        <f>IF(EMPLOYEE_MASTER!AS429="Medical",LK_AllowanceRates!$B$17,0)</f>
        <v>0</v>
      </c>
      <c r="Q429" s="101">
        <f>IF(EMPLOYEE_MASTER!AR429="Yes",LK_AllowanceRates!$B$18,0)</f>
        <v>0</v>
      </c>
      <c r="R429" s="101">
        <f>IF(EMPLOYEE_MASTER!AC429="Yes",LK_AllowanceRates!$B$19,0)</f>
        <v>0</v>
      </c>
      <c r="S429" s="101">
        <f>IF(EMPLOYEE_MASTER!AA429="Yes",L429*LK_AllowanceRates!$B$20,0)</f>
        <v>0</v>
      </c>
      <c r="T429" s="101">
        <f>IF(EMPLOYEE_MASTER!AB429="Yes",LK_AllowanceRates!$B$21,0)</f>
        <v>0</v>
      </c>
      <c r="U429" s="101">
        <f>IF(EMPLOYEE_MASTER!P429&gt;=6,LK_AllowanceRates!$B$22,0)</f>
        <v>0</v>
      </c>
      <c r="V429" s="101">
        <f>IF(EMPLOYEE_MASTER!AO429="Yes",LK_AllowanceRates!$B$23,0)</f>
        <v>200000</v>
      </c>
      <c r="W429" s="101">
        <f>EMPLOYEE_MASTER!AP429*LK_AllowanceRates!$B$24</f>
        <v>600000</v>
      </c>
      <c r="X429" s="101">
        <v>0</v>
      </c>
      <c r="Y429" s="102">
        <v>0</v>
      </c>
      <c r="Z429" s="102">
        <v>0</v>
      </c>
      <c r="AA429" s="102">
        <v>0</v>
      </c>
      <c r="AB429" s="103">
        <f t="shared" ca="1" si="50"/>
        <v>2312000</v>
      </c>
      <c r="AC429" s="104">
        <f t="shared" ca="1" si="51"/>
        <v>5172000</v>
      </c>
      <c r="AD429" s="105">
        <f>ROUND(L429*LK_AllowanceRates!$B$25/100,0)</f>
        <v>157300</v>
      </c>
      <c r="AE429" s="106">
        <f t="shared" ca="1" si="52"/>
        <v>5014700</v>
      </c>
      <c r="AF429" s="106">
        <f t="shared" ca="1" si="53"/>
        <v>186470</v>
      </c>
      <c r="AG429" s="107">
        <v>0</v>
      </c>
      <c r="AH429" s="107">
        <v>0</v>
      </c>
      <c r="AI429" s="108">
        <f t="shared" ca="1" si="54"/>
        <v>343770</v>
      </c>
      <c r="AJ429" s="109">
        <f t="shared" ca="1" si="55"/>
        <v>4828230</v>
      </c>
    </row>
    <row r="430" spans="1:36" ht="15" customHeight="1" x14ac:dyDescent="0.3">
      <c r="A430" s="98" t="str">
        <f>EMPLOYEE_MASTER!A430</f>
        <v>LAO00427</v>
      </c>
      <c r="B430" s="98" t="str">
        <f>EMPLOYEE_MASTER!C430</f>
        <v>Nongkham</v>
      </c>
      <c r="C430" s="98" t="str">
        <f>EMPLOYEE_MASTER!D430</f>
        <v>Chanthavong</v>
      </c>
      <c r="D430" s="98" t="str">
        <f>EMPLOYEE_MASTER!T430</f>
        <v>Ministry of Natural Resources &amp; Environment (MoNRE)</v>
      </c>
      <c r="E430" s="98" t="str">
        <f>EMPLOYEE_MASTER!M430</f>
        <v>Section Chief</v>
      </c>
      <c r="F430" s="98" t="str">
        <f>EMPLOYEE_MASTER!Z430</f>
        <v>Technical</v>
      </c>
      <c r="G430" s="99">
        <f>EMPLOYEE_MASTER!P430</f>
        <v>5</v>
      </c>
      <c r="H430" s="99">
        <f>EMPLOYEE_MASTER!Q430</f>
        <v>1</v>
      </c>
      <c r="I430" s="100" t="str">
        <f t="shared" si="48"/>
        <v>G05-S01</v>
      </c>
      <c r="J430" s="100">
        <f>IFERROR(VLOOKUP(I430,LK_GradeStep!$C$4:$D$85,2,0),0)</f>
        <v>308</v>
      </c>
      <c r="K430" s="100">
        <f>IFERROR(VLOOKUP(I430,LK_GradeStep!$C$4:$E$85,3,0),10000)</f>
        <v>10000</v>
      </c>
      <c r="L430" s="100">
        <f t="shared" si="49"/>
        <v>3080000</v>
      </c>
      <c r="M430" s="101">
        <f>IFERROR(VLOOKUP(EMPLOYEE_MASTER!AQ430,LK_AllowanceRates!$A$5:$B$11,2,0),0)</f>
        <v>1500000</v>
      </c>
      <c r="N430" s="101">
        <f ca="1">IFERROR(IF(EMPLOYEE_MASTER!J430&lt;=5,  EMPLOYEE_MASTER!J430*LK_AllowanceRates!$B$12,IF(EMPLOYEE_MASTER!J430&lt;=15, EMPLOYEE_MASTER!J430*LK_AllowanceRates!$B$13,IF(EMPLOYEE_MASTER!J430&lt;=25, EMPLOYEE_MASTER!J430*LK_AllowanceRates!$B$14,EMPLOYEE_MASTER!J430*LK_AllowanceRates!$B$15))),0)</f>
        <v>280000</v>
      </c>
      <c r="O430" s="101">
        <f>IF(EMPLOYEE_MASTER!AS430="Teaching",L430*LK_AllowanceRates!$B$16,0)</f>
        <v>0</v>
      </c>
      <c r="P430" s="101">
        <f>IF(EMPLOYEE_MASTER!AS430="Medical",LK_AllowanceRates!$B$17,0)</f>
        <v>0</v>
      </c>
      <c r="Q430" s="101">
        <f>IF(EMPLOYEE_MASTER!AR430="Yes",LK_AllowanceRates!$B$18,0)</f>
        <v>0</v>
      </c>
      <c r="R430" s="101">
        <f>IF(EMPLOYEE_MASTER!AC430="Yes",LK_AllowanceRates!$B$19,0)</f>
        <v>1000000</v>
      </c>
      <c r="S430" s="101">
        <f>IF(EMPLOYEE_MASTER!AA430="Yes",L430*LK_AllowanceRates!$B$20,0)</f>
        <v>770000</v>
      </c>
      <c r="T430" s="101">
        <f>IF(EMPLOYEE_MASTER!AB430="Yes",LK_AllowanceRates!$B$21,0)</f>
        <v>0</v>
      </c>
      <c r="U430" s="101">
        <f>IF(EMPLOYEE_MASTER!P430&gt;=6,LK_AllowanceRates!$B$22,0)</f>
        <v>0</v>
      </c>
      <c r="V430" s="101">
        <f>IF(EMPLOYEE_MASTER!AO430="Yes",LK_AllowanceRates!$B$23,0)</f>
        <v>200000</v>
      </c>
      <c r="W430" s="101">
        <f>EMPLOYEE_MASTER!AP430*LK_AllowanceRates!$B$24</f>
        <v>400000</v>
      </c>
      <c r="X430" s="101">
        <v>0</v>
      </c>
      <c r="Y430" s="102">
        <v>0</v>
      </c>
      <c r="Z430" s="102">
        <v>0</v>
      </c>
      <c r="AA430" s="102">
        <v>0</v>
      </c>
      <c r="AB430" s="103">
        <f t="shared" ca="1" si="50"/>
        <v>4150000</v>
      </c>
      <c r="AC430" s="104">
        <f t="shared" ca="1" si="51"/>
        <v>7230000</v>
      </c>
      <c r="AD430" s="105">
        <f>ROUND(L430*LK_AllowanceRates!$B$25/100,0)</f>
        <v>169400</v>
      </c>
      <c r="AE430" s="106">
        <f t="shared" ca="1" si="52"/>
        <v>7060600</v>
      </c>
      <c r="AF430" s="106">
        <f t="shared" ca="1" si="53"/>
        <v>391060</v>
      </c>
      <c r="AG430" s="107">
        <v>0</v>
      </c>
      <c r="AH430" s="107">
        <v>0</v>
      </c>
      <c r="AI430" s="108">
        <f t="shared" ca="1" si="54"/>
        <v>560460</v>
      </c>
      <c r="AJ430" s="109">
        <f t="shared" ca="1" si="55"/>
        <v>6669540</v>
      </c>
    </row>
    <row r="431" spans="1:36" ht="15" customHeight="1" x14ac:dyDescent="0.3">
      <c r="A431" s="98" t="str">
        <f>EMPLOYEE_MASTER!A431</f>
        <v>LAO00428</v>
      </c>
      <c r="B431" s="98" t="str">
        <f>EMPLOYEE_MASTER!C431</f>
        <v>Khamsing</v>
      </c>
      <c r="C431" s="98" t="str">
        <f>EMPLOYEE_MASTER!D431</f>
        <v>Luanglath</v>
      </c>
      <c r="D431" s="98" t="str">
        <f>EMPLOYEE_MASTER!T431</f>
        <v>Ministry of Home Affairs (MoHA)</v>
      </c>
      <c r="E431" s="98" t="str">
        <f>EMPLOYEE_MASTER!M431</f>
        <v>Senior Administrative Officer</v>
      </c>
      <c r="F431" s="98" t="str">
        <f>EMPLOYEE_MASTER!Z431</f>
        <v>Administration</v>
      </c>
      <c r="G431" s="99">
        <f>EMPLOYEE_MASTER!P431</f>
        <v>5</v>
      </c>
      <c r="H431" s="99">
        <f>EMPLOYEE_MASTER!Q431</f>
        <v>1</v>
      </c>
      <c r="I431" s="100" t="str">
        <f t="shared" si="48"/>
        <v>G05-S01</v>
      </c>
      <c r="J431" s="100">
        <f>IFERROR(VLOOKUP(I431,LK_GradeStep!$C$4:$D$85,2,0),0)</f>
        <v>308</v>
      </c>
      <c r="K431" s="100">
        <f>IFERROR(VLOOKUP(I431,LK_GradeStep!$C$4:$E$85,3,0),10000)</f>
        <v>10000</v>
      </c>
      <c r="L431" s="100">
        <f t="shared" si="49"/>
        <v>3080000</v>
      </c>
      <c r="M431" s="101">
        <f>IFERROR(VLOOKUP(EMPLOYEE_MASTER!AQ431,LK_AllowanceRates!$A$5:$B$11,2,0),0)</f>
        <v>900000</v>
      </c>
      <c r="N431" s="101">
        <f ca="1">IFERROR(IF(EMPLOYEE_MASTER!J431&lt;=5,  EMPLOYEE_MASTER!J431*LK_AllowanceRates!$B$12,IF(EMPLOYEE_MASTER!J431&lt;=15, EMPLOYEE_MASTER!J431*LK_AllowanceRates!$B$13,IF(EMPLOYEE_MASTER!J431&lt;=25, EMPLOYEE_MASTER!J431*LK_AllowanceRates!$B$14,EMPLOYEE_MASTER!J431*LK_AllowanceRates!$B$15))),0)</f>
        <v>1240000</v>
      </c>
      <c r="O431" s="101">
        <f>IF(EMPLOYEE_MASTER!AS431="Teaching",L431*LK_AllowanceRates!$B$16,0)</f>
        <v>0</v>
      </c>
      <c r="P431" s="101">
        <f>IF(EMPLOYEE_MASTER!AS431="Medical",LK_AllowanceRates!$B$17,0)</f>
        <v>0</v>
      </c>
      <c r="Q431" s="101">
        <f>IF(EMPLOYEE_MASTER!AR431="Yes",LK_AllowanceRates!$B$18,0)</f>
        <v>0</v>
      </c>
      <c r="R431" s="101">
        <f>IF(EMPLOYEE_MASTER!AC431="Yes",LK_AllowanceRates!$B$19,0)</f>
        <v>1000000</v>
      </c>
      <c r="S431" s="101">
        <f>IF(EMPLOYEE_MASTER!AA431="Yes",L431*LK_AllowanceRates!$B$20,0)</f>
        <v>770000</v>
      </c>
      <c r="T431" s="101">
        <f>IF(EMPLOYEE_MASTER!AB431="Yes",LK_AllowanceRates!$B$21,0)</f>
        <v>0</v>
      </c>
      <c r="U431" s="101">
        <f>IF(EMPLOYEE_MASTER!P431&gt;=6,LK_AllowanceRates!$B$22,0)</f>
        <v>0</v>
      </c>
      <c r="V431" s="101">
        <f>IF(EMPLOYEE_MASTER!AO431="Yes",LK_AllowanceRates!$B$23,0)</f>
        <v>200000</v>
      </c>
      <c r="W431" s="101">
        <f>EMPLOYEE_MASTER!AP431*LK_AllowanceRates!$B$24</f>
        <v>0</v>
      </c>
      <c r="X431" s="101">
        <v>0</v>
      </c>
      <c r="Y431" s="102">
        <v>0</v>
      </c>
      <c r="Z431" s="102">
        <v>0</v>
      </c>
      <c r="AA431" s="102">
        <v>0</v>
      </c>
      <c r="AB431" s="103">
        <f t="shared" ca="1" si="50"/>
        <v>4110000</v>
      </c>
      <c r="AC431" s="104">
        <f t="shared" ca="1" si="51"/>
        <v>7190000</v>
      </c>
      <c r="AD431" s="105">
        <f>ROUND(L431*LK_AllowanceRates!$B$25/100,0)</f>
        <v>169400</v>
      </c>
      <c r="AE431" s="106">
        <f t="shared" ca="1" si="52"/>
        <v>7020600</v>
      </c>
      <c r="AF431" s="106">
        <f t="shared" ca="1" si="53"/>
        <v>387060</v>
      </c>
      <c r="AG431" s="107">
        <v>0</v>
      </c>
      <c r="AH431" s="107">
        <v>0</v>
      </c>
      <c r="AI431" s="108">
        <f t="shared" ca="1" si="54"/>
        <v>556460</v>
      </c>
      <c r="AJ431" s="109">
        <f t="shared" ca="1" si="55"/>
        <v>6633540</v>
      </c>
    </row>
    <row r="432" spans="1:36" ht="15" customHeight="1" x14ac:dyDescent="0.3">
      <c r="A432" s="98" t="str">
        <f>EMPLOYEE_MASTER!A432</f>
        <v>LAO00429</v>
      </c>
      <c r="B432" s="98" t="str">
        <f>EMPLOYEE_MASTER!C432</f>
        <v>Bouakham</v>
      </c>
      <c r="C432" s="98" t="str">
        <f>EMPLOYEE_MASTER!D432</f>
        <v>Siphaseuth</v>
      </c>
      <c r="D432" s="98" t="str">
        <f>EMPLOYEE_MASTER!T432</f>
        <v>Ministry of Industry &amp; Commerce (MoIC)</v>
      </c>
      <c r="E432" s="98" t="str">
        <f>EMPLOYEE_MASTER!M432</f>
        <v>Division Chief</v>
      </c>
      <c r="F432" s="98" t="str">
        <f>EMPLOYEE_MASTER!Z432</f>
        <v>Administration</v>
      </c>
      <c r="G432" s="99">
        <f>EMPLOYEE_MASTER!P432</f>
        <v>5</v>
      </c>
      <c r="H432" s="99">
        <f>EMPLOYEE_MASTER!Q432</f>
        <v>1</v>
      </c>
      <c r="I432" s="100" t="str">
        <f t="shared" si="48"/>
        <v>G05-S01</v>
      </c>
      <c r="J432" s="100">
        <f>IFERROR(VLOOKUP(I432,LK_GradeStep!$C$4:$D$85,2,0),0)</f>
        <v>308</v>
      </c>
      <c r="K432" s="100">
        <f>IFERROR(VLOOKUP(I432,LK_GradeStep!$C$4:$E$85,3,0),10000)</f>
        <v>10000</v>
      </c>
      <c r="L432" s="100">
        <f t="shared" si="49"/>
        <v>3080000</v>
      </c>
      <c r="M432" s="101">
        <f>IFERROR(VLOOKUP(EMPLOYEE_MASTER!AQ432,LK_AllowanceRates!$A$5:$B$11,2,0),0)</f>
        <v>1900000</v>
      </c>
      <c r="N432" s="101">
        <f ca="1">IFERROR(IF(EMPLOYEE_MASTER!J432&lt;=5,  EMPLOYEE_MASTER!J432*LK_AllowanceRates!$B$12,IF(EMPLOYEE_MASTER!J432&lt;=15, EMPLOYEE_MASTER!J432*LK_AllowanceRates!$B$13,IF(EMPLOYEE_MASTER!J432&lt;=25, EMPLOYEE_MASTER!J432*LK_AllowanceRates!$B$14,EMPLOYEE_MASTER!J432*LK_AllowanceRates!$B$15))),0)</f>
        <v>1320000</v>
      </c>
      <c r="O432" s="101">
        <f>IF(EMPLOYEE_MASTER!AS432="Teaching",L432*LK_AllowanceRates!$B$16,0)</f>
        <v>0</v>
      </c>
      <c r="P432" s="101">
        <f>IF(EMPLOYEE_MASTER!AS432="Medical",LK_AllowanceRates!$B$17,0)</f>
        <v>0</v>
      </c>
      <c r="Q432" s="101">
        <f>IF(EMPLOYEE_MASTER!AR432="Yes",LK_AllowanceRates!$B$18,0)</f>
        <v>0</v>
      </c>
      <c r="R432" s="101">
        <f>IF(EMPLOYEE_MASTER!AC432="Yes",LK_AllowanceRates!$B$19,0)</f>
        <v>0</v>
      </c>
      <c r="S432" s="101">
        <f>IF(EMPLOYEE_MASTER!AA432="Yes",L432*LK_AllowanceRates!$B$20,0)</f>
        <v>0</v>
      </c>
      <c r="T432" s="101">
        <f>IF(EMPLOYEE_MASTER!AB432="Yes",LK_AllowanceRates!$B$21,0)</f>
        <v>0</v>
      </c>
      <c r="U432" s="101">
        <f>IF(EMPLOYEE_MASTER!P432&gt;=6,LK_AllowanceRates!$B$22,0)</f>
        <v>0</v>
      </c>
      <c r="V432" s="101">
        <f>IF(EMPLOYEE_MASTER!AO432="Yes",LK_AllowanceRates!$B$23,0)</f>
        <v>200000</v>
      </c>
      <c r="W432" s="101">
        <f>EMPLOYEE_MASTER!AP432*LK_AllowanceRates!$B$24</f>
        <v>200000</v>
      </c>
      <c r="X432" s="101">
        <v>0</v>
      </c>
      <c r="Y432" s="102">
        <v>0</v>
      </c>
      <c r="Z432" s="102">
        <v>0</v>
      </c>
      <c r="AA432" s="102">
        <v>0</v>
      </c>
      <c r="AB432" s="103">
        <f t="shared" ca="1" si="50"/>
        <v>3620000</v>
      </c>
      <c r="AC432" s="104">
        <f t="shared" ca="1" si="51"/>
        <v>6700000</v>
      </c>
      <c r="AD432" s="105">
        <f>ROUND(L432*LK_AllowanceRates!$B$25/100,0)</f>
        <v>169400</v>
      </c>
      <c r="AE432" s="106">
        <f t="shared" ca="1" si="52"/>
        <v>6530600</v>
      </c>
      <c r="AF432" s="106">
        <f t="shared" ca="1" si="53"/>
        <v>338060</v>
      </c>
      <c r="AG432" s="107">
        <v>0</v>
      </c>
      <c r="AH432" s="107">
        <v>0</v>
      </c>
      <c r="AI432" s="108">
        <f t="shared" ca="1" si="54"/>
        <v>507460</v>
      </c>
      <c r="AJ432" s="109">
        <f t="shared" ca="1" si="55"/>
        <v>6192540</v>
      </c>
    </row>
    <row r="433" spans="1:36" ht="15" customHeight="1" x14ac:dyDescent="0.3">
      <c r="A433" s="98" t="str">
        <f>EMPLOYEE_MASTER!A433</f>
        <v>LAO00430</v>
      </c>
      <c r="B433" s="98" t="str">
        <f>EMPLOYEE_MASTER!C433</f>
        <v>Sinorath</v>
      </c>
      <c r="C433" s="98" t="str">
        <f>EMPLOYEE_MASTER!D433</f>
        <v>Souksavanh</v>
      </c>
      <c r="D433" s="98" t="str">
        <f>EMPLOYEE_MASTER!T433</f>
        <v>Ministry of Industry &amp; Commerce (MoIC)</v>
      </c>
      <c r="E433" s="98" t="str">
        <f>EMPLOYEE_MASTER!M433</f>
        <v>Clerk</v>
      </c>
      <c r="F433" s="98" t="str">
        <f>EMPLOYEE_MASTER!Z433</f>
        <v>Administration</v>
      </c>
      <c r="G433" s="99">
        <f>EMPLOYEE_MASTER!P433</f>
        <v>4</v>
      </c>
      <c r="H433" s="99">
        <f>EMPLOYEE_MASTER!Q433</f>
        <v>1</v>
      </c>
      <c r="I433" s="100" t="str">
        <f t="shared" si="48"/>
        <v>G04-S01</v>
      </c>
      <c r="J433" s="100">
        <f>IFERROR(VLOOKUP(I433,LK_GradeStep!$C$4:$D$85,2,0),0)</f>
        <v>286</v>
      </c>
      <c r="K433" s="100">
        <f>IFERROR(VLOOKUP(I433,LK_GradeStep!$C$4:$E$85,3,0),10000)</f>
        <v>10000</v>
      </c>
      <c r="L433" s="100">
        <f t="shared" si="49"/>
        <v>2860000</v>
      </c>
      <c r="M433" s="101">
        <f>IFERROR(VLOOKUP(EMPLOYEE_MASTER!AQ433,LK_AllowanceRates!$A$5:$B$11,2,0),0)</f>
        <v>900000</v>
      </c>
      <c r="N433" s="101">
        <f ca="1">IFERROR(IF(EMPLOYEE_MASTER!J433&lt;=5,  EMPLOYEE_MASTER!J433*LK_AllowanceRates!$B$12,IF(EMPLOYEE_MASTER!J433&lt;=15, EMPLOYEE_MASTER!J433*LK_AllowanceRates!$B$13,IF(EMPLOYEE_MASTER!J433&lt;=25, EMPLOYEE_MASTER!J433*LK_AllowanceRates!$B$14,EMPLOYEE_MASTER!J433*LK_AllowanceRates!$B$15))),0)</f>
        <v>630000</v>
      </c>
      <c r="O433" s="101">
        <f>IF(EMPLOYEE_MASTER!AS433="Teaching",L433*LK_AllowanceRates!$B$16,0)</f>
        <v>0</v>
      </c>
      <c r="P433" s="101">
        <f>IF(EMPLOYEE_MASTER!AS433="Medical",LK_AllowanceRates!$B$17,0)</f>
        <v>0</v>
      </c>
      <c r="Q433" s="101">
        <f>IF(EMPLOYEE_MASTER!AR433="Yes",LK_AllowanceRates!$B$18,0)</f>
        <v>0</v>
      </c>
      <c r="R433" s="101">
        <f>IF(EMPLOYEE_MASTER!AC433="Yes",LK_AllowanceRates!$B$19,0)</f>
        <v>0</v>
      </c>
      <c r="S433" s="101">
        <f>IF(EMPLOYEE_MASTER!AA433="Yes",L433*LK_AllowanceRates!$B$20,0)</f>
        <v>0</v>
      </c>
      <c r="T433" s="101">
        <f>IF(EMPLOYEE_MASTER!AB433="Yes",LK_AllowanceRates!$B$21,0)</f>
        <v>0</v>
      </c>
      <c r="U433" s="101">
        <f>IF(EMPLOYEE_MASTER!P433&gt;=6,LK_AllowanceRates!$B$22,0)</f>
        <v>0</v>
      </c>
      <c r="V433" s="101">
        <f>IF(EMPLOYEE_MASTER!AO433="Yes",LK_AllowanceRates!$B$23,0)</f>
        <v>0</v>
      </c>
      <c r="W433" s="101">
        <f>EMPLOYEE_MASTER!AP433*LK_AllowanceRates!$B$24</f>
        <v>0</v>
      </c>
      <c r="X433" s="101">
        <v>0</v>
      </c>
      <c r="Y433" s="102">
        <v>0</v>
      </c>
      <c r="Z433" s="102">
        <v>0</v>
      </c>
      <c r="AA433" s="102">
        <v>0</v>
      </c>
      <c r="AB433" s="103">
        <f t="shared" ca="1" si="50"/>
        <v>1530000</v>
      </c>
      <c r="AC433" s="104">
        <f t="shared" ca="1" si="51"/>
        <v>4390000</v>
      </c>
      <c r="AD433" s="105">
        <f>ROUND(L433*LK_AllowanceRates!$B$25/100,0)</f>
        <v>157300</v>
      </c>
      <c r="AE433" s="106">
        <f t="shared" ca="1" si="52"/>
        <v>4232700</v>
      </c>
      <c r="AF433" s="106">
        <f t="shared" ca="1" si="53"/>
        <v>146635</v>
      </c>
      <c r="AG433" s="107">
        <v>0</v>
      </c>
      <c r="AH433" s="107">
        <v>0</v>
      </c>
      <c r="AI433" s="108">
        <f t="shared" ca="1" si="54"/>
        <v>303935</v>
      </c>
      <c r="AJ433" s="109">
        <f t="shared" ca="1" si="55"/>
        <v>4086065</v>
      </c>
    </row>
    <row r="434" spans="1:36" ht="15" customHeight="1" x14ac:dyDescent="0.3">
      <c r="A434" s="98" t="str">
        <f>EMPLOYEE_MASTER!A434</f>
        <v>LAO00431</v>
      </c>
      <c r="B434" s="98" t="str">
        <f>EMPLOYEE_MASTER!C434</f>
        <v>Sounthone</v>
      </c>
      <c r="C434" s="98" t="str">
        <f>EMPLOYEE_MASTER!D434</f>
        <v>Thammavong</v>
      </c>
      <c r="D434" s="98" t="str">
        <f>EMPLOYEE_MASTER!T434</f>
        <v>Champasak Province Administration</v>
      </c>
      <c r="E434" s="98" t="str">
        <f>EMPLOYEE_MASTER!M434</f>
        <v>Department Director</v>
      </c>
      <c r="F434" s="98" t="str">
        <f>EMPLOYEE_MASTER!Z434</f>
        <v>Administration</v>
      </c>
      <c r="G434" s="99">
        <f>EMPLOYEE_MASTER!P434</f>
        <v>4</v>
      </c>
      <c r="H434" s="99">
        <f>EMPLOYEE_MASTER!Q434</f>
        <v>1</v>
      </c>
      <c r="I434" s="100" t="str">
        <f t="shared" si="48"/>
        <v>G04-S01</v>
      </c>
      <c r="J434" s="100">
        <f>IFERROR(VLOOKUP(I434,LK_GradeStep!$C$4:$D$85,2,0),0)</f>
        <v>286</v>
      </c>
      <c r="K434" s="100">
        <f>IFERROR(VLOOKUP(I434,LK_GradeStep!$C$4:$E$85,3,0),10000)</f>
        <v>10000</v>
      </c>
      <c r="L434" s="100">
        <f t="shared" si="49"/>
        <v>2860000</v>
      </c>
      <c r="M434" s="101">
        <f>IFERROR(VLOOKUP(EMPLOYEE_MASTER!AQ434,LK_AllowanceRates!$A$5:$B$11,2,0),0)</f>
        <v>2500000</v>
      </c>
      <c r="N434" s="101">
        <f ca="1">IFERROR(IF(EMPLOYEE_MASTER!J434&lt;=5,  EMPLOYEE_MASTER!J434*LK_AllowanceRates!$B$12,IF(EMPLOYEE_MASTER!J434&lt;=15, EMPLOYEE_MASTER!J434*LK_AllowanceRates!$B$13,IF(EMPLOYEE_MASTER!J434&lt;=25, EMPLOYEE_MASTER!J434*LK_AllowanceRates!$B$14,EMPLOYEE_MASTER!J434*LK_AllowanceRates!$B$15))),0)</f>
        <v>1320000</v>
      </c>
      <c r="O434" s="101">
        <f>IF(EMPLOYEE_MASTER!AS434="Teaching",L434*LK_AllowanceRates!$B$16,0)</f>
        <v>0</v>
      </c>
      <c r="P434" s="101">
        <f>IF(EMPLOYEE_MASTER!AS434="Medical",LK_AllowanceRates!$B$17,0)</f>
        <v>0</v>
      </c>
      <c r="Q434" s="101">
        <f>IF(EMPLOYEE_MASTER!AR434="Yes",LK_AllowanceRates!$B$18,0)</f>
        <v>0</v>
      </c>
      <c r="R434" s="101">
        <f>IF(EMPLOYEE_MASTER!AC434="Yes",LK_AllowanceRates!$B$19,0)</f>
        <v>0</v>
      </c>
      <c r="S434" s="101">
        <f>IF(EMPLOYEE_MASTER!AA434="Yes",L434*LK_AllowanceRates!$B$20,0)</f>
        <v>0</v>
      </c>
      <c r="T434" s="101">
        <f>IF(EMPLOYEE_MASTER!AB434="Yes",LK_AllowanceRates!$B$21,0)</f>
        <v>0</v>
      </c>
      <c r="U434" s="101">
        <f>IF(EMPLOYEE_MASTER!P434&gt;=6,LK_AllowanceRates!$B$22,0)</f>
        <v>0</v>
      </c>
      <c r="V434" s="101">
        <f>IF(EMPLOYEE_MASTER!AO434="Yes",LK_AllowanceRates!$B$23,0)</f>
        <v>200000</v>
      </c>
      <c r="W434" s="101">
        <f>EMPLOYEE_MASTER!AP434*LK_AllowanceRates!$B$24</f>
        <v>600000</v>
      </c>
      <c r="X434" s="101">
        <v>0</v>
      </c>
      <c r="Y434" s="102">
        <v>0</v>
      </c>
      <c r="Z434" s="102">
        <v>0</v>
      </c>
      <c r="AA434" s="102">
        <v>0</v>
      </c>
      <c r="AB434" s="103">
        <f t="shared" ca="1" si="50"/>
        <v>4620000</v>
      </c>
      <c r="AC434" s="104">
        <f t="shared" ca="1" si="51"/>
        <v>7480000</v>
      </c>
      <c r="AD434" s="105">
        <f>ROUND(L434*LK_AllowanceRates!$B$25/100,0)</f>
        <v>157300</v>
      </c>
      <c r="AE434" s="106">
        <f t="shared" ca="1" si="52"/>
        <v>7322700</v>
      </c>
      <c r="AF434" s="106">
        <f t="shared" ca="1" si="53"/>
        <v>417270</v>
      </c>
      <c r="AG434" s="107">
        <v>0</v>
      </c>
      <c r="AH434" s="107">
        <v>0</v>
      </c>
      <c r="AI434" s="108">
        <f t="shared" ca="1" si="54"/>
        <v>574570</v>
      </c>
      <c r="AJ434" s="109">
        <f t="shared" ca="1" si="55"/>
        <v>6905430</v>
      </c>
    </row>
    <row r="435" spans="1:36" ht="15" customHeight="1" x14ac:dyDescent="0.3">
      <c r="A435" s="98" t="str">
        <f>EMPLOYEE_MASTER!A435</f>
        <v>LAO00432</v>
      </c>
      <c r="B435" s="98" t="str">
        <f>EMPLOYEE_MASTER!C435</f>
        <v>Khamphone</v>
      </c>
      <c r="C435" s="98" t="str">
        <f>EMPLOYEE_MASTER!D435</f>
        <v>Luanglath</v>
      </c>
      <c r="D435" s="98" t="str">
        <f>EMPLOYEE_MASTER!T435</f>
        <v>Ministry of Education and Sports (MoES)</v>
      </c>
      <c r="E435" s="98" t="str">
        <f>EMPLOYEE_MASTER!M435</f>
        <v>Technical Vocational Trainer</v>
      </c>
      <c r="F435" s="98" t="str">
        <f>EMPLOYEE_MASTER!Z435</f>
        <v>Teacher</v>
      </c>
      <c r="G435" s="99">
        <f>EMPLOYEE_MASTER!P435</f>
        <v>3</v>
      </c>
      <c r="H435" s="99">
        <f>EMPLOYEE_MASTER!Q435</f>
        <v>4</v>
      </c>
      <c r="I435" s="100" t="str">
        <f t="shared" si="48"/>
        <v>G03-S04</v>
      </c>
      <c r="J435" s="100">
        <f>IFERROR(VLOOKUP(I435,LK_GradeStep!$C$4:$D$85,2,0),0)</f>
        <v>279</v>
      </c>
      <c r="K435" s="100">
        <f>IFERROR(VLOOKUP(I435,LK_GradeStep!$C$4:$E$85,3,0),10000)</f>
        <v>10000</v>
      </c>
      <c r="L435" s="100">
        <f t="shared" si="49"/>
        <v>2790000</v>
      </c>
      <c r="M435" s="101">
        <f>IFERROR(VLOOKUP(EMPLOYEE_MASTER!AQ435,LK_AllowanceRates!$A$5:$B$11,2,0),0)</f>
        <v>900000</v>
      </c>
      <c r="N435" s="101">
        <f ca="1">IFERROR(IF(EMPLOYEE_MASTER!J435&lt;=5,  EMPLOYEE_MASTER!J435*LK_AllowanceRates!$B$12,IF(EMPLOYEE_MASTER!J435&lt;=15, EMPLOYEE_MASTER!J435*LK_AllowanceRates!$B$13,IF(EMPLOYEE_MASTER!J435&lt;=25, EMPLOYEE_MASTER!J435*LK_AllowanceRates!$B$14,EMPLOYEE_MASTER!J435*LK_AllowanceRates!$B$15))),0)</f>
        <v>660000</v>
      </c>
      <c r="O435" s="101">
        <f>IF(EMPLOYEE_MASTER!AS435="Teaching",L435*LK_AllowanceRates!$B$16,0)</f>
        <v>558000</v>
      </c>
      <c r="P435" s="101">
        <f>IF(EMPLOYEE_MASTER!AS435="Medical",LK_AllowanceRates!$B$17,0)</f>
        <v>0</v>
      </c>
      <c r="Q435" s="101">
        <f>IF(EMPLOYEE_MASTER!AR435="Yes",LK_AllowanceRates!$B$18,0)</f>
        <v>0</v>
      </c>
      <c r="R435" s="101">
        <f>IF(EMPLOYEE_MASTER!AC435="Yes",LK_AllowanceRates!$B$19,0)</f>
        <v>0</v>
      </c>
      <c r="S435" s="101">
        <f>IF(EMPLOYEE_MASTER!AA435="Yes",L435*LK_AllowanceRates!$B$20,0)</f>
        <v>0</v>
      </c>
      <c r="T435" s="101">
        <f>IF(EMPLOYEE_MASTER!AB435="Yes",LK_AllowanceRates!$B$21,0)</f>
        <v>0</v>
      </c>
      <c r="U435" s="101">
        <f>IF(EMPLOYEE_MASTER!P435&gt;=6,LK_AllowanceRates!$B$22,0)</f>
        <v>0</v>
      </c>
      <c r="V435" s="101">
        <f>IF(EMPLOYEE_MASTER!AO435="Yes",LK_AllowanceRates!$B$23,0)</f>
        <v>0</v>
      </c>
      <c r="W435" s="101">
        <f>EMPLOYEE_MASTER!AP435*LK_AllowanceRates!$B$24</f>
        <v>0</v>
      </c>
      <c r="X435" s="101">
        <v>0</v>
      </c>
      <c r="Y435" s="102">
        <v>0</v>
      </c>
      <c r="Z435" s="102">
        <v>0</v>
      </c>
      <c r="AA435" s="102">
        <v>0</v>
      </c>
      <c r="AB435" s="103">
        <f t="shared" ca="1" si="50"/>
        <v>2118000</v>
      </c>
      <c r="AC435" s="104">
        <f t="shared" ca="1" si="51"/>
        <v>4908000</v>
      </c>
      <c r="AD435" s="105">
        <f>ROUND(L435*LK_AllowanceRates!$B$25/100,0)</f>
        <v>153450</v>
      </c>
      <c r="AE435" s="106">
        <f t="shared" ca="1" si="52"/>
        <v>4754550</v>
      </c>
      <c r="AF435" s="106">
        <f t="shared" ca="1" si="53"/>
        <v>172727.5</v>
      </c>
      <c r="AG435" s="107">
        <v>0</v>
      </c>
      <c r="AH435" s="107">
        <v>0</v>
      </c>
      <c r="AI435" s="108">
        <f t="shared" ca="1" si="54"/>
        <v>326177.5</v>
      </c>
      <c r="AJ435" s="109">
        <f t="shared" ca="1" si="55"/>
        <v>4581822.5</v>
      </c>
    </row>
    <row r="436" spans="1:36" ht="15" customHeight="1" x14ac:dyDescent="0.3">
      <c r="A436" s="98" t="str">
        <f>EMPLOYEE_MASTER!A436</f>
        <v>LAO00433</v>
      </c>
      <c r="B436" s="98" t="str">
        <f>EMPLOYEE_MASTER!C436</f>
        <v>Khamsouk</v>
      </c>
      <c r="C436" s="98" t="str">
        <f>EMPLOYEE_MASTER!D436</f>
        <v>Vongsamphanh</v>
      </c>
      <c r="D436" s="98" t="str">
        <f>EMPLOYEE_MASTER!T436</f>
        <v>Ministry of Labour &amp; Social Welfare (MLSW)</v>
      </c>
      <c r="E436" s="98" t="str">
        <f>EMPLOYEE_MASTER!M436</f>
        <v>Deputy Director</v>
      </c>
      <c r="F436" s="98" t="str">
        <f>EMPLOYEE_MASTER!Z436</f>
        <v>Administration</v>
      </c>
      <c r="G436" s="99">
        <f>EMPLOYEE_MASTER!P436</f>
        <v>4</v>
      </c>
      <c r="H436" s="99">
        <f>EMPLOYEE_MASTER!Q436</f>
        <v>2</v>
      </c>
      <c r="I436" s="100" t="str">
        <f t="shared" si="48"/>
        <v>G04-S02</v>
      </c>
      <c r="J436" s="100">
        <f>IFERROR(VLOOKUP(I436,LK_GradeStep!$C$4:$D$85,2,0),0)</f>
        <v>288</v>
      </c>
      <c r="K436" s="100">
        <f>IFERROR(VLOOKUP(I436,LK_GradeStep!$C$4:$E$85,3,0),10000)</f>
        <v>10000</v>
      </c>
      <c r="L436" s="100">
        <f t="shared" si="49"/>
        <v>2880000</v>
      </c>
      <c r="M436" s="101">
        <f>IFERROR(VLOOKUP(EMPLOYEE_MASTER!AQ436,LK_AllowanceRates!$A$5:$B$11,2,0),0)</f>
        <v>2300000</v>
      </c>
      <c r="N436" s="101">
        <f ca="1">IFERROR(IF(EMPLOYEE_MASTER!J436&lt;=5,  EMPLOYEE_MASTER!J436*LK_AllowanceRates!$B$12,IF(EMPLOYEE_MASTER!J436&lt;=15, EMPLOYEE_MASTER!J436*LK_AllowanceRates!$B$13,IF(EMPLOYEE_MASTER!J436&lt;=25, EMPLOYEE_MASTER!J436*LK_AllowanceRates!$B$14,EMPLOYEE_MASTER!J436*LK_AllowanceRates!$B$15))),0)</f>
        <v>510000</v>
      </c>
      <c r="O436" s="101">
        <f>IF(EMPLOYEE_MASTER!AS436="Teaching",L436*LK_AllowanceRates!$B$16,0)</f>
        <v>0</v>
      </c>
      <c r="P436" s="101">
        <f>IF(EMPLOYEE_MASTER!AS436="Medical",LK_AllowanceRates!$B$17,0)</f>
        <v>0</v>
      </c>
      <c r="Q436" s="101">
        <f>IF(EMPLOYEE_MASTER!AR436="Yes",LK_AllowanceRates!$B$18,0)</f>
        <v>0</v>
      </c>
      <c r="R436" s="101">
        <f>IF(EMPLOYEE_MASTER!AC436="Yes",LK_AllowanceRates!$B$19,0)</f>
        <v>0</v>
      </c>
      <c r="S436" s="101">
        <f>IF(EMPLOYEE_MASTER!AA436="Yes",L436*LK_AllowanceRates!$B$20,0)</f>
        <v>0</v>
      </c>
      <c r="T436" s="101">
        <f>IF(EMPLOYEE_MASTER!AB436="Yes",LK_AllowanceRates!$B$21,0)</f>
        <v>0</v>
      </c>
      <c r="U436" s="101">
        <f>IF(EMPLOYEE_MASTER!P436&gt;=6,LK_AllowanceRates!$B$22,0)</f>
        <v>0</v>
      </c>
      <c r="V436" s="101">
        <f>IF(EMPLOYEE_MASTER!AO436="Yes",LK_AllowanceRates!$B$23,0)</f>
        <v>0</v>
      </c>
      <c r="W436" s="101">
        <f>EMPLOYEE_MASTER!AP436*LK_AllowanceRates!$B$24</f>
        <v>0</v>
      </c>
      <c r="X436" s="101">
        <v>0</v>
      </c>
      <c r="Y436" s="102">
        <v>0</v>
      </c>
      <c r="Z436" s="102">
        <v>0</v>
      </c>
      <c r="AA436" s="102">
        <v>0</v>
      </c>
      <c r="AB436" s="103">
        <f t="shared" ca="1" si="50"/>
        <v>2810000</v>
      </c>
      <c r="AC436" s="104">
        <f t="shared" ca="1" si="51"/>
        <v>5690000</v>
      </c>
      <c r="AD436" s="105">
        <f>ROUND(L436*LK_AllowanceRates!$B$25/100,0)</f>
        <v>158400</v>
      </c>
      <c r="AE436" s="106">
        <f t="shared" ca="1" si="52"/>
        <v>5531600</v>
      </c>
      <c r="AF436" s="106">
        <f t="shared" ca="1" si="53"/>
        <v>238160</v>
      </c>
      <c r="AG436" s="107">
        <v>0</v>
      </c>
      <c r="AH436" s="107">
        <v>0</v>
      </c>
      <c r="AI436" s="108">
        <f t="shared" ca="1" si="54"/>
        <v>396560</v>
      </c>
      <c r="AJ436" s="109">
        <f t="shared" ca="1" si="55"/>
        <v>5293440</v>
      </c>
    </row>
    <row r="437" spans="1:36" ht="15" customHeight="1" x14ac:dyDescent="0.3">
      <c r="A437" s="98" t="str">
        <f>EMPLOYEE_MASTER!A437</f>
        <v>LAO00434</v>
      </c>
      <c r="B437" s="98" t="str">
        <f>EMPLOYEE_MASTER!C437</f>
        <v>Nongkham</v>
      </c>
      <c r="C437" s="98" t="str">
        <f>EMPLOYEE_MASTER!D437</f>
        <v>Vongsamphanh</v>
      </c>
      <c r="D437" s="98" t="str">
        <f>EMPLOYEE_MASTER!T437</f>
        <v>Ministry of Health (MoH)</v>
      </c>
      <c r="E437" s="98" t="str">
        <f>EMPLOYEE_MASTER!M437</f>
        <v>Health Inspector</v>
      </c>
      <c r="F437" s="98" t="str">
        <f>EMPLOYEE_MASTER!Z437</f>
        <v>Medical</v>
      </c>
      <c r="G437" s="99">
        <f>EMPLOYEE_MASTER!P437</f>
        <v>2</v>
      </c>
      <c r="H437" s="99">
        <f>EMPLOYEE_MASTER!Q437</f>
        <v>13</v>
      </c>
      <c r="I437" s="100" t="str">
        <f t="shared" si="48"/>
        <v>G02-S13</v>
      </c>
      <c r="J437" s="100">
        <f>IFERROR(VLOOKUP(I437,LK_GradeStep!$C$4:$D$85,2,0),0)</f>
        <v>280</v>
      </c>
      <c r="K437" s="100">
        <f>IFERROR(VLOOKUP(I437,LK_GradeStep!$C$4:$E$85,3,0),10000)</f>
        <v>10000</v>
      </c>
      <c r="L437" s="100">
        <f t="shared" si="49"/>
        <v>2800000</v>
      </c>
      <c r="M437" s="101">
        <f>IFERROR(VLOOKUP(EMPLOYEE_MASTER!AQ437,LK_AllowanceRates!$A$5:$B$11,2,0),0)</f>
        <v>900000</v>
      </c>
      <c r="N437" s="101">
        <f ca="1">IFERROR(IF(EMPLOYEE_MASTER!J437&lt;=5,  EMPLOYEE_MASTER!J437*LK_AllowanceRates!$B$12,IF(EMPLOYEE_MASTER!J437&lt;=15, EMPLOYEE_MASTER!J437*LK_AllowanceRates!$B$13,IF(EMPLOYEE_MASTER!J437&lt;=25, EMPLOYEE_MASTER!J437*LK_AllowanceRates!$B$14,EMPLOYEE_MASTER!J437*LK_AllowanceRates!$B$15))),0)</f>
        <v>260000</v>
      </c>
      <c r="O437" s="101">
        <f>IF(EMPLOYEE_MASTER!AS437="Teaching",L437*LK_AllowanceRates!$B$16,0)</f>
        <v>0</v>
      </c>
      <c r="P437" s="101">
        <f>IF(EMPLOYEE_MASTER!AS437="Medical",LK_AllowanceRates!$B$17,0)</f>
        <v>500000</v>
      </c>
      <c r="Q437" s="101">
        <f>IF(EMPLOYEE_MASTER!AR437="Yes",LK_AllowanceRates!$B$18,0)</f>
        <v>0</v>
      </c>
      <c r="R437" s="101">
        <f>IF(EMPLOYEE_MASTER!AC437="Yes",LK_AllowanceRates!$B$19,0)</f>
        <v>1000000</v>
      </c>
      <c r="S437" s="101">
        <f>IF(EMPLOYEE_MASTER!AA437="Yes",L437*LK_AllowanceRates!$B$20,0)</f>
        <v>700000</v>
      </c>
      <c r="T437" s="101">
        <f>IF(EMPLOYEE_MASTER!AB437="Yes",LK_AllowanceRates!$B$21,0)</f>
        <v>0</v>
      </c>
      <c r="U437" s="101">
        <f>IF(EMPLOYEE_MASTER!P437&gt;=6,LK_AllowanceRates!$B$22,0)</f>
        <v>0</v>
      </c>
      <c r="V437" s="101">
        <f>IF(EMPLOYEE_MASTER!AO437="Yes",LK_AllowanceRates!$B$23,0)</f>
        <v>0</v>
      </c>
      <c r="W437" s="101">
        <f>EMPLOYEE_MASTER!AP437*LK_AllowanceRates!$B$24</f>
        <v>0</v>
      </c>
      <c r="X437" s="101">
        <v>0</v>
      </c>
      <c r="Y437" s="102">
        <v>0</v>
      </c>
      <c r="Z437" s="102">
        <v>0</v>
      </c>
      <c r="AA437" s="102">
        <v>0</v>
      </c>
      <c r="AB437" s="103">
        <f t="shared" ca="1" si="50"/>
        <v>3360000</v>
      </c>
      <c r="AC437" s="104">
        <f t="shared" ca="1" si="51"/>
        <v>6160000</v>
      </c>
      <c r="AD437" s="105">
        <f>ROUND(L437*LK_AllowanceRates!$B$25/100,0)</f>
        <v>154000</v>
      </c>
      <c r="AE437" s="106">
        <f t="shared" ca="1" si="52"/>
        <v>6006000</v>
      </c>
      <c r="AF437" s="106">
        <f t="shared" ca="1" si="53"/>
        <v>285600</v>
      </c>
      <c r="AG437" s="107">
        <v>0</v>
      </c>
      <c r="AH437" s="107">
        <v>0</v>
      </c>
      <c r="AI437" s="108">
        <f t="shared" ca="1" si="54"/>
        <v>439600</v>
      </c>
      <c r="AJ437" s="109">
        <f t="shared" ca="1" si="55"/>
        <v>5720400</v>
      </c>
    </row>
    <row r="438" spans="1:36" ht="15" customHeight="1" x14ac:dyDescent="0.3">
      <c r="A438" s="98" t="str">
        <f>EMPLOYEE_MASTER!A438</f>
        <v>LAO00435</v>
      </c>
      <c r="B438" s="98" t="str">
        <f>EMPLOYEE_MASTER!C438</f>
        <v>Phommachanh</v>
      </c>
      <c r="C438" s="98" t="str">
        <f>EMPLOYEE_MASTER!D438</f>
        <v>Keokhamphanh</v>
      </c>
      <c r="D438" s="98" t="str">
        <f>EMPLOYEE_MASTER!T438</f>
        <v>Ministry of Home Affairs (MoHA)</v>
      </c>
      <c r="E438" s="98" t="str">
        <f>EMPLOYEE_MASTER!M438</f>
        <v>Division Chief</v>
      </c>
      <c r="F438" s="98" t="str">
        <f>EMPLOYEE_MASTER!Z438</f>
        <v>Administration</v>
      </c>
      <c r="G438" s="99">
        <f>EMPLOYEE_MASTER!P438</f>
        <v>4</v>
      </c>
      <c r="H438" s="99">
        <f>EMPLOYEE_MASTER!Q438</f>
        <v>2</v>
      </c>
      <c r="I438" s="100" t="str">
        <f t="shared" si="48"/>
        <v>G04-S02</v>
      </c>
      <c r="J438" s="100">
        <f>IFERROR(VLOOKUP(I438,LK_GradeStep!$C$4:$D$85,2,0),0)</f>
        <v>288</v>
      </c>
      <c r="K438" s="100">
        <f>IFERROR(VLOOKUP(I438,LK_GradeStep!$C$4:$E$85,3,0),10000)</f>
        <v>10000</v>
      </c>
      <c r="L438" s="100">
        <f t="shared" si="49"/>
        <v>2880000</v>
      </c>
      <c r="M438" s="101">
        <f>IFERROR(VLOOKUP(EMPLOYEE_MASTER!AQ438,LK_AllowanceRates!$A$5:$B$11,2,0),0)</f>
        <v>1900000</v>
      </c>
      <c r="N438" s="101">
        <f ca="1">IFERROR(IF(EMPLOYEE_MASTER!J438&lt;=5,  EMPLOYEE_MASTER!J438*LK_AllowanceRates!$B$12,IF(EMPLOYEE_MASTER!J438&lt;=15, EMPLOYEE_MASTER!J438*LK_AllowanceRates!$B$13,IF(EMPLOYEE_MASTER!J438&lt;=25, EMPLOYEE_MASTER!J438*LK_AllowanceRates!$B$14,EMPLOYEE_MASTER!J438*LK_AllowanceRates!$B$15))),0)</f>
        <v>630000</v>
      </c>
      <c r="O438" s="101">
        <f>IF(EMPLOYEE_MASTER!AS438="Teaching",L438*LK_AllowanceRates!$B$16,0)</f>
        <v>0</v>
      </c>
      <c r="P438" s="101">
        <f>IF(EMPLOYEE_MASTER!AS438="Medical",LK_AllowanceRates!$B$17,0)</f>
        <v>0</v>
      </c>
      <c r="Q438" s="101">
        <f>IF(EMPLOYEE_MASTER!AR438="Yes",LK_AllowanceRates!$B$18,0)</f>
        <v>0</v>
      </c>
      <c r="R438" s="101">
        <f>IF(EMPLOYEE_MASTER!AC438="Yes",LK_AllowanceRates!$B$19,0)</f>
        <v>0</v>
      </c>
      <c r="S438" s="101">
        <f>IF(EMPLOYEE_MASTER!AA438="Yes",L438*LK_AllowanceRates!$B$20,0)</f>
        <v>0</v>
      </c>
      <c r="T438" s="101">
        <f>IF(EMPLOYEE_MASTER!AB438="Yes",LK_AllowanceRates!$B$21,0)</f>
        <v>0</v>
      </c>
      <c r="U438" s="101">
        <f>IF(EMPLOYEE_MASTER!P438&gt;=6,LK_AllowanceRates!$B$22,0)</f>
        <v>0</v>
      </c>
      <c r="V438" s="101">
        <f>IF(EMPLOYEE_MASTER!AO438="Yes",LK_AllowanceRates!$B$23,0)</f>
        <v>200000</v>
      </c>
      <c r="W438" s="101">
        <f>EMPLOYEE_MASTER!AP438*LK_AllowanceRates!$B$24</f>
        <v>600000</v>
      </c>
      <c r="X438" s="101">
        <v>0</v>
      </c>
      <c r="Y438" s="102">
        <v>0</v>
      </c>
      <c r="Z438" s="102">
        <v>0</v>
      </c>
      <c r="AA438" s="102">
        <v>0</v>
      </c>
      <c r="AB438" s="103">
        <f t="shared" ca="1" si="50"/>
        <v>3330000</v>
      </c>
      <c r="AC438" s="104">
        <f t="shared" ca="1" si="51"/>
        <v>6210000</v>
      </c>
      <c r="AD438" s="105">
        <f>ROUND(L438*LK_AllowanceRates!$B$25/100,0)</f>
        <v>158400</v>
      </c>
      <c r="AE438" s="106">
        <f t="shared" ca="1" si="52"/>
        <v>6051600</v>
      </c>
      <c r="AF438" s="106">
        <f t="shared" ca="1" si="53"/>
        <v>290160</v>
      </c>
      <c r="AG438" s="107">
        <v>0</v>
      </c>
      <c r="AH438" s="107">
        <v>0</v>
      </c>
      <c r="AI438" s="108">
        <f t="shared" ca="1" si="54"/>
        <v>448560</v>
      </c>
      <c r="AJ438" s="109">
        <f t="shared" ca="1" si="55"/>
        <v>5761440</v>
      </c>
    </row>
    <row r="439" spans="1:36" ht="15" customHeight="1" x14ac:dyDescent="0.3">
      <c r="A439" s="98" t="str">
        <f>EMPLOYEE_MASTER!A439</f>
        <v>LAO00436</v>
      </c>
      <c r="B439" s="98" t="str">
        <f>EMPLOYEE_MASTER!C439</f>
        <v>Souphine</v>
      </c>
      <c r="C439" s="98" t="str">
        <f>EMPLOYEE_MASTER!D439</f>
        <v>Keokhamphanh</v>
      </c>
      <c r="D439" s="98" t="str">
        <f>EMPLOYEE_MASTER!T439</f>
        <v>Ministry of Health (MoH)</v>
      </c>
      <c r="E439" s="98" t="str">
        <f>EMPLOYEE_MASTER!M439</f>
        <v>Laboratory Technician</v>
      </c>
      <c r="F439" s="98" t="str">
        <f>EMPLOYEE_MASTER!Z439</f>
        <v>Medical</v>
      </c>
      <c r="G439" s="99">
        <f>EMPLOYEE_MASTER!P439</f>
        <v>3</v>
      </c>
      <c r="H439" s="99">
        <f>EMPLOYEE_MASTER!Q439</f>
        <v>3</v>
      </c>
      <c r="I439" s="100" t="str">
        <f t="shared" si="48"/>
        <v>G03-S03</v>
      </c>
      <c r="J439" s="100">
        <f>IFERROR(VLOOKUP(I439,LK_GradeStep!$C$4:$D$85,2,0),0)</f>
        <v>278</v>
      </c>
      <c r="K439" s="100">
        <f>IFERROR(VLOOKUP(I439,LK_GradeStep!$C$4:$E$85,3,0),10000)</f>
        <v>10000</v>
      </c>
      <c r="L439" s="100">
        <f t="shared" si="49"/>
        <v>2780000</v>
      </c>
      <c r="M439" s="101">
        <f>IFERROR(VLOOKUP(EMPLOYEE_MASTER!AQ439,LK_AllowanceRates!$A$5:$B$11,2,0),0)</f>
        <v>900000</v>
      </c>
      <c r="N439" s="101">
        <f ca="1">IFERROR(IF(EMPLOYEE_MASTER!J439&lt;=5,  EMPLOYEE_MASTER!J439*LK_AllowanceRates!$B$12,IF(EMPLOYEE_MASTER!J439&lt;=15, EMPLOYEE_MASTER!J439*LK_AllowanceRates!$B$13,IF(EMPLOYEE_MASTER!J439&lt;=25, EMPLOYEE_MASTER!J439*LK_AllowanceRates!$B$14,EMPLOYEE_MASTER!J439*LK_AllowanceRates!$B$15))),0)</f>
        <v>50000</v>
      </c>
      <c r="O439" s="101">
        <f>IF(EMPLOYEE_MASTER!AS439="Teaching",L439*LK_AllowanceRates!$B$16,0)</f>
        <v>0</v>
      </c>
      <c r="P439" s="101">
        <f>IF(EMPLOYEE_MASTER!AS439="Medical",LK_AllowanceRates!$B$17,0)</f>
        <v>500000</v>
      </c>
      <c r="Q439" s="101">
        <f>IF(EMPLOYEE_MASTER!AR439="Yes",LK_AllowanceRates!$B$18,0)</f>
        <v>0</v>
      </c>
      <c r="R439" s="101">
        <f>IF(EMPLOYEE_MASTER!AC439="Yes",LK_AllowanceRates!$B$19,0)</f>
        <v>0</v>
      </c>
      <c r="S439" s="101">
        <f>IF(EMPLOYEE_MASTER!AA439="Yes",L439*LK_AllowanceRates!$B$20,0)</f>
        <v>0</v>
      </c>
      <c r="T439" s="101">
        <f>IF(EMPLOYEE_MASTER!AB439="Yes",LK_AllowanceRates!$B$21,0)</f>
        <v>0</v>
      </c>
      <c r="U439" s="101">
        <f>IF(EMPLOYEE_MASTER!P439&gt;=6,LK_AllowanceRates!$B$22,0)</f>
        <v>0</v>
      </c>
      <c r="V439" s="101">
        <f>IF(EMPLOYEE_MASTER!AO439="Yes",LK_AllowanceRates!$B$23,0)</f>
        <v>0</v>
      </c>
      <c r="W439" s="101">
        <f>EMPLOYEE_MASTER!AP439*LK_AllowanceRates!$B$24</f>
        <v>0</v>
      </c>
      <c r="X439" s="101">
        <v>0</v>
      </c>
      <c r="Y439" s="102">
        <v>0</v>
      </c>
      <c r="Z439" s="102">
        <v>0</v>
      </c>
      <c r="AA439" s="102">
        <v>0</v>
      </c>
      <c r="AB439" s="103">
        <f t="shared" ca="1" si="50"/>
        <v>1450000</v>
      </c>
      <c r="AC439" s="104">
        <f t="shared" ca="1" si="51"/>
        <v>4230000</v>
      </c>
      <c r="AD439" s="105">
        <f>ROUND(L439*LK_AllowanceRates!$B$25/100,0)</f>
        <v>152900</v>
      </c>
      <c r="AE439" s="106">
        <f t="shared" ca="1" si="52"/>
        <v>4077100</v>
      </c>
      <c r="AF439" s="106">
        <f t="shared" ca="1" si="53"/>
        <v>138855</v>
      </c>
      <c r="AG439" s="107">
        <v>0</v>
      </c>
      <c r="AH439" s="107">
        <v>0</v>
      </c>
      <c r="AI439" s="108">
        <f t="shared" ca="1" si="54"/>
        <v>291755</v>
      </c>
      <c r="AJ439" s="109">
        <f t="shared" ca="1" si="55"/>
        <v>3938245</v>
      </c>
    </row>
    <row r="440" spans="1:36" ht="15" customHeight="1" x14ac:dyDescent="0.3">
      <c r="A440" s="98" t="str">
        <f>EMPLOYEE_MASTER!A440</f>
        <v>LAO00437</v>
      </c>
      <c r="B440" s="98" t="str">
        <f>EMPLOYEE_MASTER!C440</f>
        <v>Souphavanh</v>
      </c>
      <c r="C440" s="98" t="str">
        <f>EMPLOYEE_MASTER!D440</f>
        <v>Douangmany</v>
      </c>
      <c r="D440" s="98" t="str">
        <f>EMPLOYEE_MASTER!T440</f>
        <v>Ministry of Labour &amp; Social Welfare (MLSW)</v>
      </c>
      <c r="E440" s="98" t="str">
        <f>EMPLOYEE_MASTER!M440</f>
        <v>Deputy Department Director</v>
      </c>
      <c r="F440" s="98" t="str">
        <f>EMPLOYEE_MASTER!Z440</f>
        <v>Administration</v>
      </c>
      <c r="G440" s="99">
        <f>EMPLOYEE_MASTER!P440</f>
        <v>5</v>
      </c>
      <c r="H440" s="99">
        <f>EMPLOYEE_MASTER!Q440</f>
        <v>3</v>
      </c>
      <c r="I440" s="100" t="str">
        <f t="shared" si="48"/>
        <v>G05-S03</v>
      </c>
      <c r="J440" s="100">
        <f>IFERROR(VLOOKUP(I440,LK_GradeStep!$C$4:$D$85,2,0),0)</f>
        <v>318</v>
      </c>
      <c r="K440" s="100">
        <f>IFERROR(VLOOKUP(I440,LK_GradeStep!$C$4:$E$85,3,0),10000)</f>
        <v>10000</v>
      </c>
      <c r="L440" s="100">
        <f t="shared" si="49"/>
        <v>3180000</v>
      </c>
      <c r="M440" s="101">
        <f>IFERROR(VLOOKUP(EMPLOYEE_MASTER!AQ440,LK_AllowanceRates!$A$5:$B$11,2,0),0)</f>
        <v>900000</v>
      </c>
      <c r="N440" s="101">
        <f ca="1">IFERROR(IF(EMPLOYEE_MASTER!J440&lt;=5,  EMPLOYEE_MASTER!J440*LK_AllowanceRates!$B$12,IF(EMPLOYEE_MASTER!J440&lt;=15, EMPLOYEE_MASTER!J440*LK_AllowanceRates!$B$13,IF(EMPLOYEE_MASTER!J440&lt;=25, EMPLOYEE_MASTER!J440*LK_AllowanceRates!$B$14,EMPLOYEE_MASTER!J440*LK_AllowanceRates!$B$15))),0)</f>
        <v>540000</v>
      </c>
      <c r="O440" s="101">
        <f>IF(EMPLOYEE_MASTER!AS440="Teaching",L440*LK_AllowanceRates!$B$16,0)</f>
        <v>0</v>
      </c>
      <c r="P440" s="101">
        <f>IF(EMPLOYEE_MASTER!AS440="Medical",LK_AllowanceRates!$B$17,0)</f>
        <v>0</v>
      </c>
      <c r="Q440" s="101">
        <f>IF(EMPLOYEE_MASTER!AR440="Yes",LK_AllowanceRates!$B$18,0)</f>
        <v>0</v>
      </c>
      <c r="R440" s="101">
        <f>IF(EMPLOYEE_MASTER!AC440="Yes",LK_AllowanceRates!$B$19,0)</f>
        <v>0</v>
      </c>
      <c r="S440" s="101">
        <f>IF(EMPLOYEE_MASTER!AA440="Yes",L440*LK_AllowanceRates!$B$20,0)</f>
        <v>0</v>
      </c>
      <c r="T440" s="101">
        <f>IF(EMPLOYEE_MASTER!AB440="Yes",LK_AllowanceRates!$B$21,0)</f>
        <v>0</v>
      </c>
      <c r="U440" s="101">
        <f>IF(EMPLOYEE_MASTER!P440&gt;=6,LK_AllowanceRates!$B$22,0)</f>
        <v>0</v>
      </c>
      <c r="V440" s="101">
        <f>IF(EMPLOYEE_MASTER!AO440="Yes",LK_AllowanceRates!$B$23,0)</f>
        <v>200000</v>
      </c>
      <c r="W440" s="101">
        <f>EMPLOYEE_MASTER!AP440*LK_AllowanceRates!$B$24</f>
        <v>600000</v>
      </c>
      <c r="X440" s="101">
        <v>0</v>
      </c>
      <c r="Y440" s="102">
        <v>0</v>
      </c>
      <c r="Z440" s="102">
        <v>0</v>
      </c>
      <c r="AA440" s="102">
        <v>0</v>
      </c>
      <c r="AB440" s="103">
        <f t="shared" ca="1" si="50"/>
        <v>2240000</v>
      </c>
      <c r="AC440" s="104">
        <f t="shared" ca="1" si="51"/>
        <v>5420000</v>
      </c>
      <c r="AD440" s="105">
        <f>ROUND(L440*LK_AllowanceRates!$B$25/100,0)</f>
        <v>174900</v>
      </c>
      <c r="AE440" s="106">
        <f t="shared" ca="1" si="52"/>
        <v>5245100</v>
      </c>
      <c r="AF440" s="106">
        <f t="shared" ca="1" si="53"/>
        <v>209510</v>
      </c>
      <c r="AG440" s="107">
        <v>0</v>
      </c>
      <c r="AH440" s="107">
        <v>0</v>
      </c>
      <c r="AI440" s="108">
        <f t="shared" ca="1" si="54"/>
        <v>384410</v>
      </c>
      <c r="AJ440" s="109">
        <f t="shared" ca="1" si="55"/>
        <v>5035590</v>
      </c>
    </row>
    <row r="441" spans="1:36" ht="15" customHeight="1" x14ac:dyDescent="0.3">
      <c r="A441" s="98" t="str">
        <f>EMPLOYEE_MASTER!A441</f>
        <v>LAO00438</v>
      </c>
      <c r="B441" s="98" t="str">
        <f>EMPLOYEE_MASTER!C441</f>
        <v>Phonethip</v>
      </c>
      <c r="C441" s="98" t="str">
        <f>EMPLOYEE_MASTER!D441</f>
        <v>Kheudkham</v>
      </c>
      <c r="D441" s="98" t="str">
        <f>EMPLOYEE_MASTER!T441</f>
        <v>Ministry of Foreign Affairs (MFA)</v>
      </c>
      <c r="E441" s="98" t="str">
        <f>EMPLOYEE_MASTER!M441</f>
        <v>Counselor</v>
      </c>
      <c r="F441" s="98" t="str">
        <f>EMPLOYEE_MASTER!Z441</f>
        <v>Diplomatic</v>
      </c>
      <c r="G441" s="99">
        <f>EMPLOYEE_MASTER!P441</f>
        <v>5</v>
      </c>
      <c r="H441" s="99">
        <f>EMPLOYEE_MASTER!Q441</f>
        <v>2</v>
      </c>
      <c r="I441" s="100" t="str">
        <f t="shared" si="48"/>
        <v>G05-S02</v>
      </c>
      <c r="J441" s="100">
        <f>IFERROR(VLOOKUP(I441,LK_GradeStep!$C$4:$D$85,2,0),0)</f>
        <v>313</v>
      </c>
      <c r="K441" s="100">
        <f>IFERROR(VLOOKUP(I441,LK_GradeStep!$C$4:$E$85,3,0),10000)</f>
        <v>10000</v>
      </c>
      <c r="L441" s="100">
        <f t="shared" si="49"/>
        <v>3130000</v>
      </c>
      <c r="M441" s="101">
        <f>IFERROR(VLOOKUP(EMPLOYEE_MASTER!AQ441,LK_AllowanceRates!$A$5:$B$11,2,0),0)</f>
        <v>900000</v>
      </c>
      <c r="N441" s="101">
        <f ca="1">IFERROR(IF(EMPLOYEE_MASTER!J441&lt;=5,  EMPLOYEE_MASTER!J441*LK_AllowanceRates!$B$12,IF(EMPLOYEE_MASTER!J441&lt;=15, EMPLOYEE_MASTER!J441*LK_AllowanceRates!$B$13,IF(EMPLOYEE_MASTER!J441&lt;=25, EMPLOYEE_MASTER!J441*LK_AllowanceRates!$B$14,EMPLOYEE_MASTER!J441*LK_AllowanceRates!$B$15))),0)</f>
        <v>120000</v>
      </c>
      <c r="O441" s="101">
        <f>IF(EMPLOYEE_MASTER!AS441="Teaching",L441*LK_AllowanceRates!$B$16,0)</f>
        <v>0</v>
      </c>
      <c r="P441" s="101">
        <f>IF(EMPLOYEE_MASTER!AS441="Medical",LK_AllowanceRates!$B$17,0)</f>
        <v>0</v>
      </c>
      <c r="Q441" s="101">
        <f>IF(EMPLOYEE_MASTER!AR441="Yes",LK_AllowanceRates!$B$18,0)</f>
        <v>0</v>
      </c>
      <c r="R441" s="101">
        <f>IF(EMPLOYEE_MASTER!AC441="Yes",LK_AllowanceRates!$B$19,0)</f>
        <v>0</v>
      </c>
      <c r="S441" s="101">
        <f>IF(EMPLOYEE_MASTER!AA441="Yes",L441*LK_AllowanceRates!$B$20,0)</f>
        <v>782500</v>
      </c>
      <c r="T441" s="101">
        <f>IF(EMPLOYEE_MASTER!AB441="Yes",LK_AllowanceRates!$B$21,0)</f>
        <v>0</v>
      </c>
      <c r="U441" s="101">
        <f>IF(EMPLOYEE_MASTER!P441&gt;=6,LK_AllowanceRates!$B$22,0)</f>
        <v>0</v>
      </c>
      <c r="V441" s="101">
        <f>IF(EMPLOYEE_MASTER!AO441="Yes",LK_AllowanceRates!$B$23,0)</f>
        <v>0</v>
      </c>
      <c r="W441" s="101">
        <f>EMPLOYEE_MASTER!AP441*LK_AllowanceRates!$B$24</f>
        <v>0</v>
      </c>
      <c r="X441" s="101">
        <v>0</v>
      </c>
      <c r="Y441" s="102">
        <v>0</v>
      </c>
      <c r="Z441" s="102">
        <v>0</v>
      </c>
      <c r="AA441" s="102">
        <v>0</v>
      </c>
      <c r="AB441" s="103">
        <f t="shared" ca="1" si="50"/>
        <v>1802500</v>
      </c>
      <c r="AC441" s="104">
        <f t="shared" ca="1" si="51"/>
        <v>4932500</v>
      </c>
      <c r="AD441" s="105">
        <f>ROUND(L441*LK_AllowanceRates!$B$25/100,0)</f>
        <v>172150</v>
      </c>
      <c r="AE441" s="106">
        <f t="shared" ca="1" si="52"/>
        <v>4760350</v>
      </c>
      <c r="AF441" s="106">
        <f t="shared" ca="1" si="53"/>
        <v>173017.5</v>
      </c>
      <c r="AG441" s="107">
        <v>0</v>
      </c>
      <c r="AH441" s="107">
        <v>0</v>
      </c>
      <c r="AI441" s="108">
        <f t="shared" ca="1" si="54"/>
        <v>345167.5</v>
      </c>
      <c r="AJ441" s="109">
        <f t="shared" ca="1" si="55"/>
        <v>4587332.5</v>
      </c>
    </row>
    <row r="442" spans="1:36" ht="15" customHeight="1" x14ac:dyDescent="0.3">
      <c r="A442" s="98" t="str">
        <f>EMPLOYEE_MASTER!A442</f>
        <v>LAO00439</v>
      </c>
      <c r="B442" s="98" t="str">
        <f>EMPLOYEE_MASTER!C442</f>
        <v>Khamphanh</v>
      </c>
      <c r="C442" s="98" t="str">
        <f>EMPLOYEE_MASTER!D442</f>
        <v>Phetsamone</v>
      </c>
      <c r="D442" s="98" t="str">
        <f>EMPLOYEE_MASTER!T442</f>
        <v>Ministry of Planning &amp; Investment (MPI)</v>
      </c>
      <c r="E442" s="98" t="str">
        <f>EMPLOYEE_MASTER!M442</f>
        <v>Administrative Officer</v>
      </c>
      <c r="F442" s="98" t="str">
        <f>EMPLOYEE_MASTER!Z442</f>
        <v>Administration</v>
      </c>
      <c r="G442" s="99">
        <f>EMPLOYEE_MASTER!P442</f>
        <v>3</v>
      </c>
      <c r="H442" s="99">
        <f>EMPLOYEE_MASTER!Q442</f>
        <v>1</v>
      </c>
      <c r="I442" s="100" t="str">
        <f t="shared" si="48"/>
        <v>G03-S01</v>
      </c>
      <c r="J442" s="100">
        <f>IFERROR(VLOOKUP(I442,LK_GradeStep!$C$4:$D$85,2,0),0)</f>
        <v>276</v>
      </c>
      <c r="K442" s="100">
        <f>IFERROR(VLOOKUP(I442,LK_GradeStep!$C$4:$E$85,3,0),10000)</f>
        <v>10000</v>
      </c>
      <c r="L442" s="100">
        <f t="shared" si="49"/>
        <v>2760000</v>
      </c>
      <c r="M442" s="101">
        <f>IFERROR(VLOOKUP(EMPLOYEE_MASTER!AQ442,LK_AllowanceRates!$A$5:$B$11,2,0),0)</f>
        <v>900000</v>
      </c>
      <c r="N442" s="101">
        <f ca="1">IFERROR(IF(EMPLOYEE_MASTER!J442&lt;=5,  EMPLOYEE_MASTER!J442*LK_AllowanceRates!$B$12,IF(EMPLOYEE_MASTER!J442&lt;=15, EMPLOYEE_MASTER!J442*LK_AllowanceRates!$B$13,IF(EMPLOYEE_MASTER!J442&lt;=25, EMPLOYEE_MASTER!J442*LK_AllowanceRates!$B$14,EMPLOYEE_MASTER!J442*LK_AllowanceRates!$B$15))),0)</f>
        <v>1400000</v>
      </c>
      <c r="O442" s="101">
        <f>IF(EMPLOYEE_MASTER!AS442="Teaching",L442*LK_AllowanceRates!$B$16,0)</f>
        <v>0</v>
      </c>
      <c r="P442" s="101">
        <f>IF(EMPLOYEE_MASTER!AS442="Medical",LK_AllowanceRates!$B$17,0)</f>
        <v>0</v>
      </c>
      <c r="Q442" s="101">
        <f>IF(EMPLOYEE_MASTER!AR442="Yes",LK_AllowanceRates!$B$18,0)</f>
        <v>0</v>
      </c>
      <c r="R442" s="101">
        <f>IF(EMPLOYEE_MASTER!AC442="Yes",LK_AllowanceRates!$B$19,0)</f>
        <v>0</v>
      </c>
      <c r="S442" s="101">
        <f>IF(EMPLOYEE_MASTER!AA442="Yes",L442*LK_AllowanceRates!$B$20,0)</f>
        <v>690000</v>
      </c>
      <c r="T442" s="101">
        <f>IF(EMPLOYEE_MASTER!AB442="Yes",LK_AllowanceRates!$B$21,0)</f>
        <v>0</v>
      </c>
      <c r="U442" s="101">
        <f>IF(EMPLOYEE_MASTER!P442&gt;=6,LK_AllowanceRates!$B$22,0)</f>
        <v>0</v>
      </c>
      <c r="V442" s="101">
        <f>IF(EMPLOYEE_MASTER!AO442="Yes",LK_AllowanceRates!$B$23,0)</f>
        <v>200000</v>
      </c>
      <c r="W442" s="101">
        <f>EMPLOYEE_MASTER!AP442*LK_AllowanceRates!$B$24</f>
        <v>0</v>
      </c>
      <c r="X442" s="101">
        <v>0</v>
      </c>
      <c r="Y442" s="102">
        <v>0</v>
      </c>
      <c r="Z442" s="102">
        <v>0</v>
      </c>
      <c r="AA442" s="102">
        <v>0</v>
      </c>
      <c r="AB442" s="103">
        <f t="shared" ca="1" si="50"/>
        <v>3190000</v>
      </c>
      <c r="AC442" s="104">
        <f t="shared" ca="1" si="51"/>
        <v>5950000</v>
      </c>
      <c r="AD442" s="105">
        <f>ROUND(L442*LK_AllowanceRates!$B$25/100,0)</f>
        <v>151800</v>
      </c>
      <c r="AE442" s="106">
        <f t="shared" ca="1" si="52"/>
        <v>5798200</v>
      </c>
      <c r="AF442" s="106">
        <f t="shared" ca="1" si="53"/>
        <v>264820</v>
      </c>
      <c r="AG442" s="107">
        <v>0</v>
      </c>
      <c r="AH442" s="107">
        <v>0</v>
      </c>
      <c r="AI442" s="108">
        <f t="shared" ca="1" si="54"/>
        <v>416620</v>
      </c>
      <c r="AJ442" s="109">
        <f t="shared" ca="1" si="55"/>
        <v>5533380</v>
      </c>
    </row>
    <row r="443" spans="1:36" ht="15" customHeight="1" x14ac:dyDescent="0.3">
      <c r="A443" s="98" t="str">
        <f>EMPLOYEE_MASTER!A443</f>
        <v>LAO00440</v>
      </c>
      <c r="B443" s="98" t="str">
        <f>EMPLOYEE_MASTER!C443</f>
        <v>Phonexay</v>
      </c>
      <c r="C443" s="98" t="str">
        <f>EMPLOYEE_MASTER!D443</f>
        <v>Bouavong</v>
      </c>
      <c r="D443" s="98" t="str">
        <f>EMPLOYEE_MASTER!T443</f>
        <v>Ministry of Finance (MoF)</v>
      </c>
      <c r="E443" s="98" t="str">
        <f>EMPLOYEE_MASTER!M443</f>
        <v>Finance Officer</v>
      </c>
      <c r="F443" s="98" t="str">
        <f>EMPLOYEE_MASTER!Z443</f>
        <v>Finance</v>
      </c>
      <c r="G443" s="99">
        <f>EMPLOYEE_MASTER!P443</f>
        <v>3</v>
      </c>
      <c r="H443" s="99">
        <f>EMPLOYEE_MASTER!Q443</f>
        <v>13</v>
      </c>
      <c r="I443" s="100" t="str">
        <f t="shared" si="48"/>
        <v>G03-S13</v>
      </c>
      <c r="J443" s="100">
        <f>IFERROR(VLOOKUP(I443,LK_GradeStep!$C$4:$D$85,2,0),0)</f>
        <v>294</v>
      </c>
      <c r="K443" s="100">
        <f>IFERROR(VLOOKUP(I443,LK_GradeStep!$C$4:$E$85,3,0),10000)</f>
        <v>10000</v>
      </c>
      <c r="L443" s="100">
        <f t="shared" si="49"/>
        <v>2940000</v>
      </c>
      <c r="M443" s="101">
        <f>IFERROR(VLOOKUP(EMPLOYEE_MASTER!AQ443,LK_AllowanceRates!$A$5:$B$11,2,0),0)</f>
        <v>900000</v>
      </c>
      <c r="N443" s="101">
        <f ca="1">IFERROR(IF(EMPLOYEE_MASTER!J443&lt;=5,  EMPLOYEE_MASTER!J443*LK_AllowanceRates!$B$12,IF(EMPLOYEE_MASTER!J443&lt;=15, EMPLOYEE_MASTER!J443*LK_AllowanceRates!$B$13,IF(EMPLOYEE_MASTER!J443&lt;=25, EMPLOYEE_MASTER!J443*LK_AllowanceRates!$B$14,EMPLOYEE_MASTER!J443*LK_AllowanceRates!$B$15))),0)</f>
        <v>200000</v>
      </c>
      <c r="O443" s="101">
        <f>IF(EMPLOYEE_MASTER!AS443="Teaching",L443*LK_AllowanceRates!$B$16,0)</f>
        <v>0</v>
      </c>
      <c r="P443" s="101">
        <f>IF(EMPLOYEE_MASTER!AS443="Medical",LK_AllowanceRates!$B$17,0)</f>
        <v>0</v>
      </c>
      <c r="Q443" s="101">
        <f>IF(EMPLOYEE_MASTER!AR443="Yes",LK_AllowanceRates!$B$18,0)</f>
        <v>0</v>
      </c>
      <c r="R443" s="101">
        <f>IF(EMPLOYEE_MASTER!AC443="Yes",LK_AllowanceRates!$B$19,0)</f>
        <v>1000000</v>
      </c>
      <c r="S443" s="101">
        <f>IF(EMPLOYEE_MASTER!AA443="Yes",L443*LK_AllowanceRates!$B$20,0)</f>
        <v>735000</v>
      </c>
      <c r="T443" s="101">
        <f>IF(EMPLOYEE_MASTER!AB443="Yes",LK_AllowanceRates!$B$21,0)</f>
        <v>0</v>
      </c>
      <c r="U443" s="101">
        <f>IF(EMPLOYEE_MASTER!P443&gt;=6,LK_AllowanceRates!$B$22,0)</f>
        <v>0</v>
      </c>
      <c r="V443" s="101">
        <f>IF(EMPLOYEE_MASTER!AO443="Yes",LK_AllowanceRates!$B$23,0)</f>
        <v>200000</v>
      </c>
      <c r="W443" s="101">
        <f>EMPLOYEE_MASTER!AP443*LK_AllowanceRates!$B$24</f>
        <v>400000</v>
      </c>
      <c r="X443" s="101">
        <v>0</v>
      </c>
      <c r="Y443" s="102">
        <v>0</v>
      </c>
      <c r="Z443" s="102">
        <v>0</v>
      </c>
      <c r="AA443" s="102">
        <v>0</v>
      </c>
      <c r="AB443" s="103">
        <f t="shared" ca="1" si="50"/>
        <v>3435000</v>
      </c>
      <c r="AC443" s="104">
        <f t="shared" ca="1" si="51"/>
        <v>6375000</v>
      </c>
      <c r="AD443" s="105">
        <f>ROUND(L443*LK_AllowanceRates!$B$25/100,0)</f>
        <v>161700</v>
      </c>
      <c r="AE443" s="106">
        <f t="shared" ca="1" si="52"/>
        <v>6213300</v>
      </c>
      <c r="AF443" s="106">
        <f t="shared" ca="1" si="53"/>
        <v>306330</v>
      </c>
      <c r="AG443" s="107">
        <v>0</v>
      </c>
      <c r="AH443" s="107">
        <v>0</v>
      </c>
      <c r="AI443" s="108">
        <f t="shared" ca="1" si="54"/>
        <v>468030</v>
      </c>
      <c r="AJ443" s="109">
        <f t="shared" ca="1" si="55"/>
        <v>5906970</v>
      </c>
    </row>
    <row r="444" spans="1:36" ht="15" customHeight="1" x14ac:dyDescent="0.3">
      <c r="A444" s="98" t="str">
        <f>EMPLOYEE_MASTER!A444</f>
        <v>LAO00441</v>
      </c>
      <c r="B444" s="98" t="str">
        <f>EMPLOYEE_MASTER!C444</f>
        <v>Vannaphone</v>
      </c>
      <c r="C444" s="98" t="str">
        <f>EMPLOYEE_MASTER!D444</f>
        <v>Sisoulath</v>
      </c>
      <c r="D444" s="98" t="str">
        <f>EMPLOYEE_MASTER!T444</f>
        <v>Vientiane Capital Administration</v>
      </c>
      <c r="E444" s="98" t="str">
        <f>EMPLOYEE_MASTER!M444</f>
        <v>Officer</v>
      </c>
      <c r="F444" s="98" t="str">
        <f>EMPLOYEE_MASTER!Z444</f>
        <v>Administration</v>
      </c>
      <c r="G444" s="99">
        <f>EMPLOYEE_MASTER!P444</f>
        <v>3</v>
      </c>
      <c r="H444" s="99">
        <f>EMPLOYEE_MASTER!Q444</f>
        <v>1</v>
      </c>
      <c r="I444" s="100" t="str">
        <f t="shared" si="48"/>
        <v>G03-S01</v>
      </c>
      <c r="J444" s="100">
        <f>IFERROR(VLOOKUP(I444,LK_GradeStep!$C$4:$D$85,2,0),0)</f>
        <v>276</v>
      </c>
      <c r="K444" s="100">
        <f>IFERROR(VLOOKUP(I444,LK_GradeStep!$C$4:$E$85,3,0),10000)</f>
        <v>10000</v>
      </c>
      <c r="L444" s="100">
        <f t="shared" si="49"/>
        <v>2760000</v>
      </c>
      <c r="M444" s="101">
        <f>IFERROR(VLOOKUP(EMPLOYEE_MASTER!AQ444,LK_AllowanceRates!$A$5:$B$11,2,0),0)</f>
        <v>900000</v>
      </c>
      <c r="N444" s="101">
        <f ca="1">IFERROR(IF(EMPLOYEE_MASTER!J444&lt;=5,  EMPLOYEE_MASTER!J444*LK_AllowanceRates!$B$12,IF(EMPLOYEE_MASTER!J444&lt;=15, EMPLOYEE_MASTER!J444*LK_AllowanceRates!$B$13,IF(EMPLOYEE_MASTER!J444&lt;=25, EMPLOYEE_MASTER!J444*LK_AllowanceRates!$B$14,EMPLOYEE_MASTER!J444*LK_AllowanceRates!$B$15))),0)</f>
        <v>630000</v>
      </c>
      <c r="O444" s="101">
        <f>IF(EMPLOYEE_MASTER!AS444="Teaching",L444*LK_AllowanceRates!$B$16,0)</f>
        <v>0</v>
      </c>
      <c r="P444" s="101">
        <f>IF(EMPLOYEE_MASTER!AS444="Medical",LK_AllowanceRates!$B$17,0)</f>
        <v>0</v>
      </c>
      <c r="Q444" s="101">
        <f>IF(EMPLOYEE_MASTER!AR444="Yes",LK_AllowanceRates!$B$18,0)</f>
        <v>0</v>
      </c>
      <c r="R444" s="101">
        <f>IF(EMPLOYEE_MASTER!AC444="Yes",LK_AllowanceRates!$B$19,0)</f>
        <v>0</v>
      </c>
      <c r="S444" s="101">
        <f>IF(EMPLOYEE_MASTER!AA444="Yes",L444*LK_AllowanceRates!$B$20,0)</f>
        <v>0</v>
      </c>
      <c r="T444" s="101">
        <f>IF(EMPLOYEE_MASTER!AB444="Yes",LK_AllowanceRates!$B$21,0)</f>
        <v>0</v>
      </c>
      <c r="U444" s="101">
        <f>IF(EMPLOYEE_MASTER!P444&gt;=6,LK_AllowanceRates!$B$22,0)</f>
        <v>0</v>
      </c>
      <c r="V444" s="101">
        <f>IF(EMPLOYEE_MASTER!AO444="Yes",LK_AllowanceRates!$B$23,0)</f>
        <v>200000</v>
      </c>
      <c r="W444" s="101">
        <f>EMPLOYEE_MASTER!AP444*LK_AllowanceRates!$B$24</f>
        <v>200000</v>
      </c>
      <c r="X444" s="101">
        <v>0</v>
      </c>
      <c r="Y444" s="102">
        <v>0</v>
      </c>
      <c r="Z444" s="102">
        <v>0</v>
      </c>
      <c r="AA444" s="102">
        <v>0</v>
      </c>
      <c r="AB444" s="103">
        <f t="shared" ca="1" si="50"/>
        <v>1930000</v>
      </c>
      <c r="AC444" s="104">
        <f t="shared" ca="1" si="51"/>
        <v>4690000</v>
      </c>
      <c r="AD444" s="105">
        <f>ROUND(L444*LK_AllowanceRates!$B$25/100,0)</f>
        <v>151800</v>
      </c>
      <c r="AE444" s="106">
        <f t="shared" ca="1" si="52"/>
        <v>4538200</v>
      </c>
      <c r="AF444" s="106">
        <f t="shared" ca="1" si="53"/>
        <v>161910</v>
      </c>
      <c r="AG444" s="107">
        <v>0</v>
      </c>
      <c r="AH444" s="107">
        <v>0</v>
      </c>
      <c r="AI444" s="108">
        <f t="shared" ca="1" si="54"/>
        <v>313710</v>
      </c>
      <c r="AJ444" s="109">
        <f t="shared" ca="1" si="55"/>
        <v>4376290</v>
      </c>
    </row>
    <row r="445" spans="1:36" ht="15" customHeight="1" x14ac:dyDescent="0.3">
      <c r="A445" s="98" t="str">
        <f>EMPLOYEE_MASTER!A445</f>
        <v>LAO00442</v>
      </c>
      <c r="B445" s="98" t="str">
        <f>EMPLOYEE_MASTER!C445</f>
        <v>Vilayhong</v>
      </c>
      <c r="C445" s="98" t="str">
        <f>EMPLOYEE_MASTER!D445</f>
        <v>Bouphanouvong</v>
      </c>
      <c r="D445" s="98" t="str">
        <f>EMPLOYEE_MASTER!T445</f>
        <v>Ministry of Education and Sports (MoES)</v>
      </c>
      <c r="E445" s="98" t="str">
        <f>EMPLOYEE_MASTER!M445</f>
        <v>Technical Vocational Trainer</v>
      </c>
      <c r="F445" s="98" t="str">
        <f>EMPLOYEE_MASTER!Z445</f>
        <v>Teacher</v>
      </c>
      <c r="G445" s="99">
        <f>EMPLOYEE_MASTER!P445</f>
        <v>4</v>
      </c>
      <c r="H445" s="99">
        <f>EMPLOYEE_MASTER!Q445</f>
        <v>4</v>
      </c>
      <c r="I445" s="100" t="str">
        <f t="shared" si="48"/>
        <v>G04-S04</v>
      </c>
      <c r="J445" s="100">
        <f>IFERROR(VLOOKUP(I445,LK_GradeStep!$C$4:$D$85,2,0),0)</f>
        <v>292</v>
      </c>
      <c r="K445" s="100">
        <f>IFERROR(VLOOKUP(I445,LK_GradeStep!$C$4:$E$85,3,0),10000)</f>
        <v>10000</v>
      </c>
      <c r="L445" s="100">
        <f t="shared" si="49"/>
        <v>2920000</v>
      </c>
      <c r="M445" s="101">
        <f>IFERROR(VLOOKUP(EMPLOYEE_MASTER!AQ445,LK_AllowanceRates!$A$5:$B$11,2,0),0)</f>
        <v>900000</v>
      </c>
      <c r="N445" s="101">
        <f ca="1">IFERROR(IF(EMPLOYEE_MASTER!J445&lt;=5,  EMPLOYEE_MASTER!J445*LK_AllowanceRates!$B$12,IF(EMPLOYEE_MASTER!J445&lt;=15, EMPLOYEE_MASTER!J445*LK_AllowanceRates!$B$13,IF(EMPLOYEE_MASTER!J445&lt;=25, EMPLOYEE_MASTER!J445*LK_AllowanceRates!$B$14,EMPLOYEE_MASTER!J445*LK_AllowanceRates!$B$15))),0)</f>
        <v>40000</v>
      </c>
      <c r="O445" s="101">
        <f>IF(EMPLOYEE_MASTER!AS445="Teaching",L445*LK_AllowanceRates!$B$16,0)</f>
        <v>584000</v>
      </c>
      <c r="P445" s="101">
        <f>IF(EMPLOYEE_MASTER!AS445="Medical",LK_AllowanceRates!$B$17,0)</f>
        <v>0</v>
      </c>
      <c r="Q445" s="101">
        <f>IF(EMPLOYEE_MASTER!AR445="Yes",LK_AllowanceRates!$B$18,0)</f>
        <v>0</v>
      </c>
      <c r="R445" s="101">
        <f>IF(EMPLOYEE_MASTER!AC445="Yes",LK_AllowanceRates!$B$19,0)</f>
        <v>0</v>
      </c>
      <c r="S445" s="101">
        <f>IF(EMPLOYEE_MASTER!AA445="Yes",L445*LK_AllowanceRates!$B$20,0)</f>
        <v>0</v>
      </c>
      <c r="T445" s="101">
        <f>IF(EMPLOYEE_MASTER!AB445="Yes",LK_AllowanceRates!$B$21,0)</f>
        <v>0</v>
      </c>
      <c r="U445" s="101">
        <f>IF(EMPLOYEE_MASTER!P445&gt;=6,LK_AllowanceRates!$B$22,0)</f>
        <v>0</v>
      </c>
      <c r="V445" s="101">
        <f>IF(EMPLOYEE_MASTER!AO445="Yes",LK_AllowanceRates!$B$23,0)</f>
        <v>0</v>
      </c>
      <c r="W445" s="101">
        <f>EMPLOYEE_MASTER!AP445*LK_AllowanceRates!$B$24</f>
        <v>0</v>
      </c>
      <c r="X445" s="101">
        <v>0</v>
      </c>
      <c r="Y445" s="102">
        <v>0</v>
      </c>
      <c r="Z445" s="102">
        <v>0</v>
      </c>
      <c r="AA445" s="102">
        <v>0</v>
      </c>
      <c r="AB445" s="103">
        <f t="shared" ca="1" si="50"/>
        <v>1524000</v>
      </c>
      <c r="AC445" s="104">
        <f t="shared" ca="1" si="51"/>
        <v>4444000</v>
      </c>
      <c r="AD445" s="105">
        <f>ROUND(L445*LK_AllowanceRates!$B$25/100,0)</f>
        <v>160600</v>
      </c>
      <c r="AE445" s="106">
        <f t="shared" ca="1" si="52"/>
        <v>4283400</v>
      </c>
      <c r="AF445" s="106">
        <f t="shared" ca="1" si="53"/>
        <v>149170</v>
      </c>
      <c r="AG445" s="107">
        <v>0</v>
      </c>
      <c r="AH445" s="107">
        <v>0</v>
      </c>
      <c r="AI445" s="108">
        <f t="shared" ca="1" si="54"/>
        <v>309770</v>
      </c>
      <c r="AJ445" s="109">
        <f t="shared" ca="1" si="55"/>
        <v>4134230</v>
      </c>
    </row>
    <row r="446" spans="1:36" ht="15" customHeight="1" x14ac:dyDescent="0.3">
      <c r="A446" s="98" t="str">
        <f>EMPLOYEE_MASTER!A446</f>
        <v>LAO00443</v>
      </c>
      <c r="B446" s="98" t="str">
        <f>EMPLOYEE_MASTER!C446</f>
        <v>Khamla</v>
      </c>
      <c r="C446" s="98" t="str">
        <f>EMPLOYEE_MASTER!D446</f>
        <v>Bounseng</v>
      </c>
      <c r="D446" s="98" t="str">
        <f>EMPLOYEE_MASTER!T446</f>
        <v>Ministry of Industry &amp; Commerce (MoIC)</v>
      </c>
      <c r="E446" s="98" t="str">
        <f>EMPLOYEE_MASTER!M446</f>
        <v>Division Chief</v>
      </c>
      <c r="F446" s="98" t="str">
        <f>EMPLOYEE_MASTER!Z446</f>
        <v>Administration</v>
      </c>
      <c r="G446" s="99">
        <f>EMPLOYEE_MASTER!P446</f>
        <v>4</v>
      </c>
      <c r="H446" s="99">
        <f>EMPLOYEE_MASTER!Q446</f>
        <v>1</v>
      </c>
      <c r="I446" s="100" t="str">
        <f t="shared" si="48"/>
        <v>G04-S01</v>
      </c>
      <c r="J446" s="100">
        <f>IFERROR(VLOOKUP(I446,LK_GradeStep!$C$4:$D$85,2,0),0)</f>
        <v>286</v>
      </c>
      <c r="K446" s="100">
        <f>IFERROR(VLOOKUP(I446,LK_GradeStep!$C$4:$E$85,3,0),10000)</f>
        <v>10000</v>
      </c>
      <c r="L446" s="100">
        <f t="shared" si="49"/>
        <v>2860000</v>
      </c>
      <c r="M446" s="101">
        <f>IFERROR(VLOOKUP(EMPLOYEE_MASTER!AQ446,LK_AllowanceRates!$A$5:$B$11,2,0),0)</f>
        <v>1900000</v>
      </c>
      <c r="N446" s="101">
        <f ca="1">IFERROR(IF(EMPLOYEE_MASTER!J446&lt;=5,  EMPLOYEE_MASTER!J446*LK_AllowanceRates!$B$12,IF(EMPLOYEE_MASTER!J446&lt;=15, EMPLOYEE_MASTER!J446*LK_AllowanceRates!$B$13,IF(EMPLOYEE_MASTER!J446&lt;=25, EMPLOYEE_MASTER!J446*LK_AllowanceRates!$B$14,EMPLOYEE_MASTER!J446*LK_AllowanceRates!$B$15))),0)</f>
        <v>1480000</v>
      </c>
      <c r="O446" s="101">
        <f>IF(EMPLOYEE_MASTER!AS446="Teaching",L446*LK_AllowanceRates!$B$16,0)</f>
        <v>0</v>
      </c>
      <c r="P446" s="101">
        <f>IF(EMPLOYEE_MASTER!AS446="Medical",LK_AllowanceRates!$B$17,0)</f>
        <v>0</v>
      </c>
      <c r="Q446" s="101">
        <f>IF(EMPLOYEE_MASTER!AR446="Yes",LK_AllowanceRates!$B$18,0)</f>
        <v>0</v>
      </c>
      <c r="R446" s="101">
        <f>IF(EMPLOYEE_MASTER!AC446="Yes",LK_AllowanceRates!$B$19,0)</f>
        <v>1000000</v>
      </c>
      <c r="S446" s="101">
        <f>IF(EMPLOYEE_MASTER!AA446="Yes",L446*LK_AllowanceRates!$B$20,0)</f>
        <v>0</v>
      </c>
      <c r="T446" s="101">
        <f>IF(EMPLOYEE_MASTER!AB446="Yes",LK_AllowanceRates!$B$21,0)</f>
        <v>0</v>
      </c>
      <c r="U446" s="101">
        <f>IF(EMPLOYEE_MASTER!P446&gt;=6,LK_AllowanceRates!$B$22,0)</f>
        <v>0</v>
      </c>
      <c r="V446" s="101">
        <f>IF(EMPLOYEE_MASTER!AO446="Yes",LK_AllowanceRates!$B$23,0)</f>
        <v>0</v>
      </c>
      <c r="W446" s="101">
        <f>EMPLOYEE_MASTER!AP446*LK_AllowanceRates!$B$24</f>
        <v>0</v>
      </c>
      <c r="X446" s="101">
        <v>0</v>
      </c>
      <c r="Y446" s="102">
        <v>0</v>
      </c>
      <c r="Z446" s="102">
        <v>0</v>
      </c>
      <c r="AA446" s="102">
        <v>0</v>
      </c>
      <c r="AB446" s="103">
        <f t="shared" ca="1" si="50"/>
        <v>4380000</v>
      </c>
      <c r="AC446" s="104">
        <f t="shared" ca="1" si="51"/>
        <v>7240000</v>
      </c>
      <c r="AD446" s="105">
        <f>ROUND(L446*LK_AllowanceRates!$B$25/100,0)</f>
        <v>157300</v>
      </c>
      <c r="AE446" s="106">
        <f t="shared" ca="1" si="52"/>
        <v>7082700</v>
      </c>
      <c r="AF446" s="106">
        <f t="shared" ca="1" si="53"/>
        <v>393270</v>
      </c>
      <c r="AG446" s="107">
        <v>0</v>
      </c>
      <c r="AH446" s="107">
        <v>0</v>
      </c>
      <c r="AI446" s="108">
        <f t="shared" ca="1" si="54"/>
        <v>550570</v>
      </c>
      <c r="AJ446" s="109">
        <f t="shared" ca="1" si="55"/>
        <v>6689430</v>
      </c>
    </row>
    <row r="447" spans="1:36" ht="15" customHeight="1" x14ac:dyDescent="0.3">
      <c r="A447" s="98" t="str">
        <f>EMPLOYEE_MASTER!A447</f>
        <v>LAO00444</v>
      </c>
      <c r="B447" s="98" t="str">
        <f>EMPLOYEE_MASTER!C447</f>
        <v>Sivilay</v>
      </c>
      <c r="C447" s="98" t="str">
        <f>EMPLOYEE_MASTER!D447</f>
        <v>Phetsamone</v>
      </c>
      <c r="D447" s="98" t="str">
        <f>EMPLOYEE_MASTER!T447</f>
        <v>Ministry of Home Affairs (MoHA)</v>
      </c>
      <c r="E447" s="98" t="str">
        <f>EMPLOYEE_MASTER!M447</f>
        <v>Administrative Officer</v>
      </c>
      <c r="F447" s="98" t="str">
        <f>EMPLOYEE_MASTER!Z447</f>
        <v>Administration</v>
      </c>
      <c r="G447" s="99">
        <f>EMPLOYEE_MASTER!P447</f>
        <v>2</v>
      </c>
      <c r="H447" s="99">
        <f>EMPLOYEE_MASTER!Q447</f>
        <v>5</v>
      </c>
      <c r="I447" s="100" t="str">
        <f t="shared" si="48"/>
        <v>G02-S05</v>
      </c>
      <c r="J447" s="100">
        <f>IFERROR(VLOOKUP(I447,LK_GradeStep!$C$4:$D$85,2,0),0)</f>
        <v>272</v>
      </c>
      <c r="K447" s="100">
        <f>IFERROR(VLOOKUP(I447,LK_GradeStep!$C$4:$E$85,3,0),10000)</f>
        <v>10000</v>
      </c>
      <c r="L447" s="100">
        <f t="shared" si="49"/>
        <v>2720000</v>
      </c>
      <c r="M447" s="101">
        <f>IFERROR(VLOOKUP(EMPLOYEE_MASTER!AQ447,LK_AllowanceRates!$A$5:$B$11,2,0),0)</f>
        <v>900000</v>
      </c>
      <c r="N447" s="101">
        <f ca="1">IFERROR(IF(EMPLOYEE_MASTER!J447&lt;=5,  EMPLOYEE_MASTER!J447*LK_AllowanceRates!$B$12,IF(EMPLOYEE_MASTER!J447&lt;=15, EMPLOYEE_MASTER!J447*LK_AllowanceRates!$B$13,IF(EMPLOYEE_MASTER!J447&lt;=25, EMPLOYEE_MASTER!J447*LK_AllowanceRates!$B$14,EMPLOYEE_MASTER!J447*LK_AllowanceRates!$B$15))),0)</f>
        <v>1120000</v>
      </c>
      <c r="O447" s="101">
        <f>IF(EMPLOYEE_MASTER!AS447="Teaching",L447*LK_AllowanceRates!$B$16,0)</f>
        <v>0</v>
      </c>
      <c r="P447" s="101">
        <f>IF(EMPLOYEE_MASTER!AS447="Medical",LK_AllowanceRates!$B$17,0)</f>
        <v>0</v>
      </c>
      <c r="Q447" s="101">
        <f>IF(EMPLOYEE_MASTER!AR447="Yes",LK_AllowanceRates!$B$18,0)</f>
        <v>0</v>
      </c>
      <c r="R447" s="101">
        <f>IF(EMPLOYEE_MASTER!AC447="Yes",LK_AllowanceRates!$B$19,0)</f>
        <v>0</v>
      </c>
      <c r="S447" s="101">
        <f>IF(EMPLOYEE_MASTER!AA447="Yes",L447*LK_AllowanceRates!$B$20,0)</f>
        <v>0</v>
      </c>
      <c r="T447" s="101">
        <f>IF(EMPLOYEE_MASTER!AB447="Yes",LK_AllowanceRates!$B$21,0)</f>
        <v>0</v>
      </c>
      <c r="U447" s="101">
        <f>IF(EMPLOYEE_MASTER!P447&gt;=6,LK_AllowanceRates!$B$22,0)</f>
        <v>0</v>
      </c>
      <c r="V447" s="101">
        <f>IF(EMPLOYEE_MASTER!AO447="Yes",LK_AllowanceRates!$B$23,0)</f>
        <v>0</v>
      </c>
      <c r="W447" s="101">
        <f>EMPLOYEE_MASTER!AP447*LK_AllowanceRates!$B$24</f>
        <v>0</v>
      </c>
      <c r="X447" s="101">
        <v>0</v>
      </c>
      <c r="Y447" s="102">
        <v>0</v>
      </c>
      <c r="Z447" s="102">
        <v>0</v>
      </c>
      <c r="AA447" s="102">
        <v>0</v>
      </c>
      <c r="AB447" s="103">
        <f t="shared" ca="1" si="50"/>
        <v>2020000</v>
      </c>
      <c r="AC447" s="104">
        <f t="shared" ca="1" si="51"/>
        <v>4740000</v>
      </c>
      <c r="AD447" s="105">
        <f>ROUND(L447*LK_AllowanceRates!$B$25/100,0)</f>
        <v>149600</v>
      </c>
      <c r="AE447" s="106">
        <f t="shared" ca="1" si="52"/>
        <v>4590400</v>
      </c>
      <c r="AF447" s="106">
        <f t="shared" ca="1" si="53"/>
        <v>164520</v>
      </c>
      <c r="AG447" s="107">
        <v>0</v>
      </c>
      <c r="AH447" s="107">
        <v>0</v>
      </c>
      <c r="AI447" s="108">
        <f t="shared" ca="1" si="54"/>
        <v>314120</v>
      </c>
      <c r="AJ447" s="109">
        <f t="shared" ca="1" si="55"/>
        <v>4425880</v>
      </c>
    </row>
    <row r="448" spans="1:36" ht="15" customHeight="1" x14ac:dyDescent="0.3">
      <c r="A448" s="98" t="str">
        <f>EMPLOYEE_MASTER!A448</f>
        <v>LAO00445</v>
      </c>
      <c r="B448" s="98" t="str">
        <f>EMPLOYEE_MASTER!C448</f>
        <v>Phonsavanh</v>
      </c>
      <c r="C448" s="98" t="str">
        <f>EMPLOYEE_MASTER!D448</f>
        <v>Xaysomboun</v>
      </c>
      <c r="D448" s="98" t="str">
        <f>EMPLOYEE_MASTER!T448</f>
        <v>Champasak Province Administration</v>
      </c>
      <c r="E448" s="98" t="str">
        <f>EMPLOYEE_MASTER!M448</f>
        <v>Clerk</v>
      </c>
      <c r="F448" s="98" t="str">
        <f>EMPLOYEE_MASTER!Z448</f>
        <v>Administration</v>
      </c>
      <c r="G448" s="99">
        <f>EMPLOYEE_MASTER!P448</f>
        <v>3</v>
      </c>
      <c r="H448" s="99">
        <f>EMPLOYEE_MASTER!Q448</f>
        <v>10</v>
      </c>
      <c r="I448" s="100" t="str">
        <f t="shared" si="48"/>
        <v>G03-S10</v>
      </c>
      <c r="J448" s="100">
        <f>IFERROR(VLOOKUP(I448,LK_GradeStep!$C$4:$D$85,2,0),0)</f>
        <v>288</v>
      </c>
      <c r="K448" s="100">
        <f>IFERROR(VLOOKUP(I448,LK_GradeStep!$C$4:$E$85,3,0),10000)</f>
        <v>10000</v>
      </c>
      <c r="L448" s="100">
        <f t="shared" si="49"/>
        <v>2880000</v>
      </c>
      <c r="M448" s="101">
        <f>IFERROR(VLOOKUP(EMPLOYEE_MASTER!AQ448,LK_AllowanceRates!$A$5:$B$11,2,0),0)</f>
        <v>900000</v>
      </c>
      <c r="N448" s="101">
        <f ca="1">IFERROR(IF(EMPLOYEE_MASTER!J448&lt;=5,  EMPLOYEE_MASTER!J448*LK_AllowanceRates!$B$12,IF(EMPLOYEE_MASTER!J448&lt;=15, EMPLOYEE_MASTER!J448*LK_AllowanceRates!$B$13,IF(EMPLOYEE_MASTER!J448&lt;=25, EMPLOYEE_MASTER!J448*LK_AllowanceRates!$B$14,EMPLOYEE_MASTER!J448*LK_AllowanceRates!$B$15))),0)</f>
        <v>480000</v>
      </c>
      <c r="O448" s="101">
        <f>IF(EMPLOYEE_MASTER!AS448="Teaching",L448*LK_AllowanceRates!$B$16,0)</f>
        <v>0</v>
      </c>
      <c r="P448" s="101">
        <f>IF(EMPLOYEE_MASTER!AS448="Medical",LK_AllowanceRates!$B$17,0)</f>
        <v>0</v>
      </c>
      <c r="Q448" s="101">
        <f>IF(EMPLOYEE_MASTER!AR448="Yes",LK_AllowanceRates!$B$18,0)</f>
        <v>0</v>
      </c>
      <c r="R448" s="101">
        <f>IF(EMPLOYEE_MASTER!AC448="Yes",LK_AllowanceRates!$B$19,0)</f>
        <v>0</v>
      </c>
      <c r="S448" s="101">
        <f>IF(EMPLOYEE_MASTER!AA448="Yes",L448*LK_AllowanceRates!$B$20,0)</f>
        <v>0</v>
      </c>
      <c r="T448" s="101">
        <f>IF(EMPLOYEE_MASTER!AB448="Yes",LK_AllowanceRates!$B$21,0)</f>
        <v>0</v>
      </c>
      <c r="U448" s="101">
        <f>IF(EMPLOYEE_MASTER!P448&gt;=6,LK_AllowanceRates!$B$22,0)</f>
        <v>0</v>
      </c>
      <c r="V448" s="101">
        <f>IF(EMPLOYEE_MASTER!AO448="Yes",LK_AllowanceRates!$B$23,0)</f>
        <v>0</v>
      </c>
      <c r="W448" s="101">
        <f>EMPLOYEE_MASTER!AP448*LK_AllowanceRates!$B$24</f>
        <v>0</v>
      </c>
      <c r="X448" s="101">
        <v>0</v>
      </c>
      <c r="Y448" s="102">
        <v>0</v>
      </c>
      <c r="Z448" s="102">
        <v>0</v>
      </c>
      <c r="AA448" s="102">
        <v>0</v>
      </c>
      <c r="AB448" s="103">
        <f t="shared" ca="1" si="50"/>
        <v>1380000</v>
      </c>
      <c r="AC448" s="104">
        <f t="shared" ca="1" si="51"/>
        <v>4260000</v>
      </c>
      <c r="AD448" s="105">
        <f>ROUND(L448*LK_AllowanceRates!$B$25/100,0)</f>
        <v>158400</v>
      </c>
      <c r="AE448" s="106">
        <f t="shared" ca="1" si="52"/>
        <v>4101600</v>
      </c>
      <c r="AF448" s="106">
        <f t="shared" ca="1" si="53"/>
        <v>140080</v>
      </c>
      <c r="AG448" s="107">
        <v>0</v>
      </c>
      <c r="AH448" s="107">
        <v>0</v>
      </c>
      <c r="AI448" s="108">
        <f t="shared" ca="1" si="54"/>
        <v>298480</v>
      </c>
      <c r="AJ448" s="109">
        <f t="shared" ca="1" si="55"/>
        <v>3961520</v>
      </c>
    </row>
    <row r="449" spans="1:36" ht="15" customHeight="1" x14ac:dyDescent="0.3">
      <c r="A449" s="98" t="str">
        <f>EMPLOYEE_MASTER!A449</f>
        <v>LAO00446</v>
      </c>
      <c r="B449" s="98" t="str">
        <f>EMPLOYEE_MASTER!C449</f>
        <v>Somsak</v>
      </c>
      <c r="C449" s="98" t="str">
        <f>EMPLOYEE_MASTER!D449</f>
        <v>Vongsack</v>
      </c>
      <c r="D449" s="98" t="str">
        <f>EMPLOYEE_MASTER!T449</f>
        <v>Ministry of Home Affairs (MoHA)</v>
      </c>
      <c r="E449" s="98" t="str">
        <f>EMPLOYEE_MASTER!M449</f>
        <v>Section Chief</v>
      </c>
      <c r="F449" s="98" t="str">
        <f>EMPLOYEE_MASTER!Z449</f>
        <v>Administration</v>
      </c>
      <c r="G449" s="99">
        <f>EMPLOYEE_MASTER!P449</f>
        <v>4</v>
      </c>
      <c r="H449" s="99">
        <f>EMPLOYEE_MASTER!Q449</f>
        <v>5</v>
      </c>
      <c r="I449" s="100" t="str">
        <f t="shared" si="48"/>
        <v>G04-S05</v>
      </c>
      <c r="J449" s="100">
        <f>IFERROR(VLOOKUP(I449,LK_GradeStep!$C$4:$D$85,2,0),0)</f>
        <v>294</v>
      </c>
      <c r="K449" s="100">
        <f>IFERROR(VLOOKUP(I449,LK_GradeStep!$C$4:$E$85,3,0),10000)</f>
        <v>10000</v>
      </c>
      <c r="L449" s="100">
        <f t="shared" si="49"/>
        <v>2940000</v>
      </c>
      <c r="M449" s="101">
        <f>IFERROR(VLOOKUP(EMPLOYEE_MASTER!AQ449,LK_AllowanceRates!$A$5:$B$11,2,0),0)</f>
        <v>1500000</v>
      </c>
      <c r="N449" s="101">
        <f ca="1">IFERROR(IF(EMPLOYEE_MASTER!J449&lt;=5,  EMPLOYEE_MASTER!J449*LK_AllowanceRates!$B$12,IF(EMPLOYEE_MASTER!J449&lt;=15, EMPLOYEE_MASTER!J449*LK_AllowanceRates!$B$13,IF(EMPLOYEE_MASTER!J449&lt;=25, EMPLOYEE_MASTER!J449*LK_AllowanceRates!$B$14,EMPLOYEE_MASTER!J449*LK_AllowanceRates!$B$15))),0)</f>
        <v>480000</v>
      </c>
      <c r="O449" s="101">
        <f>IF(EMPLOYEE_MASTER!AS449="Teaching",L449*LK_AllowanceRates!$B$16,0)</f>
        <v>0</v>
      </c>
      <c r="P449" s="101">
        <f>IF(EMPLOYEE_MASTER!AS449="Medical",LK_AllowanceRates!$B$17,0)</f>
        <v>0</v>
      </c>
      <c r="Q449" s="101">
        <f>IF(EMPLOYEE_MASTER!AR449="Yes",LK_AllowanceRates!$B$18,0)</f>
        <v>0</v>
      </c>
      <c r="R449" s="101">
        <f>IF(EMPLOYEE_MASTER!AC449="Yes",LK_AllowanceRates!$B$19,0)</f>
        <v>0</v>
      </c>
      <c r="S449" s="101">
        <f>IF(EMPLOYEE_MASTER!AA449="Yes",L449*LK_AllowanceRates!$B$20,0)</f>
        <v>735000</v>
      </c>
      <c r="T449" s="101">
        <f>IF(EMPLOYEE_MASTER!AB449="Yes",LK_AllowanceRates!$B$21,0)</f>
        <v>0</v>
      </c>
      <c r="U449" s="101">
        <f>IF(EMPLOYEE_MASTER!P449&gt;=6,LK_AllowanceRates!$B$22,0)</f>
        <v>0</v>
      </c>
      <c r="V449" s="101">
        <f>IF(EMPLOYEE_MASTER!AO449="Yes",LK_AllowanceRates!$B$23,0)</f>
        <v>0</v>
      </c>
      <c r="W449" s="101">
        <f>EMPLOYEE_MASTER!AP449*LK_AllowanceRates!$B$24</f>
        <v>0</v>
      </c>
      <c r="X449" s="101">
        <v>0</v>
      </c>
      <c r="Y449" s="102">
        <v>0</v>
      </c>
      <c r="Z449" s="102">
        <v>0</v>
      </c>
      <c r="AA449" s="102">
        <v>0</v>
      </c>
      <c r="AB449" s="103">
        <f t="shared" ca="1" si="50"/>
        <v>2715000</v>
      </c>
      <c r="AC449" s="104">
        <f t="shared" ca="1" si="51"/>
        <v>5655000</v>
      </c>
      <c r="AD449" s="105">
        <f>ROUND(L449*LK_AllowanceRates!$B$25/100,0)</f>
        <v>161700</v>
      </c>
      <c r="AE449" s="106">
        <f t="shared" ca="1" si="52"/>
        <v>5493300</v>
      </c>
      <c r="AF449" s="106">
        <f t="shared" ca="1" si="53"/>
        <v>234330</v>
      </c>
      <c r="AG449" s="107">
        <v>0</v>
      </c>
      <c r="AH449" s="107">
        <v>0</v>
      </c>
      <c r="AI449" s="108">
        <f t="shared" ca="1" si="54"/>
        <v>396030</v>
      </c>
      <c r="AJ449" s="109">
        <f t="shared" ca="1" si="55"/>
        <v>5258970</v>
      </c>
    </row>
    <row r="450" spans="1:36" ht="15" customHeight="1" x14ac:dyDescent="0.3">
      <c r="A450" s="98" t="str">
        <f>EMPLOYEE_MASTER!A450</f>
        <v>LAO00447</v>
      </c>
      <c r="B450" s="98" t="str">
        <f>EMPLOYEE_MASTER!C450</f>
        <v>Khamphout</v>
      </c>
      <c r="C450" s="98" t="str">
        <f>EMPLOYEE_MASTER!D450</f>
        <v>Soulinthong</v>
      </c>
      <c r="D450" s="98" t="str">
        <f>EMPLOYEE_MASTER!T450</f>
        <v>Ministry of Health (MoH)</v>
      </c>
      <c r="E450" s="98" t="str">
        <f>EMPLOYEE_MASTER!M450</f>
        <v>Nurse</v>
      </c>
      <c r="F450" s="98" t="str">
        <f>EMPLOYEE_MASTER!Z450</f>
        <v>Medical</v>
      </c>
      <c r="G450" s="99">
        <f>EMPLOYEE_MASTER!P450</f>
        <v>2</v>
      </c>
      <c r="H450" s="99">
        <f>EMPLOYEE_MASTER!Q450</f>
        <v>13</v>
      </c>
      <c r="I450" s="100" t="str">
        <f t="shared" si="48"/>
        <v>G02-S13</v>
      </c>
      <c r="J450" s="100">
        <f>IFERROR(VLOOKUP(I450,LK_GradeStep!$C$4:$D$85,2,0),0)</f>
        <v>280</v>
      </c>
      <c r="K450" s="100">
        <f>IFERROR(VLOOKUP(I450,LK_GradeStep!$C$4:$E$85,3,0),10000)</f>
        <v>10000</v>
      </c>
      <c r="L450" s="100">
        <f t="shared" si="49"/>
        <v>2800000</v>
      </c>
      <c r="M450" s="101">
        <f>IFERROR(VLOOKUP(EMPLOYEE_MASTER!AQ450,LK_AllowanceRates!$A$5:$B$11,2,0),0)</f>
        <v>900000</v>
      </c>
      <c r="N450" s="101">
        <f ca="1">IFERROR(IF(EMPLOYEE_MASTER!J450&lt;=5,  EMPLOYEE_MASTER!J450*LK_AllowanceRates!$B$12,IF(EMPLOYEE_MASTER!J450&lt;=15, EMPLOYEE_MASTER!J450*LK_AllowanceRates!$B$13,IF(EMPLOYEE_MASTER!J450&lt;=25, EMPLOYEE_MASTER!J450*LK_AllowanceRates!$B$14,EMPLOYEE_MASTER!J450*LK_AllowanceRates!$B$15))),0)</f>
        <v>10000</v>
      </c>
      <c r="O450" s="101">
        <f>IF(EMPLOYEE_MASTER!AS450="Teaching",L450*LK_AllowanceRates!$B$16,0)</f>
        <v>0</v>
      </c>
      <c r="P450" s="101">
        <f>IF(EMPLOYEE_MASTER!AS450="Medical",LK_AllowanceRates!$B$17,0)</f>
        <v>500000</v>
      </c>
      <c r="Q450" s="101">
        <f>IF(EMPLOYEE_MASTER!AR450="Yes",LK_AllowanceRates!$B$18,0)</f>
        <v>0</v>
      </c>
      <c r="R450" s="101">
        <f>IF(EMPLOYEE_MASTER!AC450="Yes",LK_AllowanceRates!$B$19,0)</f>
        <v>0</v>
      </c>
      <c r="S450" s="101">
        <f>IF(EMPLOYEE_MASTER!AA450="Yes",L450*LK_AllowanceRates!$B$20,0)</f>
        <v>700000</v>
      </c>
      <c r="T450" s="101">
        <f>IF(EMPLOYEE_MASTER!AB450="Yes",LK_AllowanceRates!$B$21,0)</f>
        <v>0</v>
      </c>
      <c r="U450" s="101">
        <f>IF(EMPLOYEE_MASTER!P450&gt;=6,LK_AllowanceRates!$B$22,0)</f>
        <v>0</v>
      </c>
      <c r="V450" s="101">
        <f>IF(EMPLOYEE_MASTER!AO450="Yes",LK_AllowanceRates!$B$23,0)</f>
        <v>200000</v>
      </c>
      <c r="W450" s="101">
        <f>EMPLOYEE_MASTER!AP450*LK_AllowanceRates!$B$24</f>
        <v>0</v>
      </c>
      <c r="X450" s="101">
        <v>0</v>
      </c>
      <c r="Y450" s="102">
        <v>0</v>
      </c>
      <c r="Z450" s="102">
        <v>0</v>
      </c>
      <c r="AA450" s="102">
        <v>0</v>
      </c>
      <c r="AB450" s="103">
        <f t="shared" ca="1" si="50"/>
        <v>2310000</v>
      </c>
      <c r="AC450" s="104">
        <f t="shared" ca="1" si="51"/>
        <v>5110000</v>
      </c>
      <c r="AD450" s="105">
        <f>ROUND(L450*LK_AllowanceRates!$B$25/100,0)</f>
        <v>154000</v>
      </c>
      <c r="AE450" s="106">
        <f t="shared" ca="1" si="52"/>
        <v>4956000</v>
      </c>
      <c r="AF450" s="106">
        <f t="shared" ca="1" si="53"/>
        <v>182800</v>
      </c>
      <c r="AG450" s="107">
        <v>0</v>
      </c>
      <c r="AH450" s="107">
        <v>0</v>
      </c>
      <c r="AI450" s="108">
        <f t="shared" ca="1" si="54"/>
        <v>336800</v>
      </c>
      <c r="AJ450" s="109">
        <f t="shared" ca="1" si="55"/>
        <v>4773200</v>
      </c>
    </row>
    <row r="451" spans="1:36" ht="15" customHeight="1" x14ac:dyDescent="0.3">
      <c r="A451" s="98" t="str">
        <f>EMPLOYEE_MASTER!A451</f>
        <v>LAO00448</v>
      </c>
      <c r="B451" s="98" t="str">
        <f>EMPLOYEE_MASTER!C451</f>
        <v>Vannaphone</v>
      </c>
      <c r="C451" s="98" t="str">
        <f>EMPLOYEE_MASTER!D451</f>
        <v>Phommavong</v>
      </c>
      <c r="D451" s="98" t="str">
        <f>EMPLOYEE_MASTER!T451</f>
        <v>Ministry of Public Works &amp; Transport (MPWT)</v>
      </c>
      <c r="E451" s="98" t="str">
        <f>EMPLOYEE_MASTER!M451</f>
        <v>Survey Officer</v>
      </c>
      <c r="F451" s="98" t="str">
        <f>EMPLOYEE_MASTER!Z451</f>
        <v>Technical</v>
      </c>
      <c r="G451" s="99">
        <f>EMPLOYEE_MASTER!P451</f>
        <v>3</v>
      </c>
      <c r="H451" s="99">
        <f>EMPLOYEE_MASTER!Q451</f>
        <v>2</v>
      </c>
      <c r="I451" s="100" t="str">
        <f t="shared" si="48"/>
        <v>G03-S02</v>
      </c>
      <c r="J451" s="100">
        <f>IFERROR(VLOOKUP(I451,LK_GradeStep!$C$4:$D$85,2,0),0)</f>
        <v>277</v>
      </c>
      <c r="K451" s="100">
        <f>IFERROR(VLOOKUP(I451,LK_GradeStep!$C$4:$E$85,3,0),10000)</f>
        <v>10000</v>
      </c>
      <c r="L451" s="100">
        <f t="shared" si="49"/>
        <v>2770000</v>
      </c>
      <c r="M451" s="101">
        <f>IFERROR(VLOOKUP(EMPLOYEE_MASTER!AQ451,LK_AllowanceRates!$A$5:$B$11,2,0),0)</f>
        <v>900000</v>
      </c>
      <c r="N451" s="101">
        <f ca="1">IFERROR(IF(EMPLOYEE_MASTER!J451&lt;=5,  EMPLOYEE_MASTER!J451*LK_AllowanceRates!$B$12,IF(EMPLOYEE_MASTER!J451&lt;=15, EMPLOYEE_MASTER!J451*LK_AllowanceRates!$B$13,IF(EMPLOYEE_MASTER!J451&lt;=25, EMPLOYEE_MASTER!J451*LK_AllowanceRates!$B$14,EMPLOYEE_MASTER!J451*LK_AllowanceRates!$B$15))),0)</f>
        <v>40000</v>
      </c>
      <c r="O451" s="101">
        <f>IF(EMPLOYEE_MASTER!AS451="Teaching",L451*LK_AllowanceRates!$B$16,0)</f>
        <v>0</v>
      </c>
      <c r="P451" s="101">
        <f>IF(EMPLOYEE_MASTER!AS451="Medical",LK_AllowanceRates!$B$17,0)</f>
        <v>0</v>
      </c>
      <c r="Q451" s="101">
        <f>IF(EMPLOYEE_MASTER!AR451="Yes",LK_AllowanceRates!$B$18,0)</f>
        <v>0</v>
      </c>
      <c r="R451" s="101">
        <f>IF(EMPLOYEE_MASTER!AC451="Yes",LK_AllowanceRates!$B$19,0)</f>
        <v>0</v>
      </c>
      <c r="S451" s="101">
        <f>IF(EMPLOYEE_MASTER!AA451="Yes",L451*LK_AllowanceRates!$B$20,0)</f>
        <v>692500</v>
      </c>
      <c r="T451" s="101">
        <f>IF(EMPLOYEE_MASTER!AB451="Yes",LK_AllowanceRates!$B$21,0)</f>
        <v>0</v>
      </c>
      <c r="U451" s="101">
        <f>IF(EMPLOYEE_MASTER!P451&gt;=6,LK_AllowanceRates!$B$22,0)</f>
        <v>0</v>
      </c>
      <c r="V451" s="101">
        <f>IF(EMPLOYEE_MASTER!AO451="Yes",LK_AllowanceRates!$B$23,0)</f>
        <v>200000</v>
      </c>
      <c r="W451" s="101">
        <f>EMPLOYEE_MASTER!AP451*LK_AllowanceRates!$B$24</f>
        <v>600000</v>
      </c>
      <c r="X451" s="101">
        <v>0</v>
      </c>
      <c r="Y451" s="102">
        <v>0</v>
      </c>
      <c r="Z451" s="102">
        <v>0</v>
      </c>
      <c r="AA451" s="102">
        <v>0</v>
      </c>
      <c r="AB451" s="103">
        <f t="shared" ca="1" si="50"/>
        <v>2432500</v>
      </c>
      <c r="AC451" s="104">
        <f t="shared" ca="1" si="51"/>
        <v>5202500</v>
      </c>
      <c r="AD451" s="105">
        <f>ROUND(L451*LK_AllowanceRates!$B$25/100,0)</f>
        <v>152350</v>
      </c>
      <c r="AE451" s="106">
        <f t="shared" ca="1" si="52"/>
        <v>5050150</v>
      </c>
      <c r="AF451" s="106">
        <f t="shared" ca="1" si="53"/>
        <v>190015</v>
      </c>
      <c r="AG451" s="107">
        <v>0</v>
      </c>
      <c r="AH451" s="107">
        <v>0</v>
      </c>
      <c r="AI451" s="108">
        <f t="shared" ca="1" si="54"/>
        <v>342365</v>
      </c>
      <c r="AJ451" s="109">
        <f t="shared" ca="1" si="55"/>
        <v>4860135</v>
      </c>
    </row>
    <row r="452" spans="1:36" ht="15" customHeight="1" x14ac:dyDescent="0.3">
      <c r="A452" s="98" t="str">
        <f>EMPLOYEE_MASTER!A452</f>
        <v>LAO00449</v>
      </c>
      <c r="B452" s="98" t="str">
        <f>EMPLOYEE_MASTER!C452</f>
        <v>Bounpone</v>
      </c>
      <c r="C452" s="98" t="str">
        <f>EMPLOYEE_MASTER!D452</f>
        <v>Souksavanh</v>
      </c>
      <c r="D452" s="98" t="str">
        <f>EMPLOYEE_MASTER!T452</f>
        <v>Savannakhet Province Administration</v>
      </c>
      <c r="E452" s="98" t="str">
        <f>EMPLOYEE_MASTER!M452</f>
        <v>Senior Administrative Officer</v>
      </c>
      <c r="F452" s="98" t="str">
        <f>EMPLOYEE_MASTER!Z452</f>
        <v>Administration</v>
      </c>
      <c r="G452" s="99">
        <f>EMPLOYEE_MASTER!P452</f>
        <v>4</v>
      </c>
      <c r="H452" s="99">
        <f>EMPLOYEE_MASTER!Q452</f>
        <v>4</v>
      </c>
      <c r="I452" s="100" t="str">
        <f t="shared" ref="I452:I515" si="56">"G"&amp;TEXT(G452,"00")&amp;"-S"&amp;TEXT(H452,"00")</f>
        <v>G04-S04</v>
      </c>
      <c r="J452" s="100">
        <f>IFERROR(VLOOKUP(I452,LK_GradeStep!$C$4:$D$85,2,0),0)</f>
        <v>292</v>
      </c>
      <c r="K452" s="100">
        <f>IFERROR(VLOOKUP(I452,LK_GradeStep!$C$4:$E$85,3,0),10000)</f>
        <v>10000</v>
      </c>
      <c r="L452" s="100">
        <f t="shared" ref="L452:L515" si="57">IFERROR(J452*K452,0)</f>
        <v>2920000</v>
      </c>
      <c r="M452" s="101">
        <f>IFERROR(VLOOKUP(EMPLOYEE_MASTER!AQ452,LK_AllowanceRates!$A$5:$B$11,2,0),0)</f>
        <v>900000</v>
      </c>
      <c r="N452" s="101">
        <f ca="1">IFERROR(IF(EMPLOYEE_MASTER!J452&lt;=5,  EMPLOYEE_MASTER!J452*LK_AllowanceRates!$B$12,IF(EMPLOYEE_MASTER!J452&lt;=15, EMPLOYEE_MASTER!J452*LK_AllowanceRates!$B$13,IF(EMPLOYEE_MASTER!J452&lt;=25, EMPLOYEE_MASTER!J452*LK_AllowanceRates!$B$14,EMPLOYEE_MASTER!J452*LK_AllowanceRates!$B$15))),0)</f>
        <v>120000</v>
      </c>
      <c r="O452" s="101">
        <f>IF(EMPLOYEE_MASTER!AS452="Teaching",L452*LK_AllowanceRates!$B$16,0)</f>
        <v>0</v>
      </c>
      <c r="P452" s="101">
        <f>IF(EMPLOYEE_MASTER!AS452="Medical",LK_AllowanceRates!$B$17,0)</f>
        <v>0</v>
      </c>
      <c r="Q452" s="101">
        <f>IF(EMPLOYEE_MASTER!AR452="Yes",LK_AllowanceRates!$B$18,0)</f>
        <v>0</v>
      </c>
      <c r="R452" s="101">
        <f>IF(EMPLOYEE_MASTER!AC452="Yes",LK_AllowanceRates!$B$19,0)</f>
        <v>0</v>
      </c>
      <c r="S452" s="101">
        <f>IF(EMPLOYEE_MASTER!AA452="Yes",L452*LK_AllowanceRates!$B$20,0)</f>
        <v>0</v>
      </c>
      <c r="T452" s="101">
        <f>IF(EMPLOYEE_MASTER!AB452="Yes",LK_AllowanceRates!$B$21,0)</f>
        <v>0</v>
      </c>
      <c r="U452" s="101">
        <f>IF(EMPLOYEE_MASTER!P452&gt;=6,LK_AllowanceRates!$B$22,0)</f>
        <v>0</v>
      </c>
      <c r="V452" s="101">
        <f>IF(EMPLOYEE_MASTER!AO452="Yes",LK_AllowanceRates!$B$23,0)</f>
        <v>200000</v>
      </c>
      <c r="W452" s="101">
        <f>EMPLOYEE_MASTER!AP452*LK_AllowanceRates!$B$24</f>
        <v>200000</v>
      </c>
      <c r="X452" s="101">
        <v>0</v>
      </c>
      <c r="Y452" s="102">
        <v>0</v>
      </c>
      <c r="Z452" s="102">
        <v>0</v>
      </c>
      <c r="AA452" s="102">
        <v>0</v>
      </c>
      <c r="AB452" s="103">
        <f t="shared" ref="AB452:AB515" ca="1" si="58">SUM(M452:AA452)</f>
        <v>1420000</v>
      </c>
      <c r="AC452" s="104">
        <f t="shared" ref="AC452:AC515" ca="1" si="59">L452+AB452</f>
        <v>4340000</v>
      </c>
      <c r="AD452" s="105">
        <f>ROUND(L452*LK_AllowanceRates!$B$25/100,0)</f>
        <v>160600</v>
      </c>
      <c r="AE452" s="106">
        <f t="shared" ref="AE452:AE515" ca="1" si="60">IFERROR(AC452-AD452,0)</f>
        <v>4179400</v>
      </c>
      <c r="AF452" s="106">
        <f t="shared" ref="AF452:AF515" ca="1" si="61">IFERROR(IF(AE452&lt;=1300000,0,IF(AE452&lt;=5000000,(AE452-1300000)*0.05,IF(AE452&lt;=10000000,185000+(AE452-5000000)*0.1,IF(AE452&lt;=20000000,685000+(AE452-10000000)*0.15,IF(AE452&lt;=40000000,2185000+(AE452-20000000)*0.2,6185000+(AE452-40000000)*0.24))))),0)</f>
        <v>143970</v>
      </c>
      <c r="AG452" s="107">
        <v>0</v>
      </c>
      <c r="AH452" s="107">
        <v>0</v>
      </c>
      <c r="AI452" s="108">
        <f t="shared" ref="AI452:AI515" ca="1" si="62">AD452+AF452+AG452+AH452</f>
        <v>304570</v>
      </c>
      <c r="AJ452" s="109">
        <f t="shared" ref="AJ452:AJ515" ca="1" si="63">IFERROR(AC452-AI452,0)</f>
        <v>4035430</v>
      </c>
    </row>
    <row r="453" spans="1:36" ht="15" customHeight="1" x14ac:dyDescent="0.3">
      <c r="A453" s="98" t="str">
        <f>EMPLOYEE_MASTER!A453</f>
        <v>LAO00450</v>
      </c>
      <c r="B453" s="98" t="str">
        <f>EMPLOYEE_MASTER!C453</f>
        <v>Thongsavanh</v>
      </c>
      <c r="C453" s="98" t="str">
        <f>EMPLOYEE_MASTER!D453</f>
        <v>Vilayvong</v>
      </c>
      <c r="D453" s="98" t="str">
        <f>EMPLOYEE_MASTER!T453</f>
        <v>Savannakhet Province Administration</v>
      </c>
      <c r="E453" s="98" t="str">
        <f>EMPLOYEE_MASTER!M453</f>
        <v>Senior Officer</v>
      </c>
      <c r="F453" s="98" t="str">
        <f>EMPLOYEE_MASTER!Z453</f>
        <v>Administration</v>
      </c>
      <c r="G453" s="99">
        <f>EMPLOYEE_MASTER!P453</f>
        <v>4</v>
      </c>
      <c r="H453" s="99">
        <f>EMPLOYEE_MASTER!Q453</f>
        <v>1</v>
      </c>
      <c r="I453" s="100" t="str">
        <f t="shared" si="56"/>
        <v>G04-S01</v>
      </c>
      <c r="J453" s="100">
        <f>IFERROR(VLOOKUP(I453,LK_GradeStep!$C$4:$D$85,2,0),0)</f>
        <v>286</v>
      </c>
      <c r="K453" s="100">
        <f>IFERROR(VLOOKUP(I453,LK_GradeStep!$C$4:$E$85,3,0),10000)</f>
        <v>10000</v>
      </c>
      <c r="L453" s="100">
        <f t="shared" si="57"/>
        <v>2860000</v>
      </c>
      <c r="M453" s="101">
        <f>IFERROR(VLOOKUP(EMPLOYEE_MASTER!AQ453,LK_AllowanceRates!$A$5:$B$11,2,0),0)</f>
        <v>900000</v>
      </c>
      <c r="N453" s="101">
        <f ca="1">IFERROR(IF(EMPLOYEE_MASTER!J453&lt;=5,  EMPLOYEE_MASTER!J453*LK_AllowanceRates!$B$12,IF(EMPLOYEE_MASTER!J453&lt;=15, EMPLOYEE_MASTER!J453*LK_AllowanceRates!$B$13,IF(EMPLOYEE_MASTER!J453&lt;=25, EMPLOYEE_MASTER!J453*LK_AllowanceRates!$B$14,EMPLOYEE_MASTER!J453*LK_AllowanceRates!$B$15))),0)</f>
        <v>510000</v>
      </c>
      <c r="O453" s="101">
        <f>IF(EMPLOYEE_MASTER!AS453="Teaching",L453*LK_AllowanceRates!$B$16,0)</f>
        <v>0</v>
      </c>
      <c r="P453" s="101">
        <f>IF(EMPLOYEE_MASTER!AS453="Medical",LK_AllowanceRates!$B$17,0)</f>
        <v>0</v>
      </c>
      <c r="Q453" s="101">
        <f>IF(EMPLOYEE_MASTER!AR453="Yes",LK_AllowanceRates!$B$18,0)</f>
        <v>0</v>
      </c>
      <c r="R453" s="101">
        <f>IF(EMPLOYEE_MASTER!AC453="Yes",LK_AllowanceRates!$B$19,0)</f>
        <v>1000000</v>
      </c>
      <c r="S453" s="101">
        <f>IF(EMPLOYEE_MASTER!AA453="Yes",L453*LK_AllowanceRates!$B$20,0)</f>
        <v>715000</v>
      </c>
      <c r="T453" s="101">
        <f>IF(EMPLOYEE_MASTER!AB453="Yes",LK_AllowanceRates!$B$21,0)</f>
        <v>0</v>
      </c>
      <c r="U453" s="101">
        <f>IF(EMPLOYEE_MASTER!P453&gt;=6,LK_AllowanceRates!$B$22,0)</f>
        <v>0</v>
      </c>
      <c r="V453" s="101">
        <f>IF(EMPLOYEE_MASTER!AO453="Yes",LK_AllowanceRates!$B$23,0)</f>
        <v>200000</v>
      </c>
      <c r="W453" s="101">
        <f>EMPLOYEE_MASTER!AP453*LK_AllowanceRates!$B$24</f>
        <v>600000</v>
      </c>
      <c r="X453" s="101">
        <v>0</v>
      </c>
      <c r="Y453" s="102">
        <v>0</v>
      </c>
      <c r="Z453" s="102">
        <v>0</v>
      </c>
      <c r="AA453" s="102">
        <v>0</v>
      </c>
      <c r="AB453" s="103">
        <f t="shared" ca="1" si="58"/>
        <v>3925000</v>
      </c>
      <c r="AC453" s="104">
        <f t="shared" ca="1" si="59"/>
        <v>6785000</v>
      </c>
      <c r="AD453" s="105">
        <f>ROUND(L453*LK_AllowanceRates!$B$25/100,0)</f>
        <v>157300</v>
      </c>
      <c r="AE453" s="106">
        <f t="shared" ca="1" si="60"/>
        <v>6627700</v>
      </c>
      <c r="AF453" s="106">
        <f t="shared" ca="1" si="61"/>
        <v>347770</v>
      </c>
      <c r="AG453" s="107">
        <v>0</v>
      </c>
      <c r="AH453" s="107">
        <v>0</v>
      </c>
      <c r="AI453" s="108">
        <f t="shared" ca="1" si="62"/>
        <v>505070</v>
      </c>
      <c r="AJ453" s="109">
        <f t="shared" ca="1" si="63"/>
        <v>6279930</v>
      </c>
    </row>
    <row r="454" spans="1:36" ht="15" customHeight="1" x14ac:dyDescent="0.3">
      <c r="A454" s="98" t="str">
        <f>EMPLOYEE_MASTER!A454</f>
        <v>LAO00451</v>
      </c>
      <c r="B454" s="98" t="str">
        <f>EMPLOYEE_MASTER!C454</f>
        <v>Khamsone</v>
      </c>
      <c r="C454" s="98" t="str">
        <f>EMPLOYEE_MASTER!D454</f>
        <v>Soulinthong</v>
      </c>
      <c r="D454" s="98" t="str">
        <f>EMPLOYEE_MASTER!T454</f>
        <v>Ministry of Home Affairs (MoHA)</v>
      </c>
      <c r="E454" s="98" t="str">
        <f>EMPLOYEE_MASTER!M454</f>
        <v>Division Chief</v>
      </c>
      <c r="F454" s="98" t="str">
        <f>EMPLOYEE_MASTER!Z454</f>
        <v>Administration</v>
      </c>
      <c r="G454" s="99">
        <f>EMPLOYEE_MASTER!P454</f>
        <v>4</v>
      </c>
      <c r="H454" s="99">
        <f>EMPLOYEE_MASTER!Q454</f>
        <v>1</v>
      </c>
      <c r="I454" s="100" t="str">
        <f t="shared" si="56"/>
        <v>G04-S01</v>
      </c>
      <c r="J454" s="100">
        <f>IFERROR(VLOOKUP(I454,LK_GradeStep!$C$4:$D$85,2,0),0)</f>
        <v>286</v>
      </c>
      <c r="K454" s="100">
        <f>IFERROR(VLOOKUP(I454,LK_GradeStep!$C$4:$E$85,3,0),10000)</f>
        <v>10000</v>
      </c>
      <c r="L454" s="100">
        <f t="shared" si="57"/>
        <v>2860000</v>
      </c>
      <c r="M454" s="101">
        <f>IFERROR(VLOOKUP(EMPLOYEE_MASTER!AQ454,LK_AllowanceRates!$A$5:$B$11,2,0),0)</f>
        <v>1900000</v>
      </c>
      <c r="N454" s="101">
        <f ca="1">IFERROR(IF(EMPLOYEE_MASTER!J454&lt;=5,  EMPLOYEE_MASTER!J454*LK_AllowanceRates!$B$12,IF(EMPLOYEE_MASTER!J454&lt;=15, EMPLOYEE_MASTER!J454*LK_AllowanceRates!$B$13,IF(EMPLOYEE_MASTER!J454&lt;=25, EMPLOYEE_MASTER!J454*LK_AllowanceRates!$B$14,EMPLOYEE_MASTER!J454*LK_AllowanceRates!$B$15))),0)</f>
        <v>1280000</v>
      </c>
      <c r="O454" s="101">
        <f>IF(EMPLOYEE_MASTER!AS454="Teaching",L454*LK_AllowanceRates!$B$16,0)</f>
        <v>0</v>
      </c>
      <c r="P454" s="101">
        <f>IF(EMPLOYEE_MASTER!AS454="Medical",LK_AllowanceRates!$B$17,0)</f>
        <v>0</v>
      </c>
      <c r="Q454" s="101">
        <f>IF(EMPLOYEE_MASTER!AR454="Yes",LK_AllowanceRates!$B$18,0)</f>
        <v>0</v>
      </c>
      <c r="R454" s="101">
        <f>IF(EMPLOYEE_MASTER!AC454="Yes",LK_AllowanceRates!$B$19,0)</f>
        <v>1000000</v>
      </c>
      <c r="S454" s="101">
        <f>IF(EMPLOYEE_MASTER!AA454="Yes",L454*LK_AllowanceRates!$B$20,0)</f>
        <v>715000</v>
      </c>
      <c r="T454" s="101">
        <f>IF(EMPLOYEE_MASTER!AB454="Yes",LK_AllowanceRates!$B$21,0)</f>
        <v>0</v>
      </c>
      <c r="U454" s="101">
        <f>IF(EMPLOYEE_MASTER!P454&gt;=6,LK_AllowanceRates!$B$22,0)</f>
        <v>0</v>
      </c>
      <c r="V454" s="101">
        <f>IF(EMPLOYEE_MASTER!AO454="Yes",LK_AllowanceRates!$B$23,0)</f>
        <v>200000</v>
      </c>
      <c r="W454" s="101">
        <f>EMPLOYEE_MASTER!AP454*LK_AllowanceRates!$B$24</f>
        <v>0</v>
      </c>
      <c r="X454" s="101">
        <v>0</v>
      </c>
      <c r="Y454" s="102">
        <v>0</v>
      </c>
      <c r="Z454" s="102">
        <v>0</v>
      </c>
      <c r="AA454" s="102">
        <v>0</v>
      </c>
      <c r="AB454" s="103">
        <f t="shared" ca="1" si="58"/>
        <v>5095000</v>
      </c>
      <c r="AC454" s="104">
        <f t="shared" ca="1" si="59"/>
        <v>7955000</v>
      </c>
      <c r="AD454" s="105">
        <f>ROUND(L454*LK_AllowanceRates!$B$25/100,0)</f>
        <v>157300</v>
      </c>
      <c r="AE454" s="106">
        <f t="shared" ca="1" si="60"/>
        <v>7797700</v>
      </c>
      <c r="AF454" s="106">
        <f t="shared" ca="1" si="61"/>
        <v>464770</v>
      </c>
      <c r="AG454" s="107">
        <v>0</v>
      </c>
      <c r="AH454" s="107">
        <v>0</v>
      </c>
      <c r="AI454" s="108">
        <f t="shared" ca="1" si="62"/>
        <v>622070</v>
      </c>
      <c r="AJ454" s="109">
        <f t="shared" ca="1" si="63"/>
        <v>7332930</v>
      </c>
    </row>
    <row r="455" spans="1:36" ht="15" customHeight="1" x14ac:dyDescent="0.3">
      <c r="A455" s="98" t="str">
        <f>EMPLOYEE_MASTER!A455</f>
        <v>LAO00452</v>
      </c>
      <c r="B455" s="98" t="str">
        <f>EMPLOYEE_MASTER!C455</f>
        <v>Bounthong</v>
      </c>
      <c r="C455" s="98" t="str">
        <f>EMPLOYEE_MASTER!D455</f>
        <v>Sengmixay</v>
      </c>
      <c r="D455" s="98" t="str">
        <f>EMPLOYEE_MASTER!T455</f>
        <v>National Assembly (NA)</v>
      </c>
      <c r="E455" s="98" t="str">
        <f>EMPLOYEE_MASTER!M455</f>
        <v>Section Chief</v>
      </c>
      <c r="F455" s="98" t="str">
        <f>EMPLOYEE_MASTER!Z455</f>
        <v>Administration</v>
      </c>
      <c r="G455" s="99">
        <f>EMPLOYEE_MASTER!P455</f>
        <v>4</v>
      </c>
      <c r="H455" s="99">
        <f>EMPLOYEE_MASTER!Q455</f>
        <v>1</v>
      </c>
      <c r="I455" s="100" t="str">
        <f t="shared" si="56"/>
        <v>G04-S01</v>
      </c>
      <c r="J455" s="100">
        <f>IFERROR(VLOOKUP(I455,LK_GradeStep!$C$4:$D$85,2,0),0)</f>
        <v>286</v>
      </c>
      <c r="K455" s="100">
        <f>IFERROR(VLOOKUP(I455,LK_GradeStep!$C$4:$E$85,3,0),10000)</f>
        <v>10000</v>
      </c>
      <c r="L455" s="100">
        <f t="shared" si="57"/>
        <v>2860000</v>
      </c>
      <c r="M455" s="101">
        <f>IFERROR(VLOOKUP(EMPLOYEE_MASTER!AQ455,LK_AllowanceRates!$A$5:$B$11,2,0),0)</f>
        <v>1500000</v>
      </c>
      <c r="N455" s="101">
        <f ca="1">IFERROR(IF(EMPLOYEE_MASTER!J455&lt;=5,  EMPLOYEE_MASTER!J455*LK_AllowanceRates!$B$12,IF(EMPLOYEE_MASTER!J455&lt;=15, EMPLOYEE_MASTER!J455*LK_AllowanceRates!$B$13,IF(EMPLOYEE_MASTER!J455&lt;=25, EMPLOYEE_MASTER!J455*LK_AllowanceRates!$B$14,EMPLOYEE_MASTER!J455*LK_AllowanceRates!$B$15))),0)</f>
        <v>1040000</v>
      </c>
      <c r="O455" s="101">
        <f>IF(EMPLOYEE_MASTER!AS455="Teaching",L455*LK_AllowanceRates!$B$16,0)</f>
        <v>0</v>
      </c>
      <c r="P455" s="101">
        <f>IF(EMPLOYEE_MASTER!AS455="Medical",LK_AllowanceRates!$B$17,0)</f>
        <v>0</v>
      </c>
      <c r="Q455" s="101">
        <f>IF(EMPLOYEE_MASTER!AR455="Yes",LK_AllowanceRates!$B$18,0)</f>
        <v>1000000</v>
      </c>
      <c r="R455" s="101">
        <f>IF(EMPLOYEE_MASTER!AC455="Yes",LK_AllowanceRates!$B$19,0)</f>
        <v>0</v>
      </c>
      <c r="S455" s="101">
        <f>IF(EMPLOYEE_MASTER!AA455="Yes",L455*LK_AllowanceRates!$B$20,0)</f>
        <v>0</v>
      </c>
      <c r="T455" s="101">
        <f>IF(EMPLOYEE_MASTER!AB455="Yes",LK_AllowanceRates!$B$21,0)</f>
        <v>0</v>
      </c>
      <c r="U455" s="101">
        <f>IF(EMPLOYEE_MASTER!P455&gt;=6,LK_AllowanceRates!$B$22,0)</f>
        <v>0</v>
      </c>
      <c r="V455" s="101">
        <f>IF(EMPLOYEE_MASTER!AO455="Yes",LK_AllowanceRates!$B$23,0)</f>
        <v>200000</v>
      </c>
      <c r="W455" s="101">
        <f>EMPLOYEE_MASTER!AP455*LK_AllowanceRates!$B$24</f>
        <v>600000</v>
      </c>
      <c r="X455" s="101">
        <v>0</v>
      </c>
      <c r="Y455" s="102">
        <v>0</v>
      </c>
      <c r="Z455" s="102">
        <v>0</v>
      </c>
      <c r="AA455" s="102">
        <v>0</v>
      </c>
      <c r="AB455" s="103">
        <f t="shared" ca="1" si="58"/>
        <v>4340000</v>
      </c>
      <c r="AC455" s="104">
        <f t="shared" ca="1" si="59"/>
        <v>7200000</v>
      </c>
      <c r="AD455" s="105">
        <f>ROUND(L455*LK_AllowanceRates!$B$25/100,0)</f>
        <v>157300</v>
      </c>
      <c r="AE455" s="106">
        <f t="shared" ca="1" si="60"/>
        <v>7042700</v>
      </c>
      <c r="AF455" s="106">
        <f t="shared" ca="1" si="61"/>
        <v>389270</v>
      </c>
      <c r="AG455" s="107">
        <v>0</v>
      </c>
      <c r="AH455" s="107">
        <v>0</v>
      </c>
      <c r="AI455" s="108">
        <f t="shared" ca="1" si="62"/>
        <v>546570</v>
      </c>
      <c r="AJ455" s="109">
        <f t="shared" ca="1" si="63"/>
        <v>6653430</v>
      </c>
    </row>
    <row r="456" spans="1:36" ht="15" customHeight="1" x14ac:dyDescent="0.3">
      <c r="A456" s="98" t="str">
        <f>EMPLOYEE_MASTER!A456</f>
        <v>LAO00453</v>
      </c>
      <c r="B456" s="98" t="str">
        <f>EMPLOYEE_MASTER!C456</f>
        <v>Vanhkham</v>
      </c>
      <c r="C456" s="98" t="str">
        <f>EMPLOYEE_MASTER!D456</f>
        <v>Singvongsa</v>
      </c>
      <c r="D456" s="98" t="str">
        <f>EMPLOYEE_MASTER!T456</f>
        <v>Ministry of Education and Sports (MoES)</v>
      </c>
      <c r="E456" s="98" t="str">
        <f>EMPLOYEE_MASTER!M456</f>
        <v>Education Officer</v>
      </c>
      <c r="F456" s="98" t="str">
        <f>EMPLOYEE_MASTER!Z456</f>
        <v>Teacher</v>
      </c>
      <c r="G456" s="99">
        <f>EMPLOYEE_MASTER!P456</f>
        <v>4</v>
      </c>
      <c r="H456" s="99">
        <f>EMPLOYEE_MASTER!Q456</f>
        <v>1</v>
      </c>
      <c r="I456" s="100" t="str">
        <f t="shared" si="56"/>
        <v>G04-S01</v>
      </c>
      <c r="J456" s="100">
        <f>IFERROR(VLOOKUP(I456,LK_GradeStep!$C$4:$D$85,2,0),0)</f>
        <v>286</v>
      </c>
      <c r="K456" s="100">
        <f>IFERROR(VLOOKUP(I456,LK_GradeStep!$C$4:$E$85,3,0),10000)</f>
        <v>10000</v>
      </c>
      <c r="L456" s="100">
        <f t="shared" si="57"/>
        <v>2860000</v>
      </c>
      <c r="M456" s="101">
        <f>IFERROR(VLOOKUP(EMPLOYEE_MASTER!AQ456,LK_AllowanceRates!$A$5:$B$11,2,0),0)</f>
        <v>900000</v>
      </c>
      <c r="N456" s="101">
        <f ca="1">IFERROR(IF(EMPLOYEE_MASTER!J456&lt;=5,  EMPLOYEE_MASTER!J456*LK_AllowanceRates!$B$12,IF(EMPLOYEE_MASTER!J456&lt;=15, EMPLOYEE_MASTER!J456*LK_AllowanceRates!$B$13,IF(EMPLOYEE_MASTER!J456&lt;=25, EMPLOYEE_MASTER!J456*LK_AllowanceRates!$B$14,EMPLOYEE_MASTER!J456*LK_AllowanceRates!$B$15))),0)</f>
        <v>1200000</v>
      </c>
      <c r="O456" s="101">
        <f>IF(EMPLOYEE_MASTER!AS456="Teaching",L456*LK_AllowanceRates!$B$16,0)</f>
        <v>572000</v>
      </c>
      <c r="P456" s="101">
        <f>IF(EMPLOYEE_MASTER!AS456="Medical",LK_AllowanceRates!$B$17,0)</f>
        <v>0</v>
      </c>
      <c r="Q456" s="101">
        <f>IF(EMPLOYEE_MASTER!AR456="Yes",LK_AllowanceRates!$B$18,0)</f>
        <v>0</v>
      </c>
      <c r="R456" s="101">
        <f>IF(EMPLOYEE_MASTER!AC456="Yes",LK_AllowanceRates!$B$19,0)</f>
        <v>0</v>
      </c>
      <c r="S456" s="101">
        <f>IF(EMPLOYEE_MASTER!AA456="Yes",L456*LK_AllowanceRates!$B$20,0)</f>
        <v>715000</v>
      </c>
      <c r="T456" s="101">
        <f>IF(EMPLOYEE_MASTER!AB456="Yes",LK_AllowanceRates!$B$21,0)</f>
        <v>0</v>
      </c>
      <c r="U456" s="101">
        <f>IF(EMPLOYEE_MASTER!P456&gt;=6,LK_AllowanceRates!$B$22,0)</f>
        <v>0</v>
      </c>
      <c r="V456" s="101">
        <f>IF(EMPLOYEE_MASTER!AO456="Yes",LK_AllowanceRates!$B$23,0)</f>
        <v>0</v>
      </c>
      <c r="W456" s="101">
        <f>EMPLOYEE_MASTER!AP456*LK_AllowanceRates!$B$24</f>
        <v>0</v>
      </c>
      <c r="X456" s="101">
        <v>0</v>
      </c>
      <c r="Y456" s="102">
        <v>0</v>
      </c>
      <c r="Z456" s="102">
        <v>0</v>
      </c>
      <c r="AA456" s="102">
        <v>0</v>
      </c>
      <c r="AB456" s="103">
        <f t="shared" ca="1" si="58"/>
        <v>3387000</v>
      </c>
      <c r="AC456" s="104">
        <f t="shared" ca="1" si="59"/>
        <v>6247000</v>
      </c>
      <c r="AD456" s="105">
        <f>ROUND(L456*LK_AllowanceRates!$B$25/100,0)</f>
        <v>157300</v>
      </c>
      <c r="AE456" s="106">
        <f t="shared" ca="1" si="60"/>
        <v>6089700</v>
      </c>
      <c r="AF456" s="106">
        <f t="shared" ca="1" si="61"/>
        <v>293970</v>
      </c>
      <c r="AG456" s="107">
        <v>0</v>
      </c>
      <c r="AH456" s="107">
        <v>0</v>
      </c>
      <c r="AI456" s="108">
        <f t="shared" ca="1" si="62"/>
        <v>451270</v>
      </c>
      <c r="AJ456" s="109">
        <f t="shared" ca="1" si="63"/>
        <v>5795730</v>
      </c>
    </row>
    <row r="457" spans="1:36" ht="15" customHeight="1" x14ac:dyDescent="0.3">
      <c r="A457" s="98" t="str">
        <f>EMPLOYEE_MASTER!A457</f>
        <v>LAO00454</v>
      </c>
      <c r="B457" s="98" t="str">
        <f>EMPLOYEE_MASTER!C457</f>
        <v>Bounthieng</v>
      </c>
      <c r="C457" s="98" t="str">
        <f>EMPLOYEE_MASTER!D457</f>
        <v>Sengdara</v>
      </c>
      <c r="D457" s="98" t="str">
        <f>EMPLOYEE_MASTER!T457</f>
        <v>Ministry of Health (MoH)</v>
      </c>
      <c r="E457" s="98" t="str">
        <f>EMPLOYEE_MASTER!M457</f>
        <v>Nurse</v>
      </c>
      <c r="F457" s="98" t="str">
        <f>EMPLOYEE_MASTER!Z457</f>
        <v>Medical</v>
      </c>
      <c r="G457" s="99">
        <f>EMPLOYEE_MASTER!P457</f>
        <v>3</v>
      </c>
      <c r="H457" s="99">
        <f>EMPLOYEE_MASTER!Q457</f>
        <v>1</v>
      </c>
      <c r="I457" s="100" t="str">
        <f t="shared" si="56"/>
        <v>G03-S01</v>
      </c>
      <c r="J457" s="100">
        <f>IFERROR(VLOOKUP(I457,LK_GradeStep!$C$4:$D$85,2,0),0)</f>
        <v>276</v>
      </c>
      <c r="K457" s="100">
        <f>IFERROR(VLOOKUP(I457,LK_GradeStep!$C$4:$E$85,3,0),10000)</f>
        <v>10000</v>
      </c>
      <c r="L457" s="100">
        <f t="shared" si="57"/>
        <v>2760000</v>
      </c>
      <c r="M457" s="101">
        <f>IFERROR(VLOOKUP(EMPLOYEE_MASTER!AQ457,LK_AllowanceRates!$A$5:$B$11,2,0),0)</f>
        <v>900000</v>
      </c>
      <c r="N457" s="101">
        <f ca="1">IFERROR(IF(EMPLOYEE_MASTER!J457&lt;=5,  EMPLOYEE_MASTER!J457*LK_AllowanceRates!$B$12,IF(EMPLOYEE_MASTER!J457&lt;=15, EMPLOYEE_MASTER!J457*LK_AllowanceRates!$B$13,IF(EMPLOYEE_MASTER!J457&lt;=25, EMPLOYEE_MASTER!J457*LK_AllowanceRates!$B$14,EMPLOYEE_MASTER!J457*LK_AllowanceRates!$B$15))),0)</f>
        <v>660000</v>
      </c>
      <c r="O457" s="101">
        <f>IF(EMPLOYEE_MASTER!AS457="Teaching",L457*LK_AllowanceRates!$B$16,0)</f>
        <v>0</v>
      </c>
      <c r="P457" s="101">
        <f>IF(EMPLOYEE_MASTER!AS457="Medical",LK_AllowanceRates!$B$17,0)</f>
        <v>500000</v>
      </c>
      <c r="Q457" s="101">
        <f>IF(EMPLOYEE_MASTER!AR457="Yes",LK_AllowanceRates!$B$18,0)</f>
        <v>0</v>
      </c>
      <c r="R457" s="101">
        <f>IF(EMPLOYEE_MASTER!AC457="Yes",LK_AllowanceRates!$B$19,0)</f>
        <v>0</v>
      </c>
      <c r="S457" s="101">
        <f>IF(EMPLOYEE_MASTER!AA457="Yes",L457*LK_AllowanceRates!$B$20,0)</f>
        <v>690000</v>
      </c>
      <c r="T457" s="101">
        <f>IF(EMPLOYEE_MASTER!AB457="Yes",LK_AllowanceRates!$B$21,0)</f>
        <v>0</v>
      </c>
      <c r="U457" s="101">
        <f>IF(EMPLOYEE_MASTER!P457&gt;=6,LK_AllowanceRates!$B$22,0)</f>
        <v>0</v>
      </c>
      <c r="V457" s="101">
        <f>IF(EMPLOYEE_MASTER!AO457="Yes",LK_AllowanceRates!$B$23,0)</f>
        <v>200000</v>
      </c>
      <c r="W457" s="101">
        <f>EMPLOYEE_MASTER!AP457*LK_AllowanceRates!$B$24</f>
        <v>200000</v>
      </c>
      <c r="X457" s="101">
        <v>0</v>
      </c>
      <c r="Y457" s="102">
        <v>0</v>
      </c>
      <c r="Z457" s="102">
        <v>0</v>
      </c>
      <c r="AA457" s="102">
        <v>0</v>
      </c>
      <c r="AB457" s="103">
        <f t="shared" ca="1" si="58"/>
        <v>3150000</v>
      </c>
      <c r="AC457" s="104">
        <f t="shared" ca="1" si="59"/>
        <v>5910000</v>
      </c>
      <c r="AD457" s="105">
        <f>ROUND(L457*LK_AllowanceRates!$B$25/100,0)</f>
        <v>151800</v>
      </c>
      <c r="AE457" s="106">
        <f t="shared" ca="1" si="60"/>
        <v>5758200</v>
      </c>
      <c r="AF457" s="106">
        <f t="shared" ca="1" si="61"/>
        <v>260820</v>
      </c>
      <c r="AG457" s="107">
        <v>0</v>
      </c>
      <c r="AH457" s="107">
        <v>0</v>
      </c>
      <c r="AI457" s="108">
        <f t="shared" ca="1" si="62"/>
        <v>412620</v>
      </c>
      <c r="AJ457" s="109">
        <f t="shared" ca="1" si="63"/>
        <v>5497380</v>
      </c>
    </row>
    <row r="458" spans="1:36" ht="15" customHeight="1" x14ac:dyDescent="0.3">
      <c r="A458" s="98" t="str">
        <f>EMPLOYEE_MASTER!A458</f>
        <v>LAO00455</v>
      </c>
      <c r="B458" s="98" t="str">
        <f>EMPLOYEE_MASTER!C458</f>
        <v>Khamsing</v>
      </c>
      <c r="C458" s="98" t="str">
        <f>EMPLOYEE_MASTER!D458</f>
        <v>Douangmany</v>
      </c>
      <c r="D458" s="98" t="str">
        <f>EMPLOYEE_MASTER!T458</f>
        <v>Luang Prabang Province Administration</v>
      </c>
      <c r="E458" s="98" t="str">
        <f>EMPLOYEE_MASTER!M458</f>
        <v>Clerk</v>
      </c>
      <c r="F458" s="98" t="str">
        <f>EMPLOYEE_MASTER!Z458</f>
        <v>Administration</v>
      </c>
      <c r="G458" s="99">
        <f>EMPLOYEE_MASTER!P458</f>
        <v>4</v>
      </c>
      <c r="H458" s="99">
        <f>EMPLOYEE_MASTER!Q458</f>
        <v>8</v>
      </c>
      <c r="I458" s="100" t="str">
        <f t="shared" si="56"/>
        <v>G04-S08</v>
      </c>
      <c r="J458" s="100">
        <f>IFERROR(VLOOKUP(I458,LK_GradeStep!$C$4:$D$85,2,0),0)</f>
        <v>303</v>
      </c>
      <c r="K458" s="100">
        <f>IFERROR(VLOOKUP(I458,LK_GradeStep!$C$4:$E$85,3,0),10000)</f>
        <v>10000</v>
      </c>
      <c r="L458" s="100">
        <f t="shared" si="57"/>
        <v>3030000</v>
      </c>
      <c r="M458" s="101">
        <f>IFERROR(VLOOKUP(EMPLOYEE_MASTER!AQ458,LK_AllowanceRates!$A$5:$B$11,2,0),0)</f>
        <v>900000</v>
      </c>
      <c r="N458" s="101">
        <f ca="1">IFERROR(IF(EMPLOYEE_MASTER!J458&lt;=5,  EMPLOYEE_MASTER!J458*LK_AllowanceRates!$B$12,IF(EMPLOYEE_MASTER!J458&lt;=15, EMPLOYEE_MASTER!J458*LK_AllowanceRates!$B$13,IF(EMPLOYEE_MASTER!J458&lt;=25, EMPLOYEE_MASTER!J458*LK_AllowanceRates!$B$14,EMPLOYEE_MASTER!J458*LK_AllowanceRates!$B$15))),0)</f>
        <v>260000</v>
      </c>
      <c r="O458" s="101">
        <f>IF(EMPLOYEE_MASTER!AS458="Teaching",L458*LK_AllowanceRates!$B$16,0)</f>
        <v>0</v>
      </c>
      <c r="P458" s="101">
        <f>IF(EMPLOYEE_MASTER!AS458="Medical",LK_AllowanceRates!$B$17,0)</f>
        <v>0</v>
      </c>
      <c r="Q458" s="101">
        <f>IF(EMPLOYEE_MASTER!AR458="Yes",LK_AllowanceRates!$B$18,0)</f>
        <v>0</v>
      </c>
      <c r="R458" s="101">
        <f>IF(EMPLOYEE_MASTER!AC458="Yes",LK_AllowanceRates!$B$19,0)</f>
        <v>0</v>
      </c>
      <c r="S458" s="101">
        <f>IF(EMPLOYEE_MASTER!AA458="Yes",L458*LK_AllowanceRates!$B$20,0)</f>
        <v>757500</v>
      </c>
      <c r="T458" s="101">
        <f>IF(EMPLOYEE_MASTER!AB458="Yes",LK_AllowanceRates!$B$21,0)</f>
        <v>0</v>
      </c>
      <c r="U458" s="101">
        <f>IF(EMPLOYEE_MASTER!P458&gt;=6,LK_AllowanceRates!$B$22,0)</f>
        <v>0</v>
      </c>
      <c r="V458" s="101">
        <f>IF(EMPLOYEE_MASTER!AO458="Yes",LK_AllowanceRates!$B$23,0)</f>
        <v>0</v>
      </c>
      <c r="W458" s="101">
        <f>EMPLOYEE_MASTER!AP458*LK_AllowanceRates!$B$24</f>
        <v>0</v>
      </c>
      <c r="X458" s="101">
        <v>0</v>
      </c>
      <c r="Y458" s="102">
        <v>0</v>
      </c>
      <c r="Z458" s="102">
        <v>0</v>
      </c>
      <c r="AA458" s="102">
        <v>0</v>
      </c>
      <c r="AB458" s="103">
        <f t="shared" ca="1" si="58"/>
        <v>1917500</v>
      </c>
      <c r="AC458" s="104">
        <f t="shared" ca="1" si="59"/>
        <v>4947500</v>
      </c>
      <c r="AD458" s="105">
        <f>ROUND(L458*LK_AllowanceRates!$B$25/100,0)</f>
        <v>166650</v>
      </c>
      <c r="AE458" s="106">
        <f t="shared" ca="1" si="60"/>
        <v>4780850</v>
      </c>
      <c r="AF458" s="106">
        <f t="shared" ca="1" si="61"/>
        <v>174042.5</v>
      </c>
      <c r="AG458" s="107">
        <v>0</v>
      </c>
      <c r="AH458" s="107">
        <v>0</v>
      </c>
      <c r="AI458" s="108">
        <f t="shared" ca="1" si="62"/>
        <v>340692.5</v>
      </c>
      <c r="AJ458" s="109">
        <f t="shared" ca="1" si="63"/>
        <v>4606807.5</v>
      </c>
    </row>
    <row r="459" spans="1:36" ht="15" customHeight="1" x14ac:dyDescent="0.3">
      <c r="A459" s="98" t="str">
        <f>EMPLOYEE_MASTER!A459</f>
        <v>LAO00456</v>
      </c>
      <c r="B459" s="98" t="str">
        <f>EMPLOYEE_MASTER!C459</f>
        <v>Boutsady</v>
      </c>
      <c r="C459" s="98" t="str">
        <f>EMPLOYEE_MASTER!D459</f>
        <v>Phaymany</v>
      </c>
      <c r="D459" s="98" t="str">
        <f>EMPLOYEE_MASTER!T459</f>
        <v>Ministry of Home Affairs (MoHA)</v>
      </c>
      <c r="E459" s="98" t="str">
        <f>EMPLOYEE_MASTER!M459</f>
        <v>Deputy Department Director</v>
      </c>
      <c r="F459" s="98" t="str">
        <f>EMPLOYEE_MASTER!Z459</f>
        <v>Administration</v>
      </c>
      <c r="G459" s="99">
        <f>EMPLOYEE_MASTER!P459</f>
        <v>4</v>
      </c>
      <c r="H459" s="99">
        <f>EMPLOYEE_MASTER!Q459</f>
        <v>3</v>
      </c>
      <c r="I459" s="100" t="str">
        <f t="shared" si="56"/>
        <v>G04-S03</v>
      </c>
      <c r="J459" s="100">
        <f>IFERROR(VLOOKUP(I459,LK_GradeStep!$C$4:$D$85,2,0),0)</f>
        <v>290</v>
      </c>
      <c r="K459" s="100">
        <f>IFERROR(VLOOKUP(I459,LK_GradeStep!$C$4:$E$85,3,0),10000)</f>
        <v>10000</v>
      </c>
      <c r="L459" s="100">
        <f t="shared" si="57"/>
        <v>2900000</v>
      </c>
      <c r="M459" s="101">
        <f>IFERROR(VLOOKUP(EMPLOYEE_MASTER!AQ459,LK_AllowanceRates!$A$5:$B$11,2,0),0)</f>
        <v>900000</v>
      </c>
      <c r="N459" s="101">
        <f ca="1">IFERROR(IF(EMPLOYEE_MASTER!J459&lt;=5,  EMPLOYEE_MASTER!J459*LK_AllowanceRates!$B$12,IF(EMPLOYEE_MASTER!J459&lt;=15, EMPLOYEE_MASTER!J459*LK_AllowanceRates!$B$13,IF(EMPLOYEE_MASTER!J459&lt;=25, EMPLOYEE_MASTER!J459*LK_AllowanceRates!$B$14,EMPLOYEE_MASTER!J459*LK_AllowanceRates!$B$15))),0)</f>
        <v>220000</v>
      </c>
      <c r="O459" s="101">
        <f>IF(EMPLOYEE_MASTER!AS459="Teaching",L459*LK_AllowanceRates!$B$16,0)</f>
        <v>0</v>
      </c>
      <c r="P459" s="101">
        <f>IF(EMPLOYEE_MASTER!AS459="Medical",LK_AllowanceRates!$B$17,0)</f>
        <v>0</v>
      </c>
      <c r="Q459" s="101">
        <f>IF(EMPLOYEE_MASTER!AR459="Yes",LK_AllowanceRates!$B$18,0)</f>
        <v>0</v>
      </c>
      <c r="R459" s="101">
        <f>IF(EMPLOYEE_MASTER!AC459="Yes",LK_AllowanceRates!$B$19,0)</f>
        <v>0</v>
      </c>
      <c r="S459" s="101">
        <f>IF(EMPLOYEE_MASTER!AA459="Yes",L459*LK_AllowanceRates!$B$20,0)</f>
        <v>0</v>
      </c>
      <c r="T459" s="101">
        <f>IF(EMPLOYEE_MASTER!AB459="Yes",LK_AllowanceRates!$B$21,0)</f>
        <v>0</v>
      </c>
      <c r="U459" s="101">
        <f>IF(EMPLOYEE_MASTER!P459&gt;=6,LK_AllowanceRates!$B$22,0)</f>
        <v>0</v>
      </c>
      <c r="V459" s="101">
        <f>IF(EMPLOYEE_MASTER!AO459="Yes",LK_AllowanceRates!$B$23,0)</f>
        <v>200000</v>
      </c>
      <c r="W459" s="101">
        <f>EMPLOYEE_MASTER!AP459*LK_AllowanceRates!$B$24</f>
        <v>0</v>
      </c>
      <c r="X459" s="101">
        <v>0</v>
      </c>
      <c r="Y459" s="102">
        <v>0</v>
      </c>
      <c r="Z459" s="102">
        <v>0</v>
      </c>
      <c r="AA459" s="102">
        <v>0</v>
      </c>
      <c r="AB459" s="103">
        <f t="shared" ca="1" si="58"/>
        <v>1320000</v>
      </c>
      <c r="AC459" s="104">
        <f t="shared" ca="1" si="59"/>
        <v>4220000</v>
      </c>
      <c r="AD459" s="105">
        <f>ROUND(L459*LK_AllowanceRates!$B$25/100,0)</f>
        <v>159500</v>
      </c>
      <c r="AE459" s="106">
        <f t="shared" ca="1" si="60"/>
        <v>4060500</v>
      </c>
      <c r="AF459" s="106">
        <f t="shared" ca="1" si="61"/>
        <v>138025</v>
      </c>
      <c r="AG459" s="107">
        <v>0</v>
      </c>
      <c r="AH459" s="107">
        <v>0</v>
      </c>
      <c r="AI459" s="108">
        <f t="shared" ca="1" si="62"/>
        <v>297525</v>
      </c>
      <c r="AJ459" s="109">
        <f t="shared" ca="1" si="63"/>
        <v>3922475</v>
      </c>
    </row>
    <row r="460" spans="1:36" ht="15" customHeight="1" x14ac:dyDescent="0.3">
      <c r="A460" s="98" t="str">
        <f>EMPLOYEE_MASTER!A460</f>
        <v>LAO00457</v>
      </c>
      <c r="B460" s="98" t="str">
        <f>EMPLOYEE_MASTER!C460</f>
        <v>Bounlan</v>
      </c>
      <c r="C460" s="98" t="str">
        <f>EMPLOYEE_MASTER!D460</f>
        <v>Khonesavanh</v>
      </c>
      <c r="D460" s="98" t="str">
        <f>EMPLOYEE_MASTER!T460</f>
        <v>Savannakhet Province Administration</v>
      </c>
      <c r="E460" s="98" t="str">
        <f>EMPLOYEE_MASTER!M460</f>
        <v>Administrative Officer</v>
      </c>
      <c r="F460" s="98" t="str">
        <f>EMPLOYEE_MASTER!Z460</f>
        <v>Administration</v>
      </c>
      <c r="G460" s="99">
        <f>EMPLOYEE_MASTER!P460</f>
        <v>3</v>
      </c>
      <c r="H460" s="99">
        <f>EMPLOYEE_MASTER!Q460</f>
        <v>10</v>
      </c>
      <c r="I460" s="100" t="str">
        <f t="shared" si="56"/>
        <v>G03-S10</v>
      </c>
      <c r="J460" s="100">
        <f>IFERROR(VLOOKUP(I460,LK_GradeStep!$C$4:$D$85,2,0),0)</f>
        <v>288</v>
      </c>
      <c r="K460" s="100">
        <f>IFERROR(VLOOKUP(I460,LK_GradeStep!$C$4:$E$85,3,0),10000)</f>
        <v>10000</v>
      </c>
      <c r="L460" s="100">
        <f t="shared" si="57"/>
        <v>2880000</v>
      </c>
      <c r="M460" s="101">
        <f>IFERROR(VLOOKUP(EMPLOYEE_MASTER!AQ460,LK_AllowanceRates!$A$5:$B$11,2,0),0)</f>
        <v>900000</v>
      </c>
      <c r="N460" s="101">
        <f ca="1">IFERROR(IF(EMPLOYEE_MASTER!J460&lt;=5,  EMPLOYEE_MASTER!J460*LK_AllowanceRates!$B$12,IF(EMPLOYEE_MASTER!J460&lt;=15, EMPLOYEE_MASTER!J460*LK_AllowanceRates!$B$13,IF(EMPLOYEE_MASTER!J460&lt;=25, EMPLOYEE_MASTER!J460*LK_AllowanceRates!$B$14,EMPLOYEE_MASTER!J460*LK_AllowanceRates!$B$15))),0)</f>
        <v>240000</v>
      </c>
      <c r="O460" s="101">
        <f>IF(EMPLOYEE_MASTER!AS460="Teaching",L460*LK_AllowanceRates!$B$16,0)</f>
        <v>0</v>
      </c>
      <c r="P460" s="101">
        <f>IF(EMPLOYEE_MASTER!AS460="Medical",LK_AllowanceRates!$B$17,0)</f>
        <v>0</v>
      </c>
      <c r="Q460" s="101">
        <f>IF(EMPLOYEE_MASTER!AR460="Yes",LK_AllowanceRates!$B$18,0)</f>
        <v>0</v>
      </c>
      <c r="R460" s="101">
        <f>IF(EMPLOYEE_MASTER!AC460="Yes",LK_AllowanceRates!$B$19,0)</f>
        <v>1000000</v>
      </c>
      <c r="S460" s="101">
        <f>IF(EMPLOYEE_MASTER!AA460="Yes",L460*LK_AllowanceRates!$B$20,0)</f>
        <v>720000</v>
      </c>
      <c r="T460" s="101">
        <f>IF(EMPLOYEE_MASTER!AB460="Yes",LK_AllowanceRates!$B$21,0)</f>
        <v>0</v>
      </c>
      <c r="U460" s="101">
        <f>IF(EMPLOYEE_MASTER!P460&gt;=6,LK_AllowanceRates!$B$22,0)</f>
        <v>0</v>
      </c>
      <c r="V460" s="101">
        <f>IF(EMPLOYEE_MASTER!AO460="Yes",LK_AllowanceRates!$B$23,0)</f>
        <v>0</v>
      </c>
      <c r="W460" s="101">
        <f>EMPLOYEE_MASTER!AP460*LK_AllowanceRates!$B$24</f>
        <v>0</v>
      </c>
      <c r="X460" s="101">
        <v>0</v>
      </c>
      <c r="Y460" s="102">
        <v>0</v>
      </c>
      <c r="Z460" s="102">
        <v>0</v>
      </c>
      <c r="AA460" s="102">
        <v>0</v>
      </c>
      <c r="AB460" s="103">
        <f t="shared" ca="1" si="58"/>
        <v>2860000</v>
      </c>
      <c r="AC460" s="104">
        <f t="shared" ca="1" si="59"/>
        <v>5740000</v>
      </c>
      <c r="AD460" s="105">
        <f>ROUND(L460*LK_AllowanceRates!$B$25/100,0)</f>
        <v>158400</v>
      </c>
      <c r="AE460" s="106">
        <f t="shared" ca="1" si="60"/>
        <v>5581600</v>
      </c>
      <c r="AF460" s="106">
        <f t="shared" ca="1" si="61"/>
        <v>243160</v>
      </c>
      <c r="AG460" s="107">
        <v>0</v>
      </c>
      <c r="AH460" s="107">
        <v>0</v>
      </c>
      <c r="AI460" s="108">
        <f t="shared" ca="1" si="62"/>
        <v>401560</v>
      </c>
      <c r="AJ460" s="109">
        <f t="shared" ca="1" si="63"/>
        <v>5338440</v>
      </c>
    </row>
    <row r="461" spans="1:36" ht="15" customHeight="1" x14ac:dyDescent="0.3">
      <c r="A461" s="98" t="str">
        <f>EMPLOYEE_MASTER!A461</f>
        <v>LAO00458</v>
      </c>
      <c r="B461" s="98" t="str">
        <f>EMPLOYEE_MASTER!C461</f>
        <v>Khammoune</v>
      </c>
      <c r="C461" s="98" t="str">
        <f>EMPLOYEE_MASTER!D461</f>
        <v>Dalasane</v>
      </c>
      <c r="D461" s="98" t="str">
        <f>EMPLOYEE_MASTER!T461</f>
        <v>Ministry of Planning &amp; Investment (MPI)</v>
      </c>
      <c r="E461" s="98" t="str">
        <f>EMPLOYEE_MASTER!M461</f>
        <v>Division Chief</v>
      </c>
      <c r="F461" s="98" t="str">
        <f>EMPLOYEE_MASTER!Z461</f>
        <v>Administration</v>
      </c>
      <c r="G461" s="99">
        <f>EMPLOYEE_MASTER!P461</f>
        <v>5</v>
      </c>
      <c r="H461" s="99">
        <f>EMPLOYEE_MASTER!Q461</f>
        <v>5</v>
      </c>
      <c r="I461" s="100" t="str">
        <f t="shared" si="56"/>
        <v>G05-S05</v>
      </c>
      <c r="J461" s="100">
        <f>IFERROR(VLOOKUP(I461,LK_GradeStep!$C$4:$D$85,2,0),0)</f>
        <v>328</v>
      </c>
      <c r="K461" s="100">
        <f>IFERROR(VLOOKUP(I461,LK_GradeStep!$C$4:$E$85,3,0),10000)</f>
        <v>10000</v>
      </c>
      <c r="L461" s="100">
        <f t="shared" si="57"/>
        <v>3280000</v>
      </c>
      <c r="M461" s="101">
        <f>IFERROR(VLOOKUP(EMPLOYEE_MASTER!AQ461,LK_AllowanceRates!$A$5:$B$11,2,0),0)</f>
        <v>1900000</v>
      </c>
      <c r="N461" s="101">
        <f ca="1">IFERROR(IF(EMPLOYEE_MASTER!J461&lt;=5,  EMPLOYEE_MASTER!J461*LK_AllowanceRates!$B$12,IF(EMPLOYEE_MASTER!J461&lt;=15, EMPLOYEE_MASTER!J461*LK_AllowanceRates!$B$13,IF(EMPLOYEE_MASTER!J461&lt;=25, EMPLOYEE_MASTER!J461*LK_AllowanceRates!$B$14,EMPLOYEE_MASTER!J461*LK_AllowanceRates!$B$15))),0)</f>
        <v>140000</v>
      </c>
      <c r="O461" s="101">
        <f>IF(EMPLOYEE_MASTER!AS461="Teaching",L461*LK_AllowanceRates!$B$16,0)</f>
        <v>0</v>
      </c>
      <c r="P461" s="101">
        <f>IF(EMPLOYEE_MASTER!AS461="Medical",LK_AllowanceRates!$B$17,0)</f>
        <v>0</v>
      </c>
      <c r="Q461" s="101">
        <f>IF(EMPLOYEE_MASTER!AR461="Yes",LK_AllowanceRates!$B$18,0)</f>
        <v>0</v>
      </c>
      <c r="R461" s="101">
        <f>IF(EMPLOYEE_MASTER!AC461="Yes",LK_AllowanceRates!$B$19,0)</f>
        <v>0</v>
      </c>
      <c r="S461" s="101">
        <f>IF(EMPLOYEE_MASTER!AA461="Yes",L461*LK_AllowanceRates!$B$20,0)</f>
        <v>0</v>
      </c>
      <c r="T461" s="101">
        <f>IF(EMPLOYEE_MASTER!AB461="Yes",LK_AllowanceRates!$B$21,0)</f>
        <v>0</v>
      </c>
      <c r="U461" s="101">
        <f>IF(EMPLOYEE_MASTER!P461&gt;=6,LK_AllowanceRates!$B$22,0)</f>
        <v>0</v>
      </c>
      <c r="V461" s="101">
        <f>IF(EMPLOYEE_MASTER!AO461="Yes",LK_AllowanceRates!$B$23,0)</f>
        <v>0</v>
      </c>
      <c r="W461" s="101">
        <f>EMPLOYEE_MASTER!AP461*LK_AllowanceRates!$B$24</f>
        <v>0</v>
      </c>
      <c r="X461" s="101">
        <v>0</v>
      </c>
      <c r="Y461" s="102">
        <v>0</v>
      </c>
      <c r="Z461" s="102">
        <v>0</v>
      </c>
      <c r="AA461" s="102">
        <v>0</v>
      </c>
      <c r="AB461" s="103">
        <f t="shared" ca="1" si="58"/>
        <v>2040000</v>
      </c>
      <c r="AC461" s="104">
        <f t="shared" ca="1" si="59"/>
        <v>5320000</v>
      </c>
      <c r="AD461" s="105">
        <f>ROUND(L461*LK_AllowanceRates!$B$25/100,0)</f>
        <v>180400</v>
      </c>
      <c r="AE461" s="106">
        <f t="shared" ca="1" si="60"/>
        <v>5139600</v>
      </c>
      <c r="AF461" s="106">
        <f t="shared" ca="1" si="61"/>
        <v>198960</v>
      </c>
      <c r="AG461" s="107">
        <v>0</v>
      </c>
      <c r="AH461" s="107">
        <v>0</v>
      </c>
      <c r="AI461" s="108">
        <f t="shared" ca="1" si="62"/>
        <v>379360</v>
      </c>
      <c r="AJ461" s="109">
        <f t="shared" ca="1" si="63"/>
        <v>4940640</v>
      </c>
    </row>
    <row r="462" spans="1:36" ht="15" customHeight="1" x14ac:dyDescent="0.3">
      <c r="A462" s="98" t="str">
        <f>EMPLOYEE_MASTER!A462</f>
        <v>LAO00459</v>
      </c>
      <c r="B462" s="98" t="str">
        <f>EMPLOYEE_MASTER!C462</f>
        <v>Khampasong</v>
      </c>
      <c r="C462" s="98" t="str">
        <f>EMPLOYEE_MASTER!D462</f>
        <v>Phongphichith</v>
      </c>
      <c r="D462" s="98" t="str">
        <f>EMPLOYEE_MASTER!T462</f>
        <v>Ministry of Health (MoH)</v>
      </c>
      <c r="E462" s="98" t="str">
        <f>EMPLOYEE_MASTER!M462</f>
        <v>Public Health Officer</v>
      </c>
      <c r="F462" s="98" t="str">
        <f>EMPLOYEE_MASTER!Z462</f>
        <v>Medical</v>
      </c>
      <c r="G462" s="99">
        <f>EMPLOYEE_MASTER!P462</f>
        <v>2</v>
      </c>
      <c r="H462" s="99">
        <f>EMPLOYEE_MASTER!Q462</f>
        <v>9</v>
      </c>
      <c r="I462" s="100" t="str">
        <f t="shared" si="56"/>
        <v>G02-S09</v>
      </c>
      <c r="J462" s="100">
        <f>IFERROR(VLOOKUP(I462,LK_GradeStep!$C$4:$D$85,2,0),0)</f>
        <v>276</v>
      </c>
      <c r="K462" s="100">
        <f>IFERROR(VLOOKUP(I462,LK_GradeStep!$C$4:$E$85,3,0),10000)</f>
        <v>10000</v>
      </c>
      <c r="L462" s="100">
        <f t="shared" si="57"/>
        <v>2760000</v>
      </c>
      <c r="M462" s="101">
        <f>IFERROR(VLOOKUP(EMPLOYEE_MASTER!AQ462,LK_AllowanceRates!$A$5:$B$11,2,0),0)</f>
        <v>900000</v>
      </c>
      <c r="N462" s="101">
        <f ca="1">IFERROR(IF(EMPLOYEE_MASTER!J462&lt;=5,  EMPLOYEE_MASTER!J462*LK_AllowanceRates!$B$12,IF(EMPLOYEE_MASTER!J462&lt;=15, EMPLOYEE_MASTER!J462*LK_AllowanceRates!$B$13,IF(EMPLOYEE_MASTER!J462&lt;=25, EMPLOYEE_MASTER!J462*LK_AllowanceRates!$B$14,EMPLOYEE_MASTER!J462*LK_AllowanceRates!$B$15))),0)</f>
        <v>570000</v>
      </c>
      <c r="O462" s="101">
        <f>IF(EMPLOYEE_MASTER!AS462="Teaching",L462*LK_AllowanceRates!$B$16,0)</f>
        <v>0</v>
      </c>
      <c r="P462" s="101">
        <f>IF(EMPLOYEE_MASTER!AS462="Medical",LK_AllowanceRates!$B$17,0)</f>
        <v>500000</v>
      </c>
      <c r="Q462" s="101">
        <f>IF(EMPLOYEE_MASTER!AR462="Yes",LK_AllowanceRates!$B$18,0)</f>
        <v>0</v>
      </c>
      <c r="R462" s="101">
        <f>IF(EMPLOYEE_MASTER!AC462="Yes",LK_AllowanceRates!$B$19,0)</f>
        <v>1000000</v>
      </c>
      <c r="S462" s="101">
        <f>IF(EMPLOYEE_MASTER!AA462="Yes",L462*LK_AllowanceRates!$B$20,0)</f>
        <v>0</v>
      </c>
      <c r="T462" s="101">
        <f>IF(EMPLOYEE_MASTER!AB462="Yes",LK_AllowanceRates!$B$21,0)</f>
        <v>0</v>
      </c>
      <c r="U462" s="101">
        <f>IF(EMPLOYEE_MASTER!P462&gt;=6,LK_AllowanceRates!$B$22,0)</f>
        <v>0</v>
      </c>
      <c r="V462" s="101">
        <f>IF(EMPLOYEE_MASTER!AO462="Yes",LK_AllowanceRates!$B$23,0)</f>
        <v>200000</v>
      </c>
      <c r="W462" s="101">
        <f>EMPLOYEE_MASTER!AP462*LK_AllowanceRates!$B$24</f>
        <v>0</v>
      </c>
      <c r="X462" s="101">
        <v>0</v>
      </c>
      <c r="Y462" s="102">
        <v>0</v>
      </c>
      <c r="Z462" s="102">
        <v>0</v>
      </c>
      <c r="AA462" s="102">
        <v>0</v>
      </c>
      <c r="AB462" s="103">
        <f t="shared" ca="1" si="58"/>
        <v>3170000</v>
      </c>
      <c r="AC462" s="104">
        <f t="shared" ca="1" si="59"/>
        <v>5930000</v>
      </c>
      <c r="AD462" s="105">
        <f>ROUND(L462*LK_AllowanceRates!$B$25/100,0)</f>
        <v>151800</v>
      </c>
      <c r="AE462" s="106">
        <f t="shared" ca="1" si="60"/>
        <v>5778200</v>
      </c>
      <c r="AF462" s="106">
        <f t="shared" ca="1" si="61"/>
        <v>262820</v>
      </c>
      <c r="AG462" s="107">
        <v>0</v>
      </c>
      <c r="AH462" s="107">
        <v>0</v>
      </c>
      <c r="AI462" s="108">
        <f t="shared" ca="1" si="62"/>
        <v>414620</v>
      </c>
      <c r="AJ462" s="109">
        <f t="shared" ca="1" si="63"/>
        <v>5515380</v>
      </c>
    </row>
    <row r="463" spans="1:36" ht="15" customHeight="1" x14ac:dyDescent="0.3">
      <c r="A463" s="98" t="str">
        <f>EMPLOYEE_MASTER!A463</f>
        <v>LAO00460</v>
      </c>
      <c r="B463" s="98" t="str">
        <f>EMPLOYEE_MASTER!C463</f>
        <v>Khamsing</v>
      </c>
      <c r="C463" s="98" t="str">
        <f>EMPLOYEE_MASTER!D463</f>
        <v>Bounseng</v>
      </c>
      <c r="D463" s="98" t="str">
        <f>EMPLOYEE_MASTER!T463</f>
        <v>Vientiane Capital Administration</v>
      </c>
      <c r="E463" s="98" t="str">
        <f>EMPLOYEE_MASTER!M463</f>
        <v>Clerk</v>
      </c>
      <c r="F463" s="98" t="str">
        <f>EMPLOYEE_MASTER!Z463</f>
        <v>Administration</v>
      </c>
      <c r="G463" s="99">
        <f>EMPLOYEE_MASTER!P463</f>
        <v>4</v>
      </c>
      <c r="H463" s="99">
        <f>EMPLOYEE_MASTER!Q463</f>
        <v>6</v>
      </c>
      <c r="I463" s="100" t="str">
        <f t="shared" si="56"/>
        <v>G04-S06</v>
      </c>
      <c r="J463" s="100">
        <f>IFERROR(VLOOKUP(I463,LK_GradeStep!$C$4:$D$85,2,0),0)</f>
        <v>296</v>
      </c>
      <c r="K463" s="100">
        <f>IFERROR(VLOOKUP(I463,LK_GradeStep!$C$4:$E$85,3,0),10000)</f>
        <v>10000</v>
      </c>
      <c r="L463" s="100">
        <f t="shared" si="57"/>
        <v>2960000</v>
      </c>
      <c r="M463" s="101">
        <f>IFERROR(VLOOKUP(EMPLOYEE_MASTER!AQ463,LK_AllowanceRates!$A$5:$B$11,2,0),0)</f>
        <v>900000</v>
      </c>
      <c r="N463" s="101">
        <f ca="1">IFERROR(IF(EMPLOYEE_MASTER!J463&lt;=5,  EMPLOYEE_MASTER!J463*LK_AllowanceRates!$B$12,IF(EMPLOYEE_MASTER!J463&lt;=15, EMPLOYEE_MASTER!J463*LK_AllowanceRates!$B$13,IF(EMPLOYEE_MASTER!J463&lt;=25, EMPLOYEE_MASTER!J463*LK_AllowanceRates!$B$14,EMPLOYEE_MASTER!J463*LK_AllowanceRates!$B$15))),0)</f>
        <v>480000</v>
      </c>
      <c r="O463" s="101">
        <f>IF(EMPLOYEE_MASTER!AS463="Teaching",L463*LK_AllowanceRates!$B$16,0)</f>
        <v>0</v>
      </c>
      <c r="P463" s="101">
        <f>IF(EMPLOYEE_MASTER!AS463="Medical",LK_AllowanceRates!$B$17,0)</f>
        <v>0</v>
      </c>
      <c r="Q463" s="101">
        <f>IF(EMPLOYEE_MASTER!AR463="Yes",LK_AllowanceRates!$B$18,0)</f>
        <v>0</v>
      </c>
      <c r="R463" s="101">
        <f>IF(EMPLOYEE_MASTER!AC463="Yes",LK_AllowanceRates!$B$19,0)</f>
        <v>0</v>
      </c>
      <c r="S463" s="101">
        <f>IF(EMPLOYEE_MASTER!AA463="Yes",L463*LK_AllowanceRates!$B$20,0)</f>
        <v>0</v>
      </c>
      <c r="T463" s="101">
        <f>IF(EMPLOYEE_MASTER!AB463="Yes",LK_AllowanceRates!$B$21,0)</f>
        <v>0</v>
      </c>
      <c r="U463" s="101">
        <f>IF(EMPLOYEE_MASTER!P463&gt;=6,LK_AllowanceRates!$B$22,0)</f>
        <v>0</v>
      </c>
      <c r="V463" s="101">
        <f>IF(EMPLOYEE_MASTER!AO463="Yes",LK_AllowanceRates!$B$23,0)</f>
        <v>0</v>
      </c>
      <c r="W463" s="101">
        <f>EMPLOYEE_MASTER!AP463*LK_AllowanceRates!$B$24</f>
        <v>0</v>
      </c>
      <c r="X463" s="101">
        <v>0</v>
      </c>
      <c r="Y463" s="102">
        <v>0</v>
      </c>
      <c r="Z463" s="102">
        <v>0</v>
      </c>
      <c r="AA463" s="102">
        <v>0</v>
      </c>
      <c r="AB463" s="103">
        <f t="shared" ca="1" si="58"/>
        <v>1380000</v>
      </c>
      <c r="AC463" s="104">
        <f t="shared" ca="1" si="59"/>
        <v>4340000</v>
      </c>
      <c r="AD463" s="105">
        <f>ROUND(L463*LK_AllowanceRates!$B$25/100,0)</f>
        <v>162800</v>
      </c>
      <c r="AE463" s="106">
        <f t="shared" ca="1" si="60"/>
        <v>4177200</v>
      </c>
      <c r="AF463" s="106">
        <f t="shared" ca="1" si="61"/>
        <v>143860</v>
      </c>
      <c r="AG463" s="107">
        <v>0</v>
      </c>
      <c r="AH463" s="107">
        <v>0</v>
      </c>
      <c r="AI463" s="108">
        <f t="shared" ca="1" si="62"/>
        <v>306660</v>
      </c>
      <c r="AJ463" s="109">
        <f t="shared" ca="1" si="63"/>
        <v>4033340</v>
      </c>
    </row>
    <row r="464" spans="1:36" ht="15" customHeight="1" x14ac:dyDescent="0.3">
      <c r="A464" s="98" t="str">
        <f>EMPLOYEE_MASTER!A464</f>
        <v>LAO00461</v>
      </c>
      <c r="B464" s="98" t="str">
        <f>EMPLOYEE_MASTER!C464</f>
        <v>Phimmaly</v>
      </c>
      <c r="C464" s="98" t="str">
        <f>EMPLOYEE_MASTER!D464</f>
        <v>Sisavath</v>
      </c>
      <c r="D464" s="98" t="str">
        <f>EMPLOYEE_MASTER!T464</f>
        <v>National Assembly (NA)</v>
      </c>
      <c r="E464" s="98" t="str">
        <f>EMPLOYEE_MASTER!M464</f>
        <v>Deputy Department Director</v>
      </c>
      <c r="F464" s="98" t="str">
        <f>EMPLOYEE_MASTER!Z464</f>
        <v>Administration</v>
      </c>
      <c r="G464" s="99">
        <f>EMPLOYEE_MASTER!P464</f>
        <v>4</v>
      </c>
      <c r="H464" s="99">
        <f>EMPLOYEE_MASTER!Q464</f>
        <v>1</v>
      </c>
      <c r="I464" s="100" t="str">
        <f t="shared" si="56"/>
        <v>G04-S01</v>
      </c>
      <c r="J464" s="100">
        <f>IFERROR(VLOOKUP(I464,LK_GradeStep!$C$4:$D$85,2,0),0)</f>
        <v>286</v>
      </c>
      <c r="K464" s="100">
        <f>IFERROR(VLOOKUP(I464,LK_GradeStep!$C$4:$E$85,3,0),10000)</f>
        <v>10000</v>
      </c>
      <c r="L464" s="100">
        <f t="shared" si="57"/>
        <v>2860000</v>
      </c>
      <c r="M464" s="101">
        <f>IFERROR(VLOOKUP(EMPLOYEE_MASTER!AQ464,LK_AllowanceRates!$A$5:$B$11,2,0),0)</f>
        <v>900000</v>
      </c>
      <c r="N464" s="101">
        <f ca="1">IFERROR(IF(EMPLOYEE_MASTER!J464&lt;=5,  EMPLOYEE_MASTER!J464*LK_AllowanceRates!$B$12,IF(EMPLOYEE_MASTER!J464&lt;=15, EMPLOYEE_MASTER!J464*LK_AllowanceRates!$B$13,IF(EMPLOYEE_MASTER!J464&lt;=25, EMPLOYEE_MASTER!J464*LK_AllowanceRates!$B$14,EMPLOYEE_MASTER!J464*LK_AllowanceRates!$B$15))),0)</f>
        <v>1280000</v>
      </c>
      <c r="O464" s="101">
        <f>IF(EMPLOYEE_MASTER!AS464="Teaching",L464*LK_AllowanceRates!$B$16,0)</f>
        <v>0</v>
      </c>
      <c r="P464" s="101">
        <f>IF(EMPLOYEE_MASTER!AS464="Medical",LK_AllowanceRates!$B$17,0)</f>
        <v>0</v>
      </c>
      <c r="Q464" s="101">
        <f>IF(EMPLOYEE_MASTER!AR464="Yes",LK_AllowanceRates!$B$18,0)</f>
        <v>1000000</v>
      </c>
      <c r="R464" s="101">
        <f>IF(EMPLOYEE_MASTER!AC464="Yes",LK_AllowanceRates!$B$19,0)</f>
        <v>0</v>
      </c>
      <c r="S464" s="101">
        <f>IF(EMPLOYEE_MASTER!AA464="Yes",L464*LK_AllowanceRates!$B$20,0)</f>
        <v>0</v>
      </c>
      <c r="T464" s="101">
        <f>IF(EMPLOYEE_MASTER!AB464="Yes",LK_AllowanceRates!$B$21,0)</f>
        <v>0</v>
      </c>
      <c r="U464" s="101">
        <f>IF(EMPLOYEE_MASTER!P464&gt;=6,LK_AllowanceRates!$B$22,0)</f>
        <v>0</v>
      </c>
      <c r="V464" s="101">
        <f>IF(EMPLOYEE_MASTER!AO464="Yes",LK_AllowanceRates!$B$23,0)</f>
        <v>200000</v>
      </c>
      <c r="W464" s="101">
        <f>EMPLOYEE_MASTER!AP464*LK_AllowanceRates!$B$24</f>
        <v>400000</v>
      </c>
      <c r="X464" s="101">
        <v>0</v>
      </c>
      <c r="Y464" s="102">
        <v>0</v>
      </c>
      <c r="Z464" s="102">
        <v>0</v>
      </c>
      <c r="AA464" s="102">
        <v>0</v>
      </c>
      <c r="AB464" s="103">
        <f t="shared" ca="1" si="58"/>
        <v>3780000</v>
      </c>
      <c r="AC464" s="104">
        <f t="shared" ca="1" si="59"/>
        <v>6640000</v>
      </c>
      <c r="AD464" s="105">
        <f>ROUND(L464*LK_AllowanceRates!$B$25/100,0)</f>
        <v>157300</v>
      </c>
      <c r="AE464" s="106">
        <f t="shared" ca="1" si="60"/>
        <v>6482700</v>
      </c>
      <c r="AF464" s="106">
        <f t="shared" ca="1" si="61"/>
        <v>333270</v>
      </c>
      <c r="AG464" s="107">
        <v>0</v>
      </c>
      <c r="AH464" s="107">
        <v>0</v>
      </c>
      <c r="AI464" s="108">
        <f t="shared" ca="1" si="62"/>
        <v>490570</v>
      </c>
      <c r="AJ464" s="109">
        <f t="shared" ca="1" si="63"/>
        <v>6149430</v>
      </c>
    </row>
    <row r="465" spans="1:36" ht="15" customHeight="1" x14ac:dyDescent="0.3">
      <c r="A465" s="98" t="str">
        <f>EMPLOYEE_MASTER!A465</f>
        <v>LAO00462</v>
      </c>
      <c r="B465" s="98" t="str">
        <f>EMPLOYEE_MASTER!C465</f>
        <v>Nouphet</v>
      </c>
      <c r="C465" s="98" t="str">
        <f>EMPLOYEE_MASTER!D465</f>
        <v>Kheudkham</v>
      </c>
      <c r="D465" s="98" t="str">
        <f>EMPLOYEE_MASTER!T465</f>
        <v>Ministry of Finance (MoF)</v>
      </c>
      <c r="E465" s="98" t="str">
        <f>EMPLOYEE_MASTER!M465</f>
        <v>Accountant</v>
      </c>
      <c r="F465" s="98" t="str">
        <f>EMPLOYEE_MASTER!Z465</f>
        <v>Finance</v>
      </c>
      <c r="G465" s="99">
        <f>EMPLOYEE_MASTER!P465</f>
        <v>3</v>
      </c>
      <c r="H465" s="99">
        <f>EMPLOYEE_MASTER!Q465</f>
        <v>5</v>
      </c>
      <c r="I465" s="100" t="str">
        <f t="shared" si="56"/>
        <v>G03-S05</v>
      </c>
      <c r="J465" s="100">
        <f>IFERROR(VLOOKUP(I465,LK_GradeStep!$C$4:$D$85,2,0),0)</f>
        <v>280</v>
      </c>
      <c r="K465" s="100">
        <f>IFERROR(VLOOKUP(I465,LK_GradeStep!$C$4:$E$85,3,0),10000)</f>
        <v>10000</v>
      </c>
      <c r="L465" s="100">
        <f t="shared" si="57"/>
        <v>2800000</v>
      </c>
      <c r="M465" s="101">
        <f>IFERROR(VLOOKUP(EMPLOYEE_MASTER!AQ465,LK_AllowanceRates!$A$5:$B$11,2,0),0)</f>
        <v>900000</v>
      </c>
      <c r="N465" s="101">
        <f ca="1">IFERROR(IF(EMPLOYEE_MASTER!J465&lt;=5,  EMPLOYEE_MASTER!J465*LK_AllowanceRates!$B$12,IF(EMPLOYEE_MASTER!J465&lt;=15, EMPLOYEE_MASTER!J465*LK_AllowanceRates!$B$13,IF(EMPLOYEE_MASTER!J465&lt;=25, EMPLOYEE_MASTER!J465*LK_AllowanceRates!$B$14,EMPLOYEE_MASTER!J465*LK_AllowanceRates!$B$15))),0)</f>
        <v>220000</v>
      </c>
      <c r="O465" s="101">
        <f>IF(EMPLOYEE_MASTER!AS465="Teaching",L465*LK_AllowanceRates!$B$16,0)</f>
        <v>0</v>
      </c>
      <c r="P465" s="101">
        <f>IF(EMPLOYEE_MASTER!AS465="Medical",LK_AllowanceRates!$B$17,0)</f>
        <v>0</v>
      </c>
      <c r="Q465" s="101">
        <f>IF(EMPLOYEE_MASTER!AR465="Yes",LK_AllowanceRates!$B$18,0)</f>
        <v>0</v>
      </c>
      <c r="R465" s="101">
        <f>IF(EMPLOYEE_MASTER!AC465="Yes",LK_AllowanceRates!$B$19,0)</f>
        <v>0</v>
      </c>
      <c r="S465" s="101">
        <f>IF(EMPLOYEE_MASTER!AA465="Yes",L465*LK_AllowanceRates!$B$20,0)</f>
        <v>0</v>
      </c>
      <c r="T465" s="101">
        <f>IF(EMPLOYEE_MASTER!AB465="Yes",LK_AllowanceRates!$B$21,0)</f>
        <v>0</v>
      </c>
      <c r="U465" s="101">
        <f>IF(EMPLOYEE_MASTER!P465&gt;=6,LK_AllowanceRates!$B$22,0)</f>
        <v>0</v>
      </c>
      <c r="V465" s="101">
        <f>IF(EMPLOYEE_MASTER!AO465="Yes",LK_AllowanceRates!$B$23,0)</f>
        <v>200000</v>
      </c>
      <c r="W465" s="101">
        <f>EMPLOYEE_MASTER!AP465*LK_AllowanceRates!$B$24</f>
        <v>0</v>
      </c>
      <c r="X465" s="101">
        <v>0</v>
      </c>
      <c r="Y465" s="102">
        <v>0</v>
      </c>
      <c r="Z465" s="102">
        <v>0</v>
      </c>
      <c r="AA465" s="102">
        <v>0</v>
      </c>
      <c r="AB465" s="103">
        <f t="shared" ca="1" si="58"/>
        <v>1320000</v>
      </c>
      <c r="AC465" s="104">
        <f t="shared" ca="1" si="59"/>
        <v>4120000</v>
      </c>
      <c r="AD465" s="105">
        <f>ROUND(L465*LK_AllowanceRates!$B$25/100,0)</f>
        <v>154000</v>
      </c>
      <c r="AE465" s="106">
        <f t="shared" ca="1" si="60"/>
        <v>3966000</v>
      </c>
      <c r="AF465" s="106">
        <f t="shared" ca="1" si="61"/>
        <v>133300</v>
      </c>
      <c r="AG465" s="107">
        <v>0</v>
      </c>
      <c r="AH465" s="107">
        <v>0</v>
      </c>
      <c r="AI465" s="108">
        <f t="shared" ca="1" si="62"/>
        <v>287300</v>
      </c>
      <c r="AJ465" s="109">
        <f t="shared" ca="1" si="63"/>
        <v>3832700</v>
      </c>
    </row>
    <row r="466" spans="1:36" ht="15" customHeight="1" x14ac:dyDescent="0.3">
      <c r="A466" s="98" t="str">
        <f>EMPLOYEE_MASTER!A466</f>
        <v>LAO00463</v>
      </c>
      <c r="B466" s="98" t="str">
        <f>EMPLOYEE_MASTER!C466</f>
        <v>Bounma</v>
      </c>
      <c r="C466" s="98" t="str">
        <f>EMPLOYEE_MASTER!D466</f>
        <v>Phomthong</v>
      </c>
      <c r="D466" s="98" t="str">
        <f>EMPLOYEE_MASTER!T466</f>
        <v>Champasak Province Administration</v>
      </c>
      <c r="E466" s="98" t="str">
        <f>EMPLOYEE_MASTER!M466</f>
        <v>Deputy Director</v>
      </c>
      <c r="F466" s="98" t="str">
        <f>EMPLOYEE_MASTER!Z466</f>
        <v>Administration</v>
      </c>
      <c r="G466" s="99">
        <f>EMPLOYEE_MASTER!P466</f>
        <v>4</v>
      </c>
      <c r="H466" s="99">
        <f>EMPLOYEE_MASTER!Q466</f>
        <v>1</v>
      </c>
      <c r="I466" s="100" t="str">
        <f t="shared" si="56"/>
        <v>G04-S01</v>
      </c>
      <c r="J466" s="100">
        <f>IFERROR(VLOOKUP(I466,LK_GradeStep!$C$4:$D$85,2,0),0)</f>
        <v>286</v>
      </c>
      <c r="K466" s="100">
        <f>IFERROR(VLOOKUP(I466,LK_GradeStep!$C$4:$E$85,3,0),10000)</f>
        <v>10000</v>
      </c>
      <c r="L466" s="100">
        <f t="shared" si="57"/>
        <v>2860000</v>
      </c>
      <c r="M466" s="101">
        <f>IFERROR(VLOOKUP(EMPLOYEE_MASTER!AQ466,LK_AllowanceRates!$A$5:$B$11,2,0),0)</f>
        <v>2300000</v>
      </c>
      <c r="N466" s="101">
        <f ca="1">IFERROR(IF(EMPLOYEE_MASTER!J466&lt;=5,  EMPLOYEE_MASTER!J466*LK_AllowanceRates!$B$12,IF(EMPLOYEE_MASTER!J466&lt;=15, EMPLOYEE_MASTER!J466*LK_AllowanceRates!$B$13,IF(EMPLOYEE_MASTER!J466&lt;=25, EMPLOYEE_MASTER!J466*LK_AllowanceRates!$B$14,EMPLOYEE_MASTER!J466*LK_AllowanceRates!$B$15))),0)</f>
        <v>1160000</v>
      </c>
      <c r="O466" s="101">
        <f>IF(EMPLOYEE_MASTER!AS466="Teaching",L466*LK_AllowanceRates!$B$16,0)</f>
        <v>0</v>
      </c>
      <c r="P466" s="101">
        <f>IF(EMPLOYEE_MASTER!AS466="Medical",LK_AllowanceRates!$B$17,0)</f>
        <v>0</v>
      </c>
      <c r="Q466" s="101">
        <f>IF(EMPLOYEE_MASTER!AR466="Yes",LK_AllowanceRates!$B$18,0)</f>
        <v>0</v>
      </c>
      <c r="R466" s="101">
        <f>IF(EMPLOYEE_MASTER!AC466="Yes",LK_AllowanceRates!$B$19,0)</f>
        <v>1000000</v>
      </c>
      <c r="S466" s="101">
        <f>IF(EMPLOYEE_MASTER!AA466="Yes",L466*LK_AllowanceRates!$B$20,0)</f>
        <v>0</v>
      </c>
      <c r="T466" s="101">
        <f>IF(EMPLOYEE_MASTER!AB466="Yes",LK_AllowanceRates!$B$21,0)</f>
        <v>0</v>
      </c>
      <c r="U466" s="101">
        <f>IF(EMPLOYEE_MASTER!P466&gt;=6,LK_AllowanceRates!$B$22,0)</f>
        <v>0</v>
      </c>
      <c r="V466" s="101">
        <f>IF(EMPLOYEE_MASTER!AO466="Yes",LK_AllowanceRates!$B$23,0)</f>
        <v>200000</v>
      </c>
      <c r="W466" s="101">
        <f>EMPLOYEE_MASTER!AP466*LK_AllowanceRates!$B$24</f>
        <v>400000</v>
      </c>
      <c r="X466" s="101">
        <v>0</v>
      </c>
      <c r="Y466" s="102">
        <v>0</v>
      </c>
      <c r="Z466" s="102">
        <v>0</v>
      </c>
      <c r="AA466" s="102">
        <v>0</v>
      </c>
      <c r="AB466" s="103">
        <f t="shared" ca="1" si="58"/>
        <v>5060000</v>
      </c>
      <c r="AC466" s="104">
        <f t="shared" ca="1" si="59"/>
        <v>7920000</v>
      </c>
      <c r="AD466" s="105">
        <f>ROUND(L466*LK_AllowanceRates!$B$25/100,0)</f>
        <v>157300</v>
      </c>
      <c r="AE466" s="106">
        <f t="shared" ca="1" si="60"/>
        <v>7762700</v>
      </c>
      <c r="AF466" s="106">
        <f t="shared" ca="1" si="61"/>
        <v>461270</v>
      </c>
      <c r="AG466" s="107">
        <v>0</v>
      </c>
      <c r="AH466" s="107">
        <v>0</v>
      </c>
      <c r="AI466" s="108">
        <f t="shared" ca="1" si="62"/>
        <v>618570</v>
      </c>
      <c r="AJ466" s="109">
        <f t="shared" ca="1" si="63"/>
        <v>7301430</v>
      </c>
    </row>
    <row r="467" spans="1:36" ht="15" customHeight="1" x14ac:dyDescent="0.3">
      <c r="A467" s="98" t="str">
        <f>EMPLOYEE_MASTER!A467</f>
        <v>LAO00464</v>
      </c>
      <c r="B467" s="98" t="str">
        <f>EMPLOYEE_MASTER!C467</f>
        <v>Sidalay</v>
      </c>
      <c r="C467" s="98" t="str">
        <f>EMPLOYEE_MASTER!D467</f>
        <v>Sisavath</v>
      </c>
      <c r="D467" s="98" t="str">
        <f>EMPLOYEE_MASTER!T467</f>
        <v>Vientiane Capital Administration</v>
      </c>
      <c r="E467" s="98" t="str">
        <f>EMPLOYEE_MASTER!M467</f>
        <v>Deputy Department Director</v>
      </c>
      <c r="F467" s="98" t="str">
        <f>EMPLOYEE_MASTER!Z467</f>
        <v>Administration</v>
      </c>
      <c r="G467" s="99">
        <f>EMPLOYEE_MASTER!P467</f>
        <v>4</v>
      </c>
      <c r="H467" s="99">
        <f>EMPLOYEE_MASTER!Q467</f>
        <v>1</v>
      </c>
      <c r="I467" s="100" t="str">
        <f t="shared" si="56"/>
        <v>G04-S01</v>
      </c>
      <c r="J467" s="100">
        <f>IFERROR(VLOOKUP(I467,LK_GradeStep!$C$4:$D$85,2,0),0)</f>
        <v>286</v>
      </c>
      <c r="K467" s="100">
        <f>IFERROR(VLOOKUP(I467,LK_GradeStep!$C$4:$E$85,3,0),10000)</f>
        <v>10000</v>
      </c>
      <c r="L467" s="100">
        <f t="shared" si="57"/>
        <v>2860000</v>
      </c>
      <c r="M467" s="101">
        <f>IFERROR(VLOOKUP(EMPLOYEE_MASTER!AQ467,LK_AllowanceRates!$A$5:$B$11,2,0),0)</f>
        <v>900000</v>
      </c>
      <c r="N467" s="101">
        <f ca="1">IFERROR(IF(EMPLOYEE_MASTER!J467&lt;=5,  EMPLOYEE_MASTER!J467*LK_AllowanceRates!$B$12,IF(EMPLOYEE_MASTER!J467&lt;=15, EMPLOYEE_MASTER!J467*LK_AllowanceRates!$B$13,IF(EMPLOYEE_MASTER!J467&lt;=25, EMPLOYEE_MASTER!J467*LK_AllowanceRates!$B$14,EMPLOYEE_MASTER!J467*LK_AllowanceRates!$B$15))),0)</f>
        <v>1400000</v>
      </c>
      <c r="O467" s="101">
        <f>IF(EMPLOYEE_MASTER!AS467="Teaching",L467*LK_AllowanceRates!$B$16,0)</f>
        <v>0</v>
      </c>
      <c r="P467" s="101">
        <f>IF(EMPLOYEE_MASTER!AS467="Medical",LK_AllowanceRates!$B$17,0)</f>
        <v>0</v>
      </c>
      <c r="Q467" s="101">
        <f>IF(EMPLOYEE_MASTER!AR467="Yes",LK_AllowanceRates!$B$18,0)</f>
        <v>0</v>
      </c>
      <c r="R467" s="101">
        <f>IF(EMPLOYEE_MASTER!AC467="Yes",LK_AllowanceRates!$B$19,0)</f>
        <v>0</v>
      </c>
      <c r="S467" s="101">
        <f>IF(EMPLOYEE_MASTER!AA467="Yes",L467*LK_AllowanceRates!$B$20,0)</f>
        <v>0</v>
      </c>
      <c r="T467" s="101">
        <f>IF(EMPLOYEE_MASTER!AB467="Yes",LK_AllowanceRates!$B$21,0)</f>
        <v>0</v>
      </c>
      <c r="U467" s="101">
        <f>IF(EMPLOYEE_MASTER!P467&gt;=6,LK_AllowanceRates!$B$22,0)</f>
        <v>0</v>
      </c>
      <c r="V467" s="101">
        <f>IF(EMPLOYEE_MASTER!AO467="Yes",LK_AllowanceRates!$B$23,0)</f>
        <v>0</v>
      </c>
      <c r="W467" s="101">
        <f>EMPLOYEE_MASTER!AP467*LK_AllowanceRates!$B$24</f>
        <v>0</v>
      </c>
      <c r="X467" s="101">
        <v>0</v>
      </c>
      <c r="Y467" s="102">
        <v>0</v>
      </c>
      <c r="Z467" s="102">
        <v>0</v>
      </c>
      <c r="AA467" s="102">
        <v>0</v>
      </c>
      <c r="AB467" s="103">
        <f t="shared" ca="1" si="58"/>
        <v>2300000</v>
      </c>
      <c r="AC467" s="104">
        <f t="shared" ca="1" si="59"/>
        <v>5160000</v>
      </c>
      <c r="AD467" s="105">
        <f>ROUND(L467*LK_AllowanceRates!$B$25/100,0)</f>
        <v>157300</v>
      </c>
      <c r="AE467" s="106">
        <f t="shared" ca="1" si="60"/>
        <v>5002700</v>
      </c>
      <c r="AF467" s="106">
        <f t="shared" ca="1" si="61"/>
        <v>185270</v>
      </c>
      <c r="AG467" s="107">
        <v>0</v>
      </c>
      <c r="AH467" s="107">
        <v>0</v>
      </c>
      <c r="AI467" s="108">
        <f t="shared" ca="1" si="62"/>
        <v>342570</v>
      </c>
      <c r="AJ467" s="109">
        <f t="shared" ca="1" si="63"/>
        <v>4817430</v>
      </c>
    </row>
    <row r="468" spans="1:36" ht="15" customHeight="1" x14ac:dyDescent="0.3">
      <c r="A468" s="98" t="str">
        <f>EMPLOYEE_MASTER!A468</f>
        <v>LAO00465</v>
      </c>
      <c r="B468" s="98" t="str">
        <f>EMPLOYEE_MASTER!C468</f>
        <v>Phonesamone</v>
      </c>
      <c r="C468" s="98" t="str">
        <f>EMPLOYEE_MASTER!D468</f>
        <v>Xayavong</v>
      </c>
      <c r="D468" s="98" t="str">
        <f>EMPLOYEE_MASTER!T468</f>
        <v>Ministry of Education and Sports (MoES)</v>
      </c>
      <c r="E468" s="98" t="str">
        <f>EMPLOYEE_MASTER!M468</f>
        <v>Associate Professor</v>
      </c>
      <c r="F468" s="98" t="str">
        <f>EMPLOYEE_MASTER!Z468</f>
        <v>Teacher</v>
      </c>
      <c r="G468" s="99">
        <f>EMPLOYEE_MASTER!P468</f>
        <v>5</v>
      </c>
      <c r="H468" s="99">
        <f>EMPLOYEE_MASTER!Q468</f>
        <v>6</v>
      </c>
      <c r="I468" s="100" t="str">
        <f t="shared" si="56"/>
        <v>G05-S06</v>
      </c>
      <c r="J468" s="100">
        <f>IFERROR(VLOOKUP(I468,LK_GradeStep!$C$4:$D$85,2,0),0)</f>
        <v>333</v>
      </c>
      <c r="K468" s="100">
        <f>IFERROR(VLOOKUP(I468,LK_GradeStep!$C$4:$E$85,3,0),10000)</f>
        <v>10000</v>
      </c>
      <c r="L468" s="100">
        <f t="shared" si="57"/>
        <v>3330000</v>
      </c>
      <c r="M468" s="101">
        <f>IFERROR(VLOOKUP(EMPLOYEE_MASTER!AQ468,LK_AllowanceRates!$A$5:$B$11,2,0),0)</f>
        <v>900000</v>
      </c>
      <c r="N468" s="101">
        <f ca="1">IFERROR(IF(EMPLOYEE_MASTER!J468&lt;=5,  EMPLOYEE_MASTER!J468*LK_AllowanceRates!$B$12,IF(EMPLOYEE_MASTER!J468&lt;=15, EMPLOYEE_MASTER!J468*LK_AllowanceRates!$B$13,IF(EMPLOYEE_MASTER!J468&lt;=25, EMPLOYEE_MASTER!J468*LK_AllowanceRates!$B$14,EMPLOYEE_MASTER!J468*LK_AllowanceRates!$B$15))),0)</f>
        <v>720000</v>
      </c>
      <c r="O468" s="101">
        <f>IF(EMPLOYEE_MASTER!AS468="Teaching",L468*LK_AllowanceRates!$B$16,0)</f>
        <v>666000</v>
      </c>
      <c r="P468" s="101">
        <f>IF(EMPLOYEE_MASTER!AS468="Medical",LK_AllowanceRates!$B$17,0)</f>
        <v>0</v>
      </c>
      <c r="Q468" s="101">
        <f>IF(EMPLOYEE_MASTER!AR468="Yes",LK_AllowanceRates!$B$18,0)</f>
        <v>0</v>
      </c>
      <c r="R468" s="101">
        <f>IF(EMPLOYEE_MASTER!AC468="Yes",LK_AllowanceRates!$B$19,0)</f>
        <v>0</v>
      </c>
      <c r="S468" s="101">
        <f>IF(EMPLOYEE_MASTER!AA468="Yes",L468*LK_AllowanceRates!$B$20,0)</f>
        <v>0</v>
      </c>
      <c r="T468" s="101">
        <f>IF(EMPLOYEE_MASTER!AB468="Yes",LK_AllowanceRates!$B$21,0)</f>
        <v>0</v>
      </c>
      <c r="U468" s="101">
        <f>IF(EMPLOYEE_MASTER!P468&gt;=6,LK_AllowanceRates!$B$22,0)</f>
        <v>0</v>
      </c>
      <c r="V468" s="101">
        <f>IF(EMPLOYEE_MASTER!AO468="Yes",LK_AllowanceRates!$B$23,0)</f>
        <v>0</v>
      </c>
      <c r="W468" s="101">
        <f>EMPLOYEE_MASTER!AP468*LK_AllowanceRates!$B$24</f>
        <v>0</v>
      </c>
      <c r="X468" s="101">
        <v>0</v>
      </c>
      <c r="Y468" s="102">
        <v>0</v>
      </c>
      <c r="Z468" s="102">
        <v>0</v>
      </c>
      <c r="AA468" s="102">
        <v>0</v>
      </c>
      <c r="AB468" s="103">
        <f t="shared" ca="1" si="58"/>
        <v>2286000</v>
      </c>
      <c r="AC468" s="104">
        <f t="shared" ca="1" si="59"/>
        <v>5616000</v>
      </c>
      <c r="AD468" s="105">
        <f>ROUND(L468*LK_AllowanceRates!$B$25/100,0)</f>
        <v>183150</v>
      </c>
      <c r="AE468" s="106">
        <f t="shared" ca="1" si="60"/>
        <v>5432850</v>
      </c>
      <c r="AF468" s="106">
        <f t="shared" ca="1" si="61"/>
        <v>228285</v>
      </c>
      <c r="AG468" s="107">
        <v>0</v>
      </c>
      <c r="AH468" s="107">
        <v>0</v>
      </c>
      <c r="AI468" s="108">
        <f t="shared" ca="1" si="62"/>
        <v>411435</v>
      </c>
      <c r="AJ468" s="109">
        <f t="shared" ca="1" si="63"/>
        <v>5204565</v>
      </c>
    </row>
    <row r="469" spans="1:36" ht="15" customHeight="1" x14ac:dyDescent="0.3">
      <c r="A469" s="98" t="str">
        <f>EMPLOYEE_MASTER!A469</f>
        <v>LAO00466</v>
      </c>
      <c r="B469" s="98" t="str">
        <f>EMPLOYEE_MASTER!C469</f>
        <v>Khamsouk</v>
      </c>
      <c r="C469" s="98" t="str">
        <f>EMPLOYEE_MASTER!D469</f>
        <v>Khounboulom</v>
      </c>
      <c r="D469" s="98" t="str">
        <f>EMPLOYEE_MASTER!T469</f>
        <v>Ministry of Natural Resources &amp; Environment (MoNRE)</v>
      </c>
      <c r="E469" s="98" t="str">
        <f>EMPLOYEE_MASTER!M469</f>
        <v>Environmental Officer</v>
      </c>
      <c r="F469" s="98" t="str">
        <f>EMPLOYEE_MASTER!Z469</f>
        <v>Technical</v>
      </c>
      <c r="G469" s="99">
        <f>EMPLOYEE_MASTER!P469</f>
        <v>4</v>
      </c>
      <c r="H469" s="99">
        <f>EMPLOYEE_MASTER!Q469</f>
        <v>1</v>
      </c>
      <c r="I469" s="100" t="str">
        <f t="shared" si="56"/>
        <v>G04-S01</v>
      </c>
      <c r="J469" s="100">
        <f>IFERROR(VLOOKUP(I469,LK_GradeStep!$C$4:$D$85,2,0),0)</f>
        <v>286</v>
      </c>
      <c r="K469" s="100">
        <f>IFERROR(VLOOKUP(I469,LK_GradeStep!$C$4:$E$85,3,0),10000)</f>
        <v>10000</v>
      </c>
      <c r="L469" s="100">
        <f t="shared" si="57"/>
        <v>2860000</v>
      </c>
      <c r="M469" s="101">
        <f>IFERROR(VLOOKUP(EMPLOYEE_MASTER!AQ469,LK_AllowanceRates!$A$5:$B$11,2,0),0)</f>
        <v>900000</v>
      </c>
      <c r="N469" s="101">
        <f ca="1">IFERROR(IF(EMPLOYEE_MASTER!J469&lt;=5,  EMPLOYEE_MASTER!J469*LK_AllowanceRates!$B$12,IF(EMPLOYEE_MASTER!J469&lt;=15, EMPLOYEE_MASTER!J469*LK_AllowanceRates!$B$13,IF(EMPLOYEE_MASTER!J469&lt;=25, EMPLOYEE_MASTER!J469*LK_AllowanceRates!$B$14,EMPLOYEE_MASTER!J469*LK_AllowanceRates!$B$15))),0)</f>
        <v>600000</v>
      </c>
      <c r="O469" s="101">
        <f>IF(EMPLOYEE_MASTER!AS469="Teaching",L469*LK_AllowanceRates!$B$16,0)</f>
        <v>0</v>
      </c>
      <c r="P469" s="101">
        <f>IF(EMPLOYEE_MASTER!AS469="Medical",LK_AllowanceRates!$B$17,0)</f>
        <v>0</v>
      </c>
      <c r="Q469" s="101">
        <f>IF(EMPLOYEE_MASTER!AR469="Yes",LK_AllowanceRates!$B$18,0)</f>
        <v>0</v>
      </c>
      <c r="R469" s="101">
        <f>IF(EMPLOYEE_MASTER!AC469="Yes",LK_AllowanceRates!$B$19,0)</f>
        <v>1000000</v>
      </c>
      <c r="S469" s="101">
        <f>IF(EMPLOYEE_MASTER!AA469="Yes",L469*LK_AllowanceRates!$B$20,0)</f>
        <v>0</v>
      </c>
      <c r="T469" s="101">
        <f>IF(EMPLOYEE_MASTER!AB469="Yes",LK_AllowanceRates!$B$21,0)</f>
        <v>0</v>
      </c>
      <c r="U469" s="101">
        <f>IF(EMPLOYEE_MASTER!P469&gt;=6,LK_AllowanceRates!$B$22,0)</f>
        <v>0</v>
      </c>
      <c r="V469" s="101">
        <f>IF(EMPLOYEE_MASTER!AO469="Yes",LK_AllowanceRates!$B$23,0)</f>
        <v>0</v>
      </c>
      <c r="W469" s="101">
        <f>EMPLOYEE_MASTER!AP469*LK_AllowanceRates!$B$24</f>
        <v>0</v>
      </c>
      <c r="X469" s="101">
        <v>0</v>
      </c>
      <c r="Y469" s="102">
        <v>0</v>
      </c>
      <c r="Z469" s="102">
        <v>0</v>
      </c>
      <c r="AA469" s="102">
        <v>0</v>
      </c>
      <c r="AB469" s="103">
        <f t="shared" ca="1" si="58"/>
        <v>2500000</v>
      </c>
      <c r="AC469" s="104">
        <f t="shared" ca="1" si="59"/>
        <v>5360000</v>
      </c>
      <c r="AD469" s="105">
        <f>ROUND(L469*LK_AllowanceRates!$B$25/100,0)</f>
        <v>157300</v>
      </c>
      <c r="AE469" s="106">
        <f t="shared" ca="1" si="60"/>
        <v>5202700</v>
      </c>
      <c r="AF469" s="106">
        <f t="shared" ca="1" si="61"/>
        <v>205270</v>
      </c>
      <c r="AG469" s="107">
        <v>0</v>
      </c>
      <c r="AH469" s="107">
        <v>0</v>
      </c>
      <c r="AI469" s="108">
        <f t="shared" ca="1" si="62"/>
        <v>362570</v>
      </c>
      <c r="AJ469" s="109">
        <f t="shared" ca="1" si="63"/>
        <v>4997430</v>
      </c>
    </row>
    <row r="470" spans="1:36" ht="15" customHeight="1" x14ac:dyDescent="0.3">
      <c r="A470" s="98" t="str">
        <f>EMPLOYEE_MASTER!A470</f>
        <v>LAO00467</v>
      </c>
      <c r="B470" s="98" t="str">
        <f>EMPLOYEE_MASTER!C470</f>
        <v>Khamphet</v>
      </c>
      <c r="C470" s="98" t="str">
        <f>EMPLOYEE_MASTER!D470</f>
        <v>Soulinthong</v>
      </c>
      <c r="D470" s="98" t="str">
        <f>EMPLOYEE_MASTER!T470</f>
        <v>Ministry of Foreign Affairs (MFA)</v>
      </c>
      <c r="E470" s="98" t="str">
        <f>EMPLOYEE_MASTER!M470</f>
        <v>Consul</v>
      </c>
      <c r="F470" s="98" t="str">
        <f>EMPLOYEE_MASTER!Z470</f>
        <v>Diplomatic</v>
      </c>
      <c r="G470" s="99">
        <f>EMPLOYEE_MASTER!P470</f>
        <v>5</v>
      </c>
      <c r="H470" s="99">
        <f>EMPLOYEE_MASTER!Q470</f>
        <v>6</v>
      </c>
      <c r="I470" s="100" t="str">
        <f t="shared" si="56"/>
        <v>G05-S06</v>
      </c>
      <c r="J470" s="100">
        <f>IFERROR(VLOOKUP(I470,LK_GradeStep!$C$4:$D$85,2,0),0)</f>
        <v>333</v>
      </c>
      <c r="K470" s="100">
        <f>IFERROR(VLOOKUP(I470,LK_GradeStep!$C$4:$E$85,3,0),10000)</f>
        <v>10000</v>
      </c>
      <c r="L470" s="100">
        <f t="shared" si="57"/>
        <v>3330000</v>
      </c>
      <c r="M470" s="101">
        <f>IFERROR(VLOOKUP(EMPLOYEE_MASTER!AQ470,LK_AllowanceRates!$A$5:$B$11,2,0),0)</f>
        <v>900000</v>
      </c>
      <c r="N470" s="101">
        <f ca="1">IFERROR(IF(EMPLOYEE_MASTER!J470&lt;=5,  EMPLOYEE_MASTER!J470*LK_AllowanceRates!$B$12,IF(EMPLOYEE_MASTER!J470&lt;=15, EMPLOYEE_MASTER!J470*LK_AllowanceRates!$B$13,IF(EMPLOYEE_MASTER!J470&lt;=25, EMPLOYEE_MASTER!J470*LK_AllowanceRates!$B$14,EMPLOYEE_MASTER!J470*LK_AllowanceRates!$B$15))),0)</f>
        <v>10000</v>
      </c>
      <c r="O470" s="101">
        <f>IF(EMPLOYEE_MASTER!AS470="Teaching",L470*LK_AllowanceRates!$B$16,0)</f>
        <v>0</v>
      </c>
      <c r="P470" s="101">
        <f>IF(EMPLOYEE_MASTER!AS470="Medical",LK_AllowanceRates!$B$17,0)</f>
        <v>0</v>
      </c>
      <c r="Q470" s="101">
        <f>IF(EMPLOYEE_MASTER!AR470="Yes",LK_AllowanceRates!$B$18,0)</f>
        <v>0</v>
      </c>
      <c r="R470" s="101">
        <f>IF(EMPLOYEE_MASTER!AC470="Yes",LK_AllowanceRates!$B$19,0)</f>
        <v>0</v>
      </c>
      <c r="S470" s="101">
        <f>IF(EMPLOYEE_MASTER!AA470="Yes",L470*LK_AllowanceRates!$B$20,0)</f>
        <v>0</v>
      </c>
      <c r="T470" s="101">
        <f>IF(EMPLOYEE_MASTER!AB470="Yes",LK_AllowanceRates!$B$21,0)</f>
        <v>0</v>
      </c>
      <c r="U470" s="101">
        <f>IF(EMPLOYEE_MASTER!P470&gt;=6,LK_AllowanceRates!$B$22,0)</f>
        <v>0</v>
      </c>
      <c r="V470" s="101">
        <f>IF(EMPLOYEE_MASTER!AO470="Yes",LK_AllowanceRates!$B$23,0)</f>
        <v>200000</v>
      </c>
      <c r="W470" s="101">
        <f>EMPLOYEE_MASTER!AP470*LK_AllowanceRates!$B$24</f>
        <v>600000</v>
      </c>
      <c r="X470" s="101">
        <v>0</v>
      </c>
      <c r="Y470" s="102">
        <v>0</v>
      </c>
      <c r="Z470" s="102">
        <v>0</v>
      </c>
      <c r="AA470" s="102">
        <v>0</v>
      </c>
      <c r="AB470" s="103">
        <f t="shared" ca="1" si="58"/>
        <v>1710000</v>
      </c>
      <c r="AC470" s="104">
        <f t="shared" ca="1" si="59"/>
        <v>5040000</v>
      </c>
      <c r="AD470" s="105">
        <f>ROUND(L470*LK_AllowanceRates!$B$25/100,0)</f>
        <v>183150</v>
      </c>
      <c r="AE470" s="106">
        <f t="shared" ca="1" si="60"/>
        <v>4856850</v>
      </c>
      <c r="AF470" s="106">
        <f t="shared" ca="1" si="61"/>
        <v>177842.5</v>
      </c>
      <c r="AG470" s="107">
        <v>0</v>
      </c>
      <c r="AH470" s="107">
        <v>0</v>
      </c>
      <c r="AI470" s="108">
        <f t="shared" ca="1" si="62"/>
        <v>360992.5</v>
      </c>
      <c r="AJ470" s="109">
        <f t="shared" ca="1" si="63"/>
        <v>4679007.5</v>
      </c>
    </row>
    <row r="471" spans="1:36" ht="15" customHeight="1" x14ac:dyDescent="0.3">
      <c r="A471" s="98" t="str">
        <f>EMPLOYEE_MASTER!A471</f>
        <v>LAO00468</v>
      </c>
      <c r="B471" s="98" t="str">
        <f>EMPLOYEE_MASTER!C471</f>
        <v>Phimmaly</v>
      </c>
      <c r="C471" s="98" t="str">
        <f>EMPLOYEE_MASTER!D471</f>
        <v>Bounseng</v>
      </c>
      <c r="D471" s="98" t="str">
        <f>EMPLOYEE_MASTER!T471</f>
        <v>Ministry of Education and Sports (MoES)</v>
      </c>
      <c r="E471" s="98" t="str">
        <f>EMPLOYEE_MASTER!M471</f>
        <v>University Lecturer</v>
      </c>
      <c r="F471" s="98" t="str">
        <f>EMPLOYEE_MASTER!Z471</f>
        <v>Teacher</v>
      </c>
      <c r="G471" s="99">
        <f>EMPLOYEE_MASTER!P471</f>
        <v>5</v>
      </c>
      <c r="H471" s="99">
        <f>EMPLOYEE_MASTER!Q471</f>
        <v>1</v>
      </c>
      <c r="I471" s="100" t="str">
        <f t="shared" si="56"/>
        <v>G05-S01</v>
      </c>
      <c r="J471" s="100">
        <f>IFERROR(VLOOKUP(I471,LK_GradeStep!$C$4:$D$85,2,0),0)</f>
        <v>308</v>
      </c>
      <c r="K471" s="100">
        <f>IFERROR(VLOOKUP(I471,LK_GradeStep!$C$4:$E$85,3,0),10000)</f>
        <v>10000</v>
      </c>
      <c r="L471" s="100">
        <f t="shared" si="57"/>
        <v>3080000</v>
      </c>
      <c r="M471" s="101">
        <f>IFERROR(VLOOKUP(EMPLOYEE_MASTER!AQ471,LK_AllowanceRates!$A$5:$B$11,2,0),0)</f>
        <v>900000</v>
      </c>
      <c r="N471" s="101">
        <f ca="1">IFERROR(IF(EMPLOYEE_MASTER!J471&lt;=5,  EMPLOYEE_MASTER!J471*LK_AllowanceRates!$B$12,IF(EMPLOYEE_MASTER!J471&lt;=15, EMPLOYEE_MASTER!J471*LK_AllowanceRates!$B$13,IF(EMPLOYEE_MASTER!J471&lt;=25, EMPLOYEE_MASTER!J471*LK_AllowanceRates!$B$14,EMPLOYEE_MASTER!J471*LK_AllowanceRates!$B$15))),0)</f>
        <v>630000</v>
      </c>
      <c r="O471" s="101">
        <f>IF(EMPLOYEE_MASTER!AS471="Teaching",L471*LK_AllowanceRates!$B$16,0)</f>
        <v>616000</v>
      </c>
      <c r="P471" s="101">
        <f>IF(EMPLOYEE_MASTER!AS471="Medical",LK_AllowanceRates!$B$17,0)</f>
        <v>0</v>
      </c>
      <c r="Q471" s="101">
        <f>IF(EMPLOYEE_MASTER!AR471="Yes",LK_AllowanceRates!$B$18,0)</f>
        <v>0</v>
      </c>
      <c r="R471" s="101">
        <f>IF(EMPLOYEE_MASTER!AC471="Yes",LK_AllowanceRates!$B$19,0)</f>
        <v>1000000</v>
      </c>
      <c r="S471" s="101">
        <f>IF(EMPLOYEE_MASTER!AA471="Yes",L471*LK_AllowanceRates!$B$20,0)</f>
        <v>770000</v>
      </c>
      <c r="T471" s="101">
        <f>IF(EMPLOYEE_MASTER!AB471="Yes",LK_AllowanceRates!$B$21,0)</f>
        <v>0</v>
      </c>
      <c r="U471" s="101">
        <f>IF(EMPLOYEE_MASTER!P471&gt;=6,LK_AllowanceRates!$B$22,0)</f>
        <v>0</v>
      </c>
      <c r="V471" s="101">
        <f>IF(EMPLOYEE_MASTER!AO471="Yes",LK_AllowanceRates!$B$23,0)</f>
        <v>0</v>
      </c>
      <c r="W471" s="101">
        <f>EMPLOYEE_MASTER!AP471*LK_AllowanceRates!$B$24</f>
        <v>0</v>
      </c>
      <c r="X471" s="101">
        <v>0</v>
      </c>
      <c r="Y471" s="102">
        <v>0</v>
      </c>
      <c r="Z471" s="102">
        <v>0</v>
      </c>
      <c r="AA471" s="102">
        <v>0</v>
      </c>
      <c r="AB471" s="103">
        <f t="shared" ca="1" si="58"/>
        <v>3916000</v>
      </c>
      <c r="AC471" s="104">
        <f t="shared" ca="1" si="59"/>
        <v>6996000</v>
      </c>
      <c r="AD471" s="105">
        <f>ROUND(L471*LK_AllowanceRates!$B$25/100,0)</f>
        <v>169400</v>
      </c>
      <c r="AE471" s="106">
        <f t="shared" ca="1" si="60"/>
        <v>6826600</v>
      </c>
      <c r="AF471" s="106">
        <f t="shared" ca="1" si="61"/>
        <v>367660</v>
      </c>
      <c r="AG471" s="107">
        <v>0</v>
      </c>
      <c r="AH471" s="107">
        <v>0</v>
      </c>
      <c r="AI471" s="108">
        <f t="shared" ca="1" si="62"/>
        <v>537060</v>
      </c>
      <c r="AJ471" s="109">
        <f t="shared" ca="1" si="63"/>
        <v>6458940</v>
      </c>
    </row>
    <row r="472" spans="1:36" ht="15" customHeight="1" x14ac:dyDescent="0.3">
      <c r="A472" s="98" t="str">
        <f>EMPLOYEE_MASTER!A472</f>
        <v>LAO00469</v>
      </c>
      <c r="B472" s="98" t="str">
        <f>EMPLOYEE_MASTER!C472</f>
        <v>Xayavong</v>
      </c>
      <c r="C472" s="98" t="str">
        <f>EMPLOYEE_MASTER!D472</f>
        <v>Sisavath</v>
      </c>
      <c r="D472" s="98" t="str">
        <f>EMPLOYEE_MASTER!T472</f>
        <v>Ministry of Public Works &amp; Transport (MPWT)</v>
      </c>
      <c r="E472" s="98" t="str">
        <f>EMPLOYEE_MASTER!M472</f>
        <v>Technical Specialist</v>
      </c>
      <c r="F472" s="98" t="str">
        <f>EMPLOYEE_MASTER!Z472</f>
        <v>Technical</v>
      </c>
      <c r="G472" s="99">
        <f>EMPLOYEE_MASTER!P472</f>
        <v>5</v>
      </c>
      <c r="H472" s="99">
        <f>EMPLOYEE_MASTER!Q472</f>
        <v>10</v>
      </c>
      <c r="I472" s="100" t="str">
        <f t="shared" si="56"/>
        <v>G05-S10</v>
      </c>
      <c r="J472" s="100">
        <f>IFERROR(VLOOKUP(I472,LK_GradeStep!$C$4:$D$85,2,0),0)</f>
        <v>368</v>
      </c>
      <c r="K472" s="100">
        <f>IFERROR(VLOOKUP(I472,LK_GradeStep!$C$4:$E$85,3,0),10000)</f>
        <v>10000</v>
      </c>
      <c r="L472" s="100">
        <f t="shared" si="57"/>
        <v>3680000</v>
      </c>
      <c r="M472" s="101">
        <f>IFERROR(VLOOKUP(EMPLOYEE_MASTER!AQ472,LK_AllowanceRates!$A$5:$B$11,2,0),0)</f>
        <v>900000</v>
      </c>
      <c r="N472" s="101">
        <f ca="1">IFERROR(IF(EMPLOYEE_MASTER!J472&lt;=5,  EMPLOYEE_MASTER!J472*LK_AllowanceRates!$B$12,IF(EMPLOYEE_MASTER!J472&lt;=15, EMPLOYEE_MASTER!J472*LK_AllowanceRates!$B$13,IF(EMPLOYEE_MASTER!J472&lt;=25, EMPLOYEE_MASTER!J472*LK_AllowanceRates!$B$14,EMPLOYEE_MASTER!J472*LK_AllowanceRates!$B$15))),0)</f>
        <v>40000</v>
      </c>
      <c r="O472" s="101">
        <f>IF(EMPLOYEE_MASTER!AS472="Teaching",L472*LK_AllowanceRates!$B$16,0)</f>
        <v>0</v>
      </c>
      <c r="P472" s="101">
        <f>IF(EMPLOYEE_MASTER!AS472="Medical",LK_AllowanceRates!$B$17,0)</f>
        <v>0</v>
      </c>
      <c r="Q472" s="101">
        <f>IF(EMPLOYEE_MASTER!AR472="Yes",LK_AllowanceRates!$B$18,0)</f>
        <v>0</v>
      </c>
      <c r="R472" s="101">
        <f>IF(EMPLOYEE_MASTER!AC472="Yes",LK_AllowanceRates!$B$19,0)</f>
        <v>1000000</v>
      </c>
      <c r="S472" s="101">
        <f>IF(EMPLOYEE_MASTER!AA472="Yes",L472*LK_AllowanceRates!$B$20,0)</f>
        <v>920000</v>
      </c>
      <c r="T472" s="101">
        <f>IF(EMPLOYEE_MASTER!AB472="Yes",LK_AllowanceRates!$B$21,0)</f>
        <v>0</v>
      </c>
      <c r="U472" s="101">
        <f>IF(EMPLOYEE_MASTER!P472&gt;=6,LK_AllowanceRates!$B$22,0)</f>
        <v>0</v>
      </c>
      <c r="V472" s="101">
        <f>IF(EMPLOYEE_MASTER!AO472="Yes",LK_AllowanceRates!$B$23,0)</f>
        <v>0</v>
      </c>
      <c r="W472" s="101">
        <f>EMPLOYEE_MASTER!AP472*LK_AllowanceRates!$B$24</f>
        <v>0</v>
      </c>
      <c r="X472" s="101">
        <v>0</v>
      </c>
      <c r="Y472" s="102">
        <v>0</v>
      </c>
      <c r="Z472" s="102">
        <v>0</v>
      </c>
      <c r="AA472" s="102">
        <v>0</v>
      </c>
      <c r="AB472" s="103">
        <f t="shared" ca="1" si="58"/>
        <v>2860000</v>
      </c>
      <c r="AC472" s="104">
        <f t="shared" ca="1" si="59"/>
        <v>6540000</v>
      </c>
      <c r="AD472" s="105">
        <f>ROUND(L472*LK_AllowanceRates!$B$25/100,0)</f>
        <v>202400</v>
      </c>
      <c r="AE472" s="106">
        <f t="shared" ca="1" si="60"/>
        <v>6337600</v>
      </c>
      <c r="AF472" s="106">
        <f t="shared" ca="1" si="61"/>
        <v>318760</v>
      </c>
      <c r="AG472" s="107">
        <v>0</v>
      </c>
      <c r="AH472" s="107">
        <v>0</v>
      </c>
      <c r="AI472" s="108">
        <f t="shared" ca="1" si="62"/>
        <v>521160</v>
      </c>
      <c r="AJ472" s="109">
        <f t="shared" ca="1" si="63"/>
        <v>6018840</v>
      </c>
    </row>
    <row r="473" spans="1:36" ht="15" customHeight="1" x14ac:dyDescent="0.3">
      <c r="A473" s="98" t="str">
        <f>EMPLOYEE_MASTER!A473</f>
        <v>LAO00470</v>
      </c>
      <c r="B473" s="98" t="str">
        <f>EMPLOYEE_MASTER!C473</f>
        <v>Soubanh</v>
      </c>
      <c r="C473" s="98" t="str">
        <f>EMPLOYEE_MASTER!D473</f>
        <v>Xayavong</v>
      </c>
      <c r="D473" s="98" t="str">
        <f>EMPLOYEE_MASTER!T473</f>
        <v>Savannakhet Province Administration</v>
      </c>
      <c r="E473" s="98" t="str">
        <f>EMPLOYEE_MASTER!M473</f>
        <v>Department Director</v>
      </c>
      <c r="F473" s="98" t="str">
        <f>EMPLOYEE_MASTER!Z473</f>
        <v>Administration</v>
      </c>
      <c r="G473" s="99">
        <f>EMPLOYEE_MASTER!P473</f>
        <v>5</v>
      </c>
      <c r="H473" s="99">
        <f>EMPLOYEE_MASTER!Q473</f>
        <v>2</v>
      </c>
      <c r="I473" s="100" t="str">
        <f t="shared" si="56"/>
        <v>G05-S02</v>
      </c>
      <c r="J473" s="100">
        <f>IFERROR(VLOOKUP(I473,LK_GradeStep!$C$4:$D$85,2,0),0)</f>
        <v>313</v>
      </c>
      <c r="K473" s="100">
        <f>IFERROR(VLOOKUP(I473,LK_GradeStep!$C$4:$E$85,3,0),10000)</f>
        <v>10000</v>
      </c>
      <c r="L473" s="100">
        <f t="shared" si="57"/>
        <v>3130000</v>
      </c>
      <c r="M473" s="101">
        <f>IFERROR(VLOOKUP(EMPLOYEE_MASTER!AQ473,LK_AllowanceRates!$A$5:$B$11,2,0),0)</f>
        <v>2500000</v>
      </c>
      <c r="N473" s="101">
        <f ca="1">IFERROR(IF(EMPLOYEE_MASTER!J473&lt;=5,  EMPLOYEE_MASTER!J473*LK_AllowanceRates!$B$12,IF(EMPLOYEE_MASTER!J473&lt;=15, EMPLOYEE_MASTER!J473*LK_AllowanceRates!$B$13,IF(EMPLOYEE_MASTER!J473&lt;=25, EMPLOYEE_MASTER!J473*LK_AllowanceRates!$B$14,EMPLOYEE_MASTER!J473*LK_AllowanceRates!$B$15))),0)</f>
        <v>660000</v>
      </c>
      <c r="O473" s="101">
        <f>IF(EMPLOYEE_MASTER!AS473="Teaching",L473*LK_AllowanceRates!$B$16,0)</f>
        <v>0</v>
      </c>
      <c r="P473" s="101">
        <f>IF(EMPLOYEE_MASTER!AS473="Medical",LK_AllowanceRates!$B$17,0)</f>
        <v>0</v>
      </c>
      <c r="Q473" s="101">
        <f>IF(EMPLOYEE_MASTER!AR473="Yes",LK_AllowanceRates!$B$18,0)</f>
        <v>0</v>
      </c>
      <c r="R473" s="101">
        <f>IF(EMPLOYEE_MASTER!AC473="Yes",LK_AllowanceRates!$B$19,0)</f>
        <v>0</v>
      </c>
      <c r="S473" s="101">
        <f>IF(EMPLOYEE_MASTER!AA473="Yes",L473*LK_AllowanceRates!$B$20,0)</f>
        <v>0</v>
      </c>
      <c r="T473" s="101">
        <f>IF(EMPLOYEE_MASTER!AB473="Yes",LK_AllowanceRates!$B$21,0)</f>
        <v>0</v>
      </c>
      <c r="U473" s="101">
        <f>IF(EMPLOYEE_MASTER!P473&gt;=6,LK_AllowanceRates!$B$22,0)</f>
        <v>0</v>
      </c>
      <c r="V473" s="101">
        <f>IF(EMPLOYEE_MASTER!AO473="Yes",LK_AllowanceRates!$B$23,0)</f>
        <v>200000</v>
      </c>
      <c r="W473" s="101">
        <f>EMPLOYEE_MASTER!AP473*LK_AllowanceRates!$B$24</f>
        <v>200000</v>
      </c>
      <c r="X473" s="101">
        <v>0</v>
      </c>
      <c r="Y473" s="102">
        <v>0</v>
      </c>
      <c r="Z473" s="102">
        <v>0</v>
      </c>
      <c r="AA473" s="102">
        <v>0</v>
      </c>
      <c r="AB473" s="103">
        <f t="shared" ca="1" si="58"/>
        <v>3560000</v>
      </c>
      <c r="AC473" s="104">
        <f t="shared" ca="1" si="59"/>
        <v>6690000</v>
      </c>
      <c r="AD473" s="105">
        <f>ROUND(L473*LK_AllowanceRates!$B$25/100,0)</f>
        <v>172150</v>
      </c>
      <c r="AE473" s="106">
        <f t="shared" ca="1" si="60"/>
        <v>6517850</v>
      </c>
      <c r="AF473" s="106">
        <f t="shared" ca="1" si="61"/>
        <v>336785</v>
      </c>
      <c r="AG473" s="107">
        <v>0</v>
      </c>
      <c r="AH473" s="107">
        <v>0</v>
      </c>
      <c r="AI473" s="108">
        <f t="shared" ca="1" si="62"/>
        <v>508935</v>
      </c>
      <c r="AJ473" s="109">
        <f t="shared" ca="1" si="63"/>
        <v>6181065</v>
      </c>
    </row>
    <row r="474" spans="1:36" ht="15" customHeight="1" x14ac:dyDescent="0.3">
      <c r="A474" s="98" t="str">
        <f>EMPLOYEE_MASTER!A474</f>
        <v>LAO00471</v>
      </c>
      <c r="B474" s="98" t="str">
        <f>EMPLOYEE_MASTER!C474</f>
        <v>Sommay</v>
      </c>
      <c r="C474" s="98" t="str">
        <f>EMPLOYEE_MASTER!D474</f>
        <v>Xayyasith</v>
      </c>
      <c r="D474" s="98" t="str">
        <f>EMPLOYEE_MASTER!T474</f>
        <v>Ministry of Planning &amp; Investment (MPI)</v>
      </c>
      <c r="E474" s="98" t="str">
        <f>EMPLOYEE_MASTER!M474</f>
        <v>Administrative Officer</v>
      </c>
      <c r="F474" s="98" t="str">
        <f>EMPLOYEE_MASTER!Z474</f>
        <v>Administration</v>
      </c>
      <c r="G474" s="99">
        <f>EMPLOYEE_MASTER!P474</f>
        <v>2</v>
      </c>
      <c r="H474" s="99">
        <f>EMPLOYEE_MASTER!Q474</f>
        <v>1</v>
      </c>
      <c r="I474" s="100" t="str">
        <f t="shared" si="56"/>
        <v>G02-S01</v>
      </c>
      <c r="J474" s="100">
        <f>IFERROR(VLOOKUP(I474,LK_GradeStep!$C$4:$D$85,2,0),0)</f>
        <v>268</v>
      </c>
      <c r="K474" s="100">
        <f>IFERROR(VLOOKUP(I474,LK_GradeStep!$C$4:$E$85,3,0),10000)</f>
        <v>10000</v>
      </c>
      <c r="L474" s="100">
        <f t="shared" si="57"/>
        <v>2680000</v>
      </c>
      <c r="M474" s="101">
        <f>IFERROR(VLOOKUP(EMPLOYEE_MASTER!AQ474,LK_AllowanceRates!$A$5:$B$11,2,0),0)</f>
        <v>900000</v>
      </c>
      <c r="N474" s="101">
        <f ca="1">IFERROR(IF(EMPLOYEE_MASTER!J474&lt;=5,  EMPLOYEE_MASTER!J474*LK_AllowanceRates!$B$12,IF(EMPLOYEE_MASTER!J474&lt;=15, EMPLOYEE_MASTER!J474*LK_AllowanceRates!$B$13,IF(EMPLOYEE_MASTER!J474&lt;=25, EMPLOYEE_MASTER!J474*LK_AllowanceRates!$B$14,EMPLOYEE_MASTER!J474*LK_AllowanceRates!$B$15))),0)</f>
        <v>1440000</v>
      </c>
      <c r="O474" s="101">
        <f>IF(EMPLOYEE_MASTER!AS474="Teaching",L474*LK_AllowanceRates!$B$16,0)</f>
        <v>0</v>
      </c>
      <c r="P474" s="101">
        <f>IF(EMPLOYEE_MASTER!AS474="Medical",LK_AllowanceRates!$B$17,0)</f>
        <v>0</v>
      </c>
      <c r="Q474" s="101">
        <f>IF(EMPLOYEE_MASTER!AR474="Yes",LK_AllowanceRates!$B$18,0)</f>
        <v>0</v>
      </c>
      <c r="R474" s="101">
        <f>IF(EMPLOYEE_MASTER!AC474="Yes",LK_AllowanceRates!$B$19,0)</f>
        <v>0</v>
      </c>
      <c r="S474" s="101">
        <f>IF(EMPLOYEE_MASTER!AA474="Yes",L474*LK_AllowanceRates!$B$20,0)</f>
        <v>0</v>
      </c>
      <c r="T474" s="101">
        <f>IF(EMPLOYEE_MASTER!AB474="Yes",LK_AllowanceRates!$B$21,0)</f>
        <v>0</v>
      </c>
      <c r="U474" s="101">
        <f>IF(EMPLOYEE_MASTER!P474&gt;=6,LK_AllowanceRates!$B$22,0)</f>
        <v>0</v>
      </c>
      <c r="V474" s="101">
        <f>IF(EMPLOYEE_MASTER!AO474="Yes",LK_AllowanceRates!$B$23,0)</f>
        <v>200000</v>
      </c>
      <c r="W474" s="101">
        <f>EMPLOYEE_MASTER!AP474*LK_AllowanceRates!$B$24</f>
        <v>400000</v>
      </c>
      <c r="X474" s="101">
        <v>0</v>
      </c>
      <c r="Y474" s="102">
        <v>0</v>
      </c>
      <c r="Z474" s="102">
        <v>0</v>
      </c>
      <c r="AA474" s="102">
        <v>0</v>
      </c>
      <c r="AB474" s="103">
        <f t="shared" ca="1" si="58"/>
        <v>2940000</v>
      </c>
      <c r="AC474" s="104">
        <f t="shared" ca="1" si="59"/>
        <v>5620000</v>
      </c>
      <c r="AD474" s="105">
        <f>ROUND(L474*LK_AllowanceRates!$B$25/100,0)</f>
        <v>147400</v>
      </c>
      <c r="AE474" s="106">
        <f t="shared" ca="1" si="60"/>
        <v>5472600</v>
      </c>
      <c r="AF474" s="106">
        <f t="shared" ca="1" si="61"/>
        <v>232260</v>
      </c>
      <c r="AG474" s="107">
        <v>0</v>
      </c>
      <c r="AH474" s="107">
        <v>0</v>
      </c>
      <c r="AI474" s="108">
        <f t="shared" ca="1" si="62"/>
        <v>379660</v>
      </c>
      <c r="AJ474" s="109">
        <f t="shared" ca="1" si="63"/>
        <v>5240340</v>
      </c>
    </row>
    <row r="475" spans="1:36" ht="15" customHeight="1" x14ac:dyDescent="0.3">
      <c r="A475" s="98" t="str">
        <f>EMPLOYEE_MASTER!A475</f>
        <v>LAO00472</v>
      </c>
      <c r="B475" s="98" t="str">
        <f>EMPLOYEE_MASTER!C475</f>
        <v>Khanthavy</v>
      </c>
      <c r="C475" s="98" t="str">
        <f>EMPLOYEE_MASTER!D475</f>
        <v>Vilayphitak</v>
      </c>
      <c r="D475" s="98" t="str">
        <f>EMPLOYEE_MASTER!T475</f>
        <v>Ministry of Justice (MoJ)</v>
      </c>
      <c r="E475" s="98" t="str">
        <f>EMPLOYEE_MASTER!M475</f>
        <v>Senior Legal Advisor</v>
      </c>
      <c r="F475" s="98" t="str">
        <f>EMPLOYEE_MASTER!Z475</f>
        <v>Legal</v>
      </c>
      <c r="G475" s="99">
        <f>EMPLOYEE_MASTER!P475</f>
        <v>4</v>
      </c>
      <c r="H475" s="99">
        <f>EMPLOYEE_MASTER!Q475</f>
        <v>1</v>
      </c>
      <c r="I475" s="100" t="str">
        <f t="shared" si="56"/>
        <v>G04-S01</v>
      </c>
      <c r="J475" s="100">
        <f>IFERROR(VLOOKUP(I475,LK_GradeStep!$C$4:$D$85,2,0),0)</f>
        <v>286</v>
      </c>
      <c r="K475" s="100">
        <f>IFERROR(VLOOKUP(I475,LK_GradeStep!$C$4:$E$85,3,0),10000)</f>
        <v>10000</v>
      </c>
      <c r="L475" s="100">
        <f t="shared" si="57"/>
        <v>2860000</v>
      </c>
      <c r="M475" s="101">
        <f>IFERROR(VLOOKUP(EMPLOYEE_MASTER!AQ475,LK_AllowanceRates!$A$5:$B$11,2,0),0)</f>
        <v>900000</v>
      </c>
      <c r="N475" s="101">
        <f ca="1">IFERROR(IF(EMPLOYEE_MASTER!J475&lt;=5,  EMPLOYEE_MASTER!J475*LK_AllowanceRates!$B$12,IF(EMPLOYEE_MASTER!J475&lt;=15, EMPLOYEE_MASTER!J475*LK_AllowanceRates!$B$13,IF(EMPLOYEE_MASTER!J475&lt;=25, EMPLOYEE_MASTER!J475*LK_AllowanceRates!$B$14,EMPLOYEE_MASTER!J475*LK_AllowanceRates!$B$15))),0)</f>
        <v>690000</v>
      </c>
      <c r="O475" s="101">
        <f>IF(EMPLOYEE_MASTER!AS475="Teaching",L475*LK_AllowanceRates!$B$16,0)</f>
        <v>0</v>
      </c>
      <c r="P475" s="101">
        <f>IF(EMPLOYEE_MASTER!AS475="Medical",LK_AllowanceRates!$B$17,0)</f>
        <v>0</v>
      </c>
      <c r="Q475" s="101">
        <f>IF(EMPLOYEE_MASTER!AR475="Yes",LK_AllowanceRates!$B$18,0)</f>
        <v>0</v>
      </c>
      <c r="R475" s="101">
        <f>IF(EMPLOYEE_MASTER!AC475="Yes",LK_AllowanceRates!$B$19,0)</f>
        <v>1000000</v>
      </c>
      <c r="S475" s="101">
        <f>IF(EMPLOYEE_MASTER!AA475="Yes",L475*LK_AllowanceRates!$B$20,0)</f>
        <v>0</v>
      </c>
      <c r="T475" s="101">
        <f>IF(EMPLOYEE_MASTER!AB475="Yes",LK_AllowanceRates!$B$21,0)</f>
        <v>0</v>
      </c>
      <c r="U475" s="101">
        <f>IF(EMPLOYEE_MASTER!P475&gt;=6,LK_AllowanceRates!$B$22,0)</f>
        <v>0</v>
      </c>
      <c r="V475" s="101">
        <f>IF(EMPLOYEE_MASTER!AO475="Yes",LK_AllowanceRates!$B$23,0)</f>
        <v>0</v>
      </c>
      <c r="W475" s="101">
        <f>EMPLOYEE_MASTER!AP475*LK_AllowanceRates!$B$24</f>
        <v>0</v>
      </c>
      <c r="X475" s="101">
        <v>0</v>
      </c>
      <c r="Y475" s="102">
        <v>0</v>
      </c>
      <c r="Z475" s="102">
        <v>0</v>
      </c>
      <c r="AA475" s="102">
        <v>0</v>
      </c>
      <c r="AB475" s="103">
        <f t="shared" ca="1" si="58"/>
        <v>2590000</v>
      </c>
      <c r="AC475" s="104">
        <f t="shared" ca="1" si="59"/>
        <v>5450000</v>
      </c>
      <c r="AD475" s="105">
        <f>ROUND(L475*LK_AllowanceRates!$B$25/100,0)</f>
        <v>157300</v>
      </c>
      <c r="AE475" s="106">
        <f t="shared" ca="1" si="60"/>
        <v>5292700</v>
      </c>
      <c r="AF475" s="106">
        <f t="shared" ca="1" si="61"/>
        <v>214270</v>
      </c>
      <c r="AG475" s="107">
        <v>0</v>
      </c>
      <c r="AH475" s="107">
        <v>0</v>
      </c>
      <c r="AI475" s="108">
        <f t="shared" ca="1" si="62"/>
        <v>371570</v>
      </c>
      <c r="AJ475" s="109">
        <f t="shared" ca="1" si="63"/>
        <v>5078430</v>
      </c>
    </row>
    <row r="476" spans="1:36" ht="15" customHeight="1" x14ac:dyDescent="0.3">
      <c r="A476" s="98" t="str">
        <f>EMPLOYEE_MASTER!A476</f>
        <v>LAO00473</v>
      </c>
      <c r="B476" s="98" t="str">
        <f>EMPLOYEE_MASTER!C476</f>
        <v>Sivilay</v>
      </c>
      <c r="C476" s="98" t="str">
        <f>EMPLOYEE_MASTER!D476</f>
        <v>Phaymany</v>
      </c>
      <c r="D476" s="98" t="str">
        <f>EMPLOYEE_MASTER!T476</f>
        <v>Ministry of Planning &amp; Investment (MPI)</v>
      </c>
      <c r="E476" s="98" t="str">
        <f>EMPLOYEE_MASTER!M476</f>
        <v>Section Chief</v>
      </c>
      <c r="F476" s="98" t="str">
        <f>EMPLOYEE_MASTER!Z476</f>
        <v>Administration</v>
      </c>
      <c r="G476" s="99">
        <f>EMPLOYEE_MASTER!P476</f>
        <v>4</v>
      </c>
      <c r="H476" s="99">
        <f>EMPLOYEE_MASTER!Q476</f>
        <v>4</v>
      </c>
      <c r="I476" s="100" t="str">
        <f t="shared" si="56"/>
        <v>G04-S04</v>
      </c>
      <c r="J476" s="100">
        <f>IFERROR(VLOOKUP(I476,LK_GradeStep!$C$4:$D$85,2,0),0)</f>
        <v>292</v>
      </c>
      <c r="K476" s="100">
        <f>IFERROR(VLOOKUP(I476,LK_GradeStep!$C$4:$E$85,3,0),10000)</f>
        <v>10000</v>
      </c>
      <c r="L476" s="100">
        <f t="shared" si="57"/>
        <v>2920000</v>
      </c>
      <c r="M476" s="101">
        <f>IFERROR(VLOOKUP(EMPLOYEE_MASTER!AQ476,LK_AllowanceRates!$A$5:$B$11,2,0),0)</f>
        <v>1500000</v>
      </c>
      <c r="N476" s="101">
        <f ca="1">IFERROR(IF(EMPLOYEE_MASTER!J476&lt;=5,  EMPLOYEE_MASTER!J476*LK_AllowanceRates!$B$12,IF(EMPLOYEE_MASTER!J476&lt;=15, EMPLOYEE_MASTER!J476*LK_AllowanceRates!$B$13,IF(EMPLOYEE_MASTER!J476&lt;=25, EMPLOYEE_MASTER!J476*LK_AllowanceRates!$B$14,EMPLOYEE_MASTER!J476*LK_AllowanceRates!$B$15))),0)</f>
        <v>260000</v>
      </c>
      <c r="O476" s="101">
        <f>IF(EMPLOYEE_MASTER!AS476="Teaching",L476*LK_AllowanceRates!$B$16,0)</f>
        <v>0</v>
      </c>
      <c r="P476" s="101">
        <f>IF(EMPLOYEE_MASTER!AS476="Medical",LK_AllowanceRates!$B$17,0)</f>
        <v>0</v>
      </c>
      <c r="Q476" s="101">
        <f>IF(EMPLOYEE_MASTER!AR476="Yes",LK_AllowanceRates!$B$18,0)</f>
        <v>0</v>
      </c>
      <c r="R476" s="101">
        <f>IF(EMPLOYEE_MASTER!AC476="Yes",LK_AllowanceRates!$B$19,0)</f>
        <v>0</v>
      </c>
      <c r="S476" s="101">
        <f>IF(EMPLOYEE_MASTER!AA476="Yes",L476*LK_AllowanceRates!$B$20,0)</f>
        <v>0</v>
      </c>
      <c r="T476" s="101">
        <f>IF(EMPLOYEE_MASTER!AB476="Yes",LK_AllowanceRates!$B$21,0)</f>
        <v>0</v>
      </c>
      <c r="U476" s="101">
        <f>IF(EMPLOYEE_MASTER!P476&gt;=6,LK_AllowanceRates!$B$22,0)</f>
        <v>0</v>
      </c>
      <c r="V476" s="101">
        <f>IF(EMPLOYEE_MASTER!AO476="Yes",LK_AllowanceRates!$B$23,0)</f>
        <v>200000</v>
      </c>
      <c r="W476" s="101">
        <f>EMPLOYEE_MASTER!AP476*LK_AllowanceRates!$B$24</f>
        <v>0</v>
      </c>
      <c r="X476" s="101">
        <v>0</v>
      </c>
      <c r="Y476" s="102">
        <v>0</v>
      </c>
      <c r="Z476" s="102">
        <v>0</v>
      </c>
      <c r="AA476" s="102">
        <v>0</v>
      </c>
      <c r="AB476" s="103">
        <f t="shared" ca="1" si="58"/>
        <v>1960000</v>
      </c>
      <c r="AC476" s="104">
        <f t="shared" ca="1" si="59"/>
        <v>4880000</v>
      </c>
      <c r="AD476" s="105">
        <f>ROUND(L476*LK_AllowanceRates!$B$25/100,0)</f>
        <v>160600</v>
      </c>
      <c r="AE476" s="106">
        <f t="shared" ca="1" si="60"/>
        <v>4719400</v>
      </c>
      <c r="AF476" s="106">
        <f t="shared" ca="1" si="61"/>
        <v>170970</v>
      </c>
      <c r="AG476" s="107">
        <v>0</v>
      </c>
      <c r="AH476" s="107">
        <v>0</v>
      </c>
      <c r="AI476" s="108">
        <f t="shared" ca="1" si="62"/>
        <v>331570</v>
      </c>
      <c r="AJ476" s="109">
        <f t="shared" ca="1" si="63"/>
        <v>4548430</v>
      </c>
    </row>
    <row r="477" spans="1:36" ht="15" customHeight="1" x14ac:dyDescent="0.3">
      <c r="A477" s="98" t="str">
        <f>EMPLOYEE_MASTER!A477</f>
        <v>LAO00474</v>
      </c>
      <c r="B477" s="98" t="str">
        <f>EMPLOYEE_MASTER!C477</f>
        <v>Sisamone</v>
      </c>
      <c r="C477" s="98" t="str">
        <f>EMPLOYEE_MASTER!D477</f>
        <v>Manivong</v>
      </c>
      <c r="D477" s="98" t="str">
        <f>EMPLOYEE_MASTER!T477</f>
        <v>Ministry of Education and Sports (MoES)</v>
      </c>
      <c r="E477" s="98" t="str">
        <f>EMPLOYEE_MASTER!M477</f>
        <v>Deputy Principal</v>
      </c>
      <c r="F477" s="98" t="str">
        <f>EMPLOYEE_MASTER!Z477</f>
        <v>Teacher</v>
      </c>
      <c r="G477" s="99">
        <f>EMPLOYEE_MASTER!P477</f>
        <v>2</v>
      </c>
      <c r="H477" s="99">
        <f>EMPLOYEE_MASTER!Q477</f>
        <v>1</v>
      </c>
      <c r="I477" s="100" t="str">
        <f t="shared" si="56"/>
        <v>G02-S01</v>
      </c>
      <c r="J477" s="100">
        <f>IFERROR(VLOOKUP(I477,LK_GradeStep!$C$4:$D$85,2,0),0)</f>
        <v>268</v>
      </c>
      <c r="K477" s="100">
        <f>IFERROR(VLOOKUP(I477,LK_GradeStep!$C$4:$E$85,3,0),10000)</f>
        <v>10000</v>
      </c>
      <c r="L477" s="100">
        <f t="shared" si="57"/>
        <v>2680000</v>
      </c>
      <c r="M477" s="101">
        <f>IFERROR(VLOOKUP(EMPLOYEE_MASTER!AQ477,LK_AllowanceRates!$A$5:$B$11,2,0),0)</f>
        <v>900000</v>
      </c>
      <c r="N477" s="101">
        <f ca="1">IFERROR(IF(EMPLOYEE_MASTER!J477&lt;=5,  EMPLOYEE_MASTER!J477*LK_AllowanceRates!$B$12,IF(EMPLOYEE_MASTER!J477&lt;=15, EMPLOYEE_MASTER!J477*LK_AllowanceRates!$B$13,IF(EMPLOYEE_MASTER!J477&lt;=25, EMPLOYEE_MASTER!J477*LK_AllowanceRates!$B$14,EMPLOYEE_MASTER!J477*LK_AllowanceRates!$B$15))),0)</f>
        <v>1120000</v>
      </c>
      <c r="O477" s="101">
        <f>IF(EMPLOYEE_MASTER!AS477="Teaching",L477*LK_AllowanceRates!$B$16,0)</f>
        <v>536000</v>
      </c>
      <c r="P477" s="101">
        <f>IF(EMPLOYEE_MASTER!AS477="Medical",LK_AllowanceRates!$B$17,0)</f>
        <v>0</v>
      </c>
      <c r="Q477" s="101">
        <f>IF(EMPLOYEE_MASTER!AR477="Yes",LK_AllowanceRates!$B$18,0)</f>
        <v>0</v>
      </c>
      <c r="R477" s="101">
        <f>IF(EMPLOYEE_MASTER!AC477="Yes",LK_AllowanceRates!$B$19,0)</f>
        <v>0</v>
      </c>
      <c r="S477" s="101">
        <f>IF(EMPLOYEE_MASTER!AA477="Yes",L477*LK_AllowanceRates!$B$20,0)</f>
        <v>0</v>
      </c>
      <c r="T477" s="101">
        <f>IF(EMPLOYEE_MASTER!AB477="Yes",LK_AllowanceRates!$B$21,0)</f>
        <v>0</v>
      </c>
      <c r="U477" s="101">
        <f>IF(EMPLOYEE_MASTER!P477&gt;=6,LK_AllowanceRates!$B$22,0)</f>
        <v>0</v>
      </c>
      <c r="V477" s="101">
        <f>IF(EMPLOYEE_MASTER!AO477="Yes",LK_AllowanceRates!$B$23,0)</f>
        <v>0</v>
      </c>
      <c r="W477" s="101">
        <f>EMPLOYEE_MASTER!AP477*LK_AllowanceRates!$B$24</f>
        <v>0</v>
      </c>
      <c r="X477" s="101">
        <v>0</v>
      </c>
      <c r="Y477" s="102">
        <v>0</v>
      </c>
      <c r="Z477" s="102">
        <v>0</v>
      </c>
      <c r="AA477" s="102">
        <v>0</v>
      </c>
      <c r="AB477" s="103">
        <f t="shared" ca="1" si="58"/>
        <v>2556000</v>
      </c>
      <c r="AC477" s="104">
        <f t="shared" ca="1" si="59"/>
        <v>5236000</v>
      </c>
      <c r="AD477" s="105">
        <f>ROUND(L477*LK_AllowanceRates!$B$25/100,0)</f>
        <v>147400</v>
      </c>
      <c r="AE477" s="106">
        <f t="shared" ca="1" si="60"/>
        <v>5088600</v>
      </c>
      <c r="AF477" s="106">
        <f t="shared" ca="1" si="61"/>
        <v>193860</v>
      </c>
      <c r="AG477" s="107">
        <v>0</v>
      </c>
      <c r="AH477" s="107">
        <v>0</v>
      </c>
      <c r="AI477" s="108">
        <f t="shared" ca="1" si="62"/>
        <v>341260</v>
      </c>
      <c r="AJ477" s="109">
        <f t="shared" ca="1" si="63"/>
        <v>4894740</v>
      </c>
    </row>
    <row r="478" spans="1:36" ht="15" customHeight="1" x14ac:dyDescent="0.3">
      <c r="A478" s="98" t="str">
        <f>EMPLOYEE_MASTER!A478</f>
        <v>LAO00475</v>
      </c>
      <c r="B478" s="98" t="str">
        <f>EMPLOYEE_MASTER!C478</f>
        <v>Siphone</v>
      </c>
      <c r="C478" s="98" t="str">
        <f>EMPLOYEE_MASTER!D478</f>
        <v>Vongphachanh</v>
      </c>
      <c r="D478" s="98" t="str">
        <f>EMPLOYEE_MASTER!T478</f>
        <v>Ministry of Natural Resources &amp; Environment (MoNRE)</v>
      </c>
      <c r="E478" s="98" t="str">
        <f>EMPLOYEE_MASTER!M478</f>
        <v>Section Chief</v>
      </c>
      <c r="F478" s="98" t="str">
        <f>EMPLOYEE_MASTER!Z478</f>
        <v>Technical</v>
      </c>
      <c r="G478" s="99">
        <f>EMPLOYEE_MASTER!P478</f>
        <v>5</v>
      </c>
      <c r="H478" s="99">
        <f>EMPLOYEE_MASTER!Q478</f>
        <v>12</v>
      </c>
      <c r="I478" s="100" t="str">
        <f t="shared" si="56"/>
        <v>G05-S12</v>
      </c>
      <c r="J478" s="100">
        <f>IFERROR(VLOOKUP(I478,LK_GradeStep!$C$4:$D$85,2,0),0)</f>
        <v>388</v>
      </c>
      <c r="K478" s="100">
        <f>IFERROR(VLOOKUP(I478,LK_GradeStep!$C$4:$E$85,3,0),10000)</f>
        <v>10000</v>
      </c>
      <c r="L478" s="100">
        <f t="shared" si="57"/>
        <v>3880000</v>
      </c>
      <c r="M478" s="101">
        <f>IFERROR(VLOOKUP(EMPLOYEE_MASTER!AQ478,LK_AllowanceRates!$A$5:$B$11,2,0),0)</f>
        <v>1500000</v>
      </c>
      <c r="N478" s="101">
        <f ca="1">IFERROR(IF(EMPLOYEE_MASTER!J478&lt;=5,  EMPLOYEE_MASTER!J478*LK_AllowanceRates!$B$12,IF(EMPLOYEE_MASTER!J478&lt;=15, EMPLOYEE_MASTER!J478*LK_AllowanceRates!$B$13,IF(EMPLOYEE_MASTER!J478&lt;=25, EMPLOYEE_MASTER!J478*LK_AllowanceRates!$B$14,EMPLOYEE_MASTER!J478*LK_AllowanceRates!$B$15))),0)</f>
        <v>120000</v>
      </c>
      <c r="O478" s="101">
        <f>IF(EMPLOYEE_MASTER!AS478="Teaching",L478*LK_AllowanceRates!$B$16,0)</f>
        <v>0</v>
      </c>
      <c r="P478" s="101">
        <f>IF(EMPLOYEE_MASTER!AS478="Medical",LK_AllowanceRates!$B$17,0)</f>
        <v>0</v>
      </c>
      <c r="Q478" s="101">
        <f>IF(EMPLOYEE_MASTER!AR478="Yes",LK_AllowanceRates!$B$18,0)</f>
        <v>0</v>
      </c>
      <c r="R478" s="101">
        <f>IF(EMPLOYEE_MASTER!AC478="Yes",LK_AllowanceRates!$B$19,0)</f>
        <v>0</v>
      </c>
      <c r="S478" s="101">
        <f>IF(EMPLOYEE_MASTER!AA478="Yes",L478*LK_AllowanceRates!$B$20,0)</f>
        <v>970000</v>
      </c>
      <c r="T478" s="101">
        <f>IF(EMPLOYEE_MASTER!AB478="Yes",LK_AllowanceRates!$B$21,0)</f>
        <v>0</v>
      </c>
      <c r="U478" s="101">
        <f>IF(EMPLOYEE_MASTER!P478&gt;=6,LK_AllowanceRates!$B$22,0)</f>
        <v>0</v>
      </c>
      <c r="V478" s="101">
        <f>IF(EMPLOYEE_MASTER!AO478="Yes",LK_AllowanceRates!$B$23,0)</f>
        <v>200000</v>
      </c>
      <c r="W478" s="101">
        <f>EMPLOYEE_MASTER!AP478*LK_AllowanceRates!$B$24</f>
        <v>200000</v>
      </c>
      <c r="X478" s="101">
        <v>0</v>
      </c>
      <c r="Y478" s="102">
        <v>0</v>
      </c>
      <c r="Z478" s="102">
        <v>0</v>
      </c>
      <c r="AA478" s="102">
        <v>0</v>
      </c>
      <c r="AB478" s="103">
        <f t="shared" ca="1" si="58"/>
        <v>2990000</v>
      </c>
      <c r="AC478" s="104">
        <f t="shared" ca="1" si="59"/>
        <v>6870000</v>
      </c>
      <c r="AD478" s="105">
        <f>ROUND(L478*LK_AllowanceRates!$B$25/100,0)</f>
        <v>213400</v>
      </c>
      <c r="AE478" s="106">
        <f t="shared" ca="1" si="60"/>
        <v>6656600</v>
      </c>
      <c r="AF478" s="106">
        <f t="shared" ca="1" si="61"/>
        <v>350660</v>
      </c>
      <c r="AG478" s="107">
        <v>0</v>
      </c>
      <c r="AH478" s="107">
        <v>0</v>
      </c>
      <c r="AI478" s="108">
        <f t="shared" ca="1" si="62"/>
        <v>564060</v>
      </c>
      <c r="AJ478" s="109">
        <f t="shared" ca="1" si="63"/>
        <v>6305940</v>
      </c>
    </row>
    <row r="479" spans="1:36" ht="15" customHeight="1" x14ac:dyDescent="0.3">
      <c r="A479" s="98" t="str">
        <f>EMPLOYEE_MASTER!A479</f>
        <v>LAO00476</v>
      </c>
      <c r="B479" s="98" t="str">
        <f>EMPLOYEE_MASTER!C479</f>
        <v>Sounthone</v>
      </c>
      <c r="C479" s="98" t="str">
        <f>EMPLOYEE_MASTER!D479</f>
        <v>Bouavong</v>
      </c>
      <c r="D479" s="98" t="str">
        <f>EMPLOYEE_MASTER!T479</f>
        <v>Ministry of Finance (MoF)</v>
      </c>
      <c r="E479" s="98" t="str">
        <f>EMPLOYEE_MASTER!M479</f>
        <v>Section Chief</v>
      </c>
      <c r="F479" s="98" t="str">
        <f>EMPLOYEE_MASTER!Z479</f>
        <v>Finance</v>
      </c>
      <c r="G479" s="99">
        <f>EMPLOYEE_MASTER!P479</f>
        <v>5</v>
      </c>
      <c r="H479" s="99">
        <f>EMPLOYEE_MASTER!Q479</f>
        <v>1</v>
      </c>
      <c r="I479" s="100" t="str">
        <f t="shared" si="56"/>
        <v>G05-S01</v>
      </c>
      <c r="J479" s="100">
        <f>IFERROR(VLOOKUP(I479,LK_GradeStep!$C$4:$D$85,2,0),0)</f>
        <v>308</v>
      </c>
      <c r="K479" s="100">
        <f>IFERROR(VLOOKUP(I479,LK_GradeStep!$C$4:$E$85,3,0),10000)</f>
        <v>10000</v>
      </c>
      <c r="L479" s="100">
        <f t="shared" si="57"/>
        <v>3080000</v>
      </c>
      <c r="M479" s="101">
        <f>IFERROR(VLOOKUP(EMPLOYEE_MASTER!AQ479,LK_AllowanceRates!$A$5:$B$11,2,0),0)</f>
        <v>1500000</v>
      </c>
      <c r="N479" s="101">
        <f ca="1">IFERROR(IF(EMPLOYEE_MASTER!J479&lt;=5,  EMPLOYEE_MASTER!J479*LK_AllowanceRates!$B$12,IF(EMPLOYEE_MASTER!J479&lt;=15, EMPLOYEE_MASTER!J479*LK_AllowanceRates!$B$13,IF(EMPLOYEE_MASTER!J479&lt;=25, EMPLOYEE_MASTER!J479*LK_AllowanceRates!$B$14,EMPLOYEE_MASTER!J479*LK_AllowanceRates!$B$15))),0)</f>
        <v>480000</v>
      </c>
      <c r="O479" s="101">
        <f>IF(EMPLOYEE_MASTER!AS479="Teaching",L479*LK_AllowanceRates!$B$16,0)</f>
        <v>0</v>
      </c>
      <c r="P479" s="101">
        <f>IF(EMPLOYEE_MASTER!AS479="Medical",LK_AllowanceRates!$B$17,0)</f>
        <v>0</v>
      </c>
      <c r="Q479" s="101">
        <f>IF(EMPLOYEE_MASTER!AR479="Yes",LK_AllowanceRates!$B$18,0)</f>
        <v>0</v>
      </c>
      <c r="R479" s="101">
        <f>IF(EMPLOYEE_MASTER!AC479="Yes",LK_AllowanceRates!$B$19,0)</f>
        <v>0</v>
      </c>
      <c r="S479" s="101">
        <f>IF(EMPLOYEE_MASTER!AA479="Yes",L479*LK_AllowanceRates!$B$20,0)</f>
        <v>0</v>
      </c>
      <c r="T479" s="101">
        <f>IF(EMPLOYEE_MASTER!AB479="Yes",LK_AllowanceRates!$B$21,0)</f>
        <v>0</v>
      </c>
      <c r="U479" s="101">
        <f>IF(EMPLOYEE_MASTER!P479&gt;=6,LK_AllowanceRates!$B$22,0)</f>
        <v>0</v>
      </c>
      <c r="V479" s="101">
        <f>IF(EMPLOYEE_MASTER!AO479="Yes",LK_AllowanceRates!$B$23,0)</f>
        <v>200000</v>
      </c>
      <c r="W479" s="101">
        <f>EMPLOYEE_MASTER!AP479*LK_AllowanceRates!$B$24</f>
        <v>600000</v>
      </c>
      <c r="X479" s="101">
        <v>0</v>
      </c>
      <c r="Y479" s="102">
        <v>0</v>
      </c>
      <c r="Z479" s="102">
        <v>0</v>
      </c>
      <c r="AA479" s="102">
        <v>0</v>
      </c>
      <c r="AB479" s="103">
        <f t="shared" ca="1" si="58"/>
        <v>2780000</v>
      </c>
      <c r="AC479" s="104">
        <f t="shared" ca="1" si="59"/>
        <v>5860000</v>
      </c>
      <c r="AD479" s="105">
        <f>ROUND(L479*LK_AllowanceRates!$B$25/100,0)</f>
        <v>169400</v>
      </c>
      <c r="AE479" s="106">
        <f t="shared" ca="1" si="60"/>
        <v>5690600</v>
      </c>
      <c r="AF479" s="106">
        <f t="shared" ca="1" si="61"/>
        <v>254060</v>
      </c>
      <c r="AG479" s="107">
        <v>0</v>
      </c>
      <c r="AH479" s="107">
        <v>0</v>
      </c>
      <c r="AI479" s="108">
        <f t="shared" ca="1" si="62"/>
        <v>423460</v>
      </c>
      <c r="AJ479" s="109">
        <f t="shared" ca="1" si="63"/>
        <v>5436540</v>
      </c>
    </row>
    <row r="480" spans="1:36" ht="15" customHeight="1" x14ac:dyDescent="0.3">
      <c r="A480" s="98" t="str">
        <f>EMPLOYEE_MASTER!A480</f>
        <v>LAO00477</v>
      </c>
      <c r="B480" s="98" t="str">
        <f>EMPLOYEE_MASTER!C480</f>
        <v>Sivilay</v>
      </c>
      <c r="C480" s="98" t="str">
        <f>EMPLOYEE_MASTER!D480</f>
        <v>Phetsamone</v>
      </c>
      <c r="D480" s="98" t="str">
        <f>EMPLOYEE_MASTER!T480</f>
        <v>Ministry of Industry &amp; Commerce (MoIC)</v>
      </c>
      <c r="E480" s="98" t="str">
        <f>EMPLOYEE_MASTER!M480</f>
        <v>Officer</v>
      </c>
      <c r="F480" s="98" t="str">
        <f>EMPLOYEE_MASTER!Z480</f>
        <v>Administration</v>
      </c>
      <c r="G480" s="99">
        <f>EMPLOYEE_MASTER!P480</f>
        <v>3</v>
      </c>
      <c r="H480" s="99">
        <f>EMPLOYEE_MASTER!Q480</f>
        <v>2</v>
      </c>
      <c r="I480" s="100" t="str">
        <f t="shared" si="56"/>
        <v>G03-S02</v>
      </c>
      <c r="J480" s="100">
        <f>IFERROR(VLOOKUP(I480,LK_GradeStep!$C$4:$D$85,2,0),0)</f>
        <v>277</v>
      </c>
      <c r="K480" s="100">
        <f>IFERROR(VLOOKUP(I480,LK_GradeStep!$C$4:$E$85,3,0),10000)</f>
        <v>10000</v>
      </c>
      <c r="L480" s="100">
        <f t="shared" si="57"/>
        <v>2770000</v>
      </c>
      <c r="M480" s="101">
        <f>IFERROR(VLOOKUP(EMPLOYEE_MASTER!AQ480,LK_AllowanceRates!$A$5:$B$11,2,0),0)</f>
        <v>900000</v>
      </c>
      <c r="N480" s="101">
        <f ca="1">IFERROR(IF(EMPLOYEE_MASTER!J480&lt;=5,  EMPLOYEE_MASTER!J480*LK_AllowanceRates!$B$12,IF(EMPLOYEE_MASTER!J480&lt;=15, EMPLOYEE_MASTER!J480*LK_AllowanceRates!$B$13,IF(EMPLOYEE_MASTER!J480&lt;=25, EMPLOYEE_MASTER!J480*LK_AllowanceRates!$B$14,EMPLOYEE_MASTER!J480*LK_AllowanceRates!$B$15))),0)</f>
        <v>240000</v>
      </c>
      <c r="O480" s="101">
        <f>IF(EMPLOYEE_MASTER!AS480="Teaching",L480*LK_AllowanceRates!$B$16,0)</f>
        <v>0</v>
      </c>
      <c r="P480" s="101">
        <f>IF(EMPLOYEE_MASTER!AS480="Medical",LK_AllowanceRates!$B$17,0)</f>
        <v>0</v>
      </c>
      <c r="Q480" s="101">
        <f>IF(EMPLOYEE_MASTER!AR480="Yes",LK_AllowanceRates!$B$18,0)</f>
        <v>0</v>
      </c>
      <c r="R480" s="101">
        <f>IF(EMPLOYEE_MASTER!AC480="Yes",LK_AllowanceRates!$B$19,0)</f>
        <v>1000000</v>
      </c>
      <c r="S480" s="101">
        <f>IF(EMPLOYEE_MASTER!AA480="Yes",L480*LK_AllowanceRates!$B$20,0)</f>
        <v>692500</v>
      </c>
      <c r="T480" s="101">
        <f>IF(EMPLOYEE_MASTER!AB480="Yes",LK_AllowanceRates!$B$21,0)</f>
        <v>0</v>
      </c>
      <c r="U480" s="101">
        <f>IF(EMPLOYEE_MASTER!P480&gt;=6,LK_AllowanceRates!$B$22,0)</f>
        <v>0</v>
      </c>
      <c r="V480" s="101">
        <f>IF(EMPLOYEE_MASTER!AO480="Yes",LK_AllowanceRates!$B$23,0)</f>
        <v>0</v>
      </c>
      <c r="W480" s="101">
        <f>EMPLOYEE_MASTER!AP480*LK_AllowanceRates!$B$24</f>
        <v>0</v>
      </c>
      <c r="X480" s="101">
        <v>0</v>
      </c>
      <c r="Y480" s="102">
        <v>0</v>
      </c>
      <c r="Z480" s="102">
        <v>0</v>
      </c>
      <c r="AA480" s="102">
        <v>0</v>
      </c>
      <c r="AB480" s="103">
        <f t="shared" ca="1" si="58"/>
        <v>2832500</v>
      </c>
      <c r="AC480" s="104">
        <f t="shared" ca="1" si="59"/>
        <v>5602500</v>
      </c>
      <c r="AD480" s="105">
        <f>ROUND(L480*LK_AllowanceRates!$B$25/100,0)</f>
        <v>152350</v>
      </c>
      <c r="AE480" s="106">
        <f t="shared" ca="1" si="60"/>
        <v>5450150</v>
      </c>
      <c r="AF480" s="106">
        <f t="shared" ca="1" si="61"/>
        <v>230015</v>
      </c>
      <c r="AG480" s="107">
        <v>0</v>
      </c>
      <c r="AH480" s="107">
        <v>0</v>
      </c>
      <c r="AI480" s="108">
        <f t="shared" ca="1" si="62"/>
        <v>382365</v>
      </c>
      <c r="AJ480" s="109">
        <f t="shared" ca="1" si="63"/>
        <v>5220135</v>
      </c>
    </row>
    <row r="481" spans="1:36" ht="15" customHeight="1" x14ac:dyDescent="0.3">
      <c r="A481" s="98" t="str">
        <f>EMPLOYEE_MASTER!A481</f>
        <v>LAO00478</v>
      </c>
      <c r="B481" s="98" t="str">
        <f>EMPLOYEE_MASTER!C481</f>
        <v>Bounpone</v>
      </c>
      <c r="C481" s="98" t="str">
        <f>EMPLOYEE_MASTER!D481</f>
        <v>Khonesavanh</v>
      </c>
      <c r="D481" s="98" t="str">
        <f>EMPLOYEE_MASTER!T481</f>
        <v>Ministry of Agriculture and Forestry (MoAF)</v>
      </c>
      <c r="E481" s="98" t="str">
        <f>EMPLOYEE_MASTER!M481</f>
        <v>Environmental Officer</v>
      </c>
      <c r="F481" s="98" t="str">
        <f>EMPLOYEE_MASTER!Z481</f>
        <v>Technical</v>
      </c>
      <c r="G481" s="99">
        <f>EMPLOYEE_MASTER!P481</f>
        <v>2</v>
      </c>
      <c r="H481" s="99">
        <f>EMPLOYEE_MASTER!Q481</f>
        <v>1</v>
      </c>
      <c r="I481" s="100" t="str">
        <f t="shared" si="56"/>
        <v>G02-S01</v>
      </c>
      <c r="J481" s="100">
        <f>IFERROR(VLOOKUP(I481,LK_GradeStep!$C$4:$D$85,2,0),0)</f>
        <v>268</v>
      </c>
      <c r="K481" s="100">
        <f>IFERROR(VLOOKUP(I481,LK_GradeStep!$C$4:$E$85,3,0),10000)</f>
        <v>10000</v>
      </c>
      <c r="L481" s="100">
        <f t="shared" si="57"/>
        <v>2680000</v>
      </c>
      <c r="M481" s="101">
        <f>IFERROR(VLOOKUP(EMPLOYEE_MASTER!AQ481,LK_AllowanceRates!$A$5:$B$11,2,0),0)</f>
        <v>900000</v>
      </c>
      <c r="N481" s="101">
        <f ca="1">IFERROR(IF(EMPLOYEE_MASTER!J481&lt;=5,  EMPLOYEE_MASTER!J481*LK_AllowanceRates!$B$12,IF(EMPLOYEE_MASTER!J481&lt;=15, EMPLOYEE_MASTER!J481*LK_AllowanceRates!$B$13,IF(EMPLOYEE_MASTER!J481&lt;=25, EMPLOYEE_MASTER!J481*LK_AllowanceRates!$B$14,EMPLOYEE_MASTER!J481*LK_AllowanceRates!$B$15))),0)</f>
        <v>750000</v>
      </c>
      <c r="O481" s="101">
        <f>IF(EMPLOYEE_MASTER!AS481="Teaching",L481*LK_AllowanceRates!$B$16,0)</f>
        <v>0</v>
      </c>
      <c r="P481" s="101">
        <f>IF(EMPLOYEE_MASTER!AS481="Medical",LK_AllowanceRates!$B$17,0)</f>
        <v>0</v>
      </c>
      <c r="Q481" s="101">
        <f>IF(EMPLOYEE_MASTER!AR481="Yes",LK_AllowanceRates!$B$18,0)</f>
        <v>0</v>
      </c>
      <c r="R481" s="101">
        <f>IF(EMPLOYEE_MASTER!AC481="Yes",LK_AllowanceRates!$B$19,0)</f>
        <v>0</v>
      </c>
      <c r="S481" s="101">
        <f>IF(EMPLOYEE_MASTER!AA481="Yes",L481*LK_AllowanceRates!$B$20,0)</f>
        <v>0</v>
      </c>
      <c r="T481" s="101">
        <f>IF(EMPLOYEE_MASTER!AB481="Yes",LK_AllowanceRates!$B$21,0)</f>
        <v>0</v>
      </c>
      <c r="U481" s="101">
        <f>IF(EMPLOYEE_MASTER!P481&gt;=6,LK_AllowanceRates!$B$22,0)</f>
        <v>0</v>
      </c>
      <c r="V481" s="101">
        <f>IF(EMPLOYEE_MASTER!AO481="Yes",LK_AllowanceRates!$B$23,0)</f>
        <v>0</v>
      </c>
      <c r="W481" s="101">
        <f>EMPLOYEE_MASTER!AP481*LK_AllowanceRates!$B$24</f>
        <v>0</v>
      </c>
      <c r="X481" s="101">
        <v>0</v>
      </c>
      <c r="Y481" s="102">
        <v>0</v>
      </c>
      <c r="Z481" s="102">
        <v>0</v>
      </c>
      <c r="AA481" s="102">
        <v>0</v>
      </c>
      <c r="AB481" s="103">
        <f t="shared" ca="1" si="58"/>
        <v>1650000</v>
      </c>
      <c r="AC481" s="104">
        <f t="shared" ca="1" si="59"/>
        <v>4330000</v>
      </c>
      <c r="AD481" s="105">
        <f>ROUND(L481*LK_AllowanceRates!$B$25/100,0)</f>
        <v>147400</v>
      </c>
      <c r="AE481" s="106">
        <f t="shared" ca="1" si="60"/>
        <v>4182600</v>
      </c>
      <c r="AF481" s="106">
        <f t="shared" ca="1" si="61"/>
        <v>144130</v>
      </c>
      <c r="AG481" s="107">
        <v>0</v>
      </c>
      <c r="AH481" s="107">
        <v>0</v>
      </c>
      <c r="AI481" s="108">
        <f t="shared" ca="1" si="62"/>
        <v>291530</v>
      </c>
      <c r="AJ481" s="109">
        <f t="shared" ca="1" si="63"/>
        <v>4038470</v>
      </c>
    </row>
    <row r="482" spans="1:36" ht="15" customHeight="1" x14ac:dyDescent="0.3">
      <c r="A482" s="98" t="str">
        <f>EMPLOYEE_MASTER!A482</f>
        <v>LAO00479</v>
      </c>
      <c r="B482" s="98" t="str">
        <f>EMPLOYEE_MASTER!C482</f>
        <v>Nongkham</v>
      </c>
      <c r="C482" s="98" t="str">
        <f>EMPLOYEE_MASTER!D482</f>
        <v>Vilayphitak</v>
      </c>
      <c r="D482" s="98" t="str">
        <f>EMPLOYEE_MASTER!T482</f>
        <v>Ministry of Education and Sports (MoES)</v>
      </c>
      <c r="E482" s="98" t="str">
        <f>EMPLOYEE_MASTER!M482</f>
        <v>School Principal</v>
      </c>
      <c r="F482" s="98" t="str">
        <f>EMPLOYEE_MASTER!Z482</f>
        <v>Teacher</v>
      </c>
      <c r="G482" s="99">
        <f>EMPLOYEE_MASTER!P482</f>
        <v>3</v>
      </c>
      <c r="H482" s="99">
        <f>EMPLOYEE_MASTER!Q482</f>
        <v>1</v>
      </c>
      <c r="I482" s="100" t="str">
        <f t="shared" si="56"/>
        <v>G03-S01</v>
      </c>
      <c r="J482" s="100">
        <f>IFERROR(VLOOKUP(I482,LK_GradeStep!$C$4:$D$85,2,0),0)</f>
        <v>276</v>
      </c>
      <c r="K482" s="100">
        <f>IFERROR(VLOOKUP(I482,LK_GradeStep!$C$4:$E$85,3,0),10000)</f>
        <v>10000</v>
      </c>
      <c r="L482" s="100">
        <f t="shared" si="57"/>
        <v>2760000</v>
      </c>
      <c r="M482" s="101">
        <f>IFERROR(VLOOKUP(EMPLOYEE_MASTER!AQ482,LK_AllowanceRates!$A$5:$B$11,2,0),0)</f>
        <v>900000</v>
      </c>
      <c r="N482" s="101">
        <f ca="1">IFERROR(IF(EMPLOYEE_MASTER!J482&lt;=5,  EMPLOYEE_MASTER!J482*LK_AllowanceRates!$B$12,IF(EMPLOYEE_MASTER!J482&lt;=15, EMPLOYEE_MASTER!J482*LK_AllowanceRates!$B$13,IF(EMPLOYEE_MASTER!J482&lt;=25, EMPLOYEE_MASTER!J482*LK_AllowanceRates!$B$14,EMPLOYEE_MASTER!J482*LK_AllowanceRates!$B$15))),0)</f>
        <v>1040000</v>
      </c>
      <c r="O482" s="101">
        <f>IF(EMPLOYEE_MASTER!AS482="Teaching",L482*LK_AllowanceRates!$B$16,0)</f>
        <v>552000</v>
      </c>
      <c r="P482" s="101">
        <f>IF(EMPLOYEE_MASTER!AS482="Medical",LK_AllowanceRates!$B$17,0)</f>
        <v>0</v>
      </c>
      <c r="Q482" s="101">
        <f>IF(EMPLOYEE_MASTER!AR482="Yes",LK_AllowanceRates!$B$18,0)</f>
        <v>0</v>
      </c>
      <c r="R482" s="101">
        <f>IF(EMPLOYEE_MASTER!AC482="Yes",LK_AllowanceRates!$B$19,0)</f>
        <v>1000000</v>
      </c>
      <c r="S482" s="101">
        <f>IF(EMPLOYEE_MASTER!AA482="Yes",L482*LK_AllowanceRates!$B$20,0)</f>
        <v>690000</v>
      </c>
      <c r="T482" s="101">
        <f>IF(EMPLOYEE_MASTER!AB482="Yes",LK_AllowanceRates!$B$21,0)</f>
        <v>0</v>
      </c>
      <c r="U482" s="101">
        <f>IF(EMPLOYEE_MASTER!P482&gt;=6,LK_AllowanceRates!$B$22,0)</f>
        <v>0</v>
      </c>
      <c r="V482" s="101">
        <f>IF(EMPLOYEE_MASTER!AO482="Yes",LK_AllowanceRates!$B$23,0)</f>
        <v>0</v>
      </c>
      <c r="W482" s="101">
        <f>EMPLOYEE_MASTER!AP482*LK_AllowanceRates!$B$24</f>
        <v>0</v>
      </c>
      <c r="X482" s="101">
        <v>0</v>
      </c>
      <c r="Y482" s="102">
        <v>0</v>
      </c>
      <c r="Z482" s="102">
        <v>0</v>
      </c>
      <c r="AA482" s="102">
        <v>0</v>
      </c>
      <c r="AB482" s="103">
        <f t="shared" ca="1" si="58"/>
        <v>4182000</v>
      </c>
      <c r="AC482" s="104">
        <f t="shared" ca="1" si="59"/>
        <v>6942000</v>
      </c>
      <c r="AD482" s="105">
        <f>ROUND(L482*LK_AllowanceRates!$B$25/100,0)</f>
        <v>151800</v>
      </c>
      <c r="AE482" s="106">
        <f t="shared" ca="1" si="60"/>
        <v>6790200</v>
      </c>
      <c r="AF482" s="106">
        <f t="shared" ca="1" si="61"/>
        <v>364020</v>
      </c>
      <c r="AG482" s="107">
        <v>0</v>
      </c>
      <c r="AH482" s="107">
        <v>0</v>
      </c>
      <c r="AI482" s="108">
        <f t="shared" ca="1" si="62"/>
        <v>515820</v>
      </c>
      <c r="AJ482" s="109">
        <f t="shared" ca="1" si="63"/>
        <v>6426180</v>
      </c>
    </row>
    <row r="483" spans="1:36" ht="15" customHeight="1" x14ac:dyDescent="0.3">
      <c r="A483" s="98" t="str">
        <f>EMPLOYEE_MASTER!A483</f>
        <v>LAO00480</v>
      </c>
      <c r="B483" s="98" t="str">
        <f>EMPLOYEE_MASTER!C483</f>
        <v>Somchit</v>
      </c>
      <c r="C483" s="98" t="str">
        <f>EMPLOYEE_MASTER!D483</f>
        <v>Sisouvath</v>
      </c>
      <c r="D483" s="98" t="str">
        <f>EMPLOYEE_MASTER!T483</f>
        <v>Ministry of Education and Sports (MoES)</v>
      </c>
      <c r="E483" s="98" t="str">
        <f>EMPLOYEE_MASTER!M483</f>
        <v>Associate Professor</v>
      </c>
      <c r="F483" s="98" t="str">
        <f>EMPLOYEE_MASTER!Z483</f>
        <v>Teacher</v>
      </c>
      <c r="G483" s="99">
        <f>EMPLOYEE_MASTER!P483</f>
        <v>5</v>
      </c>
      <c r="H483" s="99">
        <f>EMPLOYEE_MASTER!Q483</f>
        <v>1</v>
      </c>
      <c r="I483" s="100" t="str">
        <f t="shared" si="56"/>
        <v>G05-S01</v>
      </c>
      <c r="J483" s="100">
        <f>IFERROR(VLOOKUP(I483,LK_GradeStep!$C$4:$D$85,2,0),0)</f>
        <v>308</v>
      </c>
      <c r="K483" s="100">
        <f>IFERROR(VLOOKUP(I483,LK_GradeStep!$C$4:$E$85,3,0),10000)</f>
        <v>10000</v>
      </c>
      <c r="L483" s="100">
        <f t="shared" si="57"/>
        <v>3080000</v>
      </c>
      <c r="M483" s="101">
        <f>IFERROR(VLOOKUP(EMPLOYEE_MASTER!AQ483,LK_AllowanceRates!$A$5:$B$11,2,0),0)</f>
        <v>900000</v>
      </c>
      <c r="N483" s="101">
        <f ca="1">IFERROR(IF(EMPLOYEE_MASTER!J483&lt;=5,  EMPLOYEE_MASTER!J483*LK_AllowanceRates!$B$12,IF(EMPLOYEE_MASTER!J483&lt;=15, EMPLOYEE_MASTER!J483*LK_AllowanceRates!$B$13,IF(EMPLOYEE_MASTER!J483&lt;=25, EMPLOYEE_MASTER!J483*LK_AllowanceRates!$B$14,EMPLOYEE_MASTER!J483*LK_AllowanceRates!$B$15))),0)</f>
        <v>480000</v>
      </c>
      <c r="O483" s="101">
        <f>IF(EMPLOYEE_MASTER!AS483="Teaching",L483*LK_AllowanceRates!$B$16,0)</f>
        <v>616000</v>
      </c>
      <c r="P483" s="101">
        <f>IF(EMPLOYEE_MASTER!AS483="Medical",LK_AllowanceRates!$B$17,0)</f>
        <v>0</v>
      </c>
      <c r="Q483" s="101">
        <f>IF(EMPLOYEE_MASTER!AR483="Yes",LK_AllowanceRates!$B$18,0)</f>
        <v>0</v>
      </c>
      <c r="R483" s="101">
        <f>IF(EMPLOYEE_MASTER!AC483="Yes",LK_AllowanceRates!$B$19,0)</f>
        <v>0</v>
      </c>
      <c r="S483" s="101">
        <f>IF(EMPLOYEE_MASTER!AA483="Yes",L483*LK_AllowanceRates!$B$20,0)</f>
        <v>0</v>
      </c>
      <c r="T483" s="101">
        <f>IF(EMPLOYEE_MASTER!AB483="Yes",LK_AllowanceRates!$B$21,0)</f>
        <v>0</v>
      </c>
      <c r="U483" s="101">
        <f>IF(EMPLOYEE_MASTER!P483&gt;=6,LK_AllowanceRates!$B$22,0)</f>
        <v>0</v>
      </c>
      <c r="V483" s="101">
        <f>IF(EMPLOYEE_MASTER!AO483="Yes",LK_AllowanceRates!$B$23,0)</f>
        <v>200000</v>
      </c>
      <c r="W483" s="101">
        <f>EMPLOYEE_MASTER!AP483*LK_AllowanceRates!$B$24</f>
        <v>600000</v>
      </c>
      <c r="X483" s="101">
        <v>0</v>
      </c>
      <c r="Y483" s="102">
        <v>0</v>
      </c>
      <c r="Z483" s="102">
        <v>0</v>
      </c>
      <c r="AA483" s="102">
        <v>0</v>
      </c>
      <c r="AB483" s="103">
        <f t="shared" ca="1" si="58"/>
        <v>2796000</v>
      </c>
      <c r="AC483" s="104">
        <f t="shared" ca="1" si="59"/>
        <v>5876000</v>
      </c>
      <c r="AD483" s="105">
        <f>ROUND(L483*LK_AllowanceRates!$B$25/100,0)</f>
        <v>169400</v>
      </c>
      <c r="AE483" s="106">
        <f t="shared" ca="1" si="60"/>
        <v>5706600</v>
      </c>
      <c r="AF483" s="106">
        <f t="shared" ca="1" si="61"/>
        <v>255660</v>
      </c>
      <c r="AG483" s="107">
        <v>0</v>
      </c>
      <c r="AH483" s="107">
        <v>0</v>
      </c>
      <c r="AI483" s="108">
        <f t="shared" ca="1" si="62"/>
        <v>425060</v>
      </c>
      <c r="AJ483" s="109">
        <f t="shared" ca="1" si="63"/>
        <v>5450940</v>
      </c>
    </row>
    <row r="484" spans="1:36" ht="15" customHeight="1" x14ac:dyDescent="0.3">
      <c r="A484" s="98" t="str">
        <f>EMPLOYEE_MASTER!A484</f>
        <v>LAO00481</v>
      </c>
      <c r="B484" s="98" t="str">
        <f>EMPLOYEE_MASTER!C484</f>
        <v>Santisouk</v>
      </c>
      <c r="C484" s="98" t="str">
        <f>EMPLOYEE_MASTER!D484</f>
        <v>Phonemany</v>
      </c>
      <c r="D484" s="98" t="str">
        <f>EMPLOYEE_MASTER!T484</f>
        <v>Ministry of Health (MoH)</v>
      </c>
      <c r="E484" s="98" t="str">
        <f>EMPLOYEE_MASTER!M484</f>
        <v>Laboratory Technician</v>
      </c>
      <c r="F484" s="98" t="str">
        <f>EMPLOYEE_MASTER!Z484</f>
        <v>Medical</v>
      </c>
      <c r="G484" s="99">
        <f>EMPLOYEE_MASTER!P484</f>
        <v>2</v>
      </c>
      <c r="H484" s="99">
        <f>EMPLOYEE_MASTER!Q484</f>
        <v>1</v>
      </c>
      <c r="I484" s="100" t="str">
        <f t="shared" si="56"/>
        <v>G02-S01</v>
      </c>
      <c r="J484" s="100">
        <f>IFERROR(VLOOKUP(I484,LK_GradeStep!$C$4:$D$85,2,0),0)</f>
        <v>268</v>
      </c>
      <c r="K484" s="100">
        <f>IFERROR(VLOOKUP(I484,LK_GradeStep!$C$4:$E$85,3,0),10000)</f>
        <v>10000</v>
      </c>
      <c r="L484" s="100">
        <f t="shared" si="57"/>
        <v>2680000</v>
      </c>
      <c r="M484" s="101">
        <f>IFERROR(VLOOKUP(EMPLOYEE_MASTER!AQ484,LK_AllowanceRates!$A$5:$B$11,2,0),0)</f>
        <v>900000</v>
      </c>
      <c r="N484" s="101">
        <f ca="1">IFERROR(IF(EMPLOYEE_MASTER!J484&lt;=5,  EMPLOYEE_MASTER!J484*LK_AllowanceRates!$B$12,IF(EMPLOYEE_MASTER!J484&lt;=15, EMPLOYEE_MASTER!J484*LK_AllowanceRates!$B$13,IF(EMPLOYEE_MASTER!J484&lt;=25, EMPLOYEE_MASTER!J484*LK_AllowanceRates!$B$14,EMPLOYEE_MASTER!J484*LK_AllowanceRates!$B$15))),0)</f>
        <v>1040000</v>
      </c>
      <c r="O484" s="101">
        <f>IF(EMPLOYEE_MASTER!AS484="Teaching",L484*LK_AllowanceRates!$B$16,0)</f>
        <v>0</v>
      </c>
      <c r="P484" s="101">
        <f>IF(EMPLOYEE_MASTER!AS484="Medical",LK_AllowanceRates!$B$17,0)</f>
        <v>500000</v>
      </c>
      <c r="Q484" s="101">
        <f>IF(EMPLOYEE_MASTER!AR484="Yes",LK_AllowanceRates!$B$18,0)</f>
        <v>0</v>
      </c>
      <c r="R484" s="101">
        <f>IF(EMPLOYEE_MASTER!AC484="Yes",LK_AllowanceRates!$B$19,0)</f>
        <v>1000000</v>
      </c>
      <c r="S484" s="101">
        <f>IF(EMPLOYEE_MASTER!AA484="Yes",L484*LK_AllowanceRates!$B$20,0)</f>
        <v>670000</v>
      </c>
      <c r="T484" s="101">
        <f>IF(EMPLOYEE_MASTER!AB484="Yes",LK_AllowanceRates!$B$21,0)</f>
        <v>0</v>
      </c>
      <c r="U484" s="101">
        <f>IF(EMPLOYEE_MASTER!P484&gt;=6,LK_AllowanceRates!$B$22,0)</f>
        <v>0</v>
      </c>
      <c r="V484" s="101">
        <f>IF(EMPLOYEE_MASTER!AO484="Yes",LK_AllowanceRates!$B$23,0)</f>
        <v>200000</v>
      </c>
      <c r="W484" s="101">
        <f>EMPLOYEE_MASTER!AP484*LK_AllowanceRates!$B$24</f>
        <v>600000</v>
      </c>
      <c r="X484" s="101">
        <v>0</v>
      </c>
      <c r="Y484" s="102">
        <v>0</v>
      </c>
      <c r="Z484" s="102">
        <v>0</v>
      </c>
      <c r="AA484" s="102">
        <v>0</v>
      </c>
      <c r="AB484" s="103">
        <f t="shared" ca="1" si="58"/>
        <v>4910000</v>
      </c>
      <c r="AC484" s="104">
        <f t="shared" ca="1" si="59"/>
        <v>7590000</v>
      </c>
      <c r="AD484" s="105">
        <f>ROUND(L484*LK_AllowanceRates!$B$25/100,0)</f>
        <v>147400</v>
      </c>
      <c r="AE484" s="106">
        <f t="shared" ca="1" si="60"/>
        <v>7442600</v>
      </c>
      <c r="AF484" s="106">
        <f t="shared" ca="1" si="61"/>
        <v>429260</v>
      </c>
      <c r="AG484" s="107">
        <v>0</v>
      </c>
      <c r="AH484" s="107">
        <v>0</v>
      </c>
      <c r="AI484" s="108">
        <f t="shared" ca="1" si="62"/>
        <v>576660</v>
      </c>
      <c r="AJ484" s="109">
        <f t="shared" ca="1" si="63"/>
        <v>7013340</v>
      </c>
    </row>
    <row r="485" spans="1:36" ht="15" customHeight="1" x14ac:dyDescent="0.3">
      <c r="A485" s="98" t="str">
        <f>EMPLOYEE_MASTER!A485</f>
        <v>LAO00482</v>
      </c>
      <c r="B485" s="98" t="str">
        <f>EMPLOYEE_MASTER!C485</f>
        <v>Sengphet</v>
      </c>
      <c r="C485" s="98" t="str">
        <f>EMPLOYEE_MASTER!D485</f>
        <v>Phetsamone</v>
      </c>
      <c r="D485" s="98" t="str">
        <f>EMPLOYEE_MASTER!T485</f>
        <v>Ministry of Finance (MoF)</v>
      </c>
      <c r="E485" s="98" t="str">
        <f>EMPLOYEE_MASTER!M485</f>
        <v>Accountant</v>
      </c>
      <c r="F485" s="98" t="str">
        <f>EMPLOYEE_MASTER!Z485</f>
        <v>Finance</v>
      </c>
      <c r="G485" s="99">
        <f>EMPLOYEE_MASTER!P485</f>
        <v>3</v>
      </c>
      <c r="H485" s="99">
        <f>EMPLOYEE_MASTER!Q485</f>
        <v>3</v>
      </c>
      <c r="I485" s="100" t="str">
        <f t="shared" si="56"/>
        <v>G03-S03</v>
      </c>
      <c r="J485" s="100">
        <f>IFERROR(VLOOKUP(I485,LK_GradeStep!$C$4:$D$85,2,0),0)</f>
        <v>278</v>
      </c>
      <c r="K485" s="100">
        <f>IFERROR(VLOOKUP(I485,LK_GradeStep!$C$4:$E$85,3,0),10000)</f>
        <v>10000</v>
      </c>
      <c r="L485" s="100">
        <f t="shared" si="57"/>
        <v>2780000</v>
      </c>
      <c r="M485" s="101">
        <f>IFERROR(VLOOKUP(EMPLOYEE_MASTER!AQ485,LK_AllowanceRates!$A$5:$B$11,2,0),0)</f>
        <v>900000</v>
      </c>
      <c r="N485" s="101">
        <f ca="1">IFERROR(IF(EMPLOYEE_MASTER!J485&lt;=5,  EMPLOYEE_MASTER!J485*LK_AllowanceRates!$B$12,IF(EMPLOYEE_MASTER!J485&lt;=15, EMPLOYEE_MASTER!J485*LK_AllowanceRates!$B$13,IF(EMPLOYEE_MASTER!J485&lt;=25, EMPLOYEE_MASTER!J485*LK_AllowanceRates!$B$14,EMPLOYEE_MASTER!J485*LK_AllowanceRates!$B$15))),0)</f>
        <v>630000</v>
      </c>
      <c r="O485" s="101">
        <f>IF(EMPLOYEE_MASTER!AS485="Teaching",L485*LK_AllowanceRates!$B$16,0)</f>
        <v>0</v>
      </c>
      <c r="P485" s="101">
        <f>IF(EMPLOYEE_MASTER!AS485="Medical",LK_AllowanceRates!$B$17,0)</f>
        <v>0</v>
      </c>
      <c r="Q485" s="101">
        <f>IF(EMPLOYEE_MASTER!AR485="Yes",LK_AllowanceRates!$B$18,0)</f>
        <v>0</v>
      </c>
      <c r="R485" s="101">
        <f>IF(EMPLOYEE_MASTER!AC485="Yes",LK_AllowanceRates!$B$19,0)</f>
        <v>0</v>
      </c>
      <c r="S485" s="101">
        <f>IF(EMPLOYEE_MASTER!AA485="Yes",L485*LK_AllowanceRates!$B$20,0)</f>
        <v>0</v>
      </c>
      <c r="T485" s="101">
        <f>IF(EMPLOYEE_MASTER!AB485="Yes",LK_AllowanceRates!$B$21,0)</f>
        <v>0</v>
      </c>
      <c r="U485" s="101">
        <f>IF(EMPLOYEE_MASTER!P485&gt;=6,LK_AllowanceRates!$B$22,0)</f>
        <v>0</v>
      </c>
      <c r="V485" s="101">
        <f>IF(EMPLOYEE_MASTER!AO485="Yes",LK_AllowanceRates!$B$23,0)</f>
        <v>200000</v>
      </c>
      <c r="W485" s="101">
        <f>EMPLOYEE_MASTER!AP485*LK_AllowanceRates!$B$24</f>
        <v>600000</v>
      </c>
      <c r="X485" s="101">
        <v>0</v>
      </c>
      <c r="Y485" s="102">
        <v>0</v>
      </c>
      <c r="Z485" s="102">
        <v>0</v>
      </c>
      <c r="AA485" s="102">
        <v>0</v>
      </c>
      <c r="AB485" s="103">
        <f t="shared" ca="1" si="58"/>
        <v>2330000</v>
      </c>
      <c r="AC485" s="104">
        <f t="shared" ca="1" si="59"/>
        <v>5110000</v>
      </c>
      <c r="AD485" s="105">
        <f>ROUND(L485*LK_AllowanceRates!$B$25/100,0)</f>
        <v>152900</v>
      </c>
      <c r="AE485" s="106">
        <f t="shared" ca="1" si="60"/>
        <v>4957100</v>
      </c>
      <c r="AF485" s="106">
        <f t="shared" ca="1" si="61"/>
        <v>182855</v>
      </c>
      <c r="AG485" s="107">
        <v>0</v>
      </c>
      <c r="AH485" s="107">
        <v>0</v>
      </c>
      <c r="AI485" s="108">
        <f t="shared" ca="1" si="62"/>
        <v>335755</v>
      </c>
      <c r="AJ485" s="109">
        <f t="shared" ca="1" si="63"/>
        <v>4774245</v>
      </c>
    </row>
    <row r="486" spans="1:36" ht="15" customHeight="1" x14ac:dyDescent="0.3">
      <c r="A486" s="98" t="str">
        <f>EMPLOYEE_MASTER!A486</f>
        <v>LAO00483</v>
      </c>
      <c r="B486" s="98" t="str">
        <f>EMPLOYEE_MASTER!C486</f>
        <v>Phonesiri</v>
      </c>
      <c r="C486" s="98" t="str">
        <f>EMPLOYEE_MASTER!D486</f>
        <v>Kheudkham</v>
      </c>
      <c r="D486" s="98" t="str">
        <f>EMPLOYEE_MASTER!T486</f>
        <v>Ministry of Finance (MoF)</v>
      </c>
      <c r="E486" s="98" t="str">
        <f>EMPLOYEE_MASTER!M486</f>
        <v>Division Chief</v>
      </c>
      <c r="F486" s="98" t="str">
        <f>EMPLOYEE_MASTER!Z486</f>
        <v>Finance</v>
      </c>
      <c r="G486" s="99">
        <f>EMPLOYEE_MASTER!P486</f>
        <v>4</v>
      </c>
      <c r="H486" s="99">
        <f>EMPLOYEE_MASTER!Q486</f>
        <v>1</v>
      </c>
      <c r="I486" s="100" t="str">
        <f t="shared" si="56"/>
        <v>G04-S01</v>
      </c>
      <c r="J486" s="100">
        <f>IFERROR(VLOOKUP(I486,LK_GradeStep!$C$4:$D$85,2,0),0)</f>
        <v>286</v>
      </c>
      <c r="K486" s="100">
        <f>IFERROR(VLOOKUP(I486,LK_GradeStep!$C$4:$E$85,3,0),10000)</f>
        <v>10000</v>
      </c>
      <c r="L486" s="100">
        <f t="shared" si="57"/>
        <v>2860000</v>
      </c>
      <c r="M486" s="101">
        <f>IFERROR(VLOOKUP(EMPLOYEE_MASTER!AQ486,LK_AllowanceRates!$A$5:$B$11,2,0),0)</f>
        <v>1900000</v>
      </c>
      <c r="N486" s="101">
        <f ca="1">IFERROR(IF(EMPLOYEE_MASTER!J486&lt;=5,  EMPLOYEE_MASTER!J486*LK_AllowanceRates!$B$12,IF(EMPLOYEE_MASTER!J486&lt;=15, EMPLOYEE_MASTER!J486*LK_AllowanceRates!$B$13,IF(EMPLOYEE_MASTER!J486&lt;=25, EMPLOYEE_MASTER!J486*LK_AllowanceRates!$B$14,EMPLOYEE_MASTER!J486*LK_AllowanceRates!$B$15))),0)</f>
        <v>1480000</v>
      </c>
      <c r="O486" s="101">
        <f>IF(EMPLOYEE_MASTER!AS486="Teaching",L486*LK_AllowanceRates!$B$16,0)</f>
        <v>0</v>
      </c>
      <c r="P486" s="101">
        <f>IF(EMPLOYEE_MASTER!AS486="Medical",LK_AllowanceRates!$B$17,0)</f>
        <v>0</v>
      </c>
      <c r="Q486" s="101">
        <f>IF(EMPLOYEE_MASTER!AR486="Yes",LK_AllowanceRates!$B$18,0)</f>
        <v>0</v>
      </c>
      <c r="R486" s="101">
        <f>IF(EMPLOYEE_MASTER!AC486="Yes",LK_AllowanceRates!$B$19,0)</f>
        <v>1000000</v>
      </c>
      <c r="S486" s="101">
        <f>IF(EMPLOYEE_MASTER!AA486="Yes",L486*LK_AllowanceRates!$B$20,0)</f>
        <v>715000</v>
      </c>
      <c r="T486" s="101">
        <f>IF(EMPLOYEE_MASTER!AB486="Yes",LK_AllowanceRates!$B$21,0)</f>
        <v>0</v>
      </c>
      <c r="U486" s="101">
        <f>IF(EMPLOYEE_MASTER!P486&gt;=6,LK_AllowanceRates!$B$22,0)</f>
        <v>0</v>
      </c>
      <c r="V486" s="101">
        <f>IF(EMPLOYEE_MASTER!AO486="Yes",LK_AllowanceRates!$B$23,0)</f>
        <v>0</v>
      </c>
      <c r="W486" s="101">
        <f>EMPLOYEE_MASTER!AP486*LK_AllowanceRates!$B$24</f>
        <v>0</v>
      </c>
      <c r="X486" s="101">
        <v>0</v>
      </c>
      <c r="Y486" s="102">
        <v>0</v>
      </c>
      <c r="Z486" s="102">
        <v>0</v>
      </c>
      <c r="AA486" s="102">
        <v>0</v>
      </c>
      <c r="AB486" s="103">
        <f t="shared" ca="1" si="58"/>
        <v>5095000</v>
      </c>
      <c r="AC486" s="104">
        <f t="shared" ca="1" si="59"/>
        <v>7955000</v>
      </c>
      <c r="AD486" s="105">
        <f>ROUND(L486*LK_AllowanceRates!$B$25/100,0)</f>
        <v>157300</v>
      </c>
      <c r="AE486" s="106">
        <f t="shared" ca="1" si="60"/>
        <v>7797700</v>
      </c>
      <c r="AF486" s="106">
        <f t="shared" ca="1" si="61"/>
        <v>464770</v>
      </c>
      <c r="AG486" s="107">
        <v>0</v>
      </c>
      <c r="AH486" s="107">
        <v>0</v>
      </c>
      <c r="AI486" s="108">
        <f t="shared" ca="1" si="62"/>
        <v>622070</v>
      </c>
      <c r="AJ486" s="109">
        <f t="shared" ca="1" si="63"/>
        <v>7332930</v>
      </c>
    </row>
    <row r="487" spans="1:36" ht="15" customHeight="1" x14ac:dyDescent="0.3">
      <c r="A487" s="98" t="str">
        <f>EMPLOYEE_MASTER!A487</f>
        <v>LAO00484</v>
      </c>
      <c r="B487" s="98" t="str">
        <f>EMPLOYEE_MASTER!C487</f>
        <v>Phetsavanh</v>
      </c>
      <c r="C487" s="98" t="str">
        <f>EMPLOYEE_MASTER!D487</f>
        <v>Kheudkham</v>
      </c>
      <c r="D487" s="98" t="str">
        <f>EMPLOYEE_MASTER!T487</f>
        <v>Ministry of Public Works &amp; Transport (MPWT)</v>
      </c>
      <c r="E487" s="98" t="str">
        <f>EMPLOYEE_MASTER!M487</f>
        <v>Project Officer</v>
      </c>
      <c r="F487" s="98" t="str">
        <f>EMPLOYEE_MASTER!Z487</f>
        <v>Technical</v>
      </c>
      <c r="G487" s="99">
        <f>EMPLOYEE_MASTER!P487</f>
        <v>4</v>
      </c>
      <c r="H487" s="99">
        <f>EMPLOYEE_MASTER!Q487</f>
        <v>13</v>
      </c>
      <c r="I487" s="100" t="str">
        <f t="shared" si="56"/>
        <v>G04-S13</v>
      </c>
      <c r="J487" s="100">
        <f>IFERROR(VLOOKUP(I487,LK_GradeStep!$C$4:$D$85,2,0),0)</f>
        <v>328</v>
      </c>
      <c r="K487" s="100">
        <f>IFERROR(VLOOKUP(I487,LK_GradeStep!$C$4:$E$85,3,0),10000)</f>
        <v>10000</v>
      </c>
      <c r="L487" s="100">
        <f t="shared" si="57"/>
        <v>3280000</v>
      </c>
      <c r="M487" s="101">
        <f>IFERROR(VLOOKUP(EMPLOYEE_MASTER!AQ487,LK_AllowanceRates!$A$5:$B$11,2,0),0)</f>
        <v>900000</v>
      </c>
      <c r="N487" s="101">
        <f ca="1">IFERROR(IF(EMPLOYEE_MASTER!J487&lt;=5,  EMPLOYEE_MASTER!J487*LK_AllowanceRates!$B$12,IF(EMPLOYEE_MASTER!J487&lt;=15, EMPLOYEE_MASTER!J487*LK_AllowanceRates!$B$13,IF(EMPLOYEE_MASTER!J487&lt;=25, EMPLOYEE_MASTER!J487*LK_AllowanceRates!$B$14,EMPLOYEE_MASTER!J487*LK_AllowanceRates!$B$15))),0)</f>
        <v>10000</v>
      </c>
      <c r="O487" s="101">
        <f>IF(EMPLOYEE_MASTER!AS487="Teaching",L487*LK_AllowanceRates!$B$16,0)</f>
        <v>0</v>
      </c>
      <c r="P487" s="101">
        <f>IF(EMPLOYEE_MASTER!AS487="Medical",LK_AllowanceRates!$B$17,0)</f>
        <v>0</v>
      </c>
      <c r="Q487" s="101">
        <f>IF(EMPLOYEE_MASTER!AR487="Yes",LK_AllowanceRates!$B$18,0)</f>
        <v>0</v>
      </c>
      <c r="R487" s="101">
        <f>IF(EMPLOYEE_MASTER!AC487="Yes",LK_AllowanceRates!$B$19,0)</f>
        <v>1000000</v>
      </c>
      <c r="S487" s="101">
        <f>IF(EMPLOYEE_MASTER!AA487="Yes",L487*LK_AllowanceRates!$B$20,0)</f>
        <v>0</v>
      </c>
      <c r="T487" s="101">
        <f>IF(EMPLOYEE_MASTER!AB487="Yes",LK_AllowanceRates!$B$21,0)</f>
        <v>0</v>
      </c>
      <c r="U487" s="101">
        <f>IF(EMPLOYEE_MASTER!P487&gt;=6,LK_AllowanceRates!$B$22,0)</f>
        <v>0</v>
      </c>
      <c r="V487" s="101">
        <f>IF(EMPLOYEE_MASTER!AO487="Yes",LK_AllowanceRates!$B$23,0)</f>
        <v>200000</v>
      </c>
      <c r="W487" s="101">
        <f>EMPLOYEE_MASTER!AP487*LK_AllowanceRates!$B$24</f>
        <v>400000</v>
      </c>
      <c r="X487" s="101">
        <v>0</v>
      </c>
      <c r="Y487" s="102">
        <v>0</v>
      </c>
      <c r="Z487" s="102">
        <v>0</v>
      </c>
      <c r="AA487" s="102">
        <v>0</v>
      </c>
      <c r="AB487" s="103">
        <f t="shared" ca="1" si="58"/>
        <v>2510000</v>
      </c>
      <c r="AC487" s="104">
        <f t="shared" ca="1" si="59"/>
        <v>5790000</v>
      </c>
      <c r="AD487" s="105">
        <f>ROUND(L487*LK_AllowanceRates!$B$25/100,0)</f>
        <v>180400</v>
      </c>
      <c r="AE487" s="106">
        <f t="shared" ca="1" si="60"/>
        <v>5609600</v>
      </c>
      <c r="AF487" s="106">
        <f t="shared" ca="1" si="61"/>
        <v>245960</v>
      </c>
      <c r="AG487" s="107">
        <v>0</v>
      </c>
      <c r="AH487" s="107">
        <v>0</v>
      </c>
      <c r="AI487" s="108">
        <f t="shared" ca="1" si="62"/>
        <v>426360</v>
      </c>
      <c r="AJ487" s="109">
        <f t="shared" ca="1" si="63"/>
        <v>5363640</v>
      </c>
    </row>
    <row r="488" spans="1:36" ht="15" customHeight="1" x14ac:dyDescent="0.3">
      <c r="A488" s="98" t="str">
        <f>EMPLOYEE_MASTER!A488</f>
        <v>LAO00485</v>
      </c>
      <c r="B488" s="98" t="str">
        <f>EMPLOYEE_MASTER!C488</f>
        <v>Siphone</v>
      </c>
      <c r="C488" s="98" t="str">
        <f>EMPLOYEE_MASTER!D488</f>
        <v>Vilayphitak</v>
      </c>
      <c r="D488" s="98" t="str">
        <f>EMPLOYEE_MASTER!T488</f>
        <v>Ministry of Natural Resources &amp; Environment (MoNRE)</v>
      </c>
      <c r="E488" s="98" t="str">
        <f>EMPLOYEE_MASTER!M488</f>
        <v>Senior Engineer</v>
      </c>
      <c r="F488" s="98" t="str">
        <f>EMPLOYEE_MASTER!Z488</f>
        <v>Technical</v>
      </c>
      <c r="G488" s="99">
        <f>EMPLOYEE_MASTER!P488</f>
        <v>4</v>
      </c>
      <c r="H488" s="99">
        <f>EMPLOYEE_MASTER!Q488</f>
        <v>13</v>
      </c>
      <c r="I488" s="100" t="str">
        <f t="shared" si="56"/>
        <v>G04-S13</v>
      </c>
      <c r="J488" s="100">
        <f>IFERROR(VLOOKUP(I488,LK_GradeStep!$C$4:$D$85,2,0),0)</f>
        <v>328</v>
      </c>
      <c r="K488" s="100">
        <f>IFERROR(VLOOKUP(I488,LK_GradeStep!$C$4:$E$85,3,0),10000)</f>
        <v>10000</v>
      </c>
      <c r="L488" s="100">
        <f t="shared" si="57"/>
        <v>3280000</v>
      </c>
      <c r="M488" s="101">
        <f>IFERROR(VLOOKUP(EMPLOYEE_MASTER!AQ488,LK_AllowanceRates!$A$5:$B$11,2,0),0)</f>
        <v>900000</v>
      </c>
      <c r="N488" s="101">
        <f ca="1">IFERROR(IF(EMPLOYEE_MASTER!J488&lt;=5,  EMPLOYEE_MASTER!J488*LK_AllowanceRates!$B$12,IF(EMPLOYEE_MASTER!J488&lt;=15, EMPLOYEE_MASTER!J488*LK_AllowanceRates!$B$13,IF(EMPLOYEE_MASTER!J488&lt;=25, EMPLOYEE_MASTER!J488*LK_AllowanceRates!$B$14,EMPLOYEE_MASTER!J488*LK_AllowanceRates!$B$15))),0)</f>
        <v>20000</v>
      </c>
      <c r="O488" s="101">
        <f>IF(EMPLOYEE_MASTER!AS488="Teaching",L488*LK_AllowanceRates!$B$16,0)</f>
        <v>0</v>
      </c>
      <c r="P488" s="101">
        <f>IF(EMPLOYEE_MASTER!AS488="Medical",LK_AllowanceRates!$B$17,0)</f>
        <v>0</v>
      </c>
      <c r="Q488" s="101">
        <f>IF(EMPLOYEE_MASTER!AR488="Yes",LK_AllowanceRates!$B$18,0)</f>
        <v>0</v>
      </c>
      <c r="R488" s="101">
        <f>IF(EMPLOYEE_MASTER!AC488="Yes",LK_AllowanceRates!$B$19,0)</f>
        <v>0</v>
      </c>
      <c r="S488" s="101">
        <f>IF(EMPLOYEE_MASTER!AA488="Yes",L488*LK_AllowanceRates!$B$20,0)</f>
        <v>0</v>
      </c>
      <c r="T488" s="101">
        <f>IF(EMPLOYEE_MASTER!AB488="Yes",LK_AllowanceRates!$B$21,0)</f>
        <v>0</v>
      </c>
      <c r="U488" s="101">
        <f>IF(EMPLOYEE_MASTER!P488&gt;=6,LK_AllowanceRates!$B$22,0)</f>
        <v>0</v>
      </c>
      <c r="V488" s="101">
        <f>IF(EMPLOYEE_MASTER!AO488="Yes",LK_AllowanceRates!$B$23,0)</f>
        <v>200000</v>
      </c>
      <c r="W488" s="101">
        <f>EMPLOYEE_MASTER!AP488*LK_AllowanceRates!$B$24</f>
        <v>400000</v>
      </c>
      <c r="X488" s="101">
        <v>0</v>
      </c>
      <c r="Y488" s="102">
        <v>0</v>
      </c>
      <c r="Z488" s="102">
        <v>0</v>
      </c>
      <c r="AA488" s="102">
        <v>0</v>
      </c>
      <c r="AB488" s="103">
        <f t="shared" ca="1" si="58"/>
        <v>1520000</v>
      </c>
      <c r="AC488" s="104">
        <f t="shared" ca="1" si="59"/>
        <v>4800000</v>
      </c>
      <c r="AD488" s="105">
        <f>ROUND(L488*LK_AllowanceRates!$B$25/100,0)</f>
        <v>180400</v>
      </c>
      <c r="AE488" s="106">
        <f t="shared" ca="1" si="60"/>
        <v>4619600</v>
      </c>
      <c r="AF488" s="106">
        <f t="shared" ca="1" si="61"/>
        <v>165980</v>
      </c>
      <c r="AG488" s="107">
        <v>0</v>
      </c>
      <c r="AH488" s="107">
        <v>0</v>
      </c>
      <c r="AI488" s="108">
        <f t="shared" ca="1" si="62"/>
        <v>346380</v>
      </c>
      <c r="AJ488" s="109">
        <f t="shared" ca="1" si="63"/>
        <v>4453620</v>
      </c>
    </row>
    <row r="489" spans="1:36" ht="15" customHeight="1" x14ac:dyDescent="0.3">
      <c r="A489" s="98" t="str">
        <f>EMPLOYEE_MASTER!A489</f>
        <v>LAO00486</v>
      </c>
      <c r="B489" s="98" t="str">
        <f>EMPLOYEE_MASTER!C489</f>
        <v>Viengthong</v>
      </c>
      <c r="C489" s="98" t="str">
        <f>EMPLOYEE_MASTER!D489</f>
        <v>Bouphanouvong</v>
      </c>
      <c r="D489" s="98" t="str">
        <f>EMPLOYEE_MASTER!T489</f>
        <v>Ministry of Health (MoH)</v>
      </c>
      <c r="E489" s="98" t="str">
        <f>EMPLOYEE_MASTER!M489</f>
        <v>Dental Officer</v>
      </c>
      <c r="F489" s="98" t="str">
        <f>EMPLOYEE_MASTER!Z489</f>
        <v>Medical</v>
      </c>
      <c r="G489" s="99">
        <f>EMPLOYEE_MASTER!P489</f>
        <v>3</v>
      </c>
      <c r="H489" s="99">
        <f>EMPLOYEE_MASTER!Q489</f>
        <v>2</v>
      </c>
      <c r="I489" s="100" t="str">
        <f t="shared" si="56"/>
        <v>G03-S02</v>
      </c>
      <c r="J489" s="100">
        <f>IFERROR(VLOOKUP(I489,LK_GradeStep!$C$4:$D$85,2,0),0)</f>
        <v>277</v>
      </c>
      <c r="K489" s="100">
        <f>IFERROR(VLOOKUP(I489,LK_GradeStep!$C$4:$E$85,3,0),10000)</f>
        <v>10000</v>
      </c>
      <c r="L489" s="100">
        <f t="shared" si="57"/>
        <v>2770000</v>
      </c>
      <c r="M489" s="101">
        <f>IFERROR(VLOOKUP(EMPLOYEE_MASTER!AQ489,LK_AllowanceRates!$A$5:$B$11,2,0),0)</f>
        <v>900000</v>
      </c>
      <c r="N489" s="101">
        <f ca="1">IFERROR(IF(EMPLOYEE_MASTER!J489&lt;=5,  EMPLOYEE_MASTER!J489*LK_AllowanceRates!$B$12,IF(EMPLOYEE_MASTER!J489&lt;=15, EMPLOYEE_MASTER!J489*LK_AllowanceRates!$B$13,IF(EMPLOYEE_MASTER!J489&lt;=25, EMPLOYEE_MASTER!J489*LK_AllowanceRates!$B$14,EMPLOYEE_MASTER!J489*LK_AllowanceRates!$B$15))),0)</f>
        <v>260000</v>
      </c>
      <c r="O489" s="101">
        <f>IF(EMPLOYEE_MASTER!AS489="Teaching",L489*LK_AllowanceRates!$B$16,0)</f>
        <v>0</v>
      </c>
      <c r="P489" s="101">
        <f>IF(EMPLOYEE_MASTER!AS489="Medical",LK_AllowanceRates!$B$17,0)</f>
        <v>500000</v>
      </c>
      <c r="Q489" s="101">
        <f>IF(EMPLOYEE_MASTER!AR489="Yes",LK_AllowanceRates!$B$18,0)</f>
        <v>0</v>
      </c>
      <c r="R489" s="101">
        <f>IF(EMPLOYEE_MASTER!AC489="Yes",LK_AllowanceRates!$B$19,0)</f>
        <v>1000000</v>
      </c>
      <c r="S489" s="101">
        <f>IF(EMPLOYEE_MASTER!AA489="Yes",L489*LK_AllowanceRates!$B$20,0)</f>
        <v>692500</v>
      </c>
      <c r="T489" s="101">
        <f>IF(EMPLOYEE_MASTER!AB489="Yes",LK_AllowanceRates!$B$21,0)</f>
        <v>0</v>
      </c>
      <c r="U489" s="101">
        <f>IF(EMPLOYEE_MASTER!P489&gt;=6,LK_AllowanceRates!$B$22,0)</f>
        <v>0</v>
      </c>
      <c r="V489" s="101">
        <f>IF(EMPLOYEE_MASTER!AO489="Yes",LK_AllowanceRates!$B$23,0)</f>
        <v>0</v>
      </c>
      <c r="W489" s="101">
        <f>EMPLOYEE_MASTER!AP489*LK_AllowanceRates!$B$24</f>
        <v>0</v>
      </c>
      <c r="X489" s="101">
        <v>0</v>
      </c>
      <c r="Y489" s="102">
        <v>0</v>
      </c>
      <c r="Z489" s="102">
        <v>0</v>
      </c>
      <c r="AA489" s="102">
        <v>0</v>
      </c>
      <c r="AB489" s="103">
        <f t="shared" ca="1" si="58"/>
        <v>3352500</v>
      </c>
      <c r="AC489" s="104">
        <f t="shared" ca="1" si="59"/>
        <v>6122500</v>
      </c>
      <c r="AD489" s="105">
        <f>ROUND(L489*LK_AllowanceRates!$B$25/100,0)</f>
        <v>152350</v>
      </c>
      <c r="AE489" s="106">
        <f t="shared" ca="1" si="60"/>
        <v>5970150</v>
      </c>
      <c r="AF489" s="106">
        <f t="shared" ca="1" si="61"/>
        <v>282015</v>
      </c>
      <c r="AG489" s="107">
        <v>0</v>
      </c>
      <c r="AH489" s="107">
        <v>0</v>
      </c>
      <c r="AI489" s="108">
        <f t="shared" ca="1" si="62"/>
        <v>434365</v>
      </c>
      <c r="AJ489" s="109">
        <f t="shared" ca="1" si="63"/>
        <v>5688135</v>
      </c>
    </row>
    <row r="490" spans="1:36" ht="15" customHeight="1" x14ac:dyDescent="0.3">
      <c r="A490" s="98" t="str">
        <f>EMPLOYEE_MASTER!A490</f>
        <v>LAO00487</v>
      </c>
      <c r="B490" s="98" t="str">
        <f>EMPLOYEE_MASTER!C490</f>
        <v>Phouthasack</v>
      </c>
      <c r="C490" s="98" t="str">
        <f>EMPLOYEE_MASTER!D490</f>
        <v>Sisouvath</v>
      </c>
      <c r="D490" s="98" t="str">
        <f>EMPLOYEE_MASTER!T490</f>
        <v>Ministry of Labour &amp; Social Welfare (MLSW)</v>
      </c>
      <c r="E490" s="98" t="str">
        <f>EMPLOYEE_MASTER!M490</f>
        <v>Officer</v>
      </c>
      <c r="F490" s="98" t="str">
        <f>EMPLOYEE_MASTER!Z490</f>
        <v>Administration</v>
      </c>
      <c r="G490" s="99">
        <f>EMPLOYEE_MASTER!P490</f>
        <v>2</v>
      </c>
      <c r="H490" s="99">
        <f>EMPLOYEE_MASTER!Q490</f>
        <v>1</v>
      </c>
      <c r="I490" s="100" t="str">
        <f t="shared" si="56"/>
        <v>G02-S01</v>
      </c>
      <c r="J490" s="100">
        <f>IFERROR(VLOOKUP(I490,LK_GradeStep!$C$4:$D$85,2,0),0)</f>
        <v>268</v>
      </c>
      <c r="K490" s="100">
        <f>IFERROR(VLOOKUP(I490,LK_GradeStep!$C$4:$E$85,3,0),10000)</f>
        <v>10000</v>
      </c>
      <c r="L490" s="100">
        <f t="shared" si="57"/>
        <v>2680000</v>
      </c>
      <c r="M490" s="101">
        <f>IFERROR(VLOOKUP(EMPLOYEE_MASTER!AQ490,LK_AllowanceRates!$A$5:$B$11,2,0),0)</f>
        <v>900000</v>
      </c>
      <c r="N490" s="101">
        <f ca="1">IFERROR(IF(EMPLOYEE_MASTER!J490&lt;=5,  EMPLOYEE_MASTER!J490*LK_AllowanceRates!$B$12,IF(EMPLOYEE_MASTER!J490&lt;=15, EMPLOYEE_MASTER!J490*LK_AllowanceRates!$B$13,IF(EMPLOYEE_MASTER!J490&lt;=25, EMPLOYEE_MASTER!J490*LK_AllowanceRates!$B$14,EMPLOYEE_MASTER!J490*LK_AllowanceRates!$B$15))),0)</f>
        <v>720000</v>
      </c>
      <c r="O490" s="101">
        <f>IF(EMPLOYEE_MASTER!AS490="Teaching",L490*LK_AllowanceRates!$B$16,0)</f>
        <v>0</v>
      </c>
      <c r="P490" s="101">
        <f>IF(EMPLOYEE_MASTER!AS490="Medical",LK_AllowanceRates!$B$17,0)</f>
        <v>0</v>
      </c>
      <c r="Q490" s="101">
        <f>IF(EMPLOYEE_MASTER!AR490="Yes",LK_AllowanceRates!$B$18,0)</f>
        <v>0</v>
      </c>
      <c r="R490" s="101">
        <f>IF(EMPLOYEE_MASTER!AC490="Yes",LK_AllowanceRates!$B$19,0)</f>
        <v>0</v>
      </c>
      <c r="S490" s="101">
        <f>IF(EMPLOYEE_MASTER!AA490="Yes",L490*LK_AllowanceRates!$B$20,0)</f>
        <v>0</v>
      </c>
      <c r="T490" s="101">
        <f>IF(EMPLOYEE_MASTER!AB490="Yes",LK_AllowanceRates!$B$21,0)</f>
        <v>0</v>
      </c>
      <c r="U490" s="101">
        <f>IF(EMPLOYEE_MASTER!P490&gt;=6,LK_AllowanceRates!$B$22,0)</f>
        <v>0</v>
      </c>
      <c r="V490" s="101">
        <f>IF(EMPLOYEE_MASTER!AO490="Yes",LK_AllowanceRates!$B$23,0)</f>
        <v>0</v>
      </c>
      <c r="W490" s="101">
        <f>EMPLOYEE_MASTER!AP490*LK_AllowanceRates!$B$24</f>
        <v>0</v>
      </c>
      <c r="X490" s="101">
        <v>0</v>
      </c>
      <c r="Y490" s="102">
        <v>0</v>
      </c>
      <c r="Z490" s="102">
        <v>0</v>
      </c>
      <c r="AA490" s="102">
        <v>0</v>
      </c>
      <c r="AB490" s="103">
        <f t="shared" ca="1" si="58"/>
        <v>1620000</v>
      </c>
      <c r="AC490" s="104">
        <f t="shared" ca="1" si="59"/>
        <v>4300000</v>
      </c>
      <c r="AD490" s="105">
        <f>ROUND(L490*LK_AllowanceRates!$B$25/100,0)</f>
        <v>147400</v>
      </c>
      <c r="AE490" s="106">
        <f t="shared" ca="1" si="60"/>
        <v>4152600</v>
      </c>
      <c r="AF490" s="106">
        <f t="shared" ca="1" si="61"/>
        <v>142630</v>
      </c>
      <c r="AG490" s="107">
        <v>0</v>
      </c>
      <c r="AH490" s="107">
        <v>0</v>
      </c>
      <c r="AI490" s="108">
        <f t="shared" ca="1" si="62"/>
        <v>290030</v>
      </c>
      <c r="AJ490" s="109">
        <f t="shared" ca="1" si="63"/>
        <v>4009970</v>
      </c>
    </row>
    <row r="491" spans="1:36" ht="15" customHeight="1" x14ac:dyDescent="0.3">
      <c r="A491" s="98" t="str">
        <f>EMPLOYEE_MASTER!A491</f>
        <v>LAO00488</v>
      </c>
      <c r="B491" s="98" t="str">
        <f>EMPLOYEE_MASTER!C491</f>
        <v>Sengphet</v>
      </c>
      <c r="C491" s="98" t="str">
        <f>EMPLOYEE_MASTER!D491</f>
        <v>Kheudkham</v>
      </c>
      <c r="D491" s="98" t="str">
        <f>EMPLOYEE_MASTER!T491</f>
        <v>Luang Prabang Province Administration</v>
      </c>
      <c r="E491" s="98" t="str">
        <f>EMPLOYEE_MASTER!M491</f>
        <v>Department Director</v>
      </c>
      <c r="F491" s="98" t="str">
        <f>EMPLOYEE_MASTER!Z491</f>
        <v>Administration</v>
      </c>
      <c r="G491" s="99">
        <f>EMPLOYEE_MASTER!P491</f>
        <v>4</v>
      </c>
      <c r="H491" s="99">
        <f>EMPLOYEE_MASTER!Q491</f>
        <v>1</v>
      </c>
      <c r="I491" s="100" t="str">
        <f t="shared" si="56"/>
        <v>G04-S01</v>
      </c>
      <c r="J491" s="100">
        <f>IFERROR(VLOOKUP(I491,LK_GradeStep!$C$4:$D$85,2,0),0)</f>
        <v>286</v>
      </c>
      <c r="K491" s="100">
        <f>IFERROR(VLOOKUP(I491,LK_GradeStep!$C$4:$E$85,3,0),10000)</f>
        <v>10000</v>
      </c>
      <c r="L491" s="100">
        <f t="shared" si="57"/>
        <v>2860000</v>
      </c>
      <c r="M491" s="101">
        <f>IFERROR(VLOOKUP(EMPLOYEE_MASTER!AQ491,LK_AllowanceRates!$A$5:$B$11,2,0),0)</f>
        <v>2500000</v>
      </c>
      <c r="N491" s="101">
        <f ca="1">IFERROR(IF(EMPLOYEE_MASTER!J491&lt;=5,  EMPLOYEE_MASTER!J491*LK_AllowanceRates!$B$12,IF(EMPLOYEE_MASTER!J491&lt;=15, EMPLOYEE_MASTER!J491*LK_AllowanceRates!$B$13,IF(EMPLOYEE_MASTER!J491&lt;=25, EMPLOYEE_MASTER!J491*LK_AllowanceRates!$B$14,EMPLOYEE_MASTER!J491*LK_AllowanceRates!$B$15))),0)</f>
        <v>1240000</v>
      </c>
      <c r="O491" s="101">
        <f>IF(EMPLOYEE_MASTER!AS491="Teaching",L491*LK_AllowanceRates!$B$16,0)</f>
        <v>0</v>
      </c>
      <c r="P491" s="101">
        <f>IF(EMPLOYEE_MASTER!AS491="Medical",LK_AllowanceRates!$B$17,0)</f>
        <v>0</v>
      </c>
      <c r="Q491" s="101">
        <f>IF(EMPLOYEE_MASTER!AR491="Yes",LK_AllowanceRates!$B$18,0)</f>
        <v>0</v>
      </c>
      <c r="R491" s="101">
        <f>IF(EMPLOYEE_MASTER!AC491="Yes",LK_AllowanceRates!$B$19,0)</f>
        <v>0</v>
      </c>
      <c r="S491" s="101">
        <f>IF(EMPLOYEE_MASTER!AA491="Yes",L491*LK_AllowanceRates!$B$20,0)</f>
        <v>0</v>
      </c>
      <c r="T491" s="101">
        <f>IF(EMPLOYEE_MASTER!AB491="Yes",LK_AllowanceRates!$B$21,0)</f>
        <v>0</v>
      </c>
      <c r="U491" s="101">
        <f>IF(EMPLOYEE_MASTER!P491&gt;=6,LK_AllowanceRates!$B$22,0)</f>
        <v>0</v>
      </c>
      <c r="V491" s="101">
        <f>IF(EMPLOYEE_MASTER!AO491="Yes",LK_AllowanceRates!$B$23,0)</f>
        <v>200000</v>
      </c>
      <c r="W491" s="101">
        <f>EMPLOYEE_MASTER!AP491*LK_AllowanceRates!$B$24</f>
        <v>200000</v>
      </c>
      <c r="X491" s="101">
        <v>0</v>
      </c>
      <c r="Y491" s="102">
        <v>0</v>
      </c>
      <c r="Z491" s="102">
        <v>0</v>
      </c>
      <c r="AA491" s="102">
        <v>0</v>
      </c>
      <c r="AB491" s="103">
        <f t="shared" ca="1" si="58"/>
        <v>4140000</v>
      </c>
      <c r="AC491" s="104">
        <f t="shared" ca="1" si="59"/>
        <v>7000000</v>
      </c>
      <c r="AD491" s="105">
        <f>ROUND(L491*LK_AllowanceRates!$B$25/100,0)</f>
        <v>157300</v>
      </c>
      <c r="AE491" s="106">
        <f t="shared" ca="1" si="60"/>
        <v>6842700</v>
      </c>
      <c r="AF491" s="106">
        <f t="shared" ca="1" si="61"/>
        <v>369270</v>
      </c>
      <c r="AG491" s="107">
        <v>0</v>
      </c>
      <c r="AH491" s="107">
        <v>0</v>
      </c>
      <c r="AI491" s="108">
        <f t="shared" ca="1" si="62"/>
        <v>526570</v>
      </c>
      <c r="AJ491" s="109">
        <f t="shared" ca="1" si="63"/>
        <v>6473430</v>
      </c>
    </row>
    <row r="492" spans="1:36" ht="15" customHeight="1" x14ac:dyDescent="0.3">
      <c r="A492" s="98" t="str">
        <f>EMPLOYEE_MASTER!A492</f>
        <v>LAO00489</v>
      </c>
      <c r="B492" s="98" t="str">
        <f>EMPLOYEE_MASTER!C492</f>
        <v>Soudaphone</v>
      </c>
      <c r="C492" s="98" t="str">
        <f>EMPLOYEE_MASTER!D492</f>
        <v>Vilayphitak</v>
      </c>
      <c r="D492" s="98" t="str">
        <f>EMPLOYEE_MASTER!T492</f>
        <v>Khammuane Province Administration</v>
      </c>
      <c r="E492" s="98" t="str">
        <f>EMPLOYEE_MASTER!M492</f>
        <v>Section Chief</v>
      </c>
      <c r="F492" s="98" t="str">
        <f>EMPLOYEE_MASTER!Z492</f>
        <v>Administration</v>
      </c>
      <c r="G492" s="99">
        <f>EMPLOYEE_MASTER!P492</f>
        <v>5</v>
      </c>
      <c r="H492" s="99">
        <f>EMPLOYEE_MASTER!Q492</f>
        <v>10</v>
      </c>
      <c r="I492" s="100" t="str">
        <f t="shared" si="56"/>
        <v>G05-S10</v>
      </c>
      <c r="J492" s="100">
        <f>IFERROR(VLOOKUP(I492,LK_GradeStep!$C$4:$D$85,2,0),0)</f>
        <v>368</v>
      </c>
      <c r="K492" s="100">
        <f>IFERROR(VLOOKUP(I492,LK_GradeStep!$C$4:$E$85,3,0),10000)</f>
        <v>10000</v>
      </c>
      <c r="L492" s="100">
        <f t="shared" si="57"/>
        <v>3680000</v>
      </c>
      <c r="M492" s="101">
        <f>IFERROR(VLOOKUP(EMPLOYEE_MASTER!AQ492,LK_AllowanceRates!$A$5:$B$11,2,0),0)</f>
        <v>1500000</v>
      </c>
      <c r="N492" s="101">
        <f ca="1">IFERROR(IF(EMPLOYEE_MASTER!J492&lt;=5,  EMPLOYEE_MASTER!J492*LK_AllowanceRates!$B$12,IF(EMPLOYEE_MASTER!J492&lt;=15, EMPLOYEE_MASTER!J492*LK_AllowanceRates!$B$13,IF(EMPLOYEE_MASTER!J492&lt;=25, EMPLOYEE_MASTER!J492*LK_AllowanceRates!$B$14,EMPLOYEE_MASTER!J492*LK_AllowanceRates!$B$15))),0)</f>
        <v>20000</v>
      </c>
      <c r="O492" s="101">
        <f>IF(EMPLOYEE_MASTER!AS492="Teaching",L492*LK_AllowanceRates!$B$16,0)</f>
        <v>0</v>
      </c>
      <c r="P492" s="101">
        <f>IF(EMPLOYEE_MASTER!AS492="Medical",LK_AllowanceRates!$B$17,0)</f>
        <v>0</v>
      </c>
      <c r="Q492" s="101">
        <f>IF(EMPLOYEE_MASTER!AR492="Yes",LK_AllowanceRates!$B$18,0)</f>
        <v>0</v>
      </c>
      <c r="R492" s="101">
        <f>IF(EMPLOYEE_MASTER!AC492="Yes",LK_AllowanceRates!$B$19,0)</f>
        <v>0</v>
      </c>
      <c r="S492" s="101">
        <f>IF(EMPLOYEE_MASTER!AA492="Yes",L492*LK_AllowanceRates!$B$20,0)</f>
        <v>920000</v>
      </c>
      <c r="T492" s="101">
        <f>IF(EMPLOYEE_MASTER!AB492="Yes",LK_AllowanceRates!$B$21,0)</f>
        <v>0</v>
      </c>
      <c r="U492" s="101">
        <f>IF(EMPLOYEE_MASTER!P492&gt;=6,LK_AllowanceRates!$B$22,0)</f>
        <v>0</v>
      </c>
      <c r="V492" s="101">
        <f>IF(EMPLOYEE_MASTER!AO492="Yes",LK_AllowanceRates!$B$23,0)</f>
        <v>200000</v>
      </c>
      <c r="W492" s="101">
        <f>EMPLOYEE_MASTER!AP492*LK_AllowanceRates!$B$24</f>
        <v>600000</v>
      </c>
      <c r="X492" s="101">
        <v>0</v>
      </c>
      <c r="Y492" s="102">
        <v>0</v>
      </c>
      <c r="Z492" s="102">
        <v>0</v>
      </c>
      <c r="AA492" s="102">
        <v>0</v>
      </c>
      <c r="AB492" s="103">
        <f t="shared" ca="1" si="58"/>
        <v>3240000</v>
      </c>
      <c r="AC492" s="104">
        <f t="shared" ca="1" si="59"/>
        <v>6920000</v>
      </c>
      <c r="AD492" s="105">
        <f>ROUND(L492*LK_AllowanceRates!$B$25/100,0)</f>
        <v>202400</v>
      </c>
      <c r="AE492" s="106">
        <f t="shared" ca="1" si="60"/>
        <v>6717600</v>
      </c>
      <c r="AF492" s="106">
        <f t="shared" ca="1" si="61"/>
        <v>356760</v>
      </c>
      <c r="AG492" s="107">
        <v>0</v>
      </c>
      <c r="AH492" s="107">
        <v>0</v>
      </c>
      <c r="AI492" s="108">
        <f t="shared" ca="1" si="62"/>
        <v>559160</v>
      </c>
      <c r="AJ492" s="109">
        <f t="shared" ca="1" si="63"/>
        <v>6360840</v>
      </c>
    </row>
    <row r="493" spans="1:36" ht="15" customHeight="1" x14ac:dyDescent="0.3">
      <c r="A493" s="98" t="str">
        <f>EMPLOYEE_MASTER!A493</f>
        <v>LAO00490</v>
      </c>
      <c r="B493" s="98" t="str">
        <f>EMPLOYEE_MASTER!C493</f>
        <v>Manyvone</v>
      </c>
      <c r="C493" s="98" t="str">
        <f>EMPLOYEE_MASTER!D493</f>
        <v>Vongsamphanh</v>
      </c>
      <c r="D493" s="98" t="str">
        <f>EMPLOYEE_MASTER!T493</f>
        <v>Ministry of Justice (MoJ)</v>
      </c>
      <c r="E493" s="98" t="str">
        <f>EMPLOYEE_MASTER!M493</f>
        <v>Legal Advisor</v>
      </c>
      <c r="F493" s="98" t="str">
        <f>EMPLOYEE_MASTER!Z493</f>
        <v>Legal</v>
      </c>
      <c r="G493" s="99">
        <f>EMPLOYEE_MASTER!P493</f>
        <v>2</v>
      </c>
      <c r="H493" s="99">
        <f>EMPLOYEE_MASTER!Q493</f>
        <v>1</v>
      </c>
      <c r="I493" s="100" t="str">
        <f t="shared" si="56"/>
        <v>G02-S01</v>
      </c>
      <c r="J493" s="100">
        <f>IFERROR(VLOOKUP(I493,LK_GradeStep!$C$4:$D$85,2,0),0)</f>
        <v>268</v>
      </c>
      <c r="K493" s="100">
        <f>IFERROR(VLOOKUP(I493,LK_GradeStep!$C$4:$E$85,3,0),10000)</f>
        <v>10000</v>
      </c>
      <c r="L493" s="100">
        <f t="shared" si="57"/>
        <v>2680000</v>
      </c>
      <c r="M493" s="101">
        <f>IFERROR(VLOOKUP(EMPLOYEE_MASTER!AQ493,LK_AllowanceRates!$A$5:$B$11,2,0),0)</f>
        <v>900000</v>
      </c>
      <c r="N493" s="101">
        <f ca="1">IFERROR(IF(EMPLOYEE_MASTER!J493&lt;=5,  EMPLOYEE_MASTER!J493*LK_AllowanceRates!$B$12,IF(EMPLOYEE_MASTER!J493&lt;=15, EMPLOYEE_MASTER!J493*LK_AllowanceRates!$B$13,IF(EMPLOYEE_MASTER!J493&lt;=25, EMPLOYEE_MASTER!J493*LK_AllowanceRates!$B$14,EMPLOYEE_MASTER!J493*LK_AllowanceRates!$B$15))),0)</f>
        <v>570000</v>
      </c>
      <c r="O493" s="101">
        <f>IF(EMPLOYEE_MASTER!AS493="Teaching",L493*LK_AllowanceRates!$B$16,0)</f>
        <v>0</v>
      </c>
      <c r="P493" s="101">
        <f>IF(EMPLOYEE_MASTER!AS493="Medical",LK_AllowanceRates!$B$17,0)</f>
        <v>0</v>
      </c>
      <c r="Q493" s="101">
        <f>IF(EMPLOYEE_MASTER!AR493="Yes",LK_AllowanceRates!$B$18,0)</f>
        <v>0</v>
      </c>
      <c r="R493" s="101">
        <f>IF(EMPLOYEE_MASTER!AC493="Yes",LK_AllowanceRates!$B$19,0)</f>
        <v>1000000</v>
      </c>
      <c r="S493" s="101">
        <f>IF(EMPLOYEE_MASTER!AA493="Yes",L493*LK_AllowanceRates!$B$20,0)</f>
        <v>670000</v>
      </c>
      <c r="T493" s="101">
        <f>IF(EMPLOYEE_MASTER!AB493="Yes",LK_AllowanceRates!$B$21,0)</f>
        <v>0</v>
      </c>
      <c r="U493" s="101">
        <f>IF(EMPLOYEE_MASTER!P493&gt;=6,LK_AllowanceRates!$B$22,0)</f>
        <v>0</v>
      </c>
      <c r="V493" s="101">
        <f>IF(EMPLOYEE_MASTER!AO493="Yes",LK_AllowanceRates!$B$23,0)</f>
        <v>200000</v>
      </c>
      <c r="W493" s="101">
        <f>EMPLOYEE_MASTER!AP493*LK_AllowanceRates!$B$24</f>
        <v>600000</v>
      </c>
      <c r="X493" s="101">
        <v>0</v>
      </c>
      <c r="Y493" s="102">
        <v>0</v>
      </c>
      <c r="Z493" s="102">
        <v>0</v>
      </c>
      <c r="AA493" s="102">
        <v>0</v>
      </c>
      <c r="AB493" s="103">
        <f t="shared" ca="1" si="58"/>
        <v>3940000</v>
      </c>
      <c r="AC493" s="104">
        <f t="shared" ca="1" si="59"/>
        <v>6620000</v>
      </c>
      <c r="AD493" s="105">
        <f>ROUND(L493*LK_AllowanceRates!$B$25/100,0)</f>
        <v>147400</v>
      </c>
      <c r="AE493" s="106">
        <f t="shared" ca="1" si="60"/>
        <v>6472600</v>
      </c>
      <c r="AF493" s="106">
        <f t="shared" ca="1" si="61"/>
        <v>332260</v>
      </c>
      <c r="AG493" s="107">
        <v>0</v>
      </c>
      <c r="AH493" s="107">
        <v>0</v>
      </c>
      <c r="AI493" s="108">
        <f t="shared" ca="1" si="62"/>
        <v>479660</v>
      </c>
      <c r="AJ493" s="109">
        <f t="shared" ca="1" si="63"/>
        <v>6140340</v>
      </c>
    </row>
    <row r="494" spans="1:36" ht="15" customHeight="1" x14ac:dyDescent="0.3">
      <c r="A494" s="98" t="str">
        <f>EMPLOYEE_MASTER!A494</f>
        <v>LAO00491</v>
      </c>
      <c r="B494" s="98" t="str">
        <f>EMPLOYEE_MASTER!C494</f>
        <v>Phonesiri</v>
      </c>
      <c r="C494" s="98" t="str">
        <f>EMPLOYEE_MASTER!D494</f>
        <v>Phongphichith</v>
      </c>
      <c r="D494" s="98" t="str">
        <f>EMPLOYEE_MASTER!T494</f>
        <v>Ministry of Health (MoH)</v>
      </c>
      <c r="E494" s="98" t="str">
        <f>EMPLOYEE_MASTER!M494</f>
        <v>Medical Technician</v>
      </c>
      <c r="F494" s="98" t="str">
        <f>EMPLOYEE_MASTER!Z494</f>
        <v>Medical</v>
      </c>
      <c r="G494" s="99">
        <f>EMPLOYEE_MASTER!P494</f>
        <v>2</v>
      </c>
      <c r="H494" s="99">
        <f>EMPLOYEE_MASTER!Q494</f>
        <v>6</v>
      </c>
      <c r="I494" s="100" t="str">
        <f t="shared" si="56"/>
        <v>G02-S06</v>
      </c>
      <c r="J494" s="100">
        <f>IFERROR(VLOOKUP(I494,LK_GradeStep!$C$4:$D$85,2,0),0)</f>
        <v>273</v>
      </c>
      <c r="K494" s="100">
        <f>IFERROR(VLOOKUP(I494,LK_GradeStep!$C$4:$E$85,3,0),10000)</f>
        <v>10000</v>
      </c>
      <c r="L494" s="100">
        <f t="shared" si="57"/>
        <v>2730000</v>
      </c>
      <c r="M494" s="101">
        <f>IFERROR(VLOOKUP(EMPLOYEE_MASTER!AQ494,LK_AllowanceRates!$A$5:$B$11,2,0),0)</f>
        <v>900000</v>
      </c>
      <c r="N494" s="101">
        <f ca="1">IFERROR(IF(EMPLOYEE_MASTER!J494&lt;=5,  EMPLOYEE_MASTER!J494*LK_AllowanceRates!$B$12,IF(EMPLOYEE_MASTER!J494&lt;=15, EMPLOYEE_MASTER!J494*LK_AllowanceRates!$B$13,IF(EMPLOYEE_MASTER!J494&lt;=25, EMPLOYEE_MASTER!J494*LK_AllowanceRates!$B$14,EMPLOYEE_MASTER!J494*LK_AllowanceRates!$B$15))),0)</f>
        <v>220000</v>
      </c>
      <c r="O494" s="101">
        <f>IF(EMPLOYEE_MASTER!AS494="Teaching",L494*LK_AllowanceRates!$B$16,0)</f>
        <v>0</v>
      </c>
      <c r="P494" s="101">
        <f>IF(EMPLOYEE_MASTER!AS494="Medical",LK_AllowanceRates!$B$17,0)</f>
        <v>500000</v>
      </c>
      <c r="Q494" s="101">
        <f>IF(EMPLOYEE_MASTER!AR494="Yes",LK_AllowanceRates!$B$18,0)</f>
        <v>0</v>
      </c>
      <c r="R494" s="101">
        <f>IF(EMPLOYEE_MASTER!AC494="Yes",LK_AllowanceRates!$B$19,0)</f>
        <v>1000000</v>
      </c>
      <c r="S494" s="101">
        <f>IF(EMPLOYEE_MASTER!AA494="Yes",L494*LK_AllowanceRates!$B$20,0)</f>
        <v>682500</v>
      </c>
      <c r="T494" s="101">
        <f>IF(EMPLOYEE_MASTER!AB494="Yes",LK_AllowanceRates!$B$21,0)</f>
        <v>0</v>
      </c>
      <c r="U494" s="101">
        <f>IF(EMPLOYEE_MASTER!P494&gt;=6,LK_AllowanceRates!$B$22,0)</f>
        <v>0</v>
      </c>
      <c r="V494" s="101">
        <f>IF(EMPLOYEE_MASTER!AO494="Yes",LK_AllowanceRates!$B$23,0)</f>
        <v>200000</v>
      </c>
      <c r="W494" s="101">
        <f>EMPLOYEE_MASTER!AP494*LK_AllowanceRates!$B$24</f>
        <v>200000</v>
      </c>
      <c r="X494" s="101">
        <v>0</v>
      </c>
      <c r="Y494" s="102">
        <v>0</v>
      </c>
      <c r="Z494" s="102">
        <v>0</v>
      </c>
      <c r="AA494" s="102">
        <v>0</v>
      </c>
      <c r="AB494" s="103">
        <f t="shared" ca="1" si="58"/>
        <v>3702500</v>
      </c>
      <c r="AC494" s="104">
        <f t="shared" ca="1" si="59"/>
        <v>6432500</v>
      </c>
      <c r="AD494" s="105">
        <f>ROUND(L494*LK_AllowanceRates!$B$25/100,0)</f>
        <v>150150</v>
      </c>
      <c r="AE494" s="106">
        <f t="shared" ca="1" si="60"/>
        <v>6282350</v>
      </c>
      <c r="AF494" s="106">
        <f t="shared" ca="1" si="61"/>
        <v>313235</v>
      </c>
      <c r="AG494" s="107">
        <v>0</v>
      </c>
      <c r="AH494" s="107">
        <v>0</v>
      </c>
      <c r="AI494" s="108">
        <f t="shared" ca="1" si="62"/>
        <v>463385</v>
      </c>
      <c r="AJ494" s="109">
        <f t="shared" ca="1" si="63"/>
        <v>5969115</v>
      </c>
    </row>
    <row r="495" spans="1:36" ht="15" customHeight="1" x14ac:dyDescent="0.3">
      <c r="A495" s="98" t="str">
        <f>EMPLOYEE_MASTER!A495</f>
        <v>LAO00492</v>
      </c>
      <c r="B495" s="98" t="str">
        <f>EMPLOYEE_MASTER!C495</f>
        <v>Thongchanh</v>
      </c>
      <c r="C495" s="98" t="str">
        <f>EMPLOYEE_MASTER!D495</f>
        <v>Keokhamphanh</v>
      </c>
      <c r="D495" s="98" t="str">
        <f>EMPLOYEE_MASTER!T495</f>
        <v>National Assembly (NA)</v>
      </c>
      <c r="E495" s="98" t="str">
        <f>EMPLOYEE_MASTER!M495</f>
        <v>Administrative Officer</v>
      </c>
      <c r="F495" s="98" t="str">
        <f>EMPLOYEE_MASTER!Z495</f>
        <v>Administration</v>
      </c>
      <c r="G495" s="99">
        <f>EMPLOYEE_MASTER!P495</f>
        <v>4</v>
      </c>
      <c r="H495" s="99">
        <f>EMPLOYEE_MASTER!Q495</f>
        <v>1</v>
      </c>
      <c r="I495" s="100" t="str">
        <f t="shared" si="56"/>
        <v>G04-S01</v>
      </c>
      <c r="J495" s="100">
        <f>IFERROR(VLOOKUP(I495,LK_GradeStep!$C$4:$D$85,2,0),0)</f>
        <v>286</v>
      </c>
      <c r="K495" s="100">
        <f>IFERROR(VLOOKUP(I495,LK_GradeStep!$C$4:$E$85,3,0),10000)</f>
        <v>10000</v>
      </c>
      <c r="L495" s="100">
        <f t="shared" si="57"/>
        <v>2860000</v>
      </c>
      <c r="M495" s="101">
        <f>IFERROR(VLOOKUP(EMPLOYEE_MASTER!AQ495,LK_AllowanceRates!$A$5:$B$11,2,0),0)</f>
        <v>900000</v>
      </c>
      <c r="N495" s="101">
        <f ca="1">IFERROR(IF(EMPLOYEE_MASTER!J495&lt;=5,  EMPLOYEE_MASTER!J495*LK_AllowanceRates!$B$12,IF(EMPLOYEE_MASTER!J495&lt;=15, EMPLOYEE_MASTER!J495*LK_AllowanceRates!$B$13,IF(EMPLOYEE_MASTER!J495&lt;=25, EMPLOYEE_MASTER!J495*LK_AllowanceRates!$B$14,EMPLOYEE_MASTER!J495*LK_AllowanceRates!$B$15))),0)</f>
        <v>1200000</v>
      </c>
      <c r="O495" s="101">
        <f>IF(EMPLOYEE_MASTER!AS495="Teaching",L495*LK_AllowanceRates!$B$16,0)</f>
        <v>0</v>
      </c>
      <c r="P495" s="101">
        <f>IF(EMPLOYEE_MASTER!AS495="Medical",LK_AllowanceRates!$B$17,0)</f>
        <v>0</v>
      </c>
      <c r="Q495" s="101">
        <f>IF(EMPLOYEE_MASTER!AR495="Yes",LK_AllowanceRates!$B$18,0)</f>
        <v>1000000</v>
      </c>
      <c r="R495" s="101">
        <f>IF(EMPLOYEE_MASTER!AC495="Yes",LK_AllowanceRates!$B$19,0)</f>
        <v>0</v>
      </c>
      <c r="S495" s="101">
        <f>IF(EMPLOYEE_MASTER!AA495="Yes",L495*LK_AllowanceRates!$B$20,0)</f>
        <v>0</v>
      </c>
      <c r="T495" s="101">
        <f>IF(EMPLOYEE_MASTER!AB495="Yes",LK_AllowanceRates!$B$21,0)</f>
        <v>0</v>
      </c>
      <c r="U495" s="101">
        <f>IF(EMPLOYEE_MASTER!P495&gt;=6,LK_AllowanceRates!$B$22,0)</f>
        <v>0</v>
      </c>
      <c r="V495" s="101">
        <f>IF(EMPLOYEE_MASTER!AO495="Yes",LK_AllowanceRates!$B$23,0)</f>
        <v>0</v>
      </c>
      <c r="W495" s="101">
        <f>EMPLOYEE_MASTER!AP495*LK_AllowanceRates!$B$24</f>
        <v>0</v>
      </c>
      <c r="X495" s="101">
        <v>0</v>
      </c>
      <c r="Y495" s="102">
        <v>0</v>
      </c>
      <c r="Z495" s="102">
        <v>0</v>
      </c>
      <c r="AA495" s="102">
        <v>0</v>
      </c>
      <c r="AB495" s="103">
        <f t="shared" ca="1" si="58"/>
        <v>3100000</v>
      </c>
      <c r="AC495" s="104">
        <f t="shared" ca="1" si="59"/>
        <v>5960000</v>
      </c>
      <c r="AD495" s="105">
        <f>ROUND(L495*LK_AllowanceRates!$B$25/100,0)</f>
        <v>157300</v>
      </c>
      <c r="AE495" s="106">
        <f t="shared" ca="1" si="60"/>
        <v>5802700</v>
      </c>
      <c r="AF495" s="106">
        <f t="shared" ca="1" si="61"/>
        <v>265270</v>
      </c>
      <c r="AG495" s="107">
        <v>0</v>
      </c>
      <c r="AH495" s="107">
        <v>0</v>
      </c>
      <c r="AI495" s="108">
        <f t="shared" ca="1" si="62"/>
        <v>422570</v>
      </c>
      <c r="AJ495" s="109">
        <f t="shared" ca="1" si="63"/>
        <v>5537430</v>
      </c>
    </row>
    <row r="496" spans="1:36" ht="15" customHeight="1" x14ac:dyDescent="0.3">
      <c r="A496" s="98" t="str">
        <f>EMPLOYEE_MASTER!A496</f>
        <v>LAO00493</v>
      </c>
      <c r="B496" s="98" t="str">
        <f>EMPLOYEE_MASTER!C496</f>
        <v>Boutsady</v>
      </c>
      <c r="C496" s="98" t="str">
        <f>EMPLOYEE_MASTER!D496</f>
        <v>Dalasane</v>
      </c>
      <c r="D496" s="98" t="str">
        <f>EMPLOYEE_MASTER!T496</f>
        <v>Ministry of Health (MoH)</v>
      </c>
      <c r="E496" s="98" t="str">
        <f>EMPLOYEE_MASTER!M496</f>
        <v>Dental Officer</v>
      </c>
      <c r="F496" s="98" t="str">
        <f>EMPLOYEE_MASTER!Z496</f>
        <v>Medical</v>
      </c>
      <c r="G496" s="99">
        <f>EMPLOYEE_MASTER!P496</f>
        <v>4</v>
      </c>
      <c r="H496" s="99">
        <f>EMPLOYEE_MASTER!Q496</f>
        <v>1</v>
      </c>
      <c r="I496" s="100" t="str">
        <f t="shared" si="56"/>
        <v>G04-S01</v>
      </c>
      <c r="J496" s="100">
        <f>IFERROR(VLOOKUP(I496,LK_GradeStep!$C$4:$D$85,2,0),0)</f>
        <v>286</v>
      </c>
      <c r="K496" s="100">
        <f>IFERROR(VLOOKUP(I496,LK_GradeStep!$C$4:$E$85,3,0),10000)</f>
        <v>10000</v>
      </c>
      <c r="L496" s="100">
        <f t="shared" si="57"/>
        <v>2860000</v>
      </c>
      <c r="M496" s="101">
        <f>IFERROR(VLOOKUP(EMPLOYEE_MASTER!AQ496,LK_AllowanceRates!$A$5:$B$11,2,0),0)</f>
        <v>900000</v>
      </c>
      <c r="N496" s="101">
        <f ca="1">IFERROR(IF(EMPLOYEE_MASTER!J496&lt;=5,  EMPLOYEE_MASTER!J496*LK_AllowanceRates!$B$12,IF(EMPLOYEE_MASTER!J496&lt;=15, EMPLOYEE_MASTER!J496*LK_AllowanceRates!$B$13,IF(EMPLOYEE_MASTER!J496&lt;=25, EMPLOYEE_MASTER!J496*LK_AllowanceRates!$B$14,EMPLOYEE_MASTER!J496*LK_AllowanceRates!$B$15))),0)</f>
        <v>630000</v>
      </c>
      <c r="O496" s="101">
        <f>IF(EMPLOYEE_MASTER!AS496="Teaching",L496*LK_AllowanceRates!$B$16,0)</f>
        <v>0</v>
      </c>
      <c r="P496" s="101">
        <f>IF(EMPLOYEE_MASTER!AS496="Medical",LK_AllowanceRates!$B$17,0)</f>
        <v>500000</v>
      </c>
      <c r="Q496" s="101">
        <f>IF(EMPLOYEE_MASTER!AR496="Yes",LK_AllowanceRates!$B$18,0)</f>
        <v>0</v>
      </c>
      <c r="R496" s="101">
        <f>IF(EMPLOYEE_MASTER!AC496="Yes",LK_AllowanceRates!$B$19,0)</f>
        <v>0</v>
      </c>
      <c r="S496" s="101">
        <f>IF(EMPLOYEE_MASTER!AA496="Yes",L496*LK_AllowanceRates!$B$20,0)</f>
        <v>0</v>
      </c>
      <c r="T496" s="101">
        <f>IF(EMPLOYEE_MASTER!AB496="Yes",LK_AllowanceRates!$B$21,0)</f>
        <v>0</v>
      </c>
      <c r="U496" s="101">
        <f>IF(EMPLOYEE_MASTER!P496&gt;=6,LK_AllowanceRates!$B$22,0)</f>
        <v>0</v>
      </c>
      <c r="V496" s="101">
        <f>IF(EMPLOYEE_MASTER!AO496="Yes",LK_AllowanceRates!$B$23,0)</f>
        <v>0</v>
      </c>
      <c r="W496" s="101">
        <f>EMPLOYEE_MASTER!AP496*LK_AllowanceRates!$B$24</f>
        <v>0</v>
      </c>
      <c r="X496" s="101">
        <v>0</v>
      </c>
      <c r="Y496" s="102">
        <v>0</v>
      </c>
      <c r="Z496" s="102">
        <v>0</v>
      </c>
      <c r="AA496" s="102">
        <v>0</v>
      </c>
      <c r="AB496" s="103">
        <f t="shared" ca="1" si="58"/>
        <v>2030000</v>
      </c>
      <c r="AC496" s="104">
        <f t="shared" ca="1" si="59"/>
        <v>4890000</v>
      </c>
      <c r="AD496" s="105">
        <f>ROUND(L496*LK_AllowanceRates!$B$25/100,0)</f>
        <v>157300</v>
      </c>
      <c r="AE496" s="106">
        <f t="shared" ca="1" si="60"/>
        <v>4732700</v>
      </c>
      <c r="AF496" s="106">
        <f t="shared" ca="1" si="61"/>
        <v>171635</v>
      </c>
      <c r="AG496" s="107">
        <v>0</v>
      </c>
      <c r="AH496" s="107">
        <v>0</v>
      </c>
      <c r="AI496" s="108">
        <f t="shared" ca="1" si="62"/>
        <v>328935</v>
      </c>
      <c r="AJ496" s="109">
        <f t="shared" ca="1" si="63"/>
        <v>4561065</v>
      </c>
    </row>
    <row r="497" spans="1:36" ht="15" customHeight="1" x14ac:dyDescent="0.3">
      <c r="A497" s="98" t="str">
        <f>EMPLOYEE_MASTER!A497</f>
        <v>LAO00494</v>
      </c>
      <c r="B497" s="98" t="str">
        <f>EMPLOYEE_MASTER!C497</f>
        <v>Soudabout</v>
      </c>
      <c r="C497" s="98" t="str">
        <f>EMPLOYEE_MASTER!D497</f>
        <v>Sisouvath</v>
      </c>
      <c r="D497" s="98" t="str">
        <f>EMPLOYEE_MASTER!T497</f>
        <v>Ministry of Education and Sports (MoES)</v>
      </c>
      <c r="E497" s="98" t="str">
        <f>EMPLOYEE_MASTER!M497</f>
        <v>University Lecturer</v>
      </c>
      <c r="F497" s="98" t="str">
        <f>EMPLOYEE_MASTER!Z497</f>
        <v>Teacher</v>
      </c>
      <c r="G497" s="99">
        <f>EMPLOYEE_MASTER!P497</f>
        <v>4</v>
      </c>
      <c r="H497" s="99">
        <f>EMPLOYEE_MASTER!Q497</f>
        <v>1</v>
      </c>
      <c r="I497" s="100" t="str">
        <f t="shared" si="56"/>
        <v>G04-S01</v>
      </c>
      <c r="J497" s="100">
        <f>IFERROR(VLOOKUP(I497,LK_GradeStep!$C$4:$D$85,2,0),0)</f>
        <v>286</v>
      </c>
      <c r="K497" s="100">
        <f>IFERROR(VLOOKUP(I497,LK_GradeStep!$C$4:$E$85,3,0),10000)</f>
        <v>10000</v>
      </c>
      <c r="L497" s="100">
        <f t="shared" si="57"/>
        <v>2860000</v>
      </c>
      <c r="M497" s="101">
        <f>IFERROR(VLOOKUP(EMPLOYEE_MASTER!AQ497,LK_AllowanceRates!$A$5:$B$11,2,0),0)</f>
        <v>900000</v>
      </c>
      <c r="N497" s="101">
        <f ca="1">IFERROR(IF(EMPLOYEE_MASTER!J497&lt;=5,  EMPLOYEE_MASTER!J497*LK_AllowanceRates!$B$12,IF(EMPLOYEE_MASTER!J497&lt;=15, EMPLOYEE_MASTER!J497*LK_AllowanceRates!$B$13,IF(EMPLOYEE_MASTER!J497&lt;=25, EMPLOYEE_MASTER!J497*LK_AllowanceRates!$B$14,EMPLOYEE_MASTER!J497*LK_AllowanceRates!$B$15))),0)</f>
        <v>240000</v>
      </c>
      <c r="O497" s="101">
        <f>IF(EMPLOYEE_MASTER!AS497="Teaching",L497*LK_AllowanceRates!$B$16,0)</f>
        <v>572000</v>
      </c>
      <c r="P497" s="101">
        <f>IF(EMPLOYEE_MASTER!AS497="Medical",LK_AllowanceRates!$B$17,0)</f>
        <v>0</v>
      </c>
      <c r="Q497" s="101">
        <f>IF(EMPLOYEE_MASTER!AR497="Yes",LK_AllowanceRates!$B$18,0)</f>
        <v>0</v>
      </c>
      <c r="R497" s="101">
        <f>IF(EMPLOYEE_MASTER!AC497="Yes",LK_AllowanceRates!$B$19,0)</f>
        <v>0</v>
      </c>
      <c r="S497" s="101">
        <f>IF(EMPLOYEE_MASTER!AA497="Yes",L497*LK_AllowanceRates!$B$20,0)</f>
        <v>715000</v>
      </c>
      <c r="T497" s="101">
        <f>IF(EMPLOYEE_MASTER!AB497="Yes",LK_AllowanceRates!$B$21,0)</f>
        <v>0</v>
      </c>
      <c r="U497" s="101">
        <f>IF(EMPLOYEE_MASTER!P497&gt;=6,LK_AllowanceRates!$B$22,0)</f>
        <v>0</v>
      </c>
      <c r="V497" s="101">
        <f>IF(EMPLOYEE_MASTER!AO497="Yes",LK_AllowanceRates!$B$23,0)</f>
        <v>200000</v>
      </c>
      <c r="W497" s="101">
        <f>EMPLOYEE_MASTER!AP497*LK_AllowanceRates!$B$24</f>
        <v>600000</v>
      </c>
      <c r="X497" s="101">
        <v>0</v>
      </c>
      <c r="Y497" s="102">
        <v>0</v>
      </c>
      <c r="Z497" s="102">
        <v>0</v>
      </c>
      <c r="AA497" s="102">
        <v>0</v>
      </c>
      <c r="AB497" s="103">
        <f t="shared" ca="1" si="58"/>
        <v>3227000</v>
      </c>
      <c r="AC497" s="104">
        <f t="shared" ca="1" si="59"/>
        <v>6087000</v>
      </c>
      <c r="AD497" s="105">
        <f>ROUND(L497*LK_AllowanceRates!$B$25/100,0)</f>
        <v>157300</v>
      </c>
      <c r="AE497" s="106">
        <f t="shared" ca="1" si="60"/>
        <v>5929700</v>
      </c>
      <c r="AF497" s="106">
        <f t="shared" ca="1" si="61"/>
        <v>277970</v>
      </c>
      <c r="AG497" s="107">
        <v>0</v>
      </c>
      <c r="AH497" s="107">
        <v>0</v>
      </c>
      <c r="AI497" s="108">
        <f t="shared" ca="1" si="62"/>
        <v>435270</v>
      </c>
      <c r="AJ497" s="109">
        <f t="shared" ca="1" si="63"/>
        <v>5651730</v>
      </c>
    </row>
    <row r="498" spans="1:36" ht="15" customHeight="1" x14ac:dyDescent="0.3">
      <c r="A498" s="98" t="str">
        <f>EMPLOYEE_MASTER!A498</f>
        <v>LAO00495</v>
      </c>
      <c r="B498" s="98" t="str">
        <f>EMPLOYEE_MASTER!C498</f>
        <v>Souphavanh</v>
      </c>
      <c r="C498" s="98" t="str">
        <f>EMPLOYEE_MASTER!D498</f>
        <v>Khounboulom</v>
      </c>
      <c r="D498" s="98" t="str">
        <f>EMPLOYEE_MASTER!T498</f>
        <v>Ministry of Education and Sports (MoES)</v>
      </c>
      <c r="E498" s="98" t="str">
        <f>EMPLOYEE_MASTER!M498</f>
        <v>School Principal</v>
      </c>
      <c r="F498" s="98" t="str">
        <f>EMPLOYEE_MASTER!Z498</f>
        <v>Teacher</v>
      </c>
      <c r="G498" s="99">
        <f>EMPLOYEE_MASTER!P498</f>
        <v>3</v>
      </c>
      <c r="H498" s="99">
        <f>EMPLOYEE_MASTER!Q498</f>
        <v>1</v>
      </c>
      <c r="I498" s="100" t="str">
        <f t="shared" si="56"/>
        <v>G03-S01</v>
      </c>
      <c r="J498" s="100">
        <f>IFERROR(VLOOKUP(I498,LK_GradeStep!$C$4:$D$85,2,0),0)</f>
        <v>276</v>
      </c>
      <c r="K498" s="100">
        <f>IFERROR(VLOOKUP(I498,LK_GradeStep!$C$4:$E$85,3,0),10000)</f>
        <v>10000</v>
      </c>
      <c r="L498" s="100">
        <f t="shared" si="57"/>
        <v>2760000</v>
      </c>
      <c r="M498" s="101">
        <f>IFERROR(VLOOKUP(EMPLOYEE_MASTER!AQ498,LK_AllowanceRates!$A$5:$B$11,2,0),0)</f>
        <v>900000</v>
      </c>
      <c r="N498" s="101">
        <f ca="1">IFERROR(IF(EMPLOYEE_MASTER!J498&lt;=5,  EMPLOYEE_MASTER!J498*LK_AllowanceRates!$B$12,IF(EMPLOYEE_MASTER!J498&lt;=15, EMPLOYEE_MASTER!J498*LK_AllowanceRates!$B$13,IF(EMPLOYEE_MASTER!J498&lt;=25, EMPLOYEE_MASTER!J498*LK_AllowanceRates!$B$14,EMPLOYEE_MASTER!J498*LK_AllowanceRates!$B$15))),0)</f>
        <v>1320000</v>
      </c>
      <c r="O498" s="101">
        <f>IF(EMPLOYEE_MASTER!AS498="Teaching",L498*LK_AllowanceRates!$B$16,0)</f>
        <v>552000</v>
      </c>
      <c r="P498" s="101">
        <f>IF(EMPLOYEE_MASTER!AS498="Medical",LK_AllowanceRates!$B$17,0)</f>
        <v>0</v>
      </c>
      <c r="Q498" s="101">
        <f>IF(EMPLOYEE_MASTER!AR498="Yes",LK_AllowanceRates!$B$18,0)</f>
        <v>0</v>
      </c>
      <c r="R498" s="101">
        <f>IF(EMPLOYEE_MASTER!AC498="Yes",LK_AllowanceRates!$B$19,0)</f>
        <v>0</v>
      </c>
      <c r="S498" s="101">
        <f>IF(EMPLOYEE_MASTER!AA498="Yes",L498*LK_AllowanceRates!$B$20,0)</f>
        <v>0</v>
      </c>
      <c r="T498" s="101">
        <f>IF(EMPLOYEE_MASTER!AB498="Yes",LK_AllowanceRates!$B$21,0)</f>
        <v>0</v>
      </c>
      <c r="U498" s="101">
        <f>IF(EMPLOYEE_MASTER!P498&gt;=6,LK_AllowanceRates!$B$22,0)</f>
        <v>0</v>
      </c>
      <c r="V498" s="101">
        <f>IF(EMPLOYEE_MASTER!AO498="Yes",LK_AllowanceRates!$B$23,0)</f>
        <v>200000</v>
      </c>
      <c r="W498" s="101">
        <f>EMPLOYEE_MASTER!AP498*LK_AllowanceRates!$B$24</f>
        <v>400000</v>
      </c>
      <c r="X498" s="101">
        <v>0</v>
      </c>
      <c r="Y498" s="102">
        <v>0</v>
      </c>
      <c r="Z498" s="102">
        <v>0</v>
      </c>
      <c r="AA498" s="102">
        <v>0</v>
      </c>
      <c r="AB498" s="103">
        <f t="shared" ca="1" si="58"/>
        <v>3372000</v>
      </c>
      <c r="AC498" s="104">
        <f t="shared" ca="1" si="59"/>
        <v>6132000</v>
      </c>
      <c r="AD498" s="105">
        <f>ROUND(L498*LK_AllowanceRates!$B$25/100,0)</f>
        <v>151800</v>
      </c>
      <c r="AE498" s="106">
        <f t="shared" ca="1" si="60"/>
        <v>5980200</v>
      </c>
      <c r="AF498" s="106">
        <f t="shared" ca="1" si="61"/>
        <v>283020</v>
      </c>
      <c r="AG498" s="107">
        <v>0</v>
      </c>
      <c r="AH498" s="107">
        <v>0</v>
      </c>
      <c r="AI498" s="108">
        <f t="shared" ca="1" si="62"/>
        <v>434820</v>
      </c>
      <c r="AJ498" s="109">
        <f t="shared" ca="1" si="63"/>
        <v>5697180</v>
      </c>
    </row>
    <row r="499" spans="1:36" ht="15" customHeight="1" x14ac:dyDescent="0.3">
      <c r="A499" s="98" t="str">
        <f>EMPLOYEE_MASTER!A499</f>
        <v>LAO00496</v>
      </c>
      <c r="B499" s="98" t="str">
        <f>EMPLOYEE_MASTER!C499</f>
        <v>Soudabout</v>
      </c>
      <c r="C499" s="98" t="str">
        <f>EMPLOYEE_MASTER!D499</f>
        <v>Phouthavong</v>
      </c>
      <c r="D499" s="98" t="str">
        <f>EMPLOYEE_MASTER!T499</f>
        <v>Ministry of Education and Sports (MoES)</v>
      </c>
      <c r="E499" s="98" t="str">
        <f>EMPLOYEE_MASTER!M499</f>
        <v>School Principal</v>
      </c>
      <c r="F499" s="98" t="str">
        <f>EMPLOYEE_MASTER!Z499</f>
        <v>Teacher</v>
      </c>
      <c r="G499" s="99">
        <f>EMPLOYEE_MASTER!P499</f>
        <v>4</v>
      </c>
      <c r="H499" s="99">
        <f>EMPLOYEE_MASTER!Q499</f>
        <v>1</v>
      </c>
      <c r="I499" s="100" t="str">
        <f t="shared" si="56"/>
        <v>G04-S01</v>
      </c>
      <c r="J499" s="100">
        <f>IFERROR(VLOOKUP(I499,LK_GradeStep!$C$4:$D$85,2,0),0)</f>
        <v>286</v>
      </c>
      <c r="K499" s="100">
        <f>IFERROR(VLOOKUP(I499,LK_GradeStep!$C$4:$E$85,3,0),10000)</f>
        <v>10000</v>
      </c>
      <c r="L499" s="100">
        <f t="shared" si="57"/>
        <v>2860000</v>
      </c>
      <c r="M499" s="101">
        <f>IFERROR(VLOOKUP(EMPLOYEE_MASTER!AQ499,LK_AllowanceRates!$A$5:$B$11,2,0),0)</f>
        <v>900000</v>
      </c>
      <c r="N499" s="101">
        <f ca="1">IFERROR(IF(EMPLOYEE_MASTER!J499&lt;=5,  EMPLOYEE_MASTER!J499*LK_AllowanceRates!$B$12,IF(EMPLOYEE_MASTER!J499&lt;=15, EMPLOYEE_MASTER!J499*LK_AllowanceRates!$B$13,IF(EMPLOYEE_MASTER!J499&lt;=25, EMPLOYEE_MASTER!J499*LK_AllowanceRates!$B$14,EMPLOYEE_MASTER!J499*LK_AllowanceRates!$B$15))),0)</f>
        <v>300000</v>
      </c>
      <c r="O499" s="101">
        <f>IF(EMPLOYEE_MASTER!AS499="Teaching",L499*LK_AllowanceRates!$B$16,0)</f>
        <v>572000</v>
      </c>
      <c r="P499" s="101">
        <f>IF(EMPLOYEE_MASTER!AS499="Medical",LK_AllowanceRates!$B$17,0)</f>
        <v>0</v>
      </c>
      <c r="Q499" s="101">
        <f>IF(EMPLOYEE_MASTER!AR499="Yes",LK_AllowanceRates!$B$18,0)</f>
        <v>0</v>
      </c>
      <c r="R499" s="101">
        <f>IF(EMPLOYEE_MASTER!AC499="Yes",LK_AllowanceRates!$B$19,0)</f>
        <v>1000000</v>
      </c>
      <c r="S499" s="101">
        <f>IF(EMPLOYEE_MASTER!AA499="Yes",L499*LK_AllowanceRates!$B$20,0)</f>
        <v>0</v>
      </c>
      <c r="T499" s="101">
        <f>IF(EMPLOYEE_MASTER!AB499="Yes",LK_AllowanceRates!$B$21,0)</f>
        <v>0</v>
      </c>
      <c r="U499" s="101">
        <f>IF(EMPLOYEE_MASTER!P499&gt;=6,LK_AllowanceRates!$B$22,0)</f>
        <v>0</v>
      </c>
      <c r="V499" s="101">
        <f>IF(EMPLOYEE_MASTER!AO499="Yes",LK_AllowanceRates!$B$23,0)</f>
        <v>200000</v>
      </c>
      <c r="W499" s="101">
        <f>EMPLOYEE_MASTER!AP499*LK_AllowanceRates!$B$24</f>
        <v>400000</v>
      </c>
      <c r="X499" s="101">
        <v>0</v>
      </c>
      <c r="Y499" s="102">
        <v>0</v>
      </c>
      <c r="Z499" s="102">
        <v>0</v>
      </c>
      <c r="AA499" s="102">
        <v>0</v>
      </c>
      <c r="AB499" s="103">
        <f t="shared" ca="1" si="58"/>
        <v>3372000</v>
      </c>
      <c r="AC499" s="104">
        <f t="shared" ca="1" si="59"/>
        <v>6232000</v>
      </c>
      <c r="AD499" s="105">
        <f>ROUND(L499*LK_AllowanceRates!$B$25/100,0)</f>
        <v>157300</v>
      </c>
      <c r="AE499" s="106">
        <f t="shared" ca="1" si="60"/>
        <v>6074700</v>
      </c>
      <c r="AF499" s="106">
        <f t="shared" ca="1" si="61"/>
        <v>292470</v>
      </c>
      <c r="AG499" s="107">
        <v>0</v>
      </c>
      <c r="AH499" s="107">
        <v>0</v>
      </c>
      <c r="AI499" s="108">
        <f t="shared" ca="1" si="62"/>
        <v>449770</v>
      </c>
      <c r="AJ499" s="109">
        <f t="shared" ca="1" si="63"/>
        <v>5782230</v>
      </c>
    </row>
    <row r="500" spans="1:36" ht="15" customHeight="1" x14ac:dyDescent="0.3">
      <c r="A500" s="98" t="str">
        <f>EMPLOYEE_MASTER!A500</f>
        <v>LAO00497</v>
      </c>
      <c r="B500" s="98" t="str">
        <f>EMPLOYEE_MASTER!C500</f>
        <v>Santisouk</v>
      </c>
      <c r="C500" s="98" t="str">
        <f>EMPLOYEE_MASTER!D500</f>
        <v>Manivong</v>
      </c>
      <c r="D500" s="98" t="str">
        <f>EMPLOYEE_MASTER!T500</f>
        <v>National Assembly (NA)</v>
      </c>
      <c r="E500" s="98" t="str">
        <f>EMPLOYEE_MASTER!M500</f>
        <v>Deputy Department Director</v>
      </c>
      <c r="F500" s="98" t="str">
        <f>EMPLOYEE_MASTER!Z500</f>
        <v>Administration</v>
      </c>
      <c r="G500" s="99">
        <f>EMPLOYEE_MASTER!P500</f>
        <v>5</v>
      </c>
      <c r="H500" s="99">
        <f>EMPLOYEE_MASTER!Q500</f>
        <v>3</v>
      </c>
      <c r="I500" s="100" t="str">
        <f t="shared" si="56"/>
        <v>G05-S03</v>
      </c>
      <c r="J500" s="100">
        <f>IFERROR(VLOOKUP(I500,LK_GradeStep!$C$4:$D$85,2,0),0)</f>
        <v>318</v>
      </c>
      <c r="K500" s="100">
        <f>IFERROR(VLOOKUP(I500,LK_GradeStep!$C$4:$E$85,3,0),10000)</f>
        <v>10000</v>
      </c>
      <c r="L500" s="100">
        <f t="shared" si="57"/>
        <v>3180000</v>
      </c>
      <c r="M500" s="101">
        <f>IFERROR(VLOOKUP(EMPLOYEE_MASTER!AQ500,LK_AllowanceRates!$A$5:$B$11,2,0),0)</f>
        <v>900000</v>
      </c>
      <c r="N500" s="101">
        <f ca="1">IFERROR(IF(EMPLOYEE_MASTER!J500&lt;=5,  EMPLOYEE_MASTER!J500*LK_AllowanceRates!$B$12,IF(EMPLOYEE_MASTER!J500&lt;=15, EMPLOYEE_MASTER!J500*LK_AllowanceRates!$B$13,IF(EMPLOYEE_MASTER!J500&lt;=25, EMPLOYEE_MASTER!J500*LK_AllowanceRates!$B$14,EMPLOYEE_MASTER!J500*LK_AllowanceRates!$B$15))),0)</f>
        <v>40000</v>
      </c>
      <c r="O500" s="101">
        <f>IF(EMPLOYEE_MASTER!AS500="Teaching",L500*LK_AllowanceRates!$B$16,0)</f>
        <v>0</v>
      </c>
      <c r="P500" s="101">
        <f>IF(EMPLOYEE_MASTER!AS500="Medical",LK_AllowanceRates!$B$17,0)</f>
        <v>0</v>
      </c>
      <c r="Q500" s="101">
        <f>IF(EMPLOYEE_MASTER!AR500="Yes",LK_AllowanceRates!$B$18,0)</f>
        <v>1000000</v>
      </c>
      <c r="R500" s="101">
        <f>IF(EMPLOYEE_MASTER!AC500="Yes",LK_AllowanceRates!$B$19,0)</f>
        <v>0</v>
      </c>
      <c r="S500" s="101">
        <f>IF(EMPLOYEE_MASTER!AA500="Yes",L500*LK_AllowanceRates!$B$20,0)</f>
        <v>0</v>
      </c>
      <c r="T500" s="101">
        <f>IF(EMPLOYEE_MASTER!AB500="Yes",LK_AllowanceRates!$B$21,0)</f>
        <v>0</v>
      </c>
      <c r="U500" s="101">
        <f>IF(EMPLOYEE_MASTER!P500&gt;=6,LK_AllowanceRates!$B$22,0)</f>
        <v>0</v>
      </c>
      <c r="V500" s="101">
        <f>IF(EMPLOYEE_MASTER!AO500="Yes",LK_AllowanceRates!$B$23,0)</f>
        <v>200000</v>
      </c>
      <c r="W500" s="101">
        <f>EMPLOYEE_MASTER!AP500*LK_AllowanceRates!$B$24</f>
        <v>600000</v>
      </c>
      <c r="X500" s="101">
        <v>0</v>
      </c>
      <c r="Y500" s="102">
        <v>0</v>
      </c>
      <c r="Z500" s="102">
        <v>0</v>
      </c>
      <c r="AA500" s="102">
        <v>0</v>
      </c>
      <c r="AB500" s="103">
        <f t="shared" ca="1" si="58"/>
        <v>2740000</v>
      </c>
      <c r="AC500" s="104">
        <f t="shared" ca="1" si="59"/>
        <v>5920000</v>
      </c>
      <c r="AD500" s="105">
        <f>ROUND(L500*LK_AllowanceRates!$B$25/100,0)</f>
        <v>174900</v>
      </c>
      <c r="AE500" s="106">
        <f t="shared" ca="1" si="60"/>
        <v>5745100</v>
      </c>
      <c r="AF500" s="106">
        <f t="shared" ca="1" si="61"/>
        <v>259510</v>
      </c>
      <c r="AG500" s="107">
        <v>0</v>
      </c>
      <c r="AH500" s="107">
        <v>0</v>
      </c>
      <c r="AI500" s="108">
        <f t="shared" ca="1" si="62"/>
        <v>434410</v>
      </c>
      <c r="AJ500" s="109">
        <f t="shared" ca="1" si="63"/>
        <v>5485590</v>
      </c>
    </row>
    <row r="501" spans="1:36" ht="15" customHeight="1" x14ac:dyDescent="0.3">
      <c r="A501" s="98" t="str">
        <f>EMPLOYEE_MASTER!A501</f>
        <v>LAO00498</v>
      </c>
      <c r="B501" s="98" t="str">
        <f>EMPLOYEE_MASTER!C501</f>
        <v>Bounthieng</v>
      </c>
      <c r="C501" s="98" t="str">
        <f>EMPLOYEE_MASTER!D501</f>
        <v>Thammavong</v>
      </c>
      <c r="D501" s="98" t="str">
        <f>EMPLOYEE_MASTER!T501</f>
        <v>Ministry of Finance (MoF)</v>
      </c>
      <c r="E501" s="98" t="str">
        <f>EMPLOYEE_MASTER!M501</f>
        <v>Treasury Officer</v>
      </c>
      <c r="F501" s="98" t="str">
        <f>EMPLOYEE_MASTER!Z501</f>
        <v>Finance</v>
      </c>
      <c r="G501" s="99">
        <f>EMPLOYEE_MASTER!P501</f>
        <v>2</v>
      </c>
      <c r="H501" s="99">
        <f>EMPLOYEE_MASTER!Q501</f>
        <v>1</v>
      </c>
      <c r="I501" s="100" t="str">
        <f t="shared" si="56"/>
        <v>G02-S01</v>
      </c>
      <c r="J501" s="100">
        <f>IFERROR(VLOOKUP(I501,LK_GradeStep!$C$4:$D$85,2,0),0)</f>
        <v>268</v>
      </c>
      <c r="K501" s="100">
        <f>IFERROR(VLOOKUP(I501,LK_GradeStep!$C$4:$E$85,3,0),10000)</f>
        <v>10000</v>
      </c>
      <c r="L501" s="100">
        <f t="shared" si="57"/>
        <v>2680000</v>
      </c>
      <c r="M501" s="101">
        <f>IFERROR(VLOOKUP(EMPLOYEE_MASTER!AQ501,LK_AllowanceRates!$A$5:$B$11,2,0),0)</f>
        <v>900000</v>
      </c>
      <c r="N501" s="101">
        <f ca="1">IFERROR(IF(EMPLOYEE_MASTER!J501&lt;=5,  EMPLOYEE_MASTER!J501*LK_AllowanceRates!$B$12,IF(EMPLOYEE_MASTER!J501&lt;=15, EMPLOYEE_MASTER!J501*LK_AllowanceRates!$B$13,IF(EMPLOYEE_MASTER!J501&lt;=25, EMPLOYEE_MASTER!J501*LK_AllowanceRates!$B$14,EMPLOYEE_MASTER!J501*LK_AllowanceRates!$B$15))),0)</f>
        <v>510000</v>
      </c>
      <c r="O501" s="101">
        <f>IF(EMPLOYEE_MASTER!AS501="Teaching",L501*LK_AllowanceRates!$B$16,0)</f>
        <v>0</v>
      </c>
      <c r="P501" s="101">
        <f>IF(EMPLOYEE_MASTER!AS501="Medical",LK_AllowanceRates!$B$17,0)</f>
        <v>0</v>
      </c>
      <c r="Q501" s="101">
        <f>IF(EMPLOYEE_MASTER!AR501="Yes",LK_AllowanceRates!$B$18,0)</f>
        <v>0</v>
      </c>
      <c r="R501" s="101">
        <f>IF(EMPLOYEE_MASTER!AC501="Yes",LK_AllowanceRates!$B$19,0)</f>
        <v>0</v>
      </c>
      <c r="S501" s="101">
        <f>IF(EMPLOYEE_MASTER!AA501="Yes",L501*LK_AllowanceRates!$B$20,0)</f>
        <v>0</v>
      </c>
      <c r="T501" s="101">
        <f>IF(EMPLOYEE_MASTER!AB501="Yes",LK_AllowanceRates!$B$21,0)</f>
        <v>0</v>
      </c>
      <c r="U501" s="101">
        <f>IF(EMPLOYEE_MASTER!P501&gt;=6,LK_AllowanceRates!$B$22,0)</f>
        <v>0</v>
      </c>
      <c r="V501" s="101">
        <f>IF(EMPLOYEE_MASTER!AO501="Yes",LK_AllowanceRates!$B$23,0)</f>
        <v>200000</v>
      </c>
      <c r="W501" s="101">
        <f>EMPLOYEE_MASTER!AP501*LK_AllowanceRates!$B$24</f>
        <v>600000</v>
      </c>
      <c r="X501" s="101">
        <v>0</v>
      </c>
      <c r="Y501" s="102">
        <v>0</v>
      </c>
      <c r="Z501" s="102">
        <v>0</v>
      </c>
      <c r="AA501" s="102">
        <v>0</v>
      </c>
      <c r="AB501" s="103">
        <f t="shared" ca="1" si="58"/>
        <v>2210000</v>
      </c>
      <c r="AC501" s="104">
        <f t="shared" ca="1" si="59"/>
        <v>4890000</v>
      </c>
      <c r="AD501" s="105">
        <f>ROUND(L501*LK_AllowanceRates!$B$25/100,0)</f>
        <v>147400</v>
      </c>
      <c r="AE501" s="106">
        <f t="shared" ca="1" si="60"/>
        <v>4742600</v>
      </c>
      <c r="AF501" s="106">
        <f t="shared" ca="1" si="61"/>
        <v>172130</v>
      </c>
      <c r="AG501" s="107">
        <v>0</v>
      </c>
      <c r="AH501" s="107">
        <v>0</v>
      </c>
      <c r="AI501" s="108">
        <f t="shared" ca="1" si="62"/>
        <v>319530</v>
      </c>
      <c r="AJ501" s="109">
        <f t="shared" ca="1" si="63"/>
        <v>4570470</v>
      </c>
    </row>
    <row r="502" spans="1:36" ht="15" customHeight="1" x14ac:dyDescent="0.3">
      <c r="A502" s="98" t="str">
        <f>EMPLOYEE_MASTER!A502</f>
        <v>LAO00499</v>
      </c>
      <c r="B502" s="98" t="str">
        <f>EMPLOYEE_MASTER!C502</f>
        <v>Khamsouk</v>
      </c>
      <c r="C502" s="98" t="str">
        <f>EMPLOYEE_MASTER!D502</f>
        <v>Xayyasith</v>
      </c>
      <c r="D502" s="98" t="str">
        <f>EMPLOYEE_MASTER!T502</f>
        <v>Ministry of Health (MoH)</v>
      </c>
      <c r="E502" s="98" t="str">
        <f>EMPLOYEE_MASTER!M502</f>
        <v>Public Health Officer</v>
      </c>
      <c r="F502" s="98" t="str">
        <f>EMPLOYEE_MASTER!Z502</f>
        <v>Medical</v>
      </c>
      <c r="G502" s="99">
        <f>EMPLOYEE_MASTER!P502</f>
        <v>2</v>
      </c>
      <c r="H502" s="99">
        <f>EMPLOYEE_MASTER!Q502</f>
        <v>4</v>
      </c>
      <c r="I502" s="100" t="str">
        <f t="shared" si="56"/>
        <v>G02-S04</v>
      </c>
      <c r="J502" s="100">
        <f>IFERROR(VLOOKUP(I502,LK_GradeStep!$C$4:$D$85,2,0),0)</f>
        <v>271</v>
      </c>
      <c r="K502" s="100">
        <f>IFERROR(VLOOKUP(I502,LK_GradeStep!$C$4:$E$85,3,0),10000)</f>
        <v>10000</v>
      </c>
      <c r="L502" s="100">
        <f t="shared" si="57"/>
        <v>2710000</v>
      </c>
      <c r="M502" s="101">
        <f>IFERROR(VLOOKUP(EMPLOYEE_MASTER!AQ502,LK_AllowanceRates!$A$5:$B$11,2,0),0)</f>
        <v>900000</v>
      </c>
      <c r="N502" s="101">
        <f ca="1">IFERROR(IF(EMPLOYEE_MASTER!J502&lt;=5,  EMPLOYEE_MASTER!J502*LK_AllowanceRates!$B$12,IF(EMPLOYEE_MASTER!J502&lt;=15, EMPLOYEE_MASTER!J502*LK_AllowanceRates!$B$13,IF(EMPLOYEE_MASTER!J502&lt;=25, EMPLOYEE_MASTER!J502*LK_AllowanceRates!$B$14,EMPLOYEE_MASTER!J502*LK_AllowanceRates!$B$15))),0)</f>
        <v>120000</v>
      </c>
      <c r="O502" s="101">
        <f>IF(EMPLOYEE_MASTER!AS502="Teaching",L502*LK_AllowanceRates!$B$16,0)</f>
        <v>0</v>
      </c>
      <c r="P502" s="101">
        <f>IF(EMPLOYEE_MASTER!AS502="Medical",LK_AllowanceRates!$B$17,0)</f>
        <v>500000</v>
      </c>
      <c r="Q502" s="101">
        <f>IF(EMPLOYEE_MASTER!AR502="Yes",LK_AllowanceRates!$B$18,0)</f>
        <v>0</v>
      </c>
      <c r="R502" s="101">
        <f>IF(EMPLOYEE_MASTER!AC502="Yes",LK_AllowanceRates!$B$19,0)</f>
        <v>0</v>
      </c>
      <c r="S502" s="101">
        <f>IF(EMPLOYEE_MASTER!AA502="Yes",L502*LK_AllowanceRates!$B$20,0)</f>
        <v>0</v>
      </c>
      <c r="T502" s="101">
        <f>IF(EMPLOYEE_MASTER!AB502="Yes",LK_AllowanceRates!$B$21,0)</f>
        <v>0</v>
      </c>
      <c r="U502" s="101">
        <f>IF(EMPLOYEE_MASTER!P502&gt;=6,LK_AllowanceRates!$B$22,0)</f>
        <v>0</v>
      </c>
      <c r="V502" s="101">
        <f>IF(EMPLOYEE_MASTER!AO502="Yes",LK_AllowanceRates!$B$23,0)</f>
        <v>0</v>
      </c>
      <c r="W502" s="101">
        <f>EMPLOYEE_MASTER!AP502*LK_AllowanceRates!$B$24</f>
        <v>0</v>
      </c>
      <c r="X502" s="101">
        <v>0</v>
      </c>
      <c r="Y502" s="102">
        <v>0</v>
      </c>
      <c r="Z502" s="102">
        <v>0</v>
      </c>
      <c r="AA502" s="102">
        <v>0</v>
      </c>
      <c r="AB502" s="103">
        <f t="shared" ca="1" si="58"/>
        <v>1520000</v>
      </c>
      <c r="AC502" s="104">
        <f t="shared" ca="1" si="59"/>
        <v>4230000</v>
      </c>
      <c r="AD502" s="105">
        <f>ROUND(L502*LK_AllowanceRates!$B$25/100,0)</f>
        <v>149050</v>
      </c>
      <c r="AE502" s="106">
        <f t="shared" ca="1" si="60"/>
        <v>4080950</v>
      </c>
      <c r="AF502" s="106">
        <f t="shared" ca="1" si="61"/>
        <v>139047.5</v>
      </c>
      <c r="AG502" s="107">
        <v>0</v>
      </c>
      <c r="AH502" s="107">
        <v>0</v>
      </c>
      <c r="AI502" s="108">
        <f t="shared" ca="1" si="62"/>
        <v>288097.5</v>
      </c>
      <c r="AJ502" s="109">
        <f t="shared" ca="1" si="63"/>
        <v>3941902.5</v>
      </c>
    </row>
    <row r="503" spans="1:36" ht="15" customHeight="1" x14ac:dyDescent="0.3">
      <c r="A503" s="98" t="str">
        <f>EMPLOYEE_MASTER!A503</f>
        <v>LAO00500</v>
      </c>
      <c r="B503" s="98" t="str">
        <f>EMPLOYEE_MASTER!C503</f>
        <v>Vilayhong</v>
      </c>
      <c r="C503" s="98" t="str">
        <f>EMPLOYEE_MASTER!D503</f>
        <v>Luanglath</v>
      </c>
      <c r="D503" s="98" t="str">
        <f>EMPLOYEE_MASTER!T503</f>
        <v>Ministry of Industry &amp; Commerce (MoIC)</v>
      </c>
      <c r="E503" s="98" t="str">
        <f>EMPLOYEE_MASTER!M503</f>
        <v>Administrative Officer</v>
      </c>
      <c r="F503" s="98" t="str">
        <f>EMPLOYEE_MASTER!Z503</f>
        <v>Administration</v>
      </c>
      <c r="G503" s="99">
        <f>EMPLOYEE_MASTER!P503</f>
        <v>4</v>
      </c>
      <c r="H503" s="99">
        <f>EMPLOYEE_MASTER!Q503</f>
        <v>8</v>
      </c>
      <c r="I503" s="100" t="str">
        <f t="shared" si="56"/>
        <v>G04-S08</v>
      </c>
      <c r="J503" s="100">
        <f>IFERROR(VLOOKUP(I503,LK_GradeStep!$C$4:$D$85,2,0),0)</f>
        <v>303</v>
      </c>
      <c r="K503" s="100">
        <f>IFERROR(VLOOKUP(I503,LK_GradeStep!$C$4:$E$85,3,0),10000)</f>
        <v>10000</v>
      </c>
      <c r="L503" s="100">
        <f t="shared" si="57"/>
        <v>3030000</v>
      </c>
      <c r="M503" s="101">
        <f>IFERROR(VLOOKUP(EMPLOYEE_MASTER!AQ503,LK_AllowanceRates!$A$5:$B$11,2,0),0)</f>
        <v>900000</v>
      </c>
      <c r="N503" s="101">
        <f ca="1">IFERROR(IF(EMPLOYEE_MASTER!J503&lt;=5,  EMPLOYEE_MASTER!J503*LK_AllowanceRates!$B$12,IF(EMPLOYEE_MASTER!J503&lt;=15, EMPLOYEE_MASTER!J503*LK_AllowanceRates!$B$13,IF(EMPLOYEE_MASTER!J503&lt;=25, EMPLOYEE_MASTER!J503*LK_AllowanceRates!$B$14,EMPLOYEE_MASTER!J503*LK_AllowanceRates!$B$15))),0)</f>
        <v>480000</v>
      </c>
      <c r="O503" s="101">
        <f>IF(EMPLOYEE_MASTER!AS503="Teaching",L503*LK_AllowanceRates!$B$16,0)</f>
        <v>0</v>
      </c>
      <c r="P503" s="101">
        <f>IF(EMPLOYEE_MASTER!AS503="Medical",LK_AllowanceRates!$B$17,0)</f>
        <v>0</v>
      </c>
      <c r="Q503" s="101">
        <f>IF(EMPLOYEE_MASTER!AR503="Yes",LK_AllowanceRates!$B$18,0)</f>
        <v>0</v>
      </c>
      <c r="R503" s="101">
        <f>IF(EMPLOYEE_MASTER!AC503="Yes",LK_AllowanceRates!$B$19,0)</f>
        <v>0</v>
      </c>
      <c r="S503" s="101">
        <f>IF(EMPLOYEE_MASTER!AA503="Yes",L503*LK_AllowanceRates!$B$20,0)</f>
        <v>757500</v>
      </c>
      <c r="T503" s="101">
        <f>IF(EMPLOYEE_MASTER!AB503="Yes",LK_AllowanceRates!$B$21,0)</f>
        <v>0</v>
      </c>
      <c r="U503" s="101">
        <f>IF(EMPLOYEE_MASTER!P503&gt;=6,LK_AllowanceRates!$B$22,0)</f>
        <v>0</v>
      </c>
      <c r="V503" s="101">
        <f>IF(EMPLOYEE_MASTER!AO503="Yes",LK_AllowanceRates!$B$23,0)</f>
        <v>200000</v>
      </c>
      <c r="W503" s="101">
        <f>EMPLOYEE_MASTER!AP503*LK_AllowanceRates!$B$24</f>
        <v>400000</v>
      </c>
      <c r="X503" s="101">
        <v>0</v>
      </c>
      <c r="Y503" s="102">
        <v>0</v>
      </c>
      <c r="Z503" s="102">
        <v>0</v>
      </c>
      <c r="AA503" s="102">
        <v>0</v>
      </c>
      <c r="AB503" s="103">
        <f t="shared" ca="1" si="58"/>
        <v>2737500</v>
      </c>
      <c r="AC503" s="104">
        <f t="shared" ca="1" si="59"/>
        <v>5767500</v>
      </c>
      <c r="AD503" s="105">
        <f>ROUND(L503*LK_AllowanceRates!$B$25/100,0)</f>
        <v>166650</v>
      </c>
      <c r="AE503" s="106">
        <f t="shared" ca="1" si="60"/>
        <v>5600850</v>
      </c>
      <c r="AF503" s="106">
        <f t="shared" ca="1" si="61"/>
        <v>245085</v>
      </c>
      <c r="AG503" s="107">
        <v>0</v>
      </c>
      <c r="AH503" s="107">
        <v>0</v>
      </c>
      <c r="AI503" s="108">
        <f t="shared" ca="1" si="62"/>
        <v>411735</v>
      </c>
      <c r="AJ503" s="109">
        <f t="shared" ca="1" si="63"/>
        <v>5355765</v>
      </c>
    </row>
    <row r="504" spans="1:36" ht="21.75" customHeight="1" x14ac:dyDescent="0.3">
      <c r="A504" s="253" t="s">
        <v>5303</v>
      </c>
      <c r="B504" s="253"/>
      <c r="C504" s="253"/>
      <c r="D504" s="253"/>
      <c r="E504" s="253"/>
      <c r="F504" s="253"/>
      <c r="G504" s="110">
        <f t="shared" ref="G504:AJ504" si="64">SUM(G4:G503)</f>
        <v>1870</v>
      </c>
      <c r="H504" s="110">
        <f t="shared" si="64"/>
        <v>2027</v>
      </c>
      <c r="I504" s="110">
        <f t="shared" si="64"/>
        <v>0</v>
      </c>
      <c r="J504" s="110">
        <f t="shared" si="64"/>
        <v>147857</v>
      </c>
      <c r="K504" s="110">
        <f t="shared" si="64"/>
        <v>5000000</v>
      </c>
      <c r="L504" s="110">
        <f t="shared" si="64"/>
        <v>1478570000</v>
      </c>
      <c r="M504" s="110">
        <f t="shared" si="64"/>
        <v>570200000</v>
      </c>
      <c r="N504" s="110">
        <f t="shared" ca="1" si="64"/>
        <v>308880000</v>
      </c>
      <c r="O504" s="110">
        <f t="shared" si="64"/>
        <v>48344000</v>
      </c>
      <c r="P504" s="110">
        <f t="shared" si="64"/>
        <v>33000000</v>
      </c>
      <c r="Q504" s="110">
        <f t="shared" si="64"/>
        <v>25000000</v>
      </c>
      <c r="R504" s="110">
        <f t="shared" si="64"/>
        <v>192000000</v>
      </c>
      <c r="S504" s="110">
        <f t="shared" si="64"/>
        <v>178197500</v>
      </c>
      <c r="T504" s="110">
        <f t="shared" si="64"/>
        <v>182160000</v>
      </c>
      <c r="U504" s="110">
        <f t="shared" si="64"/>
        <v>0</v>
      </c>
      <c r="V504" s="110">
        <f t="shared" si="64"/>
        <v>59200000</v>
      </c>
      <c r="W504" s="110">
        <f t="shared" si="64"/>
        <v>107000000</v>
      </c>
      <c r="X504" s="110">
        <f t="shared" si="64"/>
        <v>0</v>
      </c>
      <c r="Y504" s="111">
        <f t="shared" si="64"/>
        <v>0</v>
      </c>
      <c r="Z504" s="111">
        <f t="shared" si="64"/>
        <v>0</v>
      </c>
      <c r="AA504" s="111">
        <f t="shared" si="64"/>
        <v>0</v>
      </c>
      <c r="AB504" s="111">
        <f t="shared" ca="1" si="64"/>
        <v>1703981500</v>
      </c>
      <c r="AC504" s="111">
        <f t="shared" ca="1" si="64"/>
        <v>3182551500</v>
      </c>
      <c r="AD504" s="111">
        <f t="shared" si="64"/>
        <v>81321350</v>
      </c>
      <c r="AE504" s="111">
        <f t="shared" ca="1" si="64"/>
        <v>3101230150</v>
      </c>
      <c r="AF504" s="111">
        <f t="shared" ca="1" si="64"/>
        <v>164709842.5</v>
      </c>
      <c r="AG504" s="111">
        <f t="shared" si="64"/>
        <v>0</v>
      </c>
      <c r="AH504" s="111">
        <f t="shared" si="64"/>
        <v>0</v>
      </c>
      <c r="AI504" s="111">
        <f t="shared" ca="1" si="64"/>
        <v>246031192.5</v>
      </c>
      <c r="AJ504" s="111">
        <f t="shared" ca="1" si="64"/>
        <v>2936520307.5</v>
      </c>
    </row>
  </sheetData>
  <mergeCells count="5">
    <mergeCell ref="A1:AJ1"/>
    <mergeCell ref="A504:F504"/>
    <mergeCell ref="M2:X2"/>
    <mergeCell ref="F2:L2"/>
    <mergeCell ref="AG2:AH2"/>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75623"/>
    <pageSetUpPr fitToPage="1"/>
  </sheetPr>
  <dimension ref="A1:N89"/>
  <sheetViews>
    <sheetView showGridLines="0" topLeftCell="D1" zoomScaleNormal="100" workbookViewId="0">
      <pane ySplit="3" topLeftCell="A19" activePane="bottomLeft" state="frozen"/>
      <selection pane="bottomLeft" activeCell="J20" sqref="J20"/>
    </sheetView>
  </sheetViews>
  <sheetFormatPr defaultColWidth="8.6640625" defaultRowHeight="14.4" x14ac:dyDescent="0.3"/>
  <cols>
    <col min="1" max="1" width="6" style="14" customWidth="1"/>
    <col min="2" max="2" width="42" style="14" customWidth="1"/>
    <col min="3" max="3" width="36" style="14" customWidth="1"/>
    <col min="4" max="4" width="32" style="14" customWidth="1"/>
    <col min="5" max="7" width="18" style="14" customWidth="1"/>
    <col min="8" max="8" width="40" style="14" customWidth="1"/>
    <col min="9" max="12" width="16" style="14" customWidth="1"/>
    <col min="13" max="13" width="20" style="14" customWidth="1"/>
    <col min="14" max="14" width="32" style="14" customWidth="1"/>
  </cols>
  <sheetData>
    <row r="1" spans="1:14" ht="24" customHeight="1" x14ac:dyDescent="0.3">
      <c r="A1" s="262" t="s">
        <v>5139</v>
      </c>
      <c r="B1" s="262"/>
      <c r="C1" s="262"/>
      <c r="D1" s="262"/>
      <c r="E1" s="262"/>
      <c r="F1" s="262"/>
      <c r="G1" s="262"/>
      <c r="H1" s="262"/>
      <c r="I1" s="262"/>
      <c r="J1" s="262"/>
      <c r="K1" s="262"/>
      <c r="L1" s="262"/>
      <c r="M1" s="262"/>
      <c r="N1" s="262"/>
    </row>
    <row r="2" spans="1:14" ht="43.5" customHeight="1" x14ac:dyDescent="0.3">
      <c r="A2" s="263" t="s">
        <v>5140</v>
      </c>
      <c r="B2" s="263"/>
      <c r="C2" s="263"/>
      <c r="D2" s="263"/>
      <c r="E2" s="263"/>
      <c r="F2" s="263"/>
      <c r="G2" s="263"/>
      <c r="H2" s="263"/>
      <c r="I2" s="263"/>
      <c r="J2" s="263"/>
      <c r="K2" s="263"/>
      <c r="L2" s="263"/>
      <c r="M2" s="263"/>
      <c r="N2" s="263"/>
    </row>
    <row r="3" spans="1:14" ht="27.75" customHeight="1" x14ac:dyDescent="0.3">
      <c r="A3" s="23" t="s">
        <v>5141</v>
      </c>
      <c r="B3" s="23" t="s">
        <v>5142</v>
      </c>
      <c r="C3" s="23" t="s">
        <v>5143</v>
      </c>
      <c r="D3" s="23" t="s">
        <v>5144</v>
      </c>
      <c r="E3" s="23" t="s">
        <v>5145</v>
      </c>
      <c r="F3" s="23" t="s">
        <v>705</v>
      </c>
      <c r="G3" s="23" t="s">
        <v>5146</v>
      </c>
      <c r="H3" s="23" t="s">
        <v>5147</v>
      </c>
      <c r="I3" s="24" t="s">
        <v>279</v>
      </c>
      <c r="J3" s="24" t="s">
        <v>280</v>
      </c>
      <c r="K3" s="24" t="s">
        <v>281</v>
      </c>
      <c r="L3" s="24" t="s">
        <v>282</v>
      </c>
      <c r="M3" s="24" t="s">
        <v>283</v>
      </c>
      <c r="N3" s="24" t="s">
        <v>284</v>
      </c>
    </row>
    <row r="4" spans="1:14" ht="15.75" customHeight="1" x14ac:dyDescent="0.3">
      <c r="A4" s="73">
        <v>1</v>
      </c>
      <c r="B4" s="25" t="s">
        <v>1084</v>
      </c>
      <c r="C4" s="74" t="s">
        <v>5148</v>
      </c>
      <c r="D4" s="25" t="s">
        <v>2822</v>
      </c>
      <c r="E4" s="73" t="s">
        <v>5149</v>
      </c>
      <c r="F4" s="75" t="s">
        <v>5150</v>
      </c>
      <c r="G4" s="28" t="s">
        <v>291</v>
      </c>
      <c r="H4" s="76" t="s">
        <v>5151</v>
      </c>
      <c r="I4" s="30">
        <v>46023</v>
      </c>
      <c r="J4" s="31"/>
      <c r="K4" s="30">
        <v>46023</v>
      </c>
      <c r="L4" s="32" t="s">
        <v>292</v>
      </c>
      <c r="M4" s="33" t="s">
        <v>5152</v>
      </c>
      <c r="N4" s="34" t="s">
        <v>294</v>
      </c>
    </row>
    <row r="5" spans="1:14" ht="15.75" customHeight="1" x14ac:dyDescent="0.3">
      <c r="A5" s="73">
        <v>2</v>
      </c>
      <c r="B5" s="25" t="s">
        <v>1084</v>
      </c>
      <c r="C5" s="74" t="s">
        <v>5148</v>
      </c>
      <c r="D5" s="25" t="s">
        <v>3611</v>
      </c>
      <c r="E5" s="73" t="s">
        <v>5153</v>
      </c>
      <c r="F5" s="75" t="s">
        <v>5150</v>
      </c>
      <c r="G5" s="28" t="s">
        <v>291</v>
      </c>
      <c r="H5" s="76" t="s">
        <v>5151</v>
      </c>
      <c r="I5" s="38">
        <v>46023</v>
      </c>
      <c r="J5" s="39"/>
      <c r="K5" s="38">
        <v>46023</v>
      </c>
      <c r="L5" s="40" t="s">
        <v>292</v>
      </c>
      <c r="M5" s="41" t="s">
        <v>5152</v>
      </c>
      <c r="N5" s="42" t="s">
        <v>294</v>
      </c>
    </row>
    <row r="6" spans="1:14" ht="15.75" customHeight="1" x14ac:dyDescent="0.3">
      <c r="A6" s="73">
        <v>3</v>
      </c>
      <c r="B6" s="25" t="s">
        <v>1084</v>
      </c>
      <c r="C6" s="74" t="s">
        <v>5148</v>
      </c>
      <c r="D6" s="25" t="s">
        <v>1687</v>
      </c>
      <c r="E6" s="73" t="s">
        <v>5154</v>
      </c>
      <c r="F6" s="75" t="s">
        <v>5150</v>
      </c>
      <c r="G6" s="28" t="s">
        <v>291</v>
      </c>
      <c r="H6" s="76" t="s">
        <v>5151</v>
      </c>
      <c r="I6" s="30">
        <v>46023</v>
      </c>
      <c r="J6" s="31"/>
      <c r="K6" s="30">
        <v>46023</v>
      </c>
      <c r="L6" s="32" t="s">
        <v>292</v>
      </c>
      <c r="M6" s="33" t="s">
        <v>5152</v>
      </c>
      <c r="N6" s="34" t="s">
        <v>294</v>
      </c>
    </row>
    <row r="7" spans="1:14" ht="15.75" customHeight="1" x14ac:dyDescent="0.3">
      <c r="A7" s="73">
        <v>4</v>
      </c>
      <c r="B7" s="25" t="s">
        <v>1084</v>
      </c>
      <c r="C7" s="74" t="s">
        <v>5148</v>
      </c>
      <c r="D7" s="25" t="s">
        <v>1217</v>
      </c>
      <c r="E7" s="73" t="s">
        <v>5155</v>
      </c>
      <c r="F7" s="75" t="s">
        <v>5150</v>
      </c>
      <c r="G7" s="28" t="s">
        <v>291</v>
      </c>
      <c r="H7" s="76" t="s">
        <v>5151</v>
      </c>
      <c r="I7" s="38">
        <v>46023</v>
      </c>
      <c r="J7" s="39"/>
      <c r="K7" s="38">
        <v>46023</v>
      </c>
      <c r="L7" s="40" t="s">
        <v>292</v>
      </c>
      <c r="M7" s="41" t="s">
        <v>5152</v>
      </c>
      <c r="N7" s="42" t="s">
        <v>294</v>
      </c>
    </row>
    <row r="8" spans="1:14" ht="15.75" customHeight="1" x14ac:dyDescent="0.3">
      <c r="A8" s="73">
        <v>5</v>
      </c>
      <c r="B8" s="25" t="s">
        <v>1084</v>
      </c>
      <c r="C8" s="74" t="s">
        <v>5148</v>
      </c>
      <c r="D8" s="25" t="s">
        <v>1528</v>
      </c>
      <c r="E8" s="73" t="s">
        <v>5156</v>
      </c>
      <c r="F8" s="75" t="s">
        <v>5150</v>
      </c>
      <c r="G8" s="28" t="s">
        <v>291</v>
      </c>
      <c r="H8" s="76" t="s">
        <v>5151</v>
      </c>
      <c r="I8" s="30">
        <v>46023</v>
      </c>
      <c r="J8" s="31"/>
      <c r="K8" s="30">
        <v>46023</v>
      </c>
      <c r="L8" s="32" t="s">
        <v>292</v>
      </c>
      <c r="M8" s="33" t="s">
        <v>5152</v>
      </c>
      <c r="N8" s="34" t="s">
        <v>294</v>
      </c>
    </row>
    <row r="9" spans="1:14" ht="15.75" customHeight="1" x14ac:dyDescent="0.3">
      <c r="A9" s="73">
        <v>6</v>
      </c>
      <c r="B9" s="25" t="s">
        <v>1084</v>
      </c>
      <c r="C9" s="74" t="s">
        <v>5148</v>
      </c>
      <c r="D9" s="25" t="s">
        <v>1085</v>
      </c>
      <c r="E9" s="73" t="s">
        <v>5157</v>
      </c>
      <c r="F9" s="75" t="s">
        <v>5150</v>
      </c>
      <c r="G9" s="28" t="s">
        <v>291</v>
      </c>
      <c r="H9" s="76" t="s">
        <v>5151</v>
      </c>
      <c r="I9" s="38">
        <v>46023</v>
      </c>
      <c r="J9" s="39"/>
      <c r="K9" s="38">
        <v>46023</v>
      </c>
      <c r="L9" s="40" t="s">
        <v>292</v>
      </c>
      <c r="M9" s="41" t="s">
        <v>5152</v>
      </c>
      <c r="N9" s="42" t="s">
        <v>294</v>
      </c>
    </row>
    <row r="10" spans="1:14" ht="15.75" customHeight="1" x14ac:dyDescent="0.3">
      <c r="A10" s="73">
        <v>7</v>
      </c>
      <c r="B10" s="25" t="s">
        <v>782</v>
      </c>
      <c r="C10" s="74" t="s">
        <v>5158</v>
      </c>
      <c r="D10" s="25" t="s">
        <v>965</v>
      </c>
      <c r="E10" s="73" t="s">
        <v>5159</v>
      </c>
      <c r="F10" s="75" t="s">
        <v>5160</v>
      </c>
      <c r="G10" s="28" t="s">
        <v>291</v>
      </c>
      <c r="H10" s="77" t="s">
        <v>5160</v>
      </c>
      <c r="I10" s="30">
        <v>46023</v>
      </c>
      <c r="J10" s="31"/>
      <c r="K10" s="30">
        <v>46023</v>
      </c>
      <c r="L10" s="32" t="s">
        <v>292</v>
      </c>
      <c r="M10" s="33" t="s">
        <v>5152</v>
      </c>
      <c r="N10" s="34" t="s">
        <v>294</v>
      </c>
    </row>
    <row r="11" spans="1:14" ht="15.75" customHeight="1" x14ac:dyDescent="0.3">
      <c r="A11" s="73">
        <v>8</v>
      </c>
      <c r="B11" s="25" t="s">
        <v>782</v>
      </c>
      <c r="C11" s="74" t="s">
        <v>5158</v>
      </c>
      <c r="D11" s="25" t="s">
        <v>813</v>
      </c>
      <c r="E11" s="73" t="s">
        <v>5161</v>
      </c>
      <c r="F11" s="75" t="s">
        <v>5160</v>
      </c>
      <c r="G11" s="28" t="s">
        <v>291</v>
      </c>
      <c r="H11" s="77" t="s">
        <v>5160</v>
      </c>
      <c r="I11" s="38">
        <v>46023</v>
      </c>
      <c r="J11" s="39"/>
      <c r="K11" s="38">
        <v>46023</v>
      </c>
      <c r="L11" s="40" t="s">
        <v>292</v>
      </c>
      <c r="M11" s="41" t="s">
        <v>5152</v>
      </c>
      <c r="N11" s="42" t="s">
        <v>294</v>
      </c>
    </row>
    <row r="12" spans="1:14" ht="15.75" customHeight="1" x14ac:dyDescent="0.3">
      <c r="A12" s="73">
        <v>9</v>
      </c>
      <c r="B12" s="25" t="s">
        <v>782</v>
      </c>
      <c r="C12" s="74" t="s">
        <v>5158</v>
      </c>
      <c r="D12" s="25" t="s">
        <v>1191</v>
      </c>
      <c r="E12" s="73" t="s">
        <v>5162</v>
      </c>
      <c r="F12" s="75" t="s">
        <v>5160</v>
      </c>
      <c r="G12" s="28" t="s">
        <v>291</v>
      </c>
      <c r="H12" s="77" t="s">
        <v>5160</v>
      </c>
      <c r="I12" s="30">
        <v>46023</v>
      </c>
      <c r="J12" s="31"/>
      <c r="K12" s="30">
        <v>46023</v>
      </c>
      <c r="L12" s="32" t="s">
        <v>292</v>
      </c>
      <c r="M12" s="33" t="s">
        <v>5152</v>
      </c>
      <c r="N12" s="34" t="s">
        <v>294</v>
      </c>
    </row>
    <row r="13" spans="1:14" ht="15.75" customHeight="1" x14ac:dyDescent="0.3">
      <c r="A13" s="73">
        <v>10</v>
      </c>
      <c r="B13" s="25" t="s">
        <v>782</v>
      </c>
      <c r="C13" s="74" t="s">
        <v>5158</v>
      </c>
      <c r="D13" s="25" t="s">
        <v>1772</v>
      </c>
      <c r="E13" s="73" t="s">
        <v>5163</v>
      </c>
      <c r="F13" s="75" t="s">
        <v>5160</v>
      </c>
      <c r="G13" s="28" t="s">
        <v>291</v>
      </c>
      <c r="H13" s="77" t="s">
        <v>5160</v>
      </c>
      <c r="I13" s="38">
        <v>46023</v>
      </c>
      <c r="J13" s="39"/>
      <c r="K13" s="38">
        <v>46023</v>
      </c>
      <c r="L13" s="40" t="s">
        <v>292</v>
      </c>
      <c r="M13" s="41" t="s">
        <v>5152</v>
      </c>
      <c r="N13" s="42" t="s">
        <v>294</v>
      </c>
    </row>
    <row r="14" spans="1:14" ht="15.75" customHeight="1" x14ac:dyDescent="0.3">
      <c r="A14" s="73">
        <v>11</v>
      </c>
      <c r="B14" s="25" t="s">
        <v>782</v>
      </c>
      <c r="C14" s="74" t="s">
        <v>5158</v>
      </c>
      <c r="D14" s="25" t="s">
        <v>829</v>
      </c>
      <c r="E14" s="73" t="s">
        <v>5164</v>
      </c>
      <c r="F14" s="75" t="s">
        <v>5160</v>
      </c>
      <c r="G14" s="28" t="s">
        <v>291</v>
      </c>
      <c r="H14" s="77" t="s">
        <v>5160</v>
      </c>
      <c r="I14" s="30">
        <v>46023</v>
      </c>
      <c r="J14" s="31"/>
      <c r="K14" s="30">
        <v>46023</v>
      </c>
      <c r="L14" s="32" t="s">
        <v>292</v>
      </c>
      <c r="M14" s="33" t="s">
        <v>5152</v>
      </c>
      <c r="N14" s="34" t="s">
        <v>294</v>
      </c>
    </row>
    <row r="15" spans="1:14" ht="15.75" customHeight="1" x14ac:dyDescent="0.3">
      <c r="A15" s="73">
        <v>12</v>
      </c>
      <c r="B15" s="25" t="s">
        <v>782</v>
      </c>
      <c r="C15" s="74" t="s">
        <v>5158</v>
      </c>
      <c r="D15" s="25" t="s">
        <v>783</v>
      </c>
      <c r="E15" s="73" t="s">
        <v>5165</v>
      </c>
      <c r="F15" s="75" t="s">
        <v>5160</v>
      </c>
      <c r="G15" s="28" t="s">
        <v>291</v>
      </c>
      <c r="H15" s="77" t="s">
        <v>5160</v>
      </c>
      <c r="I15" s="38">
        <v>46023</v>
      </c>
      <c r="J15" s="39"/>
      <c r="K15" s="38">
        <v>46023</v>
      </c>
      <c r="L15" s="40" t="s">
        <v>292</v>
      </c>
      <c r="M15" s="41" t="s">
        <v>5152</v>
      </c>
      <c r="N15" s="42" t="s">
        <v>294</v>
      </c>
    </row>
    <row r="16" spans="1:14" ht="15.75" customHeight="1" x14ac:dyDescent="0.3">
      <c r="A16" s="73">
        <v>13</v>
      </c>
      <c r="B16" s="25" t="s">
        <v>740</v>
      </c>
      <c r="C16" s="74" t="s">
        <v>5166</v>
      </c>
      <c r="D16" s="25" t="s">
        <v>741</v>
      </c>
      <c r="E16" s="73" t="s">
        <v>5167</v>
      </c>
      <c r="F16" s="75" t="s">
        <v>5168</v>
      </c>
      <c r="G16" s="28" t="s">
        <v>291</v>
      </c>
      <c r="H16" s="77" t="s">
        <v>5169</v>
      </c>
      <c r="I16" s="30">
        <v>46023</v>
      </c>
      <c r="J16" s="31"/>
      <c r="K16" s="30">
        <v>46023</v>
      </c>
      <c r="L16" s="32" t="s">
        <v>292</v>
      </c>
      <c r="M16" s="33" t="s">
        <v>5152</v>
      </c>
      <c r="N16" s="34" t="s">
        <v>294</v>
      </c>
    </row>
    <row r="17" spans="1:14" ht="15.75" customHeight="1" x14ac:dyDescent="0.3">
      <c r="A17" s="73">
        <v>14</v>
      </c>
      <c r="B17" s="25" t="s">
        <v>740</v>
      </c>
      <c r="C17" s="74" t="s">
        <v>5166</v>
      </c>
      <c r="D17" s="25" t="s">
        <v>927</v>
      </c>
      <c r="E17" s="73" t="s">
        <v>5170</v>
      </c>
      <c r="F17" s="75" t="s">
        <v>5168</v>
      </c>
      <c r="G17" s="28" t="s">
        <v>291</v>
      </c>
      <c r="H17" s="77" t="s">
        <v>5169</v>
      </c>
      <c r="I17" s="38">
        <v>46023</v>
      </c>
      <c r="J17" s="39"/>
      <c r="K17" s="38">
        <v>46023</v>
      </c>
      <c r="L17" s="40" t="s">
        <v>292</v>
      </c>
      <c r="M17" s="41" t="s">
        <v>5152</v>
      </c>
      <c r="N17" s="42" t="s">
        <v>294</v>
      </c>
    </row>
    <row r="18" spans="1:14" ht="15.75" customHeight="1" x14ac:dyDescent="0.3">
      <c r="A18" s="73">
        <v>15</v>
      </c>
      <c r="B18" s="25" t="s">
        <v>740</v>
      </c>
      <c r="C18" s="74" t="s">
        <v>5166</v>
      </c>
      <c r="D18" s="25" t="s">
        <v>1262</v>
      </c>
      <c r="E18" s="73" t="s">
        <v>5171</v>
      </c>
      <c r="F18" s="75" t="s">
        <v>5168</v>
      </c>
      <c r="G18" s="28" t="s">
        <v>291</v>
      </c>
      <c r="H18" s="77" t="s">
        <v>5169</v>
      </c>
      <c r="I18" s="30">
        <v>46023</v>
      </c>
      <c r="J18" s="31"/>
      <c r="K18" s="30">
        <v>46023</v>
      </c>
      <c r="L18" s="32" t="s">
        <v>292</v>
      </c>
      <c r="M18" s="33" t="s">
        <v>5152</v>
      </c>
      <c r="N18" s="34" t="s">
        <v>294</v>
      </c>
    </row>
    <row r="19" spans="1:14" ht="15.75" customHeight="1" x14ac:dyDescent="0.3">
      <c r="A19" s="73">
        <v>16</v>
      </c>
      <c r="B19" s="25" t="s">
        <v>740</v>
      </c>
      <c r="C19" s="74" t="s">
        <v>5166</v>
      </c>
      <c r="D19" s="25" t="s">
        <v>1388</v>
      </c>
      <c r="E19" s="73" t="s">
        <v>5172</v>
      </c>
      <c r="F19" s="75" t="s">
        <v>5168</v>
      </c>
      <c r="G19" s="28" t="s">
        <v>291</v>
      </c>
      <c r="H19" s="77" t="s">
        <v>5169</v>
      </c>
      <c r="I19" s="38">
        <v>46023</v>
      </c>
      <c r="J19" s="39"/>
      <c r="K19" s="38">
        <v>46023</v>
      </c>
      <c r="L19" s="40" t="s">
        <v>292</v>
      </c>
      <c r="M19" s="41" t="s">
        <v>5152</v>
      </c>
      <c r="N19" s="42" t="s">
        <v>294</v>
      </c>
    </row>
    <row r="20" spans="1:14" ht="15.75" customHeight="1" x14ac:dyDescent="0.3">
      <c r="A20" s="73">
        <v>17</v>
      </c>
      <c r="B20" s="25" t="s">
        <v>740</v>
      </c>
      <c r="C20" s="74" t="s">
        <v>5166</v>
      </c>
      <c r="D20" s="25" t="s">
        <v>1154</v>
      </c>
      <c r="E20" s="73" t="s">
        <v>5173</v>
      </c>
      <c r="F20" s="75" t="s">
        <v>5168</v>
      </c>
      <c r="G20" s="28" t="s">
        <v>291</v>
      </c>
      <c r="H20" s="77" t="s">
        <v>5169</v>
      </c>
      <c r="I20" s="30">
        <v>46023</v>
      </c>
      <c r="J20" s="31"/>
      <c r="K20" s="30">
        <v>46023</v>
      </c>
      <c r="L20" s="32" t="s">
        <v>292</v>
      </c>
      <c r="M20" s="33" t="s">
        <v>5152</v>
      </c>
      <c r="N20" s="34" t="s">
        <v>294</v>
      </c>
    </row>
    <row r="21" spans="1:14" ht="15.75" customHeight="1" x14ac:dyDescent="0.3">
      <c r="A21" s="73">
        <v>18</v>
      </c>
      <c r="B21" s="25" t="s">
        <v>740</v>
      </c>
      <c r="C21" s="74" t="s">
        <v>5166</v>
      </c>
      <c r="D21" s="25" t="s">
        <v>1166</v>
      </c>
      <c r="E21" s="73" t="s">
        <v>5174</v>
      </c>
      <c r="F21" s="75" t="s">
        <v>5168</v>
      </c>
      <c r="G21" s="28" t="s">
        <v>291</v>
      </c>
      <c r="H21" s="77" t="s">
        <v>5169</v>
      </c>
      <c r="I21" s="38">
        <v>46023</v>
      </c>
      <c r="J21" s="39"/>
      <c r="K21" s="38">
        <v>46023</v>
      </c>
      <c r="L21" s="40" t="s">
        <v>292</v>
      </c>
      <c r="M21" s="41" t="s">
        <v>5152</v>
      </c>
      <c r="N21" s="42" t="s">
        <v>294</v>
      </c>
    </row>
    <row r="22" spans="1:14" ht="15.75" customHeight="1" x14ac:dyDescent="0.3">
      <c r="A22" s="73">
        <v>19</v>
      </c>
      <c r="B22" s="25" t="s">
        <v>1305</v>
      </c>
      <c r="C22" s="74" t="s">
        <v>5175</v>
      </c>
      <c r="D22" s="25" t="s">
        <v>1792</v>
      </c>
      <c r="E22" s="73" t="s">
        <v>5176</v>
      </c>
      <c r="F22" s="75" t="s">
        <v>5177</v>
      </c>
      <c r="G22" s="28" t="s">
        <v>291</v>
      </c>
      <c r="H22" s="76" t="s">
        <v>5151</v>
      </c>
      <c r="I22" s="30">
        <v>46023</v>
      </c>
      <c r="J22" s="31"/>
      <c r="K22" s="30">
        <v>46023</v>
      </c>
      <c r="L22" s="32" t="s">
        <v>292</v>
      </c>
      <c r="M22" s="33" t="s">
        <v>5152</v>
      </c>
      <c r="N22" s="34" t="s">
        <v>294</v>
      </c>
    </row>
    <row r="23" spans="1:14" ht="15.75" customHeight="1" x14ac:dyDescent="0.3">
      <c r="A23" s="73">
        <v>20</v>
      </c>
      <c r="B23" s="25" t="s">
        <v>1305</v>
      </c>
      <c r="C23" s="74" t="s">
        <v>5175</v>
      </c>
      <c r="D23" s="25" t="s">
        <v>897</v>
      </c>
      <c r="E23" s="73" t="s">
        <v>5178</v>
      </c>
      <c r="F23" s="75" t="s">
        <v>5177</v>
      </c>
      <c r="G23" s="28" t="s">
        <v>291</v>
      </c>
      <c r="H23" s="76" t="s">
        <v>5151</v>
      </c>
      <c r="I23" s="38">
        <v>46023</v>
      </c>
      <c r="J23" s="39"/>
      <c r="K23" s="38">
        <v>46023</v>
      </c>
      <c r="L23" s="40" t="s">
        <v>292</v>
      </c>
      <c r="M23" s="41" t="s">
        <v>5152</v>
      </c>
      <c r="N23" s="42" t="s">
        <v>294</v>
      </c>
    </row>
    <row r="24" spans="1:14" ht="15.75" customHeight="1" x14ac:dyDescent="0.3">
      <c r="A24" s="73">
        <v>21</v>
      </c>
      <c r="B24" s="25" t="s">
        <v>1305</v>
      </c>
      <c r="C24" s="74" t="s">
        <v>5175</v>
      </c>
      <c r="D24" s="25" t="s">
        <v>1486</v>
      </c>
      <c r="E24" s="73" t="s">
        <v>5179</v>
      </c>
      <c r="F24" s="75" t="s">
        <v>5177</v>
      </c>
      <c r="G24" s="28" t="s">
        <v>291</v>
      </c>
      <c r="H24" s="76" t="s">
        <v>5151</v>
      </c>
      <c r="I24" s="30">
        <v>46023</v>
      </c>
      <c r="J24" s="31"/>
      <c r="K24" s="30">
        <v>46023</v>
      </c>
      <c r="L24" s="32" t="s">
        <v>292</v>
      </c>
      <c r="M24" s="33" t="s">
        <v>5152</v>
      </c>
      <c r="N24" s="34" t="s">
        <v>294</v>
      </c>
    </row>
    <row r="25" spans="1:14" ht="15.75" customHeight="1" x14ac:dyDescent="0.3">
      <c r="A25" s="73">
        <v>22</v>
      </c>
      <c r="B25" s="25" t="s">
        <v>1305</v>
      </c>
      <c r="C25" s="74" t="s">
        <v>5175</v>
      </c>
      <c r="D25" s="25" t="s">
        <v>1558</v>
      </c>
      <c r="E25" s="73" t="s">
        <v>5180</v>
      </c>
      <c r="F25" s="75" t="s">
        <v>5177</v>
      </c>
      <c r="G25" s="28" t="s">
        <v>291</v>
      </c>
      <c r="H25" s="76" t="s">
        <v>5151</v>
      </c>
      <c r="I25" s="38">
        <v>46023</v>
      </c>
      <c r="J25" s="39"/>
      <c r="K25" s="38">
        <v>46023</v>
      </c>
      <c r="L25" s="40" t="s">
        <v>292</v>
      </c>
      <c r="M25" s="41" t="s">
        <v>5152</v>
      </c>
      <c r="N25" s="42" t="s">
        <v>294</v>
      </c>
    </row>
    <row r="26" spans="1:14" ht="15.75" customHeight="1" x14ac:dyDescent="0.3">
      <c r="A26" s="73">
        <v>23</v>
      </c>
      <c r="B26" s="25" t="s">
        <v>1305</v>
      </c>
      <c r="C26" s="74" t="s">
        <v>5175</v>
      </c>
      <c r="D26" s="25" t="s">
        <v>2268</v>
      </c>
      <c r="E26" s="73" t="s">
        <v>5181</v>
      </c>
      <c r="F26" s="75" t="s">
        <v>5177</v>
      </c>
      <c r="G26" s="28" t="s">
        <v>291</v>
      </c>
      <c r="H26" s="76" t="s">
        <v>5151</v>
      </c>
      <c r="I26" s="30">
        <v>46023</v>
      </c>
      <c r="J26" s="31"/>
      <c r="K26" s="30">
        <v>46023</v>
      </c>
      <c r="L26" s="32" t="s">
        <v>292</v>
      </c>
      <c r="M26" s="33" t="s">
        <v>5152</v>
      </c>
      <c r="N26" s="34" t="s">
        <v>294</v>
      </c>
    </row>
    <row r="27" spans="1:14" ht="15.75" customHeight="1" x14ac:dyDescent="0.3">
      <c r="A27" s="73">
        <v>24</v>
      </c>
      <c r="B27" s="25" t="s">
        <v>859</v>
      </c>
      <c r="C27" s="74" t="s">
        <v>5182</v>
      </c>
      <c r="D27" s="25" t="s">
        <v>860</v>
      </c>
      <c r="E27" s="73" t="s">
        <v>5183</v>
      </c>
      <c r="F27" s="75" t="s">
        <v>5184</v>
      </c>
      <c r="G27" s="28" t="s">
        <v>291</v>
      </c>
      <c r="H27" s="76" t="s">
        <v>5151</v>
      </c>
      <c r="I27" s="38">
        <v>46023</v>
      </c>
      <c r="J27" s="39"/>
      <c r="K27" s="38">
        <v>46023</v>
      </c>
      <c r="L27" s="40" t="s">
        <v>292</v>
      </c>
      <c r="M27" s="41" t="s">
        <v>5152</v>
      </c>
      <c r="N27" s="42" t="s">
        <v>294</v>
      </c>
    </row>
    <row r="28" spans="1:14" ht="15.75" customHeight="1" x14ac:dyDescent="0.3">
      <c r="A28" s="73">
        <v>25</v>
      </c>
      <c r="B28" s="25" t="s">
        <v>859</v>
      </c>
      <c r="C28" s="74" t="s">
        <v>5182</v>
      </c>
      <c r="D28" s="25" t="s">
        <v>2476</v>
      </c>
      <c r="E28" s="73" t="s">
        <v>5185</v>
      </c>
      <c r="F28" s="75" t="s">
        <v>5184</v>
      </c>
      <c r="G28" s="28" t="s">
        <v>291</v>
      </c>
      <c r="H28" s="76" t="s">
        <v>5151</v>
      </c>
      <c r="I28" s="30">
        <v>46023</v>
      </c>
      <c r="J28" s="31"/>
      <c r="K28" s="30">
        <v>46023</v>
      </c>
      <c r="L28" s="32" t="s">
        <v>292</v>
      </c>
      <c r="M28" s="33" t="s">
        <v>5152</v>
      </c>
      <c r="N28" s="34" t="s">
        <v>294</v>
      </c>
    </row>
    <row r="29" spans="1:14" ht="15.75" customHeight="1" x14ac:dyDescent="0.3">
      <c r="A29" s="73">
        <v>26</v>
      </c>
      <c r="B29" s="25" t="s">
        <v>859</v>
      </c>
      <c r="C29" s="74" t="s">
        <v>5182</v>
      </c>
      <c r="D29" s="25" t="s">
        <v>1009</v>
      </c>
      <c r="E29" s="73" t="s">
        <v>5186</v>
      </c>
      <c r="F29" s="75" t="s">
        <v>5184</v>
      </c>
      <c r="G29" s="28" t="s">
        <v>291</v>
      </c>
      <c r="H29" s="76" t="s">
        <v>5151</v>
      </c>
      <c r="I29" s="38">
        <v>46023</v>
      </c>
      <c r="J29" s="39"/>
      <c r="K29" s="38">
        <v>46023</v>
      </c>
      <c r="L29" s="40" t="s">
        <v>292</v>
      </c>
      <c r="M29" s="41" t="s">
        <v>5152</v>
      </c>
      <c r="N29" s="42" t="s">
        <v>294</v>
      </c>
    </row>
    <row r="30" spans="1:14" ht="15.75" customHeight="1" x14ac:dyDescent="0.3">
      <c r="A30" s="73">
        <v>27</v>
      </c>
      <c r="B30" s="25" t="s">
        <v>859</v>
      </c>
      <c r="C30" s="74" t="s">
        <v>5182</v>
      </c>
      <c r="D30" s="25" t="s">
        <v>940</v>
      </c>
      <c r="E30" s="73" t="s">
        <v>5187</v>
      </c>
      <c r="F30" s="75" t="s">
        <v>5184</v>
      </c>
      <c r="G30" s="28" t="s">
        <v>291</v>
      </c>
      <c r="H30" s="76" t="s">
        <v>5151</v>
      </c>
      <c r="I30" s="30">
        <v>46023</v>
      </c>
      <c r="J30" s="31"/>
      <c r="K30" s="30">
        <v>46023</v>
      </c>
      <c r="L30" s="32" t="s">
        <v>292</v>
      </c>
      <c r="M30" s="33" t="s">
        <v>5152</v>
      </c>
      <c r="N30" s="34" t="s">
        <v>294</v>
      </c>
    </row>
    <row r="31" spans="1:14" ht="15.75" customHeight="1" x14ac:dyDescent="0.3">
      <c r="A31" s="73">
        <v>28</v>
      </c>
      <c r="B31" s="25" t="s">
        <v>859</v>
      </c>
      <c r="C31" s="74" t="s">
        <v>5182</v>
      </c>
      <c r="D31" s="25" t="s">
        <v>2128</v>
      </c>
      <c r="E31" s="73" t="s">
        <v>5188</v>
      </c>
      <c r="F31" s="75" t="s">
        <v>5184</v>
      </c>
      <c r="G31" s="28" t="s">
        <v>291</v>
      </c>
      <c r="H31" s="76" t="s">
        <v>5151</v>
      </c>
      <c r="I31" s="38">
        <v>46023</v>
      </c>
      <c r="J31" s="39"/>
      <c r="K31" s="38">
        <v>46023</v>
      </c>
      <c r="L31" s="40" t="s">
        <v>292</v>
      </c>
      <c r="M31" s="41" t="s">
        <v>5152</v>
      </c>
      <c r="N31" s="42" t="s">
        <v>294</v>
      </c>
    </row>
    <row r="32" spans="1:14" ht="15.75" customHeight="1" x14ac:dyDescent="0.3">
      <c r="A32" s="73">
        <v>29</v>
      </c>
      <c r="B32" s="25" t="s">
        <v>1118</v>
      </c>
      <c r="C32" s="74" t="s">
        <v>5189</v>
      </c>
      <c r="D32" s="25" t="s">
        <v>1894</v>
      </c>
      <c r="E32" s="73" t="s">
        <v>5190</v>
      </c>
      <c r="F32" s="75" t="s">
        <v>5191</v>
      </c>
      <c r="G32" s="28" t="s">
        <v>291</v>
      </c>
      <c r="H32" s="76" t="s">
        <v>5151</v>
      </c>
      <c r="I32" s="30">
        <v>46023</v>
      </c>
      <c r="J32" s="31"/>
      <c r="K32" s="30">
        <v>46023</v>
      </c>
      <c r="L32" s="32" t="s">
        <v>292</v>
      </c>
      <c r="M32" s="33" t="s">
        <v>5152</v>
      </c>
      <c r="N32" s="34" t="s">
        <v>294</v>
      </c>
    </row>
    <row r="33" spans="1:14" ht="15.75" customHeight="1" x14ac:dyDescent="0.3">
      <c r="A33" s="73">
        <v>30</v>
      </c>
      <c r="B33" s="25" t="s">
        <v>1118</v>
      </c>
      <c r="C33" s="74" t="s">
        <v>5189</v>
      </c>
      <c r="D33" s="25" t="s">
        <v>2930</v>
      </c>
      <c r="E33" s="73" t="s">
        <v>5192</v>
      </c>
      <c r="F33" s="75" t="s">
        <v>5191</v>
      </c>
      <c r="G33" s="28" t="s">
        <v>291</v>
      </c>
      <c r="H33" s="76" t="s">
        <v>5151</v>
      </c>
      <c r="I33" s="38">
        <v>46023</v>
      </c>
      <c r="J33" s="39"/>
      <c r="K33" s="38">
        <v>46023</v>
      </c>
      <c r="L33" s="40" t="s">
        <v>292</v>
      </c>
      <c r="M33" s="41" t="s">
        <v>5152</v>
      </c>
      <c r="N33" s="42" t="s">
        <v>294</v>
      </c>
    </row>
    <row r="34" spans="1:14" ht="15.75" customHeight="1" x14ac:dyDescent="0.3">
      <c r="A34" s="73">
        <v>31</v>
      </c>
      <c r="B34" s="25" t="s">
        <v>1118</v>
      </c>
      <c r="C34" s="74" t="s">
        <v>5189</v>
      </c>
      <c r="D34" s="25" t="s">
        <v>1874</v>
      </c>
      <c r="E34" s="73" t="s">
        <v>5193</v>
      </c>
      <c r="F34" s="75" t="s">
        <v>5191</v>
      </c>
      <c r="G34" s="28" t="s">
        <v>291</v>
      </c>
      <c r="H34" s="76" t="s">
        <v>5151</v>
      </c>
      <c r="I34" s="30">
        <v>46023</v>
      </c>
      <c r="J34" s="31"/>
      <c r="K34" s="30">
        <v>46023</v>
      </c>
      <c r="L34" s="32" t="s">
        <v>292</v>
      </c>
      <c r="M34" s="33" t="s">
        <v>5152</v>
      </c>
      <c r="N34" s="34" t="s">
        <v>294</v>
      </c>
    </row>
    <row r="35" spans="1:14" ht="15.75" customHeight="1" x14ac:dyDescent="0.3">
      <c r="A35" s="73">
        <v>32</v>
      </c>
      <c r="B35" s="25" t="s">
        <v>1118</v>
      </c>
      <c r="C35" s="74" t="s">
        <v>5189</v>
      </c>
      <c r="D35" s="25" t="s">
        <v>1119</v>
      </c>
      <c r="E35" s="73" t="s">
        <v>5194</v>
      </c>
      <c r="F35" s="75" t="s">
        <v>5191</v>
      </c>
      <c r="G35" s="28" t="s">
        <v>291</v>
      </c>
      <c r="H35" s="76" t="s">
        <v>5151</v>
      </c>
      <c r="I35" s="38">
        <v>46023</v>
      </c>
      <c r="J35" s="39"/>
      <c r="K35" s="38">
        <v>46023</v>
      </c>
      <c r="L35" s="40" t="s">
        <v>292</v>
      </c>
      <c r="M35" s="41" t="s">
        <v>5152</v>
      </c>
      <c r="N35" s="42" t="s">
        <v>294</v>
      </c>
    </row>
    <row r="36" spans="1:14" ht="15.75" customHeight="1" x14ac:dyDescent="0.3">
      <c r="A36" s="73">
        <v>33</v>
      </c>
      <c r="B36" s="25" t="s">
        <v>1118</v>
      </c>
      <c r="C36" s="74" t="s">
        <v>5189</v>
      </c>
      <c r="D36" s="25" t="s">
        <v>1178</v>
      </c>
      <c r="E36" s="73" t="s">
        <v>5195</v>
      </c>
      <c r="F36" s="75" t="s">
        <v>5191</v>
      </c>
      <c r="G36" s="28" t="s">
        <v>291</v>
      </c>
      <c r="H36" s="76" t="s">
        <v>5151</v>
      </c>
      <c r="I36" s="30">
        <v>46023</v>
      </c>
      <c r="J36" s="31"/>
      <c r="K36" s="30">
        <v>46023</v>
      </c>
      <c r="L36" s="32" t="s">
        <v>292</v>
      </c>
      <c r="M36" s="33" t="s">
        <v>5152</v>
      </c>
      <c r="N36" s="34" t="s">
        <v>294</v>
      </c>
    </row>
    <row r="37" spans="1:14" ht="15.75" customHeight="1" x14ac:dyDescent="0.3">
      <c r="A37" s="73">
        <v>34</v>
      </c>
      <c r="B37" s="25" t="s">
        <v>1023</v>
      </c>
      <c r="C37" s="74" t="s">
        <v>5196</v>
      </c>
      <c r="D37" s="25" t="s">
        <v>2589</v>
      </c>
      <c r="E37" s="73" t="s">
        <v>5197</v>
      </c>
      <c r="F37" s="75" t="s">
        <v>5184</v>
      </c>
      <c r="G37" s="28" t="s">
        <v>291</v>
      </c>
      <c r="H37" s="76" t="s">
        <v>5151</v>
      </c>
      <c r="I37" s="38">
        <v>46023</v>
      </c>
      <c r="J37" s="39"/>
      <c r="K37" s="38">
        <v>46023</v>
      </c>
      <c r="L37" s="40" t="s">
        <v>292</v>
      </c>
      <c r="M37" s="41" t="s">
        <v>5152</v>
      </c>
      <c r="N37" s="42" t="s">
        <v>294</v>
      </c>
    </row>
    <row r="38" spans="1:14" ht="15.75" customHeight="1" x14ac:dyDescent="0.3">
      <c r="A38" s="73">
        <v>35</v>
      </c>
      <c r="B38" s="25" t="s">
        <v>1023</v>
      </c>
      <c r="C38" s="74" t="s">
        <v>5196</v>
      </c>
      <c r="D38" s="25" t="s">
        <v>3885</v>
      </c>
      <c r="E38" s="73" t="s">
        <v>5198</v>
      </c>
      <c r="F38" s="75" t="s">
        <v>5184</v>
      </c>
      <c r="G38" s="28" t="s">
        <v>291</v>
      </c>
      <c r="H38" s="76" t="s">
        <v>5151</v>
      </c>
      <c r="I38" s="30">
        <v>46023</v>
      </c>
      <c r="J38" s="31"/>
      <c r="K38" s="30">
        <v>46023</v>
      </c>
      <c r="L38" s="32" t="s">
        <v>292</v>
      </c>
      <c r="M38" s="33" t="s">
        <v>5152</v>
      </c>
      <c r="N38" s="34" t="s">
        <v>294</v>
      </c>
    </row>
    <row r="39" spans="1:14" ht="15.75" customHeight="1" x14ac:dyDescent="0.3">
      <c r="A39" s="73">
        <v>36</v>
      </c>
      <c r="B39" s="25" t="s">
        <v>1023</v>
      </c>
      <c r="C39" s="74" t="s">
        <v>5196</v>
      </c>
      <c r="D39" s="25" t="s">
        <v>1024</v>
      </c>
      <c r="E39" s="73" t="s">
        <v>5199</v>
      </c>
      <c r="F39" s="75" t="s">
        <v>5184</v>
      </c>
      <c r="G39" s="28" t="s">
        <v>291</v>
      </c>
      <c r="H39" s="76" t="s">
        <v>5151</v>
      </c>
      <c r="I39" s="38">
        <v>46023</v>
      </c>
      <c r="J39" s="39"/>
      <c r="K39" s="38">
        <v>46023</v>
      </c>
      <c r="L39" s="40" t="s">
        <v>292</v>
      </c>
      <c r="M39" s="41" t="s">
        <v>5152</v>
      </c>
      <c r="N39" s="42" t="s">
        <v>294</v>
      </c>
    </row>
    <row r="40" spans="1:14" ht="15.75" customHeight="1" x14ac:dyDescent="0.3">
      <c r="A40" s="73">
        <v>37</v>
      </c>
      <c r="B40" s="25" t="s">
        <v>1023</v>
      </c>
      <c r="C40" s="74" t="s">
        <v>5196</v>
      </c>
      <c r="D40" s="25" t="s">
        <v>2055</v>
      </c>
      <c r="E40" s="73" t="s">
        <v>5200</v>
      </c>
      <c r="F40" s="75" t="s">
        <v>5184</v>
      </c>
      <c r="G40" s="28" t="s">
        <v>291</v>
      </c>
      <c r="H40" s="76" t="s">
        <v>5151</v>
      </c>
      <c r="I40" s="30">
        <v>46023</v>
      </c>
      <c r="J40" s="31"/>
      <c r="K40" s="30">
        <v>46023</v>
      </c>
      <c r="L40" s="32" t="s">
        <v>292</v>
      </c>
      <c r="M40" s="33" t="s">
        <v>5152</v>
      </c>
      <c r="N40" s="34" t="s">
        <v>294</v>
      </c>
    </row>
    <row r="41" spans="1:14" ht="15.75" customHeight="1" x14ac:dyDescent="0.3">
      <c r="A41" s="73">
        <v>38</v>
      </c>
      <c r="B41" s="25" t="s">
        <v>1023</v>
      </c>
      <c r="C41" s="74" t="s">
        <v>5196</v>
      </c>
      <c r="D41" s="25" t="s">
        <v>1130</v>
      </c>
      <c r="E41" s="73" t="s">
        <v>5201</v>
      </c>
      <c r="F41" s="75" t="s">
        <v>5184</v>
      </c>
      <c r="G41" s="28" t="s">
        <v>291</v>
      </c>
      <c r="H41" s="76" t="s">
        <v>5151</v>
      </c>
      <c r="I41" s="38">
        <v>46023</v>
      </c>
      <c r="J41" s="39"/>
      <c r="K41" s="38">
        <v>46023</v>
      </c>
      <c r="L41" s="40" t="s">
        <v>292</v>
      </c>
      <c r="M41" s="41" t="s">
        <v>5152</v>
      </c>
      <c r="N41" s="42" t="s">
        <v>294</v>
      </c>
    </row>
    <row r="42" spans="1:14" ht="15.75" customHeight="1" x14ac:dyDescent="0.3">
      <c r="A42" s="73">
        <v>39</v>
      </c>
      <c r="B42" s="25" t="s">
        <v>1204</v>
      </c>
      <c r="C42" s="74" t="s">
        <v>5202</v>
      </c>
      <c r="D42" s="25" t="s">
        <v>3245</v>
      </c>
      <c r="E42" s="73" t="s">
        <v>5203</v>
      </c>
      <c r="F42" s="75" t="s">
        <v>5177</v>
      </c>
      <c r="G42" s="28" t="s">
        <v>291</v>
      </c>
      <c r="H42" s="76" t="s">
        <v>5151</v>
      </c>
      <c r="I42" s="30">
        <v>46023</v>
      </c>
      <c r="J42" s="31"/>
      <c r="K42" s="30">
        <v>46023</v>
      </c>
      <c r="L42" s="32" t="s">
        <v>292</v>
      </c>
      <c r="M42" s="33" t="s">
        <v>5152</v>
      </c>
      <c r="N42" s="34" t="s">
        <v>294</v>
      </c>
    </row>
    <row r="43" spans="1:14" ht="15.75" customHeight="1" x14ac:dyDescent="0.3">
      <c r="A43" s="73">
        <v>40</v>
      </c>
      <c r="B43" s="25" t="s">
        <v>1204</v>
      </c>
      <c r="C43" s="74" t="s">
        <v>5202</v>
      </c>
      <c r="D43" s="25" t="s">
        <v>3659</v>
      </c>
      <c r="E43" s="73" t="s">
        <v>5204</v>
      </c>
      <c r="F43" s="75" t="s">
        <v>5177</v>
      </c>
      <c r="G43" s="28" t="s">
        <v>291</v>
      </c>
      <c r="H43" s="76" t="s">
        <v>5151</v>
      </c>
      <c r="I43" s="38">
        <v>46023</v>
      </c>
      <c r="J43" s="39"/>
      <c r="K43" s="38">
        <v>46023</v>
      </c>
      <c r="L43" s="40" t="s">
        <v>292</v>
      </c>
      <c r="M43" s="41" t="s">
        <v>5152</v>
      </c>
      <c r="N43" s="42" t="s">
        <v>294</v>
      </c>
    </row>
    <row r="44" spans="1:14" ht="15.75" customHeight="1" x14ac:dyDescent="0.3">
      <c r="A44" s="73">
        <v>41</v>
      </c>
      <c r="B44" s="25" t="s">
        <v>1204</v>
      </c>
      <c r="C44" s="74" t="s">
        <v>5202</v>
      </c>
      <c r="D44" s="25" t="s">
        <v>1205</v>
      </c>
      <c r="E44" s="73" t="s">
        <v>5205</v>
      </c>
      <c r="F44" s="75" t="s">
        <v>5177</v>
      </c>
      <c r="G44" s="28" t="s">
        <v>291</v>
      </c>
      <c r="H44" s="76" t="s">
        <v>5151</v>
      </c>
      <c r="I44" s="30">
        <v>46023</v>
      </c>
      <c r="J44" s="31"/>
      <c r="K44" s="30">
        <v>46023</v>
      </c>
      <c r="L44" s="32" t="s">
        <v>292</v>
      </c>
      <c r="M44" s="33" t="s">
        <v>5152</v>
      </c>
      <c r="N44" s="34" t="s">
        <v>294</v>
      </c>
    </row>
    <row r="45" spans="1:14" ht="15.75" customHeight="1" x14ac:dyDescent="0.3">
      <c r="A45" s="73">
        <v>42</v>
      </c>
      <c r="B45" s="25" t="s">
        <v>1204</v>
      </c>
      <c r="C45" s="74" t="s">
        <v>5202</v>
      </c>
      <c r="D45" s="25" t="s">
        <v>2100</v>
      </c>
      <c r="E45" s="73" t="s">
        <v>5206</v>
      </c>
      <c r="F45" s="75" t="s">
        <v>5177</v>
      </c>
      <c r="G45" s="28" t="s">
        <v>291</v>
      </c>
      <c r="H45" s="76" t="s">
        <v>5151</v>
      </c>
      <c r="I45" s="38">
        <v>46023</v>
      </c>
      <c r="J45" s="39"/>
      <c r="K45" s="38">
        <v>46023</v>
      </c>
      <c r="L45" s="40" t="s">
        <v>292</v>
      </c>
      <c r="M45" s="41" t="s">
        <v>5152</v>
      </c>
      <c r="N45" s="42" t="s">
        <v>294</v>
      </c>
    </row>
    <row r="46" spans="1:14" ht="15.75" customHeight="1" x14ac:dyDescent="0.3">
      <c r="A46" s="73">
        <v>43</v>
      </c>
      <c r="B46" s="25" t="s">
        <v>1204</v>
      </c>
      <c r="C46" s="74" t="s">
        <v>5202</v>
      </c>
      <c r="D46" s="25" t="s">
        <v>1801</v>
      </c>
      <c r="E46" s="73" t="s">
        <v>5207</v>
      </c>
      <c r="F46" s="75" t="s">
        <v>5177</v>
      </c>
      <c r="G46" s="28" t="s">
        <v>291</v>
      </c>
      <c r="H46" s="76" t="s">
        <v>5151</v>
      </c>
      <c r="I46" s="30">
        <v>46023</v>
      </c>
      <c r="J46" s="31"/>
      <c r="K46" s="30">
        <v>46023</v>
      </c>
      <c r="L46" s="32" t="s">
        <v>292</v>
      </c>
      <c r="M46" s="33" t="s">
        <v>5152</v>
      </c>
      <c r="N46" s="34" t="s">
        <v>294</v>
      </c>
    </row>
    <row r="47" spans="1:14" ht="15.75" customHeight="1" x14ac:dyDescent="0.3">
      <c r="A47" s="73">
        <v>44</v>
      </c>
      <c r="B47" s="25" t="s">
        <v>1058</v>
      </c>
      <c r="C47" s="74" t="s">
        <v>5208</v>
      </c>
      <c r="D47" s="25" t="s">
        <v>2438</v>
      </c>
      <c r="E47" s="73" t="s">
        <v>5209</v>
      </c>
      <c r="F47" s="75" t="s">
        <v>5184</v>
      </c>
      <c r="G47" s="28" t="s">
        <v>291</v>
      </c>
      <c r="H47" s="76" t="s">
        <v>5151</v>
      </c>
      <c r="I47" s="38">
        <v>46023</v>
      </c>
      <c r="J47" s="39"/>
      <c r="K47" s="38">
        <v>46023</v>
      </c>
      <c r="L47" s="40" t="s">
        <v>292</v>
      </c>
      <c r="M47" s="41" t="s">
        <v>5152</v>
      </c>
      <c r="N47" s="42" t="s">
        <v>294</v>
      </c>
    </row>
    <row r="48" spans="1:14" ht="15.75" customHeight="1" x14ac:dyDescent="0.3">
      <c r="A48" s="73">
        <v>45</v>
      </c>
      <c r="B48" s="25" t="s">
        <v>1058</v>
      </c>
      <c r="C48" s="74" t="s">
        <v>5208</v>
      </c>
      <c r="D48" s="25" t="s">
        <v>1059</v>
      </c>
      <c r="E48" s="73" t="s">
        <v>5210</v>
      </c>
      <c r="F48" s="75" t="s">
        <v>5184</v>
      </c>
      <c r="G48" s="28" t="s">
        <v>291</v>
      </c>
      <c r="H48" s="76" t="s">
        <v>5151</v>
      </c>
      <c r="I48" s="30">
        <v>46023</v>
      </c>
      <c r="J48" s="31"/>
      <c r="K48" s="30">
        <v>46023</v>
      </c>
      <c r="L48" s="32" t="s">
        <v>292</v>
      </c>
      <c r="M48" s="33" t="s">
        <v>5152</v>
      </c>
      <c r="N48" s="34" t="s">
        <v>294</v>
      </c>
    </row>
    <row r="49" spans="1:14" ht="15.75" customHeight="1" x14ac:dyDescent="0.3">
      <c r="A49" s="73">
        <v>46</v>
      </c>
      <c r="B49" s="25" t="s">
        <v>1058</v>
      </c>
      <c r="C49" s="74" t="s">
        <v>5208</v>
      </c>
      <c r="D49" s="25" t="s">
        <v>1446</v>
      </c>
      <c r="E49" s="73" t="s">
        <v>5211</v>
      </c>
      <c r="F49" s="75" t="s">
        <v>5184</v>
      </c>
      <c r="G49" s="28" t="s">
        <v>291</v>
      </c>
      <c r="H49" s="76" t="s">
        <v>5151</v>
      </c>
      <c r="I49" s="38">
        <v>46023</v>
      </c>
      <c r="J49" s="39"/>
      <c r="K49" s="38">
        <v>46023</v>
      </c>
      <c r="L49" s="40" t="s">
        <v>292</v>
      </c>
      <c r="M49" s="41" t="s">
        <v>5152</v>
      </c>
      <c r="N49" s="42" t="s">
        <v>294</v>
      </c>
    </row>
    <row r="50" spans="1:14" ht="15.75" customHeight="1" x14ac:dyDescent="0.3">
      <c r="A50" s="73">
        <v>47</v>
      </c>
      <c r="B50" s="25" t="s">
        <v>1058</v>
      </c>
      <c r="C50" s="74" t="s">
        <v>5208</v>
      </c>
      <c r="D50" s="25" t="s">
        <v>1410</v>
      </c>
      <c r="E50" s="73" t="s">
        <v>5212</v>
      </c>
      <c r="F50" s="75" t="s">
        <v>5184</v>
      </c>
      <c r="G50" s="28" t="s">
        <v>291</v>
      </c>
      <c r="H50" s="76" t="s">
        <v>5151</v>
      </c>
      <c r="I50" s="30">
        <v>46023</v>
      </c>
      <c r="J50" s="31"/>
      <c r="K50" s="30">
        <v>46023</v>
      </c>
      <c r="L50" s="32" t="s">
        <v>292</v>
      </c>
      <c r="M50" s="33" t="s">
        <v>5152</v>
      </c>
      <c r="N50" s="34" t="s">
        <v>294</v>
      </c>
    </row>
    <row r="51" spans="1:14" ht="15.75" customHeight="1" x14ac:dyDescent="0.3">
      <c r="A51" s="73">
        <v>48</v>
      </c>
      <c r="B51" s="25" t="s">
        <v>844</v>
      </c>
      <c r="C51" s="74" t="s">
        <v>5213</v>
      </c>
      <c r="D51" s="25" t="s">
        <v>845</v>
      </c>
      <c r="E51" s="73" t="s">
        <v>5214</v>
      </c>
      <c r="F51" s="75" t="s">
        <v>5177</v>
      </c>
      <c r="G51" s="28" t="s">
        <v>291</v>
      </c>
      <c r="H51" s="76" t="s">
        <v>5151</v>
      </c>
      <c r="I51" s="38">
        <v>46023</v>
      </c>
      <c r="J51" s="39"/>
      <c r="K51" s="38">
        <v>46023</v>
      </c>
      <c r="L51" s="40" t="s">
        <v>292</v>
      </c>
      <c r="M51" s="41" t="s">
        <v>5152</v>
      </c>
      <c r="N51" s="42" t="s">
        <v>294</v>
      </c>
    </row>
    <row r="52" spans="1:14" ht="15.75" customHeight="1" x14ac:dyDescent="0.3">
      <c r="A52" s="73">
        <v>49</v>
      </c>
      <c r="B52" s="25" t="s">
        <v>844</v>
      </c>
      <c r="C52" s="74" t="s">
        <v>5213</v>
      </c>
      <c r="D52" s="25" t="s">
        <v>1961</v>
      </c>
      <c r="E52" s="73" t="s">
        <v>5215</v>
      </c>
      <c r="F52" s="75" t="s">
        <v>5177</v>
      </c>
      <c r="G52" s="28" t="s">
        <v>291</v>
      </c>
      <c r="H52" s="76" t="s">
        <v>5151</v>
      </c>
      <c r="I52" s="30">
        <v>46023</v>
      </c>
      <c r="J52" s="31"/>
      <c r="K52" s="30">
        <v>46023</v>
      </c>
      <c r="L52" s="32" t="s">
        <v>292</v>
      </c>
      <c r="M52" s="33" t="s">
        <v>5152</v>
      </c>
      <c r="N52" s="34" t="s">
        <v>294</v>
      </c>
    </row>
    <row r="53" spans="1:14" ht="15.75" customHeight="1" x14ac:dyDescent="0.3">
      <c r="A53" s="73">
        <v>50</v>
      </c>
      <c r="B53" s="25" t="s">
        <v>844</v>
      </c>
      <c r="C53" s="74" t="s">
        <v>5213</v>
      </c>
      <c r="D53" s="25" t="s">
        <v>1345</v>
      </c>
      <c r="E53" s="73" t="s">
        <v>5216</v>
      </c>
      <c r="F53" s="75" t="s">
        <v>5177</v>
      </c>
      <c r="G53" s="28" t="s">
        <v>291</v>
      </c>
      <c r="H53" s="76" t="s">
        <v>5151</v>
      </c>
      <c r="I53" s="38">
        <v>46023</v>
      </c>
      <c r="J53" s="39"/>
      <c r="K53" s="38">
        <v>46023</v>
      </c>
      <c r="L53" s="40" t="s">
        <v>292</v>
      </c>
      <c r="M53" s="41" t="s">
        <v>5152</v>
      </c>
      <c r="N53" s="42" t="s">
        <v>294</v>
      </c>
    </row>
    <row r="54" spans="1:14" ht="15.75" customHeight="1" x14ac:dyDescent="0.3">
      <c r="A54" s="73">
        <v>51</v>
      </c>
      <c r="B54" s="25" t="s">
        <v>844</v>
      </c>
      <c r="C54" s="74" t="s">
        <v>5213</v>
      </c>
      <c r="D54" s="25" t="s">
        <v>1048</v>
      </c>
      <c r="E54" s="73" t="s">
        <v>5217</v>
      </c>
      <c r="F54" s="75" t="s">
        <v>5177</v>
      </c>
      <c r="G54" s="28" t="s">
        <v>291</v>
      </c>
      <c r="H54" s="76" t="s">
        <v>5151</v>
      </c>
      <c r="I54" s="30">
        <v>46023</v>
      </c>
      <c r="J54" s="31"/>
      <c r="K54" s="30">
        <v>46023</v>
      </c>
      <c r="L54" s="32" t="s">
        <v>292</v>
      </c>
      <c r="M54" s="33" t="s">
        <v>5152</v>
      </c>
      <c r="N54" s="34" t="s">
        <v>294</v>
      </c>
    </row>
    <row r="55" spans="1:14" ht="15.75" customHeight="1" x14ac:dyDescent="0.3">
      <c r="A55" s="73">
        <v>52</v>
      </c>
      <c r="B55" s="25" t="s">
        <v>882</v>
      </c>
      <c r="C55" s="74" t="s">
        <v>5218</v>
      </c>
      <c r="D55" s="25" t="s">
        <v>2009</v>
      </c>
      <c r="E55" s="73" t="s">
        <v>5219</v>
      </c>
      <c r="F55" s="75" t="s">
        <v>5220</v>
      </c>
      <c r="G55" s="28" t="s">
        <v>291</v>
      </c>
      <c r="H55" s="76" t="s">
        <v>5151</v>
      </c>
      <c r="I55" s="38">
        <v>46023</v>
      </c>
      <c r="J55" s="39"/>
      <c r="K55" s="38">
        <v>46023</v>
      </c>
      <c r="L55" s="40" t="s">
        <v>292</v>
      </c>
      <c r="M55" s="41" t="s">
        <v>5152</v>
      </c>
      <c r="N55" s="42" t="s">
        <v>294</v>
      </c>
    </row>
    <row r="56" spans="1:14" ht="15.75" customHeight="1" x14ac:dyDescent="0.3">
      <c r="A56" s="73">
        <v>53</v>
      </c>
      <c r="B56" s="25" t="s">
        <v>882</v>
      </c>
      <c r="C56" s="74" t="s">
        <v>5218</v>
      </c>
      <c r="D56" s="25" t="s">
        <v>883</v>
      </c>
      <c r="E56" s="73" t="s">
        <v>5221</v>
      </c>
      <c r="F56" s="75" t="s">
        <v>5220</v>
      </c>
      <c r="G56" s="28" t="s">
        <v>291</v>
      </c>
      <c r="H56" s="76" t="s">
        <v>5151</v>
      </c>
      <c r="I56" s="30">
        <v>46023</v>
      </c>
      <c r="J56" s="31"/>
      <c r="K56" s="30">
        <v>46023</v>
      </c>
      <c r="L56" s="32" t="s">
        <v>292</v>
      </c>
      <c r="M56" s="33" t="s">
        <v>5152</v>
      </c>
      <c r="N56" s="34" t="s">
        <v>294</v>
      </c>
    </row>
    <row r="57" spans="1:14" ht="15.75" customHeight="1" x14ac:dyDescent="0.3">
      <c r="A57" s="73">
        <v>54</v>
      </c>
      <c r="B57" s="25" t="s">
        <v>882</v>
      </c>
      <c r="C57" s="74" t="s">
        <v>5218</v>
      </c>
      <c r="D57" s="25" t="s">
        <v>1658</v>
      </c>
      <c r="E57" s="73" t="s">
        <v>5222</v>
      </c>
      <c r="F57" s="75" t="s">
        <v>5220</v>
      </c>
      <c r="G57" s="28" t="s">
        <v>291</v>
      </c>
      <c r="H57" s="76" t="s">
        <v>5151</v>
      </c>
      <c r="I57" s="38">
        <v>46023</v>
      </c>
      <c r="J57" s="39"/>
      <c r="K57" s="38">
        <v>46023</v>
      </c>
      <c r="L57" s="40" t="s">
        <v>292</v>
      </c>
      <c r="M57" s="41" t="s">
        <v>5152</v>
      </c>
      <c r="N57" s="42" t="s">
        <v>294</v>
      </c>
    </row>
    <row r="58" spans="1:14" ht="15.75" customHeight="1" x14ac:dyDescent="0.3">
      <c r="A58" s="73">
        <v>55</v>
      </c>
      <c r="B58" s="25" t="s">
        <v>882</v>
      </c>
      <c r="C58" s="74" t="s">
        <v>5218</v>
      </c>
      <c r="D58" s="25" t="s">
        <v>1619</v>
      </c>
      <c r="E58" s="73" t="s">
        <v>5223</v>
      </c>
      <c r="F58" s="75" t="s">
        <v>5220</v>
      </c>
      <c r="G58" s="28" t="s">
        <v>291</v>
      </c>
      <c r="H58" s="76" t="s">
        <v>5151</v>
      </c>
      <c r="I58" s="30">
        <v>46023</v>
      </c>
      <c r="J58" s="31"/>
      <c r="K58" s="30">
        <v>46023</v>
      </c>
      <c r="L58" s="32" t="s">
        <v>292</v>
      </c>
      <c r="M58" s="33" t="s">
        <v>5152</v>
      </c>
      <c r="N58" s="34" t="s">
        <v>294</v>
      </c>
    </row>
    <row r="59" spans="1:14" ht="15.75" customHeight="1" x14ac:dyDescent="0.3">
      <c r="A59" s="73">
        <v>56</v>
      </c>
      <c r="B59" s="25" t="s">
        <v>979</v>
      </c>
      <c r="C59" s="74" t="s">
        <v>5224</v>
      </c>
      <c r="D59" s="25" t="s">
        <v>1166</v>
      </c>
      <c r="E59" s="73" t="s">
        <v>5225</v>
      </c>
      <c r="F59" s="75" t="s">
        <v>5177</v>
      </c>
      <c r="G59" s="28" t="s">
        <v>291</v>
      </c>
      <c r="H59" s="76" t="s">
        <v>5151</v>
      </c>
      <c r="I59" s="38">
        <v>46023</v>
      </c>
      <c r="J59" s="39"/>
      <c r="K59" s="38">
        <v>46023</v>
      </c>
      <c r="L59" s="40" t="s">
        <v>292</v>
      </c>
      <c r="M59" s="41" t="s">
        <v>5152</v>
      </c>
      <c r="N59" s="42" t="s">
        <v>294</v>
      </c>
    </row>
    <row r="60" spans="1:14" ht="15.75" customHeight="1" x14ac:dyDescent="0.3">
      <c r="A60" s="73">
        <v>57</v>
      </c>
      <c r="B60" s="25" t="s">
        <v>979</v>
      </c>
      <c r="C60" s="74" t="s">
        <v>5224</v>
      </c>
      <c r="D60" s="25" t="s">
        <v>1475</v>
      </c>
      <c r="E60" s="73" t="s">
        <v>5226</v>
      </c>
      <c r="F60" s="75" t="s">
        <v>5177</v>
      </c>
      <c r="G60" s="28" t="s">
        <v>291</v>
      </c>
      <c r="H60" s="76" t="s">
        <v>5151</v>
      </c>
      <c r="I60" s="30">
        <v>46023</v>
      </c>
      <c r="J60" s="31"/>
      <c r="K60" s="30">
        <v>46023</v>
      </c>
      <c r="L60" s="32" t="s">
        <v>292</v>
      </c>
      <c r="M60" s="33" t="s">
        <v>5152</v>
      </c>
      <c r="N60" s="34" t="s">
        <v>294</v>
      </c>
    </row>
    <row r="61" spans="1:14" ht="15.75" customHeight="1" x14ac:dyDescent="0.3">
      <c r="A61" s="73">
        <v>58</v>
      </c>
      <c r="B61" s="25" t="s">
        <v>979</v>
      </c>
      <c r="C61" s="74" t="s">
        <v>5224</v>
      </c>
      <c r="D61" s="25" t="s">
        <v>980</v>
      </c>
      <c r="E61" s="73" t="s">
        <v>5227</v>
      </c>
      <c r="F61" s="75" t="s">
        <v>5177</v>
      </c>
      <c r="G61" s="28" t="s">
        <v>291</v>
      </c>
      <c r="H61" s="76" t="s">
        <v>5151</v>
      </c>
      <c r="I61" s="38">
        <v>46023</v>
      </c>
      <c r="J61" s="39"/>
      <c r="K61" s="38">
        <v>46023</v>
      </c>
      <c r="L61" s="40" t="s">
        <v>292</v>
      </c>
      <c r="M61" s="41" t="s">
        <v>5152</v>
      </c>
      <c r="N61" s="42" t="s">
        <v>294</v>
      </c>
    </row>
    <row r="62" spans="1:14" ht="15.75" customHeight="1" x14ac:dyDescent="0.3">
      <c r="A62" s="73">
        <v>59</v>
      </c>
      <c r="B62" s="25" t="s">
        <v>979</v>
      </c>
      <c r="C62" s="74" t="s">
        <v>5224</v>
      </c>
      <c r="D62" s="25" t="s">
        <v>1272</v>
      </c>
      <c r="E62" s="73" t="s">
        <v>5228</v>
      </c>
      <c r="F62" s="75" t="s">
        <v>5177</v>
      </c>
      <c r="G62" s="28" t="s">
        <v>291</v>
      </c>
      <c r="H62" s="76" t="s">
        <v>5151</v>
      </c>
      <c r="I62" s="30">
        <v>46023</v>
      </c>
      <c r="J62" s="31"/>
      <c r="K62" s="30">
        <v>46023</v>
      </c>
      <c r="L62" s="32" t="s">
        <v>292</v>
      </c>
      <c r="M62" s="33" t="s">
        <v>5152</v>
      </c>
      <c r="N62" s="34" t="s">
        <v>294</v>
      </c>
    </row>
    <row r="63" spans="1:14" ht="15.75" customHeight="1" x14ac:dyDescent="0.3">
      <c r="A63" s="76">
        <v>60</v>
      </c>
      <c r="B63" s="25" t="s">
        <v>761</v>
      </c>
      <c r="C63" s="78" t="s">
        <v>5229</v>
      </c>
      <c r="D63" s="25" t="s">
        <v>1314</v>
      </c>
      <c r="E63" s="76" t="s">
        <v>5230</v>
      </c>
      <c r="F63" s="75" t="s">
        <v>5177</v>
      </c>
      <c r="G63" s="45" t="s">
        <v>314</v>
      </c>
      <c r="H63" s="76" t="s">
        <v>5151</v>
      </c>
      <c r="I63" s="38">
        <v>46023</v>
      </c>
      <c r="J63" s="39"/>
      <c r="K63" s="38">
        <v>46023</v>
      </c>
      <c r="L63" s="40" t="s">
        <v>292</v>
      </c>
      <c r="M63" s="41" t="s">
        <v>5152</v>
      </c>
      <c r="N63" s="42" t="s">
        <v>294</v>
      </c>
    </row>
    <row r="64" spans="1:14" ht="15.75" customHeight="1" x14ac:dyDescent="0.3">
      <c r="A64" s="76">
        <v>61</v>
      </c>
      <c r="B64" s="25" t="s">
        <v>761</v>
      </c>
      <c r="C64" s="78" t="s">
        <v>5229</v>
      </c>
      <c r="D64" s="25" t="s">
        <v>1980</v>
      </c>
      <c r="E64" s="76" t="s">
        <v>5231</v>
      </c>
      <c r="F64" s="75" t="s">
        <v>5177</v>
      </c>
      <c r="G64" s="45" t="s">
        <v>314</v>
      </c>
      <c r="H64" s="76" t="s">
        <v>5151</v>
      </c>
      <c r="I64" s="30">
        <v>46023</v>
      </c>
      <c r="J64" s="31"/>
      <c r="K64" s="30">
        <v>46023</v>
      </c>
      <c r="L64" s="32" t="s">
        <v>292</v>
      </c>
      <c r="M64" s="33" t="s">
        <v>5152</v>
      </c>
      <c r="N64" s="34" t="s">
        <v>294</v>
      </c>
    </row>
    <row r="65" spans="1:14" ht="15.75" customHeight="1" x14ac:dyDescent="0.3">
      <c r="A65" s="76">
        <v>62</v>
      </c>
      <c r="B65" s="25" t="s">
        <v>761</v>
      </c>
      <c r="C65" s="78" t="s">
        <v>5229</v>
      </c>
      <c r="D65" s="25" t="s">
        <v>762</v>
      </c>
      <c r="E65" s="76" t="s">
        <v>5232</v>
      </c>
      <c r="F65" s="75" t="s">
        <v>5177</v>
      </c>
      <c r="G65" s="45" t="s">
        <v>314</v>
      </c>
      <c r="H65" s="76" t="s">
        <v>5151</v>
      </c>
      <c r="I65" s="38">
        <v>46023</v>
      </c>
      <c r="J65" s="39"/>
      <c r="K65" s="38">
        <v>46023</v>
      </c>
      <c r="L65" s="40" t="s">
        <v>292</v>
      </c>
      <c r="M65" s="41" t="s">
        <v>5152</v>
      </c>
      <c r="N65" s="42" t="s">
        <v>294</v>
      </c>
    </row>
    <row r="66" spans="1:14" ht="15.75" customHeight="1" x14ac:dyDescent="0.3">
      <c r="A66" s="76">
        <v>63</v>
      </c>
      <c r="B66" s="25" t="s">
        <v>761</v>
      </c>
      <c r="C66" s="78" t="s">
        <v>5229</v>
      </c>
      <c r="D66" s="25" t="s">
        <v>1072</v>
      </c>
      <c r="E66" s="76" t="s">
        <v>5233</v>
      </c>
      <c r="F66" s="75" t="s">
        <v>5177</v>
      </c>
      <c r="G66" s="45" t="s">
        <v>314</v>
      </c>
      <c r="H66" s="76" t="s">
        <v>5151</v>
      </c>
      <c r="I66" s="30">
        <v>46023</v>
      </c>
      <c r="J66" s="31"/>
      <c r="K66" s="30">
        <v>46023</v>
      </c>
      <c r="L66" s="32" t="s">
        <v>292</v>
      </c>
      <c r="M66" s="33" t="s">
        <v>5152</v>
      </c>
      <c r="N66" s="34" t="s">
        <v>294</v>
      </c>
    </row>
    <row r="67" spans="1:14" ht="15.75" customHeight="1" x14ac:dyDescent="0.3">
      <c r="A67" s="76">
        <v>64</v>
      </c>
      <c r="B67" s="25" t="s">
        <v>761</v>
      </c>
      <c r="C67" s="78" t="s">
        <v>5229</v>
      </c>
      <c r="D67" s="25" t="s">
        <v>2889</v>
      </c>
      <c r="E67" s="76" t="s">
        <v>5234</v>
      </c>
      <c r="F67" s="75" t="s">
        <v>5177</v>
      </c>
      <c r="G67" s="45" t="s">
        <v>314</v>
      </c>
      <c r="H67" s="76" t="s">
        <v>5151</v>
      </c>
      <c r="I67" s="38">
        <v>46023</v>
      </c>
      <c r="J67" s="39"/>
      <c r="K67" s="38">
        <v>46023</v>
      </c>
      <c r="L67" s="40" t="s">
        <v>292</v>
      </c>
      <c r="M67" s="41" t="s">
        <v>5152</v>
      </c>
      <c r="N67" s="42" t="s">
        <v>294</v>
      </c>
    </row>
    <row r="68" spans="1:14" ht="15.75" customHeight="1" x14ac:dyDescent="0.3">
      <c r="A68" s="76">
        <v>65</v>
      </c>
      <c r="B68" s="25" t="s">
        <v>761</v>
      </c>
      <c r="C68" s="78" t="s">
        <v>5229</v>
      </c>
      <c r="D68" s="25" t="s">
        <v>1942</v>
      </c>
      <c r="E68" s="76" t="s">
        <v>5235</v>
      </c>
      <c r="F68" s="75" t="s">
        <v>5177</v>
      </c>
      <c r="G68" s="45" t="s">
        <v>314</v>
      </c>
      <c r="H68" s="76" t="s">
        <v>5151</v>
      </c>
      <c r="I68" s="30">
        <v>46023</v>
      </c>
      <c r="J68" s="31"/>
      <c r="K68" s="30">
        <v>46023</v>
      </c>
      <c r="L68" s="32" t="s">
        <v>292</v>
      </c>
      <c r="M68" s="33" t="s">
        <v>5152</v>
      </c>
      <c r="N68" s="34" t="s">
        <v>294</v>
      </c>
    </row>
    <row r="69" spans="1:14" ht="15.75" customHeight="1" x14ac:dyDescent="0.3">
      <c r="A69" s="79">
        <v>66</v>
      </c>
      <c r="B69" s="25" t="s">
        <v>896</v>
      </c>
      <c r="C69" s="80" t="s">
        <v>5236</v>
      </c>
      <c r="D69" s="25" t="s">
        <v>1629</v>
      </c>
      <c r="E69" s="79" t="s">
        <v>5237</v>
      </c>
      <c r="F69" s="75" t="s">
        <v>5177</v>
      </c>
      <c r="G69" s="28" t="s">
        <v>291</v>
      </c>
      <c r="H69" s="76" t="s">
        <v>5151</v>
      </c>
      <c r="I69" s="38">
        <v>46023</v>
      </c>
      <c r="J69" s="39"/>
      <c r="K69" s="38">
        <v>46023</v>
      </c>
      <c r="L69" s="40" t="s">
        <v>292</v>
      </c>
      <c r="M69" s="41" t="s">
        <v>5152</v>
      </c>
      <c r="N69" s="42" t="s">
        <v>294</v>
      </c>
    </row>
    <row r="70" spans="1:14" ht="15.75" customHeight="1" x14ac:dyDescent="0.3">
      <c r="A70" s="79">
        <v>67</v>
      </c>
      <c r="B70" s="25" t="s">
        <v>896</v>
      </c>
      <c r="C70" s="80" t="s">
        <v>5236</v>
      </c>
      <c r="D70" s="25" t="s">
        <v>2755</v>
      </c>
      <c r="E70" s="79" t="s">
        <v>5238</v>
      </c>
      <c r="F70" s="75" t="s">
        <v>5177</v>
      </c>
      <c r="G70" s="28" t="s">
        <v>291</v>
      </c>
      <c r="H70" s="76" t="s">
        <v>5151</v>
      </c>
      <c r="I70" s="30">
        <v>46023</v>
      </c>
      <c r="J70" s="31"/>
      <c r="K70" s="30">
        <v>46023</v>
      </c>
      <c r="L70" s="32" t="s">
        <v>292</v>
      </c>
      <c r="M70" s="33" t="s">
        <v>5152</v>
      </c>
      <c r="N70" s="34" t="s">
        <v>294</v>
      </c>
    </row>
    <row r="71" spans="1:14" ht="15.75" customHeight="1" x14ac:dyDescent="0.3">
      <c r="A71" s="79">
        <v>68</v>
      </c>
      <c r="B71" s="25" t="s">
        <v>896</v>
      </c>
      <c r="C71" s="80" t="s">
        <v>5236</v>
      </c>
      <c r="D71" s="25" t="s">
        <v>1639</v>
      </c>
      <c r="E71" s="79" t="s">
        <v>5239</v>
      </c>
      <c r="F71" s="75" t="s">
        <v>5177</v>
      </c>
      <c r="G71" s="28" t="s">
        <v>291</v>
      </c>
      <c r="H71" s="76" t="s">
        <v>5151</v>
      </c>
      <c r="I71" s="38">
        <v>46023</v>
      </c>
      <c r="J71" s="39"/>
      <c r="K71" s="38">
        <v>46023</v>
      </c>
      <c r="L71" s="40" t="s">
        <v>292</v>
      </c>
      <c r="M71" s="41" t="s">
        <v>5152</v>
      </c>
      <c r="N71" s="42" t="s">
        <v>294</v>
      </c>
    </row>
    <row r="72" spans="1:14" ht="15.75" customHeight="1" x14ac:dyDescent="0.3">
      <c r="A72" s="79">
        <v>69</v>
      </c>
      <c r="B72" s="25" t="s">
        <v>896</v>
      </c>
      <c r="C72" s="80" t="s">
        <v>5236</v>
      </c>
      <c r="D72" s="25" t="s">
        <v>940</v>
      </c>
      <c r="E72" s="79" t="s">
        <v>5240</v>
      </c>
      <c r="F72" s="75" t="s">
        <v>5177</v>
      </c>
      <c r="G72" s="28" t="s">
        <v>291</v>
      </c>
      <c r="H72" s="76" t="s">
        <v>5151</v>
      </c>
      <c r="I72" s="30">
        <v>46023</v>
      </c>
      <c r="J72" s="31"/>
      <c r="K72" s="30">
        <v>46023</v>
      </c>
      <c r="L72" s="32" t="s">
        <v>292</v>
      </c>
      <c r="M72" s="33" t="s">
        <v>5152</v>
      </c>
      <c r="N72" s="34" t="s">
        <v>294</v>
      </c>
    </row>
    <row r="73" spans="1:14" ht="15.75" customHeight="1" x14ac:dyDescent="0.3">
      <c r="A73" s="79">
        <v>70</v>
      </c>
      <c r="B73" s="25" t="s">
        <v>896</v>
      </c>
      <c r="C73" s="80" t="s">
        <v>5236</v>
      </c>
      <c r="D73" s="25" t="s">
        <v>897</v>
      </c>
      <c r="E73" s="79" t="s">
        <v>5241</v>
      </c>
      <c r="F73" s="75" t="s">
        <v>5177</v>
      </c>
      <c r="G73" s="28" t="s">
        <v>291</v>
      </c>
      <c r="H73" s="76" t="s">
        <v>5151</v>
      </c>
      <c r="I73" s="38">
        <v>46023</v>
      </c>
      <c r="J73" s="39"/>
      <c r="K73" s="38">
        <v>46023</v>
      </c>
      <c r="L73" s="40" t="s">
        <v>292</v>
      </c>
      <c r="M73" s="41" t="s">
        <v>5152</v>
      </c>
      <c r="N73" s="42" t="s">
        <v>294</v>
      </c>
    </row>
    <row r="74" spans="1:14" ht="15.75" customHeight="1" x14ac:dyDescent="0.3">
      <c r="A74" s="81">
        <v>71</v>
      </c>
      <c r="B74" s="25" t="s">
        <v>1035</v>
      </c>
      <c r="C74" s="82" t="s">
        <v>5242</v>
      </c>
      <c r="D74" s="25" t="s">
        <v>1597</v>
      </c>
      <c r="E74" s="81" t="s">
        <v>5243</v>
      </c>
      <c r="F74" s="75" t="s">
        <v>5177</v>
      </c>
      <c r="G74" s="28" t="s">
        <v>291</v>
      </c>
      <c r="H74" s="76" t="s">
        <v>5151</v>
      </c>
      <c r="I74" s="30">
        <v>46023</v>
      </c>
      <c r="J74" s="31"/>
      <c r="K74" s="30">
        <v>46023</v>
      </c>
      <c r="L74" s="32" t="s">
        <v>292</v>
      </c>
      <c r="M74" s="33" t="s">
        <v>5152</v>
      </c>
      <c r="N74" s="34" t="s">
        <v>294</v>
      </c>
    </row>
    <row r="75" spans="1:14" ht="15.75" customHeight="1" x14ac:dyDescent="0.3">
      <c r="A75" s="81">
        <v>72</v>
      </c>
      <c r="B75" s="25" t="s">
        <v>1035</v>
      </c>
      <c r="C75" s="82" t="s">
        <v>5242</v>
      </c>
      <c r="D75" s="25" t="s">
        <v>1229</v>
      </c>
      <c r="E75" s="81" t="s">
        <v>5244</v>
      </c>
      <c r="F75" s="75" t="s">
        <v>5177</v>
      </c>
      <c r="G75" s="28" t="s">
        <v>291</v>
      </c>
      <c r="H75" s="76" t="s">
        <v>5151</v>
      </c>
      <c r="I75" s="38">
        <v>46023</v>
      </c>
      <c r="J75" s="39"/>
      <c r="K75" s="38">
        <v>46023</v>
      </c>
      <c r="L75" s="40" t="s">
        <v>292</v>
      </c>
      <c r="M75" s="41" t="s">
        <v>5152</v>
      </c>
      <c r="N75" s="42" t="s">
        <v>294</v>
      </c>
    </row>
    <row r="76" spans="1:14" ht="15.75" customHeight="1" x14ac:dyDescent="0.3">
      <c r="A76" s="81">
        <v>73</v>
      </c>
      <c r="B76" s="25" t="s">
        <v>1035</v>
      </c>
      <c r="C76" s="82" t="s">
        <v>5242</v>
      </c>
      <c r="D76" s="25" t="s">
        <v>953</v>
      </c>
      <c r="E76" s="81" t="s">
        <v>5245</v>
      </c>
      <c r="F76" s="75" t="s">
        <v>5177</v>
      </c>
      <c r="G76" s="28" t="s">
        <v>291</v>
      </c>
      <c r="H76" s="76" t="s">
        <v>5151</v>
      </c>
      <c r="I76" s="30">
        <v>46023</v>
      </c>
      <c r="J76" s="31"/>
      <c r="K76" s="30">
        <v>46023</v>
      </c>
      <c r="L76" s="32" t="s">
        <v>292</v>
      </c>
      <c r="M76" s="33" t="s">
        <v>5152</v>
      </c>
      <c r="N76" s="34" t="s">
        <v>294</v>
      </c>
    </row>
    <row r="77" spans="1:14" ht="15.75" customHeight="1" x14ac:dyDescent="0.3">
      <c r="A77" s="81">
        <v>74</v>
      </c>
      <c r="B77" s="25" t="s">
        <v>1035</v>
      </c>
      <c r="C77" s="82" t="s">
        <v>5242</v>
      </c>
      <c r="D77" s="25" t="s">
        <v>1036</v>
      </c>
      <c r="E77" s="81" t="s">
        <v>5246</v>
      </c>
      <c r="F77" s="75" t="s">
        <v>5177</v>
      </c>
      <c r="G77" s="28" t="s">
        <v>291</v>
      </c>
      <c r="H77" s="76" t="s">
        <v>5151</v>
      </c>
      <c r="I77" s="38">
        <v>46023</v>
      </c>
      <c r="J77" s="39"/>
      <c r="K77" s="38">
        <v>46023</v>
      </c>
      <c r="L77" s="40" t="s">
        <v>292</v>
      </c>
      <c r="M77" s="41" t="s">
        <v>5152</v>
      </c>
      <c r="N77" s="42" t="s">
        <v>294</v>
      </c>
    </row>
    <row r="78" spans="1:14" ht="15.75" customHeight="1" x14ac:dyDescent="0.3">
      <c r="A78" s="81">
        <v>75</v>
      </c>
      <c r="B78" s="25" t="s">
        <v>1096</v>
      </c>
      <c r="C78" s="82" t="s">
        <v>5247</v>
      </c>
      <c r="D78" s="25" t="s">
        <v>1597</v>
      </c>
      <c r="E78" s="81" t="s">
        <v>5248</v>
      </c>
      <c r="F78" s="75" t="s">
        <v>5177</v>
      </c>
      <c r="G78" s="28" t="s">
        <v>291</v>
      </c>
      <c r="H78" s="76" t="s">
        <v>5151</v>
      </c>
      <c r="I78" s="30">
        <v>46023</v>
      </c>
      <c r="J78" s="31"/>
      <c r="K78" s="30">
        <v>46023</v>
      </c>
      <c r="L78" s="32" t="s">
        <v>292</v>
      </c>
      <c r="M78" s="33" t="s">
        <v>5152</v>
      </c>
      <c r="N78" s="34" t="s">
        <v>294</v>
      </c>
    </row>
    <row r="79" spans="1:14" ht="15.75" customHeight="1" x14ac:dyDescent="0.3">
      <c r="A79" s="81">
        <v>76</v>
      </c>
      <c r="B79" s="25" t="s">
        <v>1096</v>
      </c>
      <c r="C79" s="82" t="s">
        <v>5247</v>
      </c>
      <c r="D79" s="25" t="s">
        <v>1229</v>
      </c>
      <c r="E79" s="81" t="s">
        <v>5249</v>
      </c>
      <c r="F79" s="75" t="s">
        <v>5177</v>
      </c>
      <c r="G79" s="28" t="s">
        <v>291</v>
      </c>
      <c r="H79" s="76" t="s">
        <v>5151</v>
      </c>
      <c r="I79" s="38">
        <v>46023</v>
      </c>
      <c r="J79" s="39"/>
      <c r="K79" s="38">
        <v>46023</v>
      </c>
      <c r="L79" s="40" t="s">
        <v>292</v>
      </c>
      <c r="M79" s="41" t="s">
        <v>5152</v>
      </c>
      <c r="N79" s="42" t="s">
        <v>294</v>
      </c>
    </row>
    <row r="80" spans="1:14" ht="15.75" customHeight="1" x14ac:dyDescent="0.3">
      <c r="A80" s="81">
        <v>77</v>
      </c>
      <c r="B80" s="25" t="s">
        <v>1096</v>
      </c>
      <c r="C80" s="82" t="s">
        <v>5247</v>
      </c>
      <c r="D80" s="25" t="s">
        <v>953</v>
      </c>
      <c r="E80" s="81" t="s">
        <v>5250</v>
      </c>
      <c r="F80" s="75" t="s">
        <v>5177</v>
      </c>
      <c r="G80" s="28" t="s">
        <v>291</v>
      </c>
      <c r="H80" s="76" t="s">
        <v>5151</v>
      </c>
      <c r="I80" s="30">
        <v>46023</v>
      </c>
      <c r="J80" s="31"/>
      <c r="K80" s="30">
        <v>46023</v>
      </c>
      <c r="L80" s="32" t="s">
        <v>292</v>
      </c>
      <c r="M80" s="33" t="s">
        <v>5152</v>
      </c>
      <c r="N80" s="34" t="s">
        <v>294</v>
      </c>
    </row>
    <row r="81" spans="1:14" ht="15.75" customHeight="1" x14ac:dyDescent="0.3">
      <c r="A81" s="81">
        <v>78</v>
      </c>
      <c r="B81" s="25" t="s">
        <v>1096</v>
      </c>
      <c r="C81" s="82" t="s">
        <v>5247</v>
      </c>
      <c r="D81" s="25" t="s">
        <v>2369</v>
      </c>
      <c r="E81" s="81" t="s">
        <v>5251</v>
      </c>
      <c r="F81" s="75" t="s">
        <v>5177</v>
      </c>
      <c r="G81" s="28" t="s">
        <v>291</v>
      </c>
      <c r="H81" s="76" t="s">
        <v>5151</v>
      </c>
      <c r="I81" s="38">
        <v>46023</v>
      </c>
      <c r="J81" s="39"/>
      <c r="K81" s="38">
        <v>46023</v>
      </c>
      <c r="L81" s="40" t="s">
        <v>292</v>
      </c>
      <c r="M81" s="41" t="s">
        <v>5152</v>
      </c>
      <c r="N81" s="42" t="s">
        <v>294</v>
      </c>
    </row>
    <row r="82" spans="1:14" ht="15.75" customHeight="1" x14ac:dyDescent="0.3">
      <c r="A82" s="81">
        <v>79</v>
      </c>
      <c r="B82" s="25" t="s">
        <v>952</v>
      </c>
      <c r="C82" s="82" t="s">
        <v>5252</v>
      </c>
      <c r="D82" s="25" t="s">
        <v>1597</v>
      </c>
      <c r="E82" s="81" t="s">
        <v>5253</v>
      </c>
      <c r="F82" s="75" t="s">
        <v>5177</v>
      </c>
      <c r="G82" s="28" t="s">
        <v>291</v>
      </c>
      <c r="H82" s="76" t="s">
        <v>5151</v>
      </c>
      <c r="I82" s="30">
        <v>46023</v>
      </c>
      <c r="J82" s="31"/>
      <c r="K82" s="30">
        <v>46023</v>
      </c>
      <c r="L82" s="32" t="s">
        <v>292</v>
      </c>
      <c r="M82" s="33" t="s">
        <v>5152</v>
      </c>
      <c r="N82" s="34" t="s">
        <v>294</v>
      </c>
    </row>
    <row r="83" spans="1:14" ht="15.75" customHeight="1" x14ac:dyDescent="0.3">
      <c r="A83" s="81">
        <v>80</v>
      </c>
      <c r="B83" s="25" t="s">
        <v>952</v>
      </c>
      <c r="C83" s="82" t="s">
        <v>5252</v>
      </c>
      <c r="D83" s="25" t="s">
        <v>1229</v>
      </c>
      <c r="E83" s="81" t="s">
        <v>5254</v>
      </c>
      <c r="F83" s="75" t="s">
        <v>5177</v>
      </c>
      <c r="G83" s="28" t="s">
        <v>291</v>
      </c>
      <c r="H83" s="76" t="s">
        <v>5151</v>
      </c>
      <c r="I83" s="38">
        <v>46023</v>
      </c>
      <c r="J83" s="39"/>
      <c r="K83" s="38">
        <v>46023</v>
      </c>
      <c r="L83" s="40" t="s">
        <v>292</v>
      </c>
      <c r="M83" s="41" t="s">
        <v>5152</v>
      </c>
      <c r="N83" s="42" t="s">
        <v>294</v>
      </c>
    </row>
    <row r="84" spans="1:14" ht="15.75" customHeight="1" x14ac:dyDescent="0.3">
      <c r="A84" s="81">
        <v>81</v>
      </c>
      <c r="B84" s="25" t="s">
        <v>952</v>
      </c>
      <c r="C84" s="82" t="s">
        <v>5252</v>
      </c>
      <c r="D84" s="25" t="s">
        <v>953</v>
      </c>
      <c r="E84" s="81" t="s">
        <v>5255</v>
      </c>
      <c r="F84" s="75" t="s">
        <v>5177</v>
      </c>
      <c r="G84" s="28" t="s">
        <v>291</v>
      </c>
      <c r="H84" s="76" t="s">
        <v>5151</v>
      </c>
      <c r="I84" s="30">
        <v>46023</v>
      </c>
      <c r="J84" s="31"/>
      <c r="K84" s="30">
        <v>46023</v>
      </c>
      <c r="L84" s="32" t="s">
        <v>292</v>
      </c>
      <c r="M84" s="33" t="s">
        <v>5152</v>
      </c>
      <c r="N84" s="34" t="s">
        <v>294</v>
      </c>
    </row>
    <row r="85" spans="1:14" ht="15.75" customHeight="1" x14ac:dyDescent="0.3">
      <c r="A85" s="81">
        <v>82</v>
      </c>
      <c r="B85" s="25" t="s">
        <v>952</v>
      </c>
      <c r="C85" s="82" t="s">
        <v>5252</v>
      </c>
      <c r="D85" s="25" t="s">
        <v>2972</v>
      </c>
      <c r="E85" s="81" t="s">
        <v>5256</v>
      </c>
      <c r="F85" s="75" t="s">
        <v>5177</v>
      </c>
      <c r="G85" s="28" t="s">
        <v>291</v>
      </c>
      <c r="H85" s="76" t="s">
        <v>5151</v>
      </c>
      <c r="I85" s="38">
        <v>46023</v>
      </c>
      <c r="J85" s="39"/>
      <c r="K85" s="38">
        <v>46023</v>
      </c>
      <c r="L85" s="40" t="s">
        <v>292</v>
      </c>
      <c r="M85" s="41" t="s">
        <v>5152</v>
      </c>
      <c r="N85" s="42" t="s">
        <v>294</v>
      </c>
    </row>
    <row r="86" spans="1:14" ht="15.75" customHeight="1" x14ac:dyDescent="0.3">
      <c r="A86" s="81">
        <v>83</v>
      </c>
      <c r="B86" s="25" t="s">
        <v>2790</v>
      </c>
      <c r="C86" s="82" t="s">
        <v>5257</v>
      </c>
      <c r="D86" s="25" t="s">
        <v>1597</v>
      </c>
      <c r="E86" s="81" t="s">
        <v>5258</v>
      </c>
      <c r="F86" s="75" t="s">
        <v>5177</v>
      </c>
      <c r="G86" s="28" t="s">
        <v>291</v>
      </c>
      <c r="H86" s="76" t="s">
        <v>5151</v>
      </c>
      <c r="I86" s="30">
        <v>46023</v>
      </c>
      <c r="J86" s="31"/>
      <c r="K86" s="30">
        <v>46023</v>
      </c>
      <c r="L86" s="32" t="s">
        <v>292</v>
      </c>
      <c r="M86" s="33" t="s">
        <v>5152</v>
      </c>
      <c r="N86" s="34" t="s">
        <v>294</v>
      </c>
    </row>
    <row r="87" spans="1:14" ht="15.75" customHeight="1" x14ac:dyDescent="0.3">
      <c r="A87" s="81">
        <v>84</v>
      </c>
      <c r="B87" s="25" t="s">
        <v>2790</v>
      </c>
      <c r="C87" s="82" t="s">
        <v>5257</v>
      </c>
      <c r="D87" s="25" t="s">
        <v>1229</v>
      </c>
      <c r="E87" s="81" t="s">
        <v>5259</v>
      </c>
      <c r="F87" s="75" t="s">
        <v>5177</v>
      </c>
      <c r="G87" s="28" t="s">
        <v>291</v>
      </c>
      <c r="H87" s="76" t="s">
        <v>5151</v>
      </c>
      <c r="I87" s="38">
        <v>46023</v>
      </c>
      <c r="J87" s="39"/>
      <c r="K87" s="38">
        <v>46023</v>
      </c>
      <c r="L87" s="40" t="s">
        <v>292</v>
      </c>
      <c r="M87" s="41" t="s">
        <v>5152</v>
      </c>
      <c r="N87" s="42" t="s">
        <v>294</v>
      </c>
    </row>
    <row r="88" spans="1:14" ht="15.75" customHeight="1" x14ac:dyDescent="0.3">
      <c r="A88" s="81">
        <v>85</v>
      </c>
      <c r="B88" s="25" t="s">
        <v>2790</v>
      </c>
      <c r="C88" s="82" t="s">
        <v>5257</v>
      </c>
      <c r="D88" s="25" t="s">
        <v>953</v>
      </c>
      <c r="E88" s="81" t="s">
        <v>5260</v>
      </c>
      <c r="F88" s="75" t="s">
        <v>5177</v>
      </c>
      <c r="G88" s="28" t="s">
        <v>291</v>
      </c>
      <c r="H88" s="76" t="s">
        <v>5151</v>
      </c>
      <c r="I88" s="30">
        <v>46023</v>
      </c>
      <c r="J88" s="31"/>
      <c r="K88" s="30">
        <v>46023</v>
      </c>
      <c r="L88" s="32" t="s">
        <v>292</v>
      </c>
      <c r="M88" s="33" t="s">
        <v>5152</v>
      </c>
      <c r="N88" s="34" t="s">
        <v>294</v>
      </c>
    </row>
    <row r="89" spans="1:14" ht="15.75" customHeight="1" x14ac:dyDescent="0.3">
      <c r="A89" s="81">
        <v>86</v>
      </c>
      <c r="B89" s="25" t="s">
        <v>2790</v>
      </c>
      <c r="C89" s="82" t="s">
        <v>5257</v>
      </c>
      <c r="D89" s="25" t="s">
        <v>1036</v>
      </c>
      <c r="E89" s="81" t="s">
        <v>5261</v>
      </c>
      <c r="F89" s="75" t="s">
        <v>5177</v>
      </c>
      <c r="G89" s="28" t="s">
        <v>291</v>
      </c>
      <c r="H89" s="76" t="s">
        <v>5151</v>
      </c>
      <c r="I89" s="38">
        <v>46023</v>
      </c>
      <c r="J89" s="39"/>
      <c r="K89" s="38">
        <v>46023</v>
      </c>
      <c r="L89" s="40" t="s">
        <v>292</v>
      </c>
      <c r="M89" s="41" t="s">
        <v>5152</v>
      </c>
      <c r="N89" s="42" t="s">
        <v>294</v>
      </c>
    </row>
  </sheetData>
  <mergeCells count="2">
    <mergeCell ref="A1:N1"/>
    <mergeCell ref="A2:N2"/>
  </mergeCells>
  <dataValidations count="3">
    <dataValidation type="list" showErrorMessage="1" errorTitle="Invalid" error="Select from list" sqref="F4:F89" xr:uid="{00000000-0002-0000-0500-000000000000}">
      <formula1>"Teacher,Medical,Finance,Administration,Technical,Legal,Diplomatic,General"</formula1>
      <formula2>0</formula2>
    </dataValidation>
    <dataValidation type="list" showErrorMessage="1" errorTitle="Invalid" error="Select from list" sqref="G4:G89" xr:uid="{00000000-0002-0000-0500-000001000000}">
      <formula1>"Yes,No"</formula1>
      <formula2>0</formula2>
    </dataValidation>
    <dataValidation type="list" showErrorMessage="1" errorTitle="Invalid" error="Select from list" sqref="H4:H89" xr:uid="{00000000-0002-0000-0500-000002000000}">
      <formula1>"Teaching,Medical,None"</formula1>
      <formula2>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pageSetUpPr fitToPage="1"/>
  </sheetPr>
  <dimension ref="A1:O157"/>
  <sheetViews>
    <sheetView showGridLines="0" topLeftCell="E1" zoomScaleNormal="100" workbookViewId="0">
      <pane ySplit="3" topLeftCell="A4" activePane="bottomLeft" state="frozen"/>
      <selection pane="bottomLeft" activeCell="K7" sqref="K7"/>
    </sheetView>
  </sheetViews>
  <sheetFormatPr defaultColWidth="8.6640625" defaultRowHeight="14.4" x14ac:dyDescent="0.3"/>
  <cols>
    <col min="1" max="1" width="24" style="14" customWidth="1"/>
    <col min="2" max="2" width="12" style="14" customWidth="1"/>
    <col min="3" max="3" width="14" style="14" customWidth="1"/>
    <col min="4" max="4" width="24" style="14" customWidth="1"/>
    <col min="5" max="5" width="12" style="14" customWidth="1"/>
    <col min="6" max="6" width="26" style="14" customWidth="1"/>
    <col min="7" max="7" width="12" style="14" customWidth="1"/>
    <col min="8" max="8" width="14" style="14" customWidth="1"/>
    <col min="9" max="9" width="42" style="14" customWidth="1"/>
    <col min="10" max="13" width="16" style="14" customWidth="1"/>
    <col min="14" max="14" width="20" style="14" customWidth="1"/>
    <col min="15" max="15" width="32" style="14" customWidth="1"/>
  </cols>
  <sheetData>
    <row r="1" spans="1:15" ht="24" customHeight="1" x14ac:dyDescent="0.3">
      <c r="A1" s="262" t="s">
        <v>268</v>
      </c>
      <c r="B1" s="262"/>
      <c r="C1" s="262"/>
      <c r="D1" s="262"/>
      <c r="E1" s="262"/>
      <c r="F1" s="262"/>
      <c r="G1" s="262"/>
      <c r="H1" s="262"/>
      <c r="I1" s="262"/>
      <c r="J1" s="262"/>
      <c r="K1" s="262"/>
      <c r="L1" s="262"/>
      <c r="M1" s="262"/>
      <c r="N1" s="262"/>
      <c r="O1" s="262"/>
    </row>
    <row r="2" spans="1:15" ht="43.5" customHeight="1" x14ac:dyDescent="0.3">
      <c r="A2" s="263" t="s">
        <v>269</v>
      </c>
      <c r="B2" s="263"/>
      <c r="C2" s="263"/>
      <c r="D2" s="263"/>
      <c r="E2" s="263"/>
      <c r="F2" s="263"/>
      <c r="G2" s="263"/>
      <c r="H2" s="263"/>
      <c r="I2" s="263"/>
      <c r="J2" s="263"/>
      <c r="K2" s="263"/>
      <c r="L2" s="263"/>
      <c r="M2" s="263"/>
      <c r="N2" s="263"/>
      <c r="O2" s="263"/>
    </row>
    <row r="3" spans="1:15" ht="31.5" customHeight="1" x14ac:dyDescent="0.3">
      <c r="A3" s="23" t="s">
        <v>270</v>
      </c>
      <c r="B3" s="23" t="s">
        <v>271</v>
      </c>
      <c r="C3" s="23" t="s">
        <v>272</v>
      </c>
      <c r="D3" s="23" t="s">
        <v>273</v>
      </c>
      <c r="E3" s="23" t="s">
        <v>274</v>
      </c>
      <c r="F3" s="23" t="s">
        <v>275</v>
      </c>
      <c r="G3" s="23" t="s">
        <v>276</v>
      </c>
      <c r="H3" s="23" t="s">
        <v>277</v>
      </c>
      <c r="I3" s="23" t="s">
        <v>278</v>
      </c>
      <c r="J3" s="24" t="s">
        <v>279</v>
      </c>
      <c r="K3" s="24" t="s">
        <v>280</v>
      </c>
      <c r="L3" s="24" t="s">
        <v>281</v>
      </c>
      <c r="M3" s="24" t="s">
        <v>282</v>
      </c>
      <c r="N3" s="24" t="s">
        <v>283</v>
      </c>
      <c r="O3" s="24" t="s">
        <v>284</v>
      </c>
    </row>
    <row r="4" spans="1:15" ht="15" customHeight="1" x14ac:dyDescent="0.3">
      <c r="A4" s="25" t="s">
        <v>285</v>
      </c>
      <c r="B4" s="26" t="s">
        <v>286</v>
      </c>
      <c r="C4" s="26" t="s">
        <v>287</v>
      </c>
      <c r="D4" s="25" t="s">
        <v>288</v>
      </c>
      <c r="E4" s="27" t="s">
        <v>289</v>
      </c>
      <c r="F4" s="25" t="s">
        <v>290</v>
      </c>
      <c r="G4" s="28" t="s">
        <v>291</v>
      </c>
      <c r="H4" s="28" t="s">
        <v>291</v>
      </c>
      <c r="I4" s="29"/>
      <c r="J4" s="30">
        <v>46023</v>
      </c>
      <c r="K4" s="31"/>
      <c r="L4" s="30">
        <v>46023</v>
      </c>
      <c r="M4" s="32" t="s">
        <v>292</v>
      </c>
      <c r="N4" s="33" t="s">
        <v>293</v>
      </c>
      <c r="O4" s="34" t="s">
        <v>294</v>
      </c>
    </row>
    <row r="5" spans="1:15" ht="15" customHeight="1" x14ac:dyDescent="0.3">
      <c r="A5" s="25" t="s">
        <v>285</v>
      </c>
      <c r="B5" s="35" t="s">
        <v>286</v>
      </c>
      <c r="C5" s="35" t="s">
        <v>287</v>
      </c>
      <c r="D5" s="25" t="s">
        <v>288</v>
      </c>
      <c r="E5" s="36" t="s">
        <v>295</v>
      </c>
      <c r="F5" s="25" t="s">
        <v>296</v>
      </c>
      <c r="G5" s="28" t="s">
        <v>291</v>
      </c>
      <c r="H5" s="28" t="s">
        <v>291</v>
      </c>
      <c r="I5" s="37"/>
      <c r="J5" s="38">
        <v>46023</v>
      </c>
      <c r="K5" s="39"/>
      <c r="L5" s="38">
        <v>46023</v>
      </c>
      <c r="M5" s="40" t="s">
        <v>292</v>
      </c>
      <c r="N5" s="41" t="s">
        <v>293</v>
      </c>
      <c r="O5" s="42" t="s">
        <v>294</v>
      </c>
    </row>
    <row r="6" spans="1:15" ht="15" customHeight="1" x14ac:dyDescent="0.3">
      <c r="A6" s="25" t="s">
        <v>285</v>
      </c>
      <c r="B6" s="26" t="s">
        <v>286</v>
      </c>
      <c r="C6" s="26" t="s">
        <v>287</v>
      </c>
      <c r="D6" s="25" t="s">
        <v>288</v>
      </c>
      <c r="E6" s="27" t="s">
        <v>297</v>
      </c>
      <c r="F6" s="25" t="s">
        <v>298</v>
      </c>
      <c r="G6" s="28" t="s">
        <v>291</v>
      </c>
      <c r="H6" s="28" t="s">
        <v>291</v>
      </c>
      <c r="I6" s="29"/>
      <c r="J6" s="30">
        <v>46023</v>
      </c>
      <c r="K6" s="31"/>
      <c r="L6" s="30">
        <v>46023</v>
      </c>
      <c r="M6" s="32" t="s">
        <v>292</v>
      </c>
      <c r="N6" s="33" t="s">
        <v>293</v>
      </c>
      <c r="O6" s="34" t="s">
        <v>294</v>
      </c>
    </row>
    <row r="7" spans="1:15" ht="15" customHeight="1" x14ac:dyDescent="0.3">
      <c r="A7" s="25" t="s">
        <v>285</v>
      </c>
      <c r="B7" s="35" t="s">
        <v>286</v>
      </c>
      <c r="C7" s="35" t="s">
        <v>287</v>
      </c>
      <c r="D7" s="25" t="s">
        <v>288</v>
      </c>
      <c r="E7" s="36" t="s">
        <v>299</v>
      </c>
      <c r="F7" s="25" t="s">
        <v>300</v>
      </c>
      <c r="G7" s="28" t="s">
        <v>291</v>
      </c>
      <c r="H7" s="28" t="s">
        <v>291</v>
      </c>
      <c r="I7" s="37"/>
      <c r="J7" s="38">
        <v>46023</v>
      </c>
      <c r="K7" s="39"/>
      <c r="L7" s="38">
        <v>46023</v>
      </c>
      <c r="M7" s="40" t="s">
        <v>292</v>
      </c>
      <c r="N7" s="41" t="s">
        <v>293</v>
      </c>
      <c r="O7" s="42" t="s">
        <v>294</v>
      </c>
    </row>
    <row r="8" spans="1:15" ht="15" customHeight="1" x14ac:dyDescent="0.3">
      <c r="A8" s="25" t="s">
        <v>285</v>
      </c>
      <c r="B8" s="26" t="s">
        <v>286</v>
      </c>
      <c r="C8" s="26" t="s">
        <v>287</v>
      </c>
      <c r="D8" s="25" t="s">
        <v>288</v>
      </c>
      <c r="E8" s="27" t="s">
        <v>301</v>
      </c>
      <c r="F8" s="25" t="s">
        <v>302</v>
      </c>
      <c r="G8" s="28" t="s">
        <v>291</v>
      </c>
      <c r="H8" s="28" t="s">
        <v>291</v>
      </c>
      <c r="I8" s="29"/>
      <c r="J8" s="30">
        <v>46023</v>
      </c>
      <c r="K8" s="31"/>
      <c r="L8" s="30">
        <v>46023</v>
      </c>
      <c r="M8" s="32" t="s">
        <v>292</v>
      </c>
      <c r="N8" s="33" t="s">
        <v>293</v>
      </c>
      <c r="O8" s="34" t="s">
        <v>294</v>
      </c>
    </row>
    <row r="9" spans="1:15" ht="15" customHeight="1" x14ac:dyDescent="0.3">
      <c r="A9" s="25" t="s">
        <v>285</v>
      </c>
      <c r="B9" s="35" t="s">
        <v>286</v>
      </c>
      <c r="C9" s="35" t="s">
        <v>287</v>
      </c>
      <c r="D9" s="25" t="s">
        <v>288</v>
      </c>
      <c r="E9" s="36" t="s">
        <v>303</v>
      </c>
      <c r="F9" s="25" t="s">
        <v>304</v>
      </c>
      <c r="G9" s="28" t="s">
        <v>291</v>
      </c>
      <c r="H9" s="28" t="s">
        <v>291</v>
      </c>
      <c r="I9" s="37"/>
      <c r="J9" s="38">
        <v>46023</v>
      </c>
      <c r="K9" s="39"/>
      <c r="L9" s="38">
        <v>46023</v>
      </c>
      <c r="M9" s="40" t="s">
        <v>292</v>
      </c>
      <c r="N9" s="41" t="s">
        <v>293</v>
      </c>
      <c r="O9" s="42" t="s">
        <v>294</v>
      </c>
    </row>
    <row r="10" spans="1:15" ht="15" customHeight="1" x14ac:dyDescent="0.3">
      <c r="A10" s="25" t="s">
        <v>285</v>
      </c>
      <c r="B10" s="26" t="s">
        <v>286</v>
      </c>
      <c r="C10" s="26" t="s">
        <v>287</v>
      </c>
      <c r="D10" s="25" t="s">
        <v>288</v>
      </c>
      <c r="E10" s="27" t="s">
        <v>305</v>
      </c>
      <c r="F10" s="25" t="s">
        <v>306</v>
      </c>
      <c r="G10" s="28" t="s">
        <v>291</v>
      </c>
      <c r="H10" s="28" t="s">
        <v>291</v>
      </c>
      <c r="I10" s="29"/>
      <c r="J10" s="30">
        <v>46023</v>
      </c>
      <c r="K10" s="31"/>
      <c r="L10" s="30">
        <v>46023</v>
      </c>
      <c r="M10" s="32" t="s">
        <v>292</v>
      </c>
      <c r="N10" s="33" t="s">
        <v>293</v>
      </c>
      <c r="O10" s="34" t="s">
        <v>294</v>
      </c>
    </row>
    <row r="11" spans="1:15" ht="15" customHeight="1" x14ac:dyDescent="0.3">
      <c r="A11" s="25" t="s">
        <v>285</v>
      </c>
      <c r="B11" s="35" t="s">
        <v>286</v>
      </c>
      <c r="C11" s="35" t="s">
        <v>287</v>
      </c>
      <c r="D11" s="25" t="s">
        <v>288</v>
      </c>
      <c r="E11" s="36" t="s">
        <v>307</v>
      </c>
      <c r="F11" s="25" t="s">
        <v>308</v>
      </c>
      <c r="G11" s="28" t="s">
        <v>291</v>
      </c>
      <c r="H11" s="28" t="s">
        <v>291</v>
      </c>
      <c r="I11" s="37"/>
      <c r="J11" s="38">
        <v>46023</v>
      </c>
      <c r="K11" s="39"/>
      <c r="L11" s="38">
        <v>46023</v>
      </c>
      <c r="M11" s="40" t="s">
        <v>292</v>
      </c>
      <c r="N11" s="41" t="s">
        <v>293</v>
      </c>
      <c r="O11" s="42" t="s">
        <v>294</v>
      </c>
    </row>
    <row r="12" spans="1:15" ht="15" customHeight="1" x14ac:dyDescent="0.3">
      <c r="A12" s="25" t="s">
        <v>285</v>
      </c>
      <c r="B12" s="26" t="s">
        <v>286</v>
      </c>
      <c r="C12" s="26" t="s">
        <v>287</v>
      </c>
      <c r="D12" s="25" t="s">
        <v>288</v>
      </c>
      <c r="E12" s="27" t="s">
        <v>309</v>
      </c>
      <c r="F12" s="25" t="s">
        <v>310</v>
      </c>
      <c r="G12" s="28" t="s">
        <v>291</v>
      </c>
      <c r="H12" s="28" t="s">
        <v>291</v>
      </c>
      <c r="I12" s="29"/>
      <c r="J12" s="30">
        <v>46023</v>
      </c>
      <c r="K12" s="31"/>
      <c r="L12" s="30">
        <v>46023</v>
      </c>
      <c r="M12" s="32" t="s">
        <v>292</v>
      </c>
      <c r="N12" s="33" t="s">
        <v>293</v>
      </c>
      <c r="O12" s="34" t="s">
        <v>294</v>
      </c>
    </row>
    <row r="13" spans="1:15" ht="15" customHeight="1" x14ac:dyDescent="0.3">
      <c r="A13" s="25" t="s">
        <v>285</v>
      </c>
      <c r="B13" s="43" t="s">
        <v>286</v>
      </c>
      <c r="C13" s="43" t="s">
        <v>311</v>
      </c>
      <c r="D13" s="25" t="s">
        <v>312</v>
      </c>
      <c r="E13" s="44" t="s">
        <v>313</v>
      </c>
      <c r="F13" s="25" t="s">
        <v>312</v>
      </c>
      <c r="G13" s="45" t="s">
        <v>314</v>
      </c>
      <c r="H13" s="28" t="s">
        <v>291</v>
      </c>
      <c r="I13" s="46" t="s">
        <v>315</v>
      </c>
      <c r="J13" s="38">
        <v>46023</v>
      </c>
      <c r="K13" s="39"/>
      <c r="L13" s="38">
        <v>46023</v>
      </c>
      <c r="M13" s="40" t="s">
        <v>292</v>
      </c>
      <c r="N13" s="41" t="s">
        <v>293</v>
      </c>
      <c r="O13" s="42" t="s">
        <v>294</v>
      </c>
    </row>
    <row r="14" spans="1:15" ht="15" customHeight="1" x14ac:dyDescent="0.3">
      <c r="A14" s="25" t="s">
        <v>285</v>
      </c>
      <c r="B14" s="43" t="s">
        <v>286</v>
      </c>
      <c r="C14" s="43" t="s">
        <v>311</v>
      </c>
      <c r="D14" s="25" t="s">
        <v>312</v>
      </c>
      <c r="E14" s="44" t="s">
        <v>316</v>
      </c>
      <c r="F14" s="25" t="s">
        <v>317</v>
      </c>
      <c r="G14" s="45" t="s">
        <v>314</v>
      </c>
      <c r="H14" s="28" t="s">
        <v>291</v>
      </c>
      <c r="I14" s="46" t="s">
        <v>315</v>
      </c>
      <c r="J14" s="30">
        <v>46023</v>
      </c>
      <c r="K14" s="31"/>
      <c r="L14" s="30">
        <v>46023</v>
      </c>
      <c r="M14" s="32" t="s">
        <v>292</v>
      </c>
      <c r="N14" s="33" t="s">
        <v>293</v>
      </c>
      <c r="O14" s="34" t="s">
        <v>294</v>
      </c>
    </row>
    <row r="15" spans="1:15" ht="15" customHeight="1" x14ac:dyDescent="0.3">
      <c r="A15" s="25" t="s">
        <v>285</v>
      </c>
      <c r="B15" s="43" t="s">
        <v>286</v>
      </c>
      <c r="C15" s="43" t="s">
        <v>311</v>
      </c>
      <c r="D15" s="25" t="s">
        <v>312</v>
      </c>
      <c r="E15" s="44" t="s">
        <v>318</v>
      </c>
      <c r="F15" s="25" t="s">
        <v>319</v>
      </c>
      <c r="G15" s="45" t="s">
        <v>314</v>
      </c>
      <c r="H15" s="28" t="s">
        <v>291</v>
      </c>
      <c r="I15" s="46" t="s">
        <v>315</v>
      </c>
      <c r="J15" s="38">
        <v>46023</v>
      </c>
      <c r="K15" s="39"/>
      <c r="L15" s="38">
        <v>46023</v>
      </c>
      <c r="M15" s="40" t="s">
        <v>292</v>
      </c>
      <c r="N15" s="41" t="s">
        <v>293</v>
      </c>
      <c r="O15" s="42" t="s">
        <v>294</v>
      </c>
    </row>
    <row r="16" spans="1:15" ht="15" customHeight="1" x14ac:dyDescent="0.3">
      <c r="A16" s="25" t="s">
        <v>285</v>
      </c>
      <c r="B16" s="43" t="s">
        <v>286</v>
      </c>
      <c r="C16" s="43" t="s">
        <v>311</v>
      </c>
      <c r="D16" s="25" t="s">
        <v>312</v>
      </c>
      <c r="E16" s="44" t="s">
        <v>320</v>
      </c>
      <c r="F16" s="25" t="s">
        <v>321</v>
      </c>
      <c r="G16" s="45" t="s">
        <v>314</v>
      </c>
      <c r="H16" s="28" t="s">
        <v>291</v>
      </c>
      <c r="I16" s="46" t="s">
        <v>315</v>
      </c>
      <c r="J16" s="30">
        <v>46023</v>
      </c>
      <c r="K16" s="31"/>
      <c r="L16" s="30">
        <v>46023</v>
      </c>
      <c r="M16" s="32" t="s">
        <v>292</v>
      </c>
      <c r="N16" s="33" t="s">
        <v>293</v>
      </c>
      <c r="O16" s="34" t="s">
        <v>294</v>
      </c>
    </row>
    <row r="17" spans="1:15" ht="15" customHeight="1" x14ac:dyDescent="0.3">
      <c r="A17" s="25" t="s">
        <v>285</v>
      </c>
      <c r="B17" s="43" t="s">
        <v>286</v>
      </c>
      <c r="C17" s="43" t="s">
        <v>311</v>
      </c>
      <c r="D17" s="25" t="s">
        <v>312</v>
      </c>
      <c r="E17" s="44" t="s">
        <v>322</v>
      </c>
      <c r="F17" s="25" t="s">
        <v>323</v>
      </c>
      <c r="G17" s="45" t="s">
        <v>314</v>
      </c>
      <c r="H17" s="28" t="s">
        <v>291</v>
      </c>
      <c r="I17" s="46" t="s">
        <v>315</v>
      </c>
      <c r="J17" s="38">
        <v>46023</v>
      </c>
      <c r="K17" s="39"/>
      <c r="L17" s="38">
        <v>46023</v>
      </c>
      <c r="M17" s="40" t="s">
        <v>292</v>
      </c>
      <c r="N17" s="41" t="s">
        <v>293</v>
      </c>
      <c r="O17" s="42" t="s">
        <v>294</v>
      </c>
    </row>
    <row r="18" spans="1:15" ht="15" customHeight="1" x14ac:dyDescent="0.3">
      <c r="A18" s="25" t="s">
        <v>285</v>
      </c>
      <c r="B18" s="43" t="s">
        <v>286</v>
      </c>
      <c r="C18" s="43" t="s">
        <v>311</v>
      </c>
      <c r="D18" s="25" t="s">
        <v>312</v>
      </c>
      <c r="E18" s="44" t="s">
        <v>324</v>
      </c>
      <c r="F18" s="25" t="s">
        <v>325</v>
      </c>
      <c r="G18" s="45" t="s">
        <v>314</v>
      </c>
      <c r="H18" s="28" t="s">
        <v>291</v>
      </c>
      <c r="I18" s="46" t="s">
        <v>315</v>
      </c>
      <c r="J18" s="30">
        <v>46023</v>
      </c>
      <c r="K18" s="31"/>
      <c r="L18" s="30">
        <v>46023</v>
      </c>
      <c r="M18" s="32" t="s">
        <v>292</v>
      </c>
      <c r="N18" s="33" t="s">
        <v>293</v>
      </c>
      <c r="O18" s="34" t="s">
        <v>294</v>
      </c>
    </row>
    <row r="19" spans="1:15" ht="15" customHeight="1" x14ac:dyDescent="0.3">
      <c r="A19" s="25" t="s">
        <v>285</v>
      </c>
      <c r="B19" s="43" t="s">
        <v>286</v>
      </c>
      <c r="C19" s="43" t="s">
        <v>311</v>
      </c>
      <c r="D19" s="25" t="s">
        <v>312</v>
      </c>
      <c r="E19" s="44" t="s">
        <v>326</v>
      </c>
      <c r="F19" s="25" t="s">
        <v>327</v>
      </c>
      <c r="G19" s="45" t="s">
        <v>314</v>
      </c>
      <c r="H19" s="28" t="s">
        <v>291</v>
      </c>
      <c r="I19" s="46" t="s">
        <v>315</v>
      </c>
      <c r="J19" s="38">
        <v>46023</v>
      </c>
      <c r="K19" s="39"/>
      <c r="L19" s="38">
        <v>46023</v>
      </c>
      <c r="M19" s="40" t="s">
        <v>292</v>
      </c>
      <c r="N19" s="41" t="s">
        <v>293</v>
      </c>
      <c r="O19" s="42" t="s">
        <v>294</v>
      </c>
    </row>
    <row r="20" spans="1:15" ht="15" customHeight="1" x14ac:dyDescent="0.3">
      <c r="A20" s="25" t="s">
        <v>285</v>
      </c>
      <c r="B20" s="43" t="s">
        <v>286</v>
      </c>
      <c r="C20" s="43" t="s">
        <v>328</v>
      </c>
      <c r="D20" s="25" t="s">
        <v>329</v>
      </c>
      <c r="E20" s="44" t="s">
        <v>330</v>
      </c>
      <c r="F20" s="25" t="s">
        <v>329</v>
      </c>
      <c r="G20" s="45" t="s">
        <v>314</v>
      </c>
      <c r="H20" s="28" t="s">
        <v>291</v>
      </c>
      <c r="I20" s="46" t="s">
        <v>315</v>
      </c>
      <c r="J20" s="30">
        <v>46023</v>
      </c>
      <c r="K20" s="31"/>
      <c r="L20" s="30">
        <v>46023</v>
      </c>
      <c r="M20" s="32" t="s">
        <v>292</v>
      </c>
      <c r="N20" s="33" t="s">
        <v>293</v>
      </c>
      <c r="O20" s="34" t="s">
        <v>294</v>
      </c>
    </row>
    <row r="21" spans="1:15" ht="15" customHeight="1" x14ac:dyDescent="0.3">
      <c r="A21" s="25" t="s">
        <v>285</v>
      </c>
      <c r="B21" s="43" t="s">
        <v>286</v>
      </c>
      <c r="C21" s="43" t="s">
        <v>328</v>
      </c>
      <c r="D21" s="25" t="s">
        <v>329</v>
      </c>
      <c r="E21" s="44" t="s">
        <v>331</v>
      </c>
      <c r="F21" s="25" t="s">
        <v>332</v>
      </c>
      <c r="G21" s="45" t="s">
        <v>314</v>
      </c>
      <c r="H21" s="28" t="s">
        <v>291</v>
      </c>
      <c r="I21" s="46" t="s">
        <v>315</v>
      </c>
      <c r="J21" s="38">
        <v>46023</v>
      </c>
      <c r="K21" s="39"/>
      <c r="L21" s="38">
        <v>46023</v>
      </c>
      <c r="M21" s="40" t="s">
        <v>292</v>
      </c>
      <c r="N21" s="41" t="s">
        <v>293</v>
      </c>
      <c r="O21" s="42" t="s">
        <v>294</v>
      </c>
    </row>
    <row r="22" spans="1:15" ht="15" customHeight="1" x14ac:dyDescent="0.3">
      <c r="A22" s="25" t="s">
        <v>285</v>
      </c>
      <c r="B22" s="43" t="s">
        <v>286</v>
      </c>
      <c r="C22" s="43" t="s">
        <v>328</v>
      </c>
      <c r="D22" s="25" t="s">
        <v>329</v>
      </c>
      <c r="E22" s="44" t="s">
        <v>333</v>
      </c>
      <c r="F22" s="25" t="s">
        <v>334</v>
      </c>
      <c r="G22" s="45" t="s">
        <v>314</v>
      </c>
      <c r="H22" s="28" t="s">
        <v>291</v>
      </c>
      <c r="I22" s="46" t="s">
        <v>315</v>
      </c>
      <c r="J22" s="30">
        <v>46023</v>
      </c>
      <c r="K22" s="31"/>
      <c r="L22" s="30">
        <v>46023</v>
      </c>
      <c r="M22" s="32" t="s">
        <v>292</v>
      </c>
      <c r="N22" s="33" t="s">
        <v>293</v>
      </c>
      <c r="O22" s="34" t="s">
        <v>294</v>
      </c>
    </row>
    <row r="23" spans="1:15" ht="15" customHeight="1" x14ac:dyDescent="0.3">
      <c r="A23" s="25" t="s">
        <v>285</v>
      </c>
      <c r="B23" s="43" t="s">
        <v>286</v>
      </c>
      <c r="C23" s="43" t="s">
        <v>328</v>
      </c>
      <c r="D23" s="25" t="s">
        <v>329</v>
      </c>
      <c r="E23" s="44" t="s">
        <v>335</v>
      </c>
      <c r="F23" s="25" t="s">
        <v>336</v>
      </c>
      <c r="G23" s="45" t="s">
        <v>314</v>
      </c>
      <c r="H23" s="28" t="s">
        <v>291</v>
      </c>
      <c r="I23" s="46" t="s">
        <v>315</v>
      </c>
      <c r="J23" s="38">
        <v>46023</v>
      </c>
      <c r="K23" s="39"/>
      <c r="L23" s="38">
        <v>46023</v>
      </c>
      <c r="M23" s="40" t="s">
        <v>292</v>
      </c>
      <c r="N23" s="41" t="s">
        <v>293</v>
      </c>
      <c r="O23" s="42" t="s">
        <v>294</v>
      </c>
    </row>
    <row r="24" spans="1:15" ht="15" customHeight="1" x14ac:dyDescent="0.3">
      <c r="A24" s="25" t="s">
        <v>285</v>
      </c>
      <c r="B24" s="43" t="s">
        <v>286</v>
      </c>
      <c r="C24" s="43" t="s">
        <v>328</v>
      </c>
      <c r="D24" s="25" t="s">
        <v>329</v>
      </c>
      <c r="E24" s="44" t="s">
        <v>337</v>
      </c>
      <c r="F24" s="25" t="s">
        <v>338</v>
      </c>
      <c r="G24" s="45" t="s">
        <v>314</v>
      </c>
      <c r="H24" s="28" t="s">
        <v>291</v>
      </c>
      <c r="I24" s="46" t="s">
        <v>315</v>
      </c>
      <c r="J24" s="30">
        <v>46023</v>
      </c>
      <c r="K24" s="31"/>
      <c r="L24" s="30">
        <v>46023</v>
      </c>
      <c r="M24" s="32" t="s">
        <v>292</v>
      </c>
      <c r="N24" s="33" t="s">
        <v>293</v>
      </c>
      <c r="O24" s="34" t="s">
        <v>294</v>
      </c>
    </row>
    <row r="25" spans="1:15" ht="15" customHeight="1" x14ac:dyDescent="0.3">
      <c r="A25" s="25" t="s">
        <v>285</v>
      </c>
      <c r="B25" s="35" t="s">
        <v>286</v>
      </c>
      <c r="C25" s="35" t="s">
        <v>339</v>
      </c>
      <c r="D25" s="25" t="s">
        <v>340</v>
      </c>
      <c r="E25" s="36" t="s">
        <v>341</v>
      </c>
      <c r="F25" s="25" t="s">
        <v>342</v>
      </c>
      <c r="G25" s="28" t="s">
        <v>291</v>
      </c>
      <c r="H25" s="28" t="s">
        <v>291</v>
      </c>
      <c r="I25" s="37"/>
      <c r="J25" s="38">
        <v>46023</v>
      </c>
      <c r="K25" s="39"/>
      <c r="L25" s="38">
        <v>46023</v>
      </c>
      <c r="M25" s="40" t="s">
        <v>292</v>
      </c>
      <c r="N25" s="41" t="s">
        <v>293</v>
      </c>
      <c r="O25" s="42" t="s">
        <v>294</v>
      </c>
    </row>
    <row r="26" spans="1:15" ht="15" customHeight="1" x14ac:dyDescent="0.3">
      <c r="A26" s="25" t="s">
        <v>285</v>
      </c>
      <c r="B26" s="26" t="s">
        <v>286</v>
      </c>
      <c r="C26" s="26" t="s">
        <v>339</v>
      </c>
      <c r="D26" s="25" t="s">
        <v>340</v>
      </c>
      <c r="E26" s="27" t="s">
        <v>343</v>
      </c>
      <c r="F26" s="25" t="s">
        <v>344</v>
      </c>
      <c r="G26" s="28" t="s">
        <v>291</v>
      </c>
      <c r="H26" s="28" t="s">
        <v>291</v>
      </c>
      <c r="I26" s="29"/>
      <c r="J26" s="30">
        <v>46023</v>
      </c>
      <c r="K26" s="31"/>
      <c r="L26" s="30">
        <v>46023</v>
      </c>
      <c r="M26" s="32" t="s">
        <v>292</v>
      </c>
      <c r="N26" s="33" t="s">
        <v>293</v>
      </c>
      <c r="O26" s="34" t="s">
        <v>294</v>
      </c>
    </row>
    <row r="27" spans="1:15" ht="15" customHeight="1" x14ac:dyDescent="0.3">
      <c r="A27" s="25" t="s">
        <v>285</v>
      </c>
      <c r="B27" s="35" t="s">
        <v>286</v>
      </c>
      <c r="C27" s="35" t="s">
        <v>339</v>
      </c>
      <c r="D27" s="25" t="s">
        <v>340</v>
      </c>
      <c r="E27" s="36" t="s">
        <v>345</v>
      </c>
      <c r="F27" s="25" t="s">
        <v>346</v>
      </c>
      <c r="G27" s="28" t="s">
        <v>291</v>
      </c>
      <c r="H27" s="28" t="s">
        <v>291</v>
      </c>
      <c r="I27" s="37"/>
      <c r="J27" s="38">
        <v>46023</v>
      </c>
      <c r="K27" s="39"/>
      <c r="L27" s="38">
        <v>46023</v>
      </c>
      <c r="M27" s="40" t="s">
        <v>292</v>
      </c>
      <c r="N27" s="41" t="s">
        <v>293</v>
      </c>
      <c r="O27" s="42" t="s">
        <v>294</v>
      </c>
    </row>
    <row r="28" spans="1:15" ht="15" customHeight="1" x14ac:dyDescent="0.3">
      <c r="A28" s="25" t="s">
        <v>285</v>
      </c>
      <c r="B28" s="26" t="s">
        <v>286</v>
      </c>
      <c r="C28" s="26" t="s">
        <v>339</v>
      </c>
      <c r="D28" s="25" t="s">
        <v>340</v>
      </c>
      <c r="E28" s="27" t="s">
        <v>347</v>
      </c>
      <c r="F28" s="25" t="s">
        <v>348</v>
      </c>
      <c r="G28" s="28" t="s">
        <v>291</v>
      </c>
      <c r="H28" s="28" t="s">
        <v>291</v>
      </c>
      <c r="I28" s="29"/>
      <c r="J28" s="30">
        <v>46023</v>
      </c>
      <c r="K28" s="31"/>
      <c r="L28" s="30">
        <v>46023</v>
      </c>
      <c r="M28" s="32" t="s">
        <v>292</v>
      </c>
      <c r="N28" s="33" t="s">
        <v>293</v>
      </c>
      <c r="O28" s="34" t="s">
        <v>294</v>
      </c>
    </row>
    <row r="29" spans="1:15" ht="15" customHeight="1" x14ac:dyDescent="0.3">
      <c r="A29" s="25" t="s">
        <v>285</v>
      </c>
      <c r="B29" s="35" t="s">
        <v>286</v>
      </c>
      <c r="C29" s="35" t="s">
        <v>339</v>
      </c>
      <c r="D29" s="25" t="s">
        <v>340</v>
      </c>
      <c r="E29" s="36" t="s">
        <v>349</v>
      </c>
      <c r="F29" s="25" t="s">
        <v>350</v>
      </c>
      <c r="G29" s="28" t="s">
        <v>291</v>
      </c>
      <c r="H29" s="28" t="s">
        <v>291</v>
      </c>
      <c r="I29" s="37"/>
      <c r="J29" s="38">
        <v>46023</v>
      </c>
      <c r="K29" s="39"/>
      <c r="L29" s="38">
        <v>46023</v>
      </c>
      <c r="M29" s="40" t="s">
        <v>292</v>
      </c>
      <c r="N29" s="41" t="s">
        <v>293</v>
      </c>
      <c r="O29" s="42" t="s">
        <v>294</v>
      </c>
    </row>
    <row r="30" spans="1:15" ht="15" customHeight="1" x14ac:dyDescent="0.3">
      <c r="A30" s="25" t="s">
        <v>285</v>
      </c>
      <c r="B30" s="26" t="s">
        <v>286</v>
      </c>
      <c r="C30" s="26" t="s">
        <v>339</v>
      </c>
      <c r="D30" s="25" t="s">
        <v>340</v>
      </c>
      <c r="E30" s="27" t="s">
        <v>351</v>
      </c>
      <c r="F30" s="25" t="s">
        <v>352</v>
      </c>
      <c r="G30" s="28" t="s">
        <v>291</v>
      </c>
      <c r="H30" s="28" t="s">
        <v>291</v>
      </c>
      <c r="I30" s="29"/>
      <c r="J30" s="30">
        <v>46023</v>
      </c>
      <c r="K30" s="31"/>
      <c r="L30" s="30">
        <v>46023</v>
      </c>
      <c r="M30" s="32" t="s">
        <v>292</v>
      </c>
      <c r="N30" s="33" t="s">
        <v>293</v>
      </c>
      <c r="O30" s="34" t="s">
        <v>294</v>
      </c>
    </row>
    <row r="31" spans="1:15" ht="15" customHeight="1" x14ac:dyDescent="0.3">
      <c r="A31" s="25" t="s">
        <v>285</v>
      </c>
      <c r="B31" s="35" t="s">
        <v>286</v>
      </c>
      <c r="C31" s="35" t="s">
        <v>339</v>
      </c>
      <c r="D31" s="25" t="s">
        <v>340</v>
      </c>
      <c r="E31" s="36" t="s">
        <v>353</v>
      </c>
      <c r="F31" s="25" t="s">
        <v>354</v>
      </c>
      <c r="G31" s="28" t="s">
        <v>291</v>
      </c>
      <c r="H31" s="28" t="s">
        <v>291</v>
      </c>
      <c r="I31" s="37"/>
      <c r="J31" s="38">
        <v>46023</v>
      </c>
      <c r="K31" s="39"/>
      <c r="L31" s="38">
        <v>46023</v>
      </c>
      <c r="M31" s="40" t="s">
        <v>292</v>
      </c>
      <c r="N31" s="41" t="s">
        <v>293</v>
      </c>
      <c r="O31" s="42" t="s">
        <v>294</v>
      </c>
    </row>
    <row r="32" spans="1:15" ht="15" customHeight="1" x14ac:dyDescent="0.3">
      <c r="A32" s="25" t="s">
        <v>285</v>
      </c>
      <c r="B32" s="43" t="s">
        <v>286</v>
      </c>
      <c r="C32" s="43" t="s">
        <v>355</v>
      </c>
      <c r="D32" s="25" t="s">
        <v>356</v>
      </c>
      <c r="E32" s="44" t="s">
        <v>357</v>
      </c>
      <c r="F32" s="25" t="s">
        <v>358</v>
      </c>
      <c r="G32" s="45" t="s">
        <v>314</v>
      </c>
      <c r="H32" s="28" t="s">
        <v>291</v>
      </c>
      <c r="I32" s="46" t="s">
        <v>315</v>
      </c>
      <c r="J32" s="30">
        <v>46023</v>
      </c>
      <c r="K32" s="31"/>
      <c r="L32" s="30">
        <v>46023</v>
      </c>
      <c r="M32" s="32" t="s">
        <v>292</v>
      </c>
      <c r="N32" s="33" t="s">
        <v>293</v>
      </c>
      <c r="O32" s="34" t="s">
        <v>294</v>
      </c>
    </row>
    <row r="33" spans="1:15" ht="15" customHeight="1" x14ac:dyDescent="0.3">
      <c r="A33" s="25" t="s">
        <v>285</v>
      </c>
      <c r="B33" s="43" t="s">
        <v>286</v>
      </c>
      <c r="C33" s="43" t="s">
        <v>355</v>
      </c>
      <c r="D33" s="25" t="s">
        <v>356</v>
      </c>
      <c r="E33" s="44" t="s">
        <v>359</v>
      </c>
      <c r="F33" s="25" t="s">
        <v>360</v>
      </c>
      <c r="G33" s="45" t="s">
        <v>314</v>
      </c>
      <c r="H33" s="28" t="s">
        <v>291</v>
      </c>
      <c r="I33" s="46" t="s">
        <v>315</v>
      </c>
      <c r="J33" s="38">
        <v>46023</v>
      </c>
      <c r="K33" s="39"/>
      <c r="L33" s="38">
        <v>46023</v>
      </c>
      <c r="M33" s="40" t="s">
        <v>292</v>
      </c>
      <c r="N33" s="41" t="s">
        <v>293</v>
      </c>
      <c r="O33" s="42" t="s">
        <v>294</v>
      </c>
    </row>
    <row r="34" spans="1:15" ht="15" customHeight="1" x14ac:dyDescent="0.3">
      <c r="A34" s="25" t="s">
        <v>285</v>
      </c>
      <c r="B34" s="43" t="s">
        <v>286</v>
      </c>
      <c r="C34" s="43" t="s">
        <v>355</v>
      </c>
      <c r="D34" s="25" t="s">
        <v>356</v>
      </c>
      <c r="E34" s="44" t="s">
        <v>361</v>
      </c>
      <c r="F34" s="25" t="s">
        <v>362</v>
      </c>
      <c r="G34" s="45" t="s">
        <v>314</v>
      </c>
      <c r="H34" s="28" t="s">
        <v>291</v>
      </c>
      <c r="I34" s="46" t="s">
        <v>315</v>
      </c>
      <c r="J34" s="30">
        <v>46023</v>
      </c>
      <c r="K34" s="31"/>
      <c r="L34" s="30">
        <v>46023</v>
      </c>
      <c r="M34" s="32" t="s">
        <v>292</v>
      </c>
      <c r="N34" s="33" t="s">
        <v>293</v>
      </c>
      <c r="O34" s="34" t="s">
        <v>294</v>
      </c>
    </row>
    <row r="35" spans="1:15" ht="15" customHeight="1" x14ac:dyDescent="0.3">
      <c r="A35" s="25" t="s">
        <v>285</v>
      </c>
      <c r="B35" s="43" t="s">
        <v>286</v>
      </c>
      <c r="C35" s="43" t="s">
        <v>355</v>
      </c>
      <c r="D35" s="25" t="s">
        <v>356</v>
      </c>
      <c r="E35" s="44" t="s">
        <v>363</v>
      </c>
      <c r="F35" s="25" t="s">
        <v>364</v>
      </c>
      <c r="G35" s="45" t="s">
        <v>314</v>
      </c>
      <c r="H35" s="28" t="s">
        <v>291</v>
      </c>
      <c r="I35" s="46" t="s">
        <v>315</v>
      </c>
      <c r="J35" s="38">
        <v>46023</v>
      </c>
      <c r="K35" s="39"/>
      <c r="L35" s="38">
        <v>46023</v>
      </c>
      <c r="M35" s="40" t="s">
        <v>292</v>
      </c>
      <c r="N35" s="41" t="s">
        <v>293</v>
      </c>
      <c r="O35" s="42" t="s">
        <v>294</v>
      </c>
    </row>
    <row r="36" spans="1:15" ht="15" customHeight="1" x14ac:dyDescent="0.3">
      <c r="A36" s="25" t="s">
        <v>285</v>
      </c>
      <c r="B36" s="43" t="s">
        <v>286</v>
      </c>
      <c r="C36" s="43" t="s">
        <v>355</v>
      </c>
      <c r="D36" s="25" t="s">
        <v>356</v>
      </c>
      <c r="E36" s="44" t="s">
        <v>365</v>
      </c>
      <c r="F36" s="25" t="s">
        <v>366</v>
      </c>
      <c r="G36" s="45" t="s">
        <v>314</v>
      </c>
      <c r="H36" s="28" t="s">
        <v>291</v>
      </c>
      <c r="I36" s="46" t="s">
        <v>315</v>
      </c>
      <c r="J36" s="30">
        <v>46023</v>
      </c>
      <c r="K36" s="31"/>
      <c r="L36" s="30">
        <v>46023</v>
      </c>
      <c r="M36" s="32" t="s">
        <v>292</v>
      </c>
      <c r="N36" s="33" t="s">
        <v>293</v>
      </c>
      <c r="O36" s="34" t="s">
        <v>294</v>
      </c>
    </row>
    <row r="37" spans="1:15" ht="15" customHeight="1" x14ac:dyDescent="0.3">
      <c r="A37" s="25" t="s">
        <v>285</v>
      </c>
      <c r="B37" s="35" t="s">
        <v>286</v>
      </c>
      <c r="C37" s="35" t="s">
        <v>367</v>
      </c>
      <c r="D37" s="25" t="s">
        <v>368</v>
      </c>
      <c r="E37" s="36" t="s">
        <v>369</v>
      </c>
      <c r="F37" s="25" t="s">
        <v>368</v>
      </c>
      <c r="G37" s="28" t="s">
        <v>291</v>
      </c>
      <c r="H37" s="28" t="s">
        <v>291</v>
      </c>
      <c r="I37" s="37"/>
      <c r="J37" s="38">
        <v>46023</v>
      </c>
      <c r="K37" s="39"/>
      <c r="L37" s="38">
        <v>46023</v>
      </c>
      <c r="M37" s="40" t="s">
        <v>292</v>
      </c>
      <c r="N37" s="41" t="s">
        <v>293</v>
      </c>
      <c r="O37" s="42" t="s">
        <v>294</v>
      </c>
    </row>
    <row r="38" spans="1:15" ht="15" customHeight="1" x14ac:dyDescent="0.3">
      <c r="A38" s="25" t="s">
        <v>285</v>
      </c>
      <c r="B38" s="26" t="s">
        <v>286</v>
      </c>
      <c r="C38" s="26" t="s">
        <v>367</v>
      </c>
      <c r="D38" s="25" t="s">
        <v>368</v>
      </c>
      <c r="E38" s="27" t="s">
        <v>370</v>
      </c>
      <c r="F38" s="25" t="s">
        <v>371</v>
      </c>
      <c r="G38" s="28" t="s">
        <v>291</v>
      </c>
      <c r="H38" s="28" t="s">
        <v>291</v>
      </c>
      <c r="I38" s="29"/>
      <c r="J38" s="30">
        <v>46023</v>
      </c>
      <c r="K38" s="31"/>
      <c r="L38" s="30">
        <v>46023</v>
      </c>
      <c r="M38" s="32" t="s">
        <v>292</v>
      </c>
      <c r="N38" s="33" t="s">
        <v>293</v>
      </c>
      <c r="O38" s="34" t="s">
        <v>294</v>
      </c>
    </row>
    <row r="39" spans="1:15" ht="15" customHeight="1" x14ac:dyDescent="0.3">
      <c r="A39" s="25" t="s">
        <v>285</v>
      </c>
      <c r="B39" s="35" t="s">
        <v>286</v>
      </c>
      <c r="C39" s="35" t="s">
        <v>367</v>
      </c>
      <c r="D39" s="25" t="s">
        <v>368</v>
      </c>
      <c r="E39" s="36" t="s">
        <v>372</v>
      </c>
      <c r="F39" s="25" t="s">
        <v>373</v>
      </c>
      <c r="G39" s="28" t="s">
        <v>291</v>
      </c>
      <c r="H39" s="28" t="s">
        <v>291</v>
      </c>
      <c r="I39" s="37"/>
      <c r="J39" s="38">
        <v>46023</v>
      </c>
      <c r="K39" s="39"/>
      <c r="L39" s="38">
        <v>46023</v>
      </c>
      <c r="M39" s="40" t="s">
        <v>292</v>
      </c>
      <c r="N39" s="41" t="s">
        <v>293</v>
      </c>
      <c r="O39" s="42" t="s">
        <v>294</v>
      </c>
    </row>
    <row r="40" spans="1:15" ht="15" customHeight="1" x14ac:dyDescent="0.3">
      <c r="A40" s="25" t="s">
        <v>285</v>
      </c>
      <c r="B40" s="26" t="s">
        <v>286</v>
      </c>
      <c r="C40" s="26" t="s">
        <v>367</v>
      </c>
      <c r="D40" s="25" t="s">
        <v>368</v>
      </c>
      <c r="E40" s="27" t="s">
        <v>374</v>
      </c>
      <c r="F40" s="25" t="s">
        <v>375</v>
      </c>
      <c r="G40" s="28" t="s">
        <v>291</v>
      </c>
      <c r="H40" s="28" t="s">
        <v>291</v>
      </c>
      <c r="I40" s="29"/>
      <c r="J40" s="30">
        <v>46023</v>
      </c>
      <c r="K40" s="31"/>
      <c r="L40" s="30">
        <v>46023</v>
      </c>
      <c r="M40" s="32" t="s">
        <v>292</v>
      </c>
      <c r="N40" s="33" t="s">
        <v>293</v>
      </c>
      <c r="O40" s="34" t="s">
        <v>294</v>
      </c>
    </row>
    <row r="41" spans="1:15" ht="15" customHeight="1" x14ac:dyDescent="0.3">
      <c r="A41" s="25" t="s">
        <v>285</v>
      </c>
      <c r="B41" s="35" t="s">
        <v>286</v>
      </c>
      <c r="C41" s="35" t="s">
        <v>367</v>
      </c>
      <c r="D41" s="25" t="s">
        <v>368</v>
      </c>
      <c r="E41" s="36" t="s">
        <v>376</v>
      </c>
      <c r="F41" s="25" t="s">
        <v>377</v>
      </c>
      <c r="G41" s="28" t="s">
        <v>291</v>
      </c>
      <c r="H41" s="28" t="s">
        <v>291</v>
      </c>
      <c r="I41" s="37"/>
      <c r="J41" s="38">
        <v>46023</v>
      </c>
      <c r="K41" s="39"/>
      <c r="L41" s="38">
        <v>46023</v>
      </c>
      <c r="M41" s="40" t="s">
        <v>292</v>
      </c>
      <c r="N41" s="41" t="s">
        <v>293</v>
      </c>
      <c r="O41" s="42" t="s">
        <v>294</v>
      </c>
    </row>
    <row r="42" spans="1:15" ht="15" customHeight="1" x14ac:dyDescent="0.3">
      <c r="A42" s="25" t="s">
        <v>285</v>
      </c>
      <c r="B42" s="26" t="s">
        <v>286</v>
      </c>
      <c r="C42" s="26" t="s">
        <v>367</v>
      </c>
      <c r="D42" s="25" t="s">
        <v>368</v>
      </c>
      <c r="E42" s="27" t="s">
        <v>378</v>
      </c>
      <c r="F42" s="25" t="s">
        <v>379</v>
      </c>
      <c r="G42" s="28" t="s">
        <v>291</v>
      </c>
      <c r="H42" s="28" t="s">
        <v>291</v>
      </c>
      <c r="I42" s="29"/>
      <c r="J42" s="30">
        <v>46023</v>
      </c>
      <c r="K42" s="31"/>
      <c r="L42" s="30">
        <v>46023</v>
      </c>
      <c r="M42" s="32" t="s">
        <v>292</v>
      </c>
      <c r="N42" s="33" t="s">
        <v>293</v>
      </c>
      <c r="O42" s="34" t="s">
        <v>294</v>
      </c>
    </row>
    <row r="43" spans="1:15" ht="15" customHeight="1" x14ac:dyDescent="0.3">
      <c r="A43" s="25" t="s">
        <v>285</v>
      </c>
      <c r="B43" s="35" t="s">
        <v>286</v>
      </c>
      <c r="C43" s="35" t="s">
        <v>367</v>
      </c>
      <c r="D43" s="25" t="s">
        <v>368</v>
      </c>
      <c r="E43" s="36" t="s">
        <v>380</v>
      </c>
      <c r="F43" s="25" t="s">
        <v>381</v>
      </c>
      <c r="G43" s="28" t="s">
        <v>291</v>
      </c>
      <c r="H43" s="28" t="s">
        <v>291</v>
      </c>
      <c r="I43" s="37"/>
      <c r="J43" s="38">
        <v>46023</v>
      </c>
      <c r="K43" s="39"/>
      <c r="L43" s="38">
        <v>46023</v>
      </c>
      <c r="M43" s="40" t="s">
        <v>292</v>
      </c>
      <c r="N43" s="41" t="s">
        <v>293</v>
      </c>
      <c r="O43" s="42" t="s">
        <v>294</v>
      </c>
    </row>
    <row r="44" spans="1:15" ht="15" customHeight="1" x14ac:dyDescent="0.3">
      <c r="A44" s="25" t="s">
        <v>285</v>
      </c>
      <c r="B44" s="26" t="s">
        <v>286</v>
      </c>
      <c r="C44" s="26" t="s">
        <v>367</v>
      </c>
      <c r="D44" s="25" t="s">
        <v>368</v>
      </c>
      <c r="E44" s="27" t="s">
        <v>382</v>
      </c>
      <c r="F44" s="25" t="s">
        <v>383</v>
      </c>
      <c r="G44" s="28" t="s">
        <v>291</v>
      </c>
      <c r="H44" s="28" t="s">
        <v>291</v>
      </c>
      <c r="I44" s="29"/>
      <c r="J44" s="30">
        <v>46023</v>
      </c>
      <c r="K44" s="31"/>
      <c r="L44" s="30">
        <v>46023</v>
      </c>
      <c r="M44" s="32" t="s">
        <v>292</v>
      </c>
      <c r="N44" s="33" t="s">
        <v>293</v>
      </c>
      <c r="O44" s="34" t="s">
        <v>294</v>
      </c>
    </row>
    <row r="45" spans="1:15" ht="15" customHeight="1" x14ac:dyDescent="0.3">
      <c r="A45" s="25" t="s">
        <v>285</v>
      </c>
      <c r="B45" s="35" t="s">
        <v>286</v>
      </c>
      <c r="C45" s="35" t="s">
        <v>367</v>
      </c>
      <c r="D45" s="25" t="s">
        <v>368</v>
      </c>
      <c r="E45" s="36" t="s">
        <v>384</v>
      </c>
      <c r="F45" s="25" t="s">
        <v>385</v>
      </c>
      <c r="G45" s="28" t="s">
        <v>291</v>
      </c>
      <c r="H45" s="28" t="s">
        <v>291</v>
      </c>
      <c r="I45" s="37"/>
      <c r="J45" s="38">
        <v>46023</v>
      </c>
      <c r="K45" s="39"/>
      <c r="L45" s="38">
        <v>46023</v>
      </c>
      <c r="M45" s="40" t="s">
        <v>292</v>
      </c>
      <c r="N45" s="41" t="s">
        <v>293</v>
      </c>
      <c r="O45" s="42" t="s">
        <v>294</v>
      </c>
    </row>
    <row r="46" spans="1:15" ht="15" customHeight="1" x14ac:dyDescent="0.3">
      <c r="A46" s="25" t="s">
        <v>285</v>
      </c>
      <c r="B46" s="26" t="s">
        <v>286</v>
      </c>
      <c r="C46" s="26" t="s">
        <v>367</v>
      </c>
      <c r="D46" s="25" t="s">
        <v>368</v>
      </c>
      <c r="E46" s="27" t="s">
        <v>386</v>
      </c>
      <c r="F46" s="25" t="s">
        <v>387</v>
      </c>
      <c r="G46" s="28" t="s">
        <v>291</v>
      </c>
      <c r="H46" s="28" t="s">
        <v>291</v>
      </c>
      <c r="I46" s="29"/>
      <c r="J46" s="30">
        <v>46023</v>
      </c>
      <c r="K46" s="31"/>
      <c r="L46" s="30">
        <v>46023</v>
      </c>
      <c r="M46" s="32" t="s">
        <v>292</v>
      </c>
      <c r="N46" s="33" t="s">
        <v>293</v>
      </c>
      <c r="O46" s="34" t="s">
        <v>294</v>
      </c>
    </row>
    <row r="47" spans="1:15" ht="15" customHeight="1" x14ac:dyDescent="0.3">
      <c r="A47" s="25" t="s">
        <v>285</v>
      </c>
      <c r="B47" s="35" t="s">
        <v>286</v>
      </c>
      <c r="C47" s="35" t="s">
        <v>367</v>
      </c>
      <c r="D47" s="25" t="s">
        <v>368</v>
      </c>
      <c r="E47" s="36" t="s">
        <v>388</v>
      </c>
      <c r="F47" s="25" t="s">
        <v>389</v>
      </c>
      <c r="G47" s="28" t="s">
        <v>291</v>
      </c>
      <c r="H47" s="28" t="s">
        <v>291</v>
      </c>
      <c r="I47" s="37"/>
      <c r="J47" s="38">
        <v>46023</v>
      </c>
      <c r="K47" s="39"/>
      <c r="L47" s="38">
        <v>46023</v>
      </c>
      <c r="M47" s="40" t="s">
        <v>292</v>
      </c>
      <c r="N47" s="41" t="s">
        <v>293</v>
      </c>
      <c r="O47" s="42" t="s">
        <v>294</v>
      </c>
    </row>
    <row r="48" spans="1:15" ht="15" customHeight="1" x14ac:dyDescent="0.3">
      <c r="A48" s="25" t="s">
        <v>285</v>
      </c>
      <c r="B48" s="47" t="s">
        <v>286</v>
      </c>
      <c r="C48" s="47" t="s">
        <v>390</v>
      </c>
      <c r="D48" s="25" t="s">
        <v>391</v>
      </c>
      <c r="E48" s="48" t="s">
        <v>392</v>
      </c>
      <c r="F48" s="25" t="s">
        <v>393</v>
      </c>
      <c r="G48" s="45" t="s">
        <v>314</v>
      </c>
      <c r="H48" s="49" t="s">
        <v>314</v>
      </c>
      <c r="I48" s="50" t="s">
        <v>394</v>
      </c>
      <c r="J48" s="30">
        <v>46023</v>
      </c>
      <c r="K48" s="31"/>
      <c r="L48" s="30">
        <v>46023</v>
      </c>
      <c r="M48" s="32" t="s">
        <v>292</v>
      </c>
      <c r="N48" s="33" t="s">
        <v>293</v>
      </c>
      <c r="O48" s="34" t="s">
        <v>294</v>
      </c>
    </row>
    <row r="49" spans="1:15" ht="15" customHeight="1" x14ac:dyDescent="0.3">
      <c r="A49" s="25" t="s">
        <v>285</v>
      </c>
      <c r="B49" s="47" t="s">
        <v>286</v>
      </c>
      <c r="C49" s="47" t="s">
        <v>390</v>
      </c>
      <c r="D49" s="25" t="s">
        <v>391</v>
      </c>
      <c r="E49" s="48" t="s">
        <v>395</v>
      </c>
      <c r="F49" s="25" t="s">
        <v>396</v>
      </c>
      <c r="G49" s="45" t="s">
        <v>314</v>
      </c>
      <c r="H49" s="49" t="s">
        <v>314</v>
      </c>
      <c r="I49" s="50" t="s">
        <v>394</v>
      </c>
      <c r="J49" s="38">
        <v>46023</v>
      </c>
      <c r="K49" s="39"/>
      <c r="L49" s="38">
        <v>46023</v>
      </c>
      <c r="M49" s="40" t="s">
        <v>292</v>
      </c>
      <c r="N49" s="41" t="s">
        <v>293</v>
      </c>
      <c r="O49" s="42" t="s">
        <v>294</v>
      </c>
    </row>
    <row r="50" spans="1:15" ht="15" customHeight="1" x14ac:dyDescent="0.3">
      <c r="A50" s="25" t="s">
        <v>285</v>
      </c>
      <c r="B50" s="47" t="s">
        <v>286</v>
      </c>
      <c r="C50" s="47" t="s">
        <v>390</v>
      </c>
      <c r="D50" s="25" t="s">
        <v>391</v>
      </c>
      <c r="E50" s="48" t="s">
        <v>397</v>
      </c>
      <c r="F50" s="25" t="s">
        <v>398</v>
      </c>
      <c r="G50" s="45" t="s">
        <v>314</v>
      </c>
      <c r="H50" s="49" t="s">
        <v>314</v>
      </c>
      <c r="I50" s="50" t="s">
        <v>394</v>
      </c>
      <c r="J50" s="30">
        <v>46023</v>
      </c>
      <c r="K50" s="31"/>
      <c r="L50" s="30">
        <v>46023</v>
      </c>
      <c r="M50" s="32" t="s">
        <v>292</v>
      </c>
      <c r="N50" s="33" t="s">
        <v>293</v>
      </c>
      <c r="O50" s="34" t="s">
        <v>294</v>
      </c>
    </row>
    <row r="51" spans="1:15" ht="15" customHeight="1" x14ac:dyDescent="0.3">
      <c r="A51" s="25" t="s">
        <v>285</v>
      </c>
      <c r="B51" s="47" t="s">
        <v>286</v>
      </c>
      <c r="C51" s="47" t="s">
        <v>390</v>
      </c>
      <c r="D51" s="25" t="s">
        <v>391</v>
      </c>
      <c r="E51" s="48" t="s">
        <v>399</v>
      </c>
      <c r="F51" s="25" t="s">
        <v>400</v>
      </c>
      <c r="G51" s="45" t="s">
        <v>314</v>
      </c>
      <c r="H51" s="49" t="s">
        <v>314</v>
      </c>
      <c r="I51" s="50" t="s">
        <v>394</v>
      </c>
      <c r="J51" s="38">
        <v>46023</v>
      </c>
      <c r="K51" s="39"/>
      <c r="L51" s="38">
        <v>46023</v>
      </c>
      <c r="M51" s="40" t="s">
        <v>292</v>
      </c>
      <c r="N51" s="41" t="s">
        <v>293</v>
      </c>
      <c r="O51" s="42" t="s">
        <v>294</v>
      </c>
    </row>
    <row r="52" spans="1:15" ht="15" customHeight="1" x14ac:dyDescent="0.3">
      <c r="A52" s="25" t="s">
        <v>285</v>
      </c>
      <c r="B52" s="47" t="s">
        <v>286</v>
      </c>
      <c r="C52" s="47" t="s">
        <v>390</v>
      </c>
      <c r="D52" s="25" t="s">
        <v>391</v>
      </c>
      <c r="E52" s="48" t="s">
        <v>401</v>
      </c>
      <c r="F52" s="25" t="s">
        <v>402</v>
      </c>
      <c r="G52" s="45" t="s">
        <v>314</v>
      </c>
      <c r="H52" s="49" t="s">
        <v>314</v>
      </c>
      <c r="I52" s="50" t="s">
        <v>394</v>
      </c>
      <c r="J52" s="30">
        <v>46023</v>
      </c>
      <c r="K52" s="31"/>
      <c r="L52" s="30">
        <v>46023</v>
      </c>
      <c r="M52" s="32" t="s">
        <v>292</v>
      </c>
      <c r="N52" s="33" t="s">
        <v>293</v>
      </c>
      <c r="O52" s="34" t="s">
        <v>294</v>
      </c>
    </row>
    <row r="53" spans="1:15" ht="15" customHeight="1" x14ac:dyDescent="0.3">
      <c r="A53" s="25" t="s">
        <v>285</v>
      </c>
      <c r="B53" s="47" t="s">
        <v>286</v>
      </c>
      <c r="C53" s="47" t="s">
        <v>390</v>
      </c>
      <c r="D53" s="25" t="s">
        <v>391</v>
      </c>
      <c r="E53" s="48" t="s">
        <v>403</v>
      </c>
      <c r="F53" s="25" t="s">
        <v>404</v>
      </c>
      <c r="G53" s="45" t="s">
        <v>314</v>
      </c>
      <c r="H53" s="49" t="s">
        <v>314</v>
      </c>
      <c r="I53" s="50" t="s">
        <v>394</v>
      </c>
      <c r="J53" s="38">
        <v>46023</v>
      </c>
      <c r="K53" s="39"/>
      <c r="L53" s="38">
        <v>46023</v>
      </c>
      <c r="M53" s="40" t="s">
        <v>292</v>
      </c>
      <c r="N53" s="41" t="s">
        <v>293</v>
      </c>
      <c r="O53" s="42" t="s">
        <v>294</v>
      </c>
    </row>
    <row r="54" spans="1:15" ht="15" customHeight="1" x14ac:dyDescent="0.3">
      <c r="A54" s="25" t="s">
        <v>285</v>
      </c>
      <c r="B54" s="47" t="s">
        <v>286</v>
      </c>
      <c r="C54" s="47" t="s">
        <v>390</v>
      </c>
      <c r="D54" s="25" t="s">
        <v>391</v>
      </c>
      <c r="E54" s="48" t="s">
        <v>405</v>
      </c>
      <c r="F54" s="25" t="s">
        <v>406</v>
      </c>
      <c r="G54" s="45" t="s">
        <v>314</v>
      </c>
      <c r="H54" s="49" t="s">
        <v>314</v>
      </c>
      <c r="I54" s="50" t="s">
        <v>394</v>
      </c>
      <c r="J54" s="30">
        <v>46023</v>
      </c>
      <c r="K54" s="31"/>
      <c r="L54" s="30">
        <v>46023</v>
      </c>
      <c r="M54" s="32" t="s">
        <v>292</v>
      </c>
      <c r="N54" s="33" t="s">
        <v>293</v>
      </c>
      <c r="O54" s="34" t="s">
        <v>294</v>
      </c>
    </row>
    <row r="55" spans="1:15" ht="15" customHeight="1" x14ac:dyDescent="0.3">
      <c r="A55" s="25" t="s">
        <v>285</v>
      </c>
      <c r="B55" s="43" t="s">
        <v>286</v>
      </c>
      <c r="C55" s="43" t="s">
        <v>407</v>
      </c>
      <c r="D55" s="25" t="s">
        <v>408</v>
      </c>
      <c r="E55" s="44" t="s">
        <v>409</v>
      </c>
      <c r="F55" s="25" t="s">
        <v>408</v>
      </c>
      <c r="G55" s="45" t="s">
        <v>314</v>
      </c>
      <c r="H55" s="28" t="s">
        <v>291</v>
      </c>
      <c r="I55" s="46" t="s">
        <v>315</v>
      </c>
      <c r="J55" s="38">
        <v>46023</v>
      </c>
      <c r="K55" s="39"/>
      <c r="L55" s="38">
        <v>46023</v>
      </c>
      <c r="M55" s="40" t="s">
        <v>292</v>
      </c>
      <c r="N55" s="41" t="s">
        <v>293</v>
      </c>
      <c r="O55" s="42" t="s">
        <v>294</v>
      </c>
    </row>
    <row r="56" spans="1:15" ht="15" customHeight="1" x14ac:dyDescent="0.3">
      <c r="A56" s="25" t="s">
        <v>285</v>
      </c>
      <c r="B56" s="43" t="s">
        <v>286</v>
      </c>
      <c r="C56" s="43" t="s">
        <v>407</v>
      </c>
      <c r="D56" s="25" t="s">
        <v>408</v>
      </c>
      <c r="E56" s="44" t="s">
        <v>410</v>
      </c>
      <c r="F56" s="25" t="s">
        <v>411</v>
      </c>
      <c r="G56" s="45" t="s">
        <v>314</v>
      </c>
      <c r="H56" s="28" t="s">
        <v>291</v>
      </c>
      <c r="I56" s="46" t="s">
        <v>315</v>
      </c>
      <c r="J56" s="30">
        <v>46023</v>
      </c>
      <c r="K56" s="31"/>
      <c r="L56" s="30">
        <v>46023</v>
      </c>
      <c r="M56" s="32" t="s">
        <v>292</v>
      </c>
      <c r="N56" s="33" t="s">
        <v>293</v>
      </c>
      <c r="O56" s="34" t="s">
        <v>294</v>
      </c>
    </row>
    <row r="57" spans="1:15" ht="15" customHeight="1" x14ac:dyDescent="0.3">
      <c r="A57" s="25" t="s">
        <v>285</v>
      </c>
      <c r="B57" s="43" t="s">
        <v>286</v>
      </c>
      <c r="C57" s="43" t="s">
        <v>407</v>
      </c>
      <c r="D57" s="25" t="s">
        <v>408</v>
      </c>
      <c r="E57" s="44" t="s">
        <v>412</v>
      </c>
      <c r="F57" s="25" t="s">
        <v>413</v>
      </c>
      <c r="G57" s="45" t="s">
        <v>314</v>
      </c>
      <c r="H57" s="28" t="s">
        <v>291</v>
      </c>
      <c r="I57" s="46" t="s">
        <v>315</v>
      </c>
      <c r="J57" s="38">
        <v>46023</v>
      </c>
      <c r="K57" s="39"/>
      <c r="L57" s="38">
        <v>46023</v>
      </c>
      <c r="M57" s="40" t="s">
        <v>292</v>
      </c>
      <c r="N57" s="41" t="s">
        <v>293</v>
      </c>
      <c r="O57" s="42" t="s">
        <v>294</v>
      </c>
    </row>
    <row r="58" spans="1:15" ht="15" customHeight="1" x14ac:dyDescent="0.3">
      <c r="A58" s="25" t="s">
        <v>285</v>
      </c>
      <c r="B58" s="43" t="s">
        <v>286</v>
      </c>
      <c r="C58" s="43" t="s">
        <v>407</v>
      </c>
      <c r="D58" s="25" t="s">
        <v>408</v>
      </c>
      <c r="E58" s="44" t="s">
        <v>414</v>
      </c>
      <c r="F58" s="25" t="s">
        <v>415</v>
      </c>
      <c r="G58" s="45" t="s">
        <v>314</v>
      </c>
      <c r="H58" s="28" t="s">
        <v>291</v>
      </c>
      <c r="I58" s="46" t="s">
        <v>315</v>
      </c>
      <c r="J58" s="30">
        <v>46023</v>
      </c>
      <c r="K58" s="31"/>
      <c r="L58" s="30">
        <v>46023</v>
      </c>
      <c r="M58" s="32" t="s">
        <v>292</v>
      </c>
      <c r="N58" s="33" t="s">
        <v>293</v>
      </c>
      <c r="O58" s="34" t="s">
        <v>294</v>
      </c>
    </row>
    <row r="59" spans="1:15" ht="15" customHeight="1" x14ac:dyDescent="0.3">
      <c r="A59" s="25" t="s">
        <v>285</v>
      </c>
      <c r="B59" s="43" t="s">
        <v>286</v>
      </c>
      <c r="C59" s="43" t="s">
        <v>407</v>
      </c>
      <c r="D59" s="25" t="s">
        <v>408</v>
      </c>
      <c r="E59" s="44" t="s">
        <v>416</v>
      </c>
      <c r="F59" s="25" t="s">
        <v>417</v>
      </c>
      <c r="G59" s="45" t="s">
        <v>314</v>
      </c>
      <c r="H59" s="28" t="s">
        <v>291</v>
      </c>
      <c r="I59" s="46" t="s">
        <v>315</v>
      </c>
      <c r="J59" s="38">
        <v>46023</v>
      </c>
      <c r="K59" s="39"/>
      <c r="L59" s="38">
        <v>46023</v>
      </c>
      <c r="M59" s="40" t="s">
        <v>292</v>
      </c>
      <c r="N59" s="41" t="s">
        <v>293</v>
      </c>
      <c r="O59" s="42" t="s">
        <v>294</v>
      </c>
    </row>
    <row r="60" spans="1:15" ht="15" customHeight="1" x14ac:dyDescent="0.3">
      <c r="A60" s="25" t="s">
        <v>285</v>
      </c>
      <c r="B60" s="43" t="s">
        <v>286</v>
      </c>
      <c r="C60" s="43" t="s">
        <v>407</v>
      </c>
      <c r="D60" s="25" t="s">
        <v>408</v>
      </c>
      <c r="E60" s="44" t="s">
        <v>418</v>
      </c>
      <c r="F60" s="25" t="s">
        <v>419</v>
      </c>
      <c r="G60" s="45" t="s">
        <v>314</v>
      </c>
      <c r="H60" s="28" t="s">
        <v>291</v>
      </c>
      <c r="I60" s="46" t="s">
        <v>315</v>
      </c>
      <c r="J60" s="30">
        <v>46023</v>
      </c>
      <c r="K60" s="31"/>
      <c r="L60" s="30">
        <v>46023</v>
      </c>
      <c r="M60" s="32" t="s">
        <v>292</v>
      </c>
      <c r="N60" s="33" t="s">
        <v>293</v>
      </c>
      <c r="O60" s="34" t="s">
        <v>294</v>
      </c>
    </row>
    <row r="61" spans="1:15" ht="15" customHeight="1" x14ac:dyDescent="0.3">
      <c r="A61" s="25" t="s">
        <v>285</v>
      </c>
      <c r="B61" s="43" t="s">
        <v>286</v>
      </c>
      <c r="C61" s="43" t="s">
        <v>407</v>
      </c>
      <c r="D61" s="25" t="s">
        <v>408</v>
      </c>
      <c r="E61" s="44" t="s">
        <v>420</v>
      </c>
      <c r="F61" s="25" t="s">
        <v>421</v>
      </c>
      <c r="G61" s="45" t="s">
        <v>314</v>
      </c>
      <c r="H61" s="28" t="s">
        <v>291</v>
      </c>
      <c r="I61" s="46" t="s">
        <v>315</v>
      </c>
      <c r="J61" s="38">
        <v>46023</v>
      </c>
      <c r="K61" s="39"/>
      <c r="L61" s="38">
        <v>46023</v>
      </c>
      <c r="M61" s="40" t="s">
        <v>292</v>
      </c>
      <c r="N61" s="41" t="s">
        <v>293</v>
      </c>
      <c r="O61" s="42" t="s">
        <v>294</v>
      </c>
    </row>
    <row r="62" spans="1:15" ht="15" customHeight="1" x14ac:dyDescent="0.3">
      <c r="A62" s="25" t="s">
        <v>285</v>
      </c>
      <c r="B62" s="43" t="s">
        <v>286</v>
      </c>
      <c r="C62" s="43" t="s">
        <v>407</v>
      </c>
      <c r="D62" s="25" t="s">
        <v>408</v>
      </c>
      <c r="E62" s="44" t="s">
        <v>422</v>
      </c>
      <c r="F62" s="25" t="s">
        <v>423</v>
      </c>
      <c r="G62" s="45" t="s">
        <v>314</v>
      </c>
      <c r="H62" s="28" t="s">
        <v>291</v>
      </c>
      <c r="I62" s="46" t="s">
        <v>315</v>
      </c>
      <c r="J62" s="30">
        <v>46023</v>
      </c>
      <c r="K62" s="31"/>
      <c r="L62" s="30">
        <v>46023</v>
      </c>
      <c r="M62" s="32" t="s">
        <v>292</v>
      </c>
      <c r="N62" s="33" t="s">
        <v>293</v>
      </c>
      <c r="O62" s="34" t="s">
        <v>294</v>
      </c>
    </row>
    <row r="63" spans="1:15" ht="15" customHeight="1" x14ac:dyDescent="0.3">
      <c r="A63" s="25" t="s">
        <v>285</v>
      </c>
      <c r="B63" s="43" t="s">
        <v>286</v>
      </c>
      <c r="C63" s="43" t="s">
        <v>407</v>
      </c>
      <c r="D63" s="25" t="s">
        <v>408</v>
      </c>
      <c r="E63" s="44" t="s">
        <v>424</v>
      </c>
      <c r="F63" s="25" t="s">
        <v>425</v>
      </c>
      <c r="G63" s="45" t="s">
        <v>314</v>
      </c>
      <c r="H63" s="28" t="s">
        <v>291</v>
      </c>
      <c r="I63" s="46" t="s">
        <v>315</v>
      </c>
      <c r="J63" s="38">
        <v>46023</v>
      </c>
      <c r="K63" s="39"/>
      <c r="L63" s="38">
        <v>46023</v>
      </c>
      <c r="M63" s="40" t="s">
        <v>292</v>
      </c>
      <c r="N63" s="41" t="s">
        <v>293</v>
      </c>
      <c r="O63" s="42" t="s">
        <v>294</v>
      </c>
    </row>
    <row r="64" spans="1:15" ht="15" customHeight="1" x14ac:dyDescent="0.3">
      <c r="A64" s="25" t="s">
        <v>285</v>
      </c>
      <c r="B64" s="43" t="s">
        <v>286</v>
      </c>
      <c r="C64" s="43" t="s">
        <v>407</v>
      </c>
      <c r="D64" s="25" t="s">
        <v>408</v>
      </c>
      <c r="E64" s="44" t="s">
        <v>426</v>
      </c>
      <c r="F64" s="25" t="s">
        <v>427</v>
      </c>
      <c r="G64" s="45" t="s">
        <v>314</v>
      </c>
      <c r="H64" s="28" t="s">
        <v>291</v>
      </c>
      <c r="I64" s="46" t="s">
        <v>315</v>
      </c>
      <c r="J64" s="30">
        <v>46023</v>
      </c>
      <c r="K64" s="31"/>
      <c r="L64" s="30">
        <v>46023</v>
      </c>
      <c r="M64" s="32" t="s">
        <v>292</v>
      </c>
      <c r="N64" s="33" t="s">
        <v>293</v>
      </c>
      <c r="O64" s="34" t="s">
        <v>294</v>
      </c>
    </row>
    <row r="65" spans="1:15" ht="15" customHeight="1" x14ac:dyDescent="0.3">
      <c r="A65" s="25" t="s">
        <v>285</v>
      </c>
      <c r="B65" s="47" t="s">
        <v>286</v>
      </c>
      <c r="C65" s="47" t="s">
        <v>428</v>
      </c>
      <c r="D65" s="25" t="s">
        <v>429</v>
      </c>
      <c r="E65" s="48" t="s">
        <v>430</v>
      </c>
      <c r="F65" s="25" t="s">
        <v>431</v>
      </c>
      <c r="G65" s="45" t="s">
        <v>314</v>
      </c>
      <c r="H65" s="49" t="s">
        <v>314</v>
      </c>
      <c r="I65" s="50" t="s">
        <v>394</v>
      </c>
      <c r="J65" s="38">
        <v>46023</v>
      </c>
      <c r="K65" s="39"/>
      <c r="L65" s="38">
        <v>46023</v>
      </c>
      <c r="M65" s="40" t="s">
        <v>292</v>
      </c>
      <c r="N65" s="41" t="s">
        <v>293</v>
      </c>
      <c r="O65" s="42" t="s">
        <v>294</v>
      </c>
    </row>
    <row r="66" spans="1:15" ht="15" customHeight="1" x14ac:dyDescent="0.3">
      <c r="A66" s="25" t="s">
        <v>285</v>
      </c>
      <c r="B66" s="47" t="s">
        <v>286</v>
      </c>
      <c r="C66" s="47" t="s">
        <v>428</v>
      </c>
      <c r="D66" s="25" t="s">
        <v>429</v>
      </c>
      <c r="E66" s="48" t="s">
        <v>432</v>
      </c>
      <c r="F66" s="25" t="s">
        <v>433</v>
      </c>
      <c r="G66" s="45" t="s">
        <v>314</v>
      </c>
      <c r="H66" s="49" t="s">
        <v>314</v>
      </c>
      <c r="I66" s="50" t="s">
        <v>394</v>
      </c>
      <c r="J66" s="30">
        <v>46023</v>
      </c>
      <c r="K66" s="31"/>
      <c r="L66" s="30">
        <v>46023</v>
      </c>
      <c r="M66" s="32" t="s">
        <v>292</v>
      </c>
      <c r="N66" s="33" t="s">
        <v>293</v>
      </c>
      <c r="O66" s="34" t="s">
        <v>294</v>
      </c>
    </row>
    <row r="67" spans="1:15" ht="15" customHeight="1" x14ac:dyDescent="0.3">
      <c r="A67" s="25" t="s">
        <v>285</v>
      </c>
      <c r="B67" s="47" t="s">
        <v>286</v>
      </c>
      <c r="C67" s="47" t="s">
        <v>428</v>
      </c>
      <c r="D67" s="25" t="s">
        <v>429</v>
      </c>
      <c r="E67" s="48" t="s">
        <v>434</v>
      </c>
      <c r="F67" s="25" t="s">
        <v>435</v>
      </c>
      <c r="G67" s="45" t="s">
        <v>314</v>
      </c>
      <c r="H67" s="49" t="s">
        <v>314</v>
      </c>
      <c r="I67" s="50" t="s">
        <v>394</v>
      </c>
      <c r="J67" s="38">
        <v>46023</v>
      </c>
      <c r="K67" s="39"/>
      <c r="L67" s="38">
        <v>46023</v>
      </c>
      <c r="M67" s="40" t="s">
        <v>292</v>
      </c>
      <c r="N67" s="41" t="s">
        <v>293</v>
      </c>
      <c r="O67" s="42" t="s">
        <v>294</v>
      </c>
    </row>
    <row r="68" spans="1:15" ht="15" customHeight="1" x14ac:dyDescent="0.3">
      <c r="A68" s="25" t="s">
        <v>285</v>
      </c>
      <c r="B68" s="47" t="s">
        <v>286</v>
      </c>
      <c r="C68" s="47" t="s">
        <v>428</v>
      </c>
      <c r="D68" s="25" t="s">
        <v>429</v>
      </c>
      <c r="E68" s="48" t="s">
        <v>436</v>
      </c>
      <c r="F68" s="25" t="s">
        <v>437</v>
      </c>
      <c r="G68" s="45" t="s">
        <v>314</v>
      </c>
      <c r="H68" s="49" t="s">
        <v>314</v>
      </c>
      <c r="I68" s="50" t="s">
        <v>394</v>
      </c>
      <c r="J68" s="30">
        <v>46023</v>
      </c>
      <c r="K68" s="31"/>
      <c r="L68" s="30">
        <v>46023</v>
      </c>
      <c r="M68" s="32" t="s">
        <v>292</v>
      </c>
      <c r="N68" s="33" t="s">
        <v>293</v>
      </c>
      <c r="O68" s="34" t="s">
        <v>294</v>
      </c>
    </row>
    <row r="69" spans="1:15" ht="15" customHeight="1" x14ac:dyDescent="0.3">
      <c r="A69" s="25" t="s">
        <v>285</v>
      </c>
      <c r="B69" s="47" t="s">
        <v>286</v>
      </c>
      <c r="C69" s="47" t="s">
        <v>428</v>
      </c>
      <c r="D69" s="25" t="s">
        <v>429</v>
      </c>
      <c r="E69" s="48" t="s">
        <v>438</v>
      </c>
      <c r="F69" s="25" t="s">
        <v>439</v>
      </c>
      <c r="G69" s="45" t="s">
        <v>314</v>
      </c>
      <c r="H69" s="49" t="s">
        <v>314</v>
      </c>
      <c r="I69" s="50" t="s">
        <v>394</v>
      </c>
      <c r="J69" s="38">
        <v>46023</v>
      </c>
      <c r="K69" s="39"/>
      <c r="L69" s="38">
        <v>46023</v>
      </c>
      <c r="M69" s="40" t="s">
        <v>292</v>
      </c>
      <c r="N69" s="41" t="s">
        <v>293</v>
      </c>
      <c r="O69" s="42" t="s">
        <v>294</v>
      </c>
    </row>
    <row r="70" spans="1:15" ht="15" customHeight="1" x14ac:dyDescent="0.3">
      <c r="A70" s="25" t="s">
        <v>285</v>
      </c>
      <c r="B70" s="47" t="s">
        <v>286</v>
      </c>
      <c r="C70" s="47" t="s">
        <v>428</v>
      </c>
      <c r="D70" s="25" t="s">
        <v>429</v>
      </c>
      <c r="E70" s="48" t="s">
        <v>440</v>
      </c>
      <c r="F70" s="25" t="s">
        <v>441</v>
      </c>
      <c r="G70" s="45" t="s">
        <v>314</v>
      </c>
      <c r="H70" s="49" t="s">
        <v>314</v>
      </c>
      <c r="I70" s="50" t="s">
        <v>394</v>
      </c>
      <c r="J70" s="30">
        <v>46023</v>
      </c>
      <c r="K70" s="31"/>
      <c r="L70" s="30">
        <v>46023</v>
      </c>
      <c r="M70" s="32" t="s">
        <v>292</v>
      </c>
      <c r="N70" s="33" t="s">
        <v>293</v>
      </c>
      <c r="O70" s="34" t="s">
        <v>294</v>
      </c>
    </row>
    <row r="71" spans="1:15" ht="15" customHeight="1" x14ac:dyDescent="0.3">
      <c r="A71" s="25" t="s">
        <v>285</v>
      </c>
      <c r="B71" s="35" t="s">
        <v>286</v>
      </c>
      <c r="C71" s="35" t="s">
        <v>442</v>
      </c>
      <c r="D71" s="25" t="s">
        <v>443</v>
      </c>
      <c r="E71" s="36" t="s">
        <v>444</v>
      </c>
      <c r="F71" s="25" t="s">
        <v>445</v>
      </c>
      <c r="G71" s="28" t="s">
        <v>291</v>
      </c>
      <c r="H71" s="28" t="s">
        <v>291</v>
      </c>
      <c r="I71" s="37"/>
      <c r="J71" s="38">
        <v>46023</v>
      </c>
      <c r="K71" s="39"/>
      <c r="L71" s="38">
        <v>46023</v>
      </c>
      <c r="M71" s="40" t="s">
        <v>292</v>
      </c>
      <c r="N71" s="41" t="s">
        <v>293</v>
      </c>
      <c r="O71" s="42" t="s">
        <v>294</v>
      </c>
    </row>
    <row r="72" spans="1:15" ht="15" customHeight="1" x14ac:dyDescent="0.3">
      <c r="A72" s="25" t="s">
        <v>285</v>
      </c>
      <c r="B72" s="26" t="s">
        <v>286</v>
      </c>
      <c r="C72" s="26" t="s">
        <v>442</v>
      </c>
      <c r="D72" s="25" t="s">
        <v>443</v>
      </c>
      <c r="E72" s="27" t="s">
        <v>446</v>
      </c>
      <c r="F72" s="25" t="s">
        <v>447</v>
      </c>
      <c r="G72" s="28" t="s">
        <v>291</v>
      </c>
      <c r="H72" s="28" t="s">
        <v>291</v>
      </c>
      <c r="I72" s="29"/>
      <c r="J72" s="30">
        <v>46023</v>
      </c>
      <c r="K72" s="31"/>
      <c r="L72" s="30">
        <v>46023</v>
      </c>
      <c r="M72" s="32" t="s">
        <v>292</v>
      </c>
      <c r="N72" s="33" t="s">
        <v>293</v>
      </c>
      <c r="O72" s="34" t="s">
        <v>294</v>
      </c>
    </row>
    <row r="73" spans="1:15" ht="15" customHeight="1" x14ac:dyDescent="0.3">
      <c r="A73" s="25" t="s">
        <v>285</v>
      </c>
      <c r="B73" s="35" t="s">
        <v>286</v>
      </c>
      <c r="C73" s="35" t="s">
        <v>442</v>
      </c>
      <c r="D73" s="25" t="s">
        <v>443</v>
      </c>
      <c r="E73" s="36" t="s">
        <v>448</v>
      </c>
      <c r="F73" s="25" t="s">
        <v>449</v>
      </c>
      <c r="G73" s="28" t="s">
        <v>291</v>
      </c>
      <c r="H73" s="28" t="s">
        <v>291</v>
      </c>
      <c r="I73" s="37"/>
      <c r="J73" s="38">
        <v>46023</v>
      </c>
      <c r="K73" s="39"/>
      <c r="L73" s="38">
        <v>46023</v>
      </c>
      <c r="M73" s="40" t="s">
        <v>292</v>
      </c>
      <c r="N73" s="41" t="s">
        <v>293</v>
      </c>
      <c r="O73" s="42" t="s">
        <v>294</v>
      </c>
    </row>
    <row r="74" spans="1:15" ht="15" customHeight="1" x14ac:dyDescent="0.3">
      <c r="A74" s="25" t="s">
        <v>285</v>
      </c>
      <c r="B74" s="26" t="s">
        <v>286</v>
      </c>
      <c r="C74" s="26" t="s">
        <v>442</v>
      </c>
      <c r="D74" s="25" t="s">
        <v>443</v>
      </c>
      <c r="E74" s="27" t="s">
        <v>450</v>
      </c>
      <c r="F74" s="25" t="s">
        <v>451</v>
      </c>
      <c r="G74" s="28" t="s">
        <v>291</v>
      </c>
      <c r="H74" s="28" t="s">
        <v>291</v>
      </c>
      <c r="I74" s="29"/>
      <c r="J74" s="30">
        <v>46023</v>
      </c>
      <c r="K74" s="31"/>
      <c r="L74" s="30">
        <v>46023</v>
      </c>
      <c r="M74" s="32" t="s">
        <v>292</v>
      </c>
      <c r="N74" s="33" t="s">
        <v>293</v>
      </c>
      <c r="O74" s="34" t="s">
        <v>294</v>
      </c>
    </row>
    <row r="75" spans="1:15" ht="15" customHeight="1" x14ac:dyDescent="0.3">
      <c r="A75" s="25" t="s">
        <v>285</v>
      </c>
      <c r="B75" s="35" t="s">
        <v>286</v>
      </c>
      <c r="C75" s="35" t="s">
        <v>442</v>
      </c>
      <c r="D75" s="25" t="s">
        <v>443</v>
      </c>
      <c r="E75" s="36" t="s">
        <v>452</v>
      </c>
      <c r="F75" s="25" t="s">
        <v>453</v>
      </c>
      <c r="G75" s="28" t="s">
        <v>291</v>
      </c>
      <c r="H75" s="28" t="s">
        <v>291</v>
      </c>
      <c r="I75" s="37"/>
      <c r="J75" s="38">
        <v>46023</v>
      </c>
      <c r="K75" s="39"/>
      <c r="L75" s="38">
        <v>46023</v>
      </c>
      <c r="M75" s="40" t="s">
        <v>292</v>
      </c>
      <c r="N75" s="41" t="s">
        <v>293</v>
      </c>
      <c r="O75" s="42" t="s">
        <v>294</v>
      </c>
    </row>
    <row r="76" spans="1:15" ht="15" customHeight="1" x14ac:dyDescent="0.3">
      <c r="A76" s="25" t="s">
        <v>285</v>
      </c>
      <c r="B76" s="26" t="s">
        <v>286</v>
      </c>
      <c r="C76" s="26" t="s">
        <v>442</v>
      </c>
      <c r="D76" s="25" t="s">
        <v>443</v>
      </c>
      <c r="E76" s="27" t="s">
        <v>454</v>
      </c>
      <c r="F76" s="25" t="s">
        <v>455</v>
      </c>
      <c r="G76" s="28" t="s">
        <v>291</v>
      </c>
      <c r="H76" s="28" t="s">
        <v>291</v>
      </c>
      <c r="I76" s="29"/>
      <c r="J76" s="30">
        <v>46023</v>
      </c>
      <c r="K76" s="31"/>
      <c r="L76" s="30">
        <v>46023</v>
      </c>
      <c r="M76" s="32" t="s">
        <v>292</v>
      </c>
      <c r="N76" s="33" t="s">
        <v>293</v>
      </c>
      <c r="O76" s="34" t="s">
        <v>294</v>
      </c>
    </row>
    <row r="77" spans="1:15" ht="15" customHeight="1" x14ac:dyDescent="0.3">
      <c r="A77" s="25" t="s">
        <v>285</v>
      </c>
      <c r="B77" s="35" t="s">
        <v>286</v>
      </c>
      <c r="C77" s="35" t="s">
        <v>442</v>
      </c>
      <c r="D77" s="25" t="s">
        <v>443</v>
      </c>
      <c r="E77" s="36" t="s">
        <v>456</v>
      </c>
      <c r="F77" s="25" t="s">
        <v>457</v>
      </c>
      <c r="G77" s="28" t="s">
        <v>291</v>
      </c>
      <c r="H77" s="28" t="s">
        <v>291</v>
      </c>
      <c r="I77" s="37"/>
      <c r="J77" s="38">
        <v>46023</v>
      </c>
      <c r="K77" s="39"/>
      <c r="L77" s="38">
        <v>46023</v>
      </c>
      <c r="M77" s="40" t="s">
        <v>292</v>
      </c>
      <c r="N77" s="41" t="s">
        <v>293</v>
      </c>
      <c r="O77" s="42" t="s">
        <v>294</v>
      </c>
    </row>
    <row r="78" spans="1:15" ht="15" customHeight="1" x14ac:dyDescent="0.3">
      <c r="A78" s="25" t="s">
        <v>285</v>
      </c>
      <c r="B78" s="26" t="s">
        <v>286</v>
      </c>
      <c r="C78" s="26" t="s">
        <v>442</v>
      </c>
      <c r="D78" s="25" t="s">
        <v>443</v>
      </c>
      <c r="E78" s="27" t="s">
        <v>458</v>
      </c>
      <c r="F78" s="25" t="s">
        <v>459</v>
      </c>
      <c r="G78" s="28" t="s">
        <v>291</v>
      </c>
      <c r="H78" s="28" t="s">
        <v>291</v>
      </c>
      <c r="I78" s="29"/>
      <c r="J78" s="30">
        <v>46023</v>
      </c>
      <c r="K78" s="31"/>
      <c r="L78" s="30">
        <v>46023</v>
      </c>
      <c r="M78" s="32" t="s">
        <v>292</v>
      </c>
      <c r="N78" s="33" t="s">
        <v>293</v>
      </c>
      <c r="O78" s="34" t="s">
        <v>294</v>
      </c>
    </row>
    <row r="79" spans="1:15" ht="15" customHeight="1" x14ac:dyDescent="0.3">
      <c r="A79" s="25" t="s">
        <v>285</v>
      </c>
      <c r="B79" s="35" t="s">
        <v>286</v>
      </c>
      <c r="C79" s="35" t="s">
        <v>442</v>
      </c>
      <c r="D79" s="25" t="s">
        <v>443</v>
      </c>
      <c r="E79" s="36" t="s">
        <v>460</v>
      </c>
      <c r="F79" s="25" t="s">
        <v>461</v>
      </c>
      <c r="G79" s="28" t="s">
        <v>291</v>
      </c>
      <c r="H79" s="28" t="s">
        <v>291</v>
      </c>
      <c r="I79" s="37"/>
      <c r="J79" s="38">
        <v>46023</v>
      </c>
      <c r="K79" s="39"/>
      <c r="L79" s="38">
        <v>46023</v>
      </c>
      <c r="M79" s="40" t="s">
        <v>292</v>
      </c>
      <c r="N79" s="41" t="s">
        <v>293</v>
      </c>
      <c r="O79" s="42" t="s">
        <v>294</v>
      </c>
    </row>
    <row r="80" spans="1:15" ht="15" customHeight="1" x14ac:dyDescent="0.3">
      <c r="A80" s="25" t="s">
        <v>285</v>
      </c>
      <c r="B80" s="26" t="s">
        <v>286</v>
      </c>
      <c r="C80" s="26" t="s">
        <v>462</v>
      </c>
      <c r="D80" s="25" t="s">
        <v>463</v>
      </c>
      <c r="E80" s="27" t="s">
        <v>464</v>
      </c>
      <c r="F80" s="25" t="s">
        <v>465</v>
      </c>
      <c r="G80" s="28" t="s">
        <v>291</v>
      </c>
      <c r="H80" s="28" t="s">
        <v>291</v>
      </c>
      <c r="I80" s="29"/>
      <c r="J80" s="30">
        <v>46023</v>
      </c>
      <c r="K80" s="31"/>
      <c r="L80" s="30">
        <v>46023</v>
      </c>
      <c r="M80" s="32" t="s">
        <v>292</v>
      </c>
      <c r="N80" s="33" t="s">
        <v>293</v>
      </c>
      <c r="O80" s="34" t="s">
        <v>294</v>
      </c>
    </row>
    <row r="81" spans="1:15" ht="15" customHeight="1" x14ac:dyDescent="0.3">
      <c r="A81" s="25" t="s">
        <v>285</v>
      </c>
      <c r="B81" s="35" t="s">
        <v>286</v>
      </c>
      <c r="C81" s="35" t="s">
        <v>462</v>
      </c>
      <c r="D81" s="25" t="s">
        <v>463</v>
      </c>
      <c r="E81" s="36" t="s">
        <v>466</v>
      </c>
      <c r="F81" s="25" t="s">
        <v>467</v>
      </c>
      <c r="G81" s="28" t="s">
        <v>291</v>
      </c>
      <c r="H81" s="28" t="s">
        <v>291</v>
      </c>
      <c r="I81" s="37"/>
      <c r="J81" s="38">
        <v>46023</v>
      </c>
      <c r="K81" s="39"/>
      <c r="L81" s="38">
        <v>46023</v>
      </c>
      <c r="M81" s="40" t="s">
        <v>292</v>
      </c>
      <c r="N81" s="41" t="s">
        <v>293</v>
      </c>
      <c r="O81" s="42" t="s">
        <v>294</v>
      </c>
    </row>
    <row r="82" spans="1:15" ht="15" customHeight="1" x14ac:dyDescent="0.3">
      <c r="A82" s="25" t="s">
        <v>285</v>
      </c>
      <c r="B82" s="26" t="s">
        <v>286</v>
      </c>
      <c r="C82" s="26" t="s">
        <v>462</v>
      </c>
      <c r="D82" s="25" t="s">
        <v>463</v>
      </c>
      <c r="E82" s="27" t="s">
        <v>468</v>
      </c>
      <c r="F82" s="25" t="s">
        <v>469</v>
      </c>
      <c r="G82" s="28" t="s">
        <v>291</v>
      </c>
      <c r="H82" s="28" t="s">
        <v>291</v>
      </c>
      <c r="I82" s="29"/>
      <c r="J82" s="30">
        <v>46023</v>
      </c>
      <c r="K82" s="31"/>
      <c r="L82" s="30">
        <v>46023</v>
      </c>
      <c r="M82" s="32" t="s">
        <v>292</v>
      </c>
      <c r="N82" s="33" t="s">
        <v>293</v>
      </c>
      <c r="O82" s="34" t="s">
        <v>294</v>
      </c>
    </row>
    <row r="83" spans="1:15" ht="15" customHeight="1" x14ac:dyDescent="0.3">
      <c r="A83" s="25" t="s">
        <v>285</v>
      </c>
      <c r="B83" s="35" t="s">
        <v>286</v>
      </c>
      <c r="C83" s="35" t="s">
        <v>462</v>
      </c>
      <c r="D83" s="25" t="s">
        <v>463</v>
      </c>
      <c r="E83" s="36" t="s">
        <v>470</v>
      </c>
      <c r="F83" s="25" t="s">
        <v>471</v>
      </c>
      <c r="G83" s="28" t="s">
        <v>291</v>
      </c>
      <c r="H83" s="28" t="s">
        <v>291</v>
      </c>
      <c r="I83" s="37"/>
      <c r="J83" s="38">
        <v>46023</v>
      </c>
      <c r="K83" s="39"/>
      <c r="L83" s="38">
        <v>46023</v>
      </c>
      <c r="M83" s="40" t="s">
        <v>292</v>
      </c>
      <c r="N83" s="41" t="s">
        <v>293</v>
      </c>
      <c r="O83" s="42" t="s">
        <v>294</v>
      </c>
    </row>
    <row r="84" spans="1:15" ht="15" customHeight="1" x14ac:dyDescent="0.3">
      <c r="A84" s="25" t="s">
        <v>285</v>
      </c>
      <c r="B84" s="26" t="s">
        <v>286</v>
      </c>
      <c r="C84" s="26" t="s">
        <v>462</v>
      </c>
      <c r="D84" s="25" t="s">
        <v>463</v>
      </c>
      <c r="E84" s="27" t="s">
        <v>472</v>
      </c>
      <c r="F84" s="25" t="s">
        <v>473</v>
      </c>
      <c r="G84" s="28" t="s">
        <v>291</v>
      </c>
      <c r="H84" s="28" t="s">
        <v>291</v>
      </c>
      <c r="I84" s="29"/>
      <c r="J84" s="30">
        <v>46023</v>
      </c>
      <c r="K84" s="31"/>
      <c r="L84" s="30">
        <v>46023</v>
      </c>
      <c r="M84" s="32" t="s">
        <v>292</v>
      </c>
      <c r="N84" s="33" t="s">
        <v>293</v>
      </c>
      <c r="O84" s="34" t="s">
        <v>294</v>
      </c>
    </row>
    <row r="85" spans="1:15" ht="15" customHeight="1" x14ac:dyDescent="0.3">
      <c r="A85" s="25" t="s">
        <v>285</v>
      </c>
      <c r="B85" s="35" t="s">
        <v>286</v>
      </c>
      <c r="C85" s="35" t="s">
        <v>462</v>
      </c>
      <c r="D85" s="25" t="s">
        <v>463</v>
      </c>
      <c r="E85" s="36" t="s">
        <v>474</v>
      </c>
      <c r="F85" s="25" t="s">
        <v>475</v>
      </c>
      <c r="G85" s="28" t="s">
        <v>291</v>
      </c>
      <c r="H85" s="28" t="s">
        <v>291</v>
      </c>
      <c r="I85" s="37"/>
      <c r="J85" s="38">
        <v>46023</v>
      </c>
      <c r="K85" s="39"/>
      <c r="L85" s="38">
        <v>46023</v>
      </c>
      <c r="M85" s="40" t="s">
        <v>292</v>
      </c>
      <c r="N85" s="41" t="s">
        <v>293</v>
      </c>
      <c r="O85" s="42" t="s">
        <v>294</v>
      </c>
    </row>
    <row r="86" spans="1:15" ht="15" customHeight="1" x14ac:dyDescent="0.3">
      <c r="A86" s="25" t="s">
        <v>285</v>
      </c>
      <c r="B86" s="51" t="s">
        <v>286</v>
      </c>
      <c r="C86" s="51" t="s">
        <v>476</v>
      </c>
      <c r="D86" s="25" t="s">
        <v>477</v>
      </c>
      <c r="E86" s="52" t="s">
        <v>478</v>
      </c>
      <c r="F86" s="25" t="s">
        <v>479</v>
      </c>
      <c r="G86" s="28" t="s">
        <v>291</v>
      </c>
      <c r="H86" s="49" t="s">
        <v>314</v>
      </c>
      <c r="I86" s="53" t="s">
        <v>480</v>
      </c>
      <c r="J86" s="30">
        <v>46023</v>
      </c>
      <c r="K86" s="31"/>
      <c r="L86" s="30">
        <v>46023</v>
      </c>
      <c r="M86" s="32" t="s">
        <v>292</v>
      </c>
      <c r="N86" s="33" t="s">
        <v>293</v>
      </c>
      <c r="O86" s="34" t="s">
        <v>294</v>
      </c>
    </row>
    <row r="87" spans="1:15" ht="15" customHeight="1" x14ac:dyDescent="0.3">
      <c r="A87" s="25" t="s">
        <v>285</v>
      </c>
      <c r="B87" s="51" t="s">
        <v>286</v>
      </c>
      <c r="C87" s="51" t="s">
        <v>476</v>
      </c>
      <c r="D87" s="25" t="s">
        <v>477</v>
      </c>
      <c r="E87" s="52" t="s">
        <v>481</v>
      </c>
      <c r="F87" s="25" t="s">
        <v>482</v>
      </c>
      <c r="G87" s="28" t="s">
        <v>291</v>
      </c>
      <c r="H87" s="49" t="s">
        <v>314</v>
      </c>
      <c r="I87" s="53" t="s">
        <v>480</v>
      </c>
      <c r="J87" s="38">
        <v>46023</v>
      </c>
      <c r="K87" s="39"/>
      <c r="L87" s="38">
        <v>46023</v>
      </c>
      <c r="M87" s="40" t="s">
        <v>292</v>
      </c>
      <c r="N87" s="41" t="s">
        <v>293</v>
      </c>
      <c r="O87" s="42" t="s">
        <v>294</v>
      </c>
    </row>
    <row r="88" spans="1:15" ht="15" customHeight="1" x14ac:dyDescent="0.3">
      <c r="A88" s="25" t="s">
        <v>285</v>
      </c>
      <c r="B88" s="51" t="s">
        <v>286</v>
      </c>
      <c r="C88" s="51" t="s">
        <v>476</v>
      </c>
      <c r="D88" s="25" t="s">
        <v>477</v>
      </c>
      <c r="E88" s="52" t="s">
        <v>483</v>
      </c>
      <c r="F88" s="25" t="s">
        <v>484</v>
      </c>
      <c r="G88" s="28" t="s">
        <v>291</v>
      </c>
      <c r="H88" s="49" t="s">
        <v>314</v>
      </c>
      <c r="I88" s="53" t="s">
        <v>480</v>
      </c>
      <c r="J88" s="30">
        <v>46023</v>
      </c>
      <c r="K88" s="31"/>
      <c r="L88" s="30">
        <v>46023</v>
      </c>
      <c r="M88" s="32" t="s">
        <v>292</v>
      </c>
      <c r="N88" s="33" t="s">
        <v>293</v>
      </c>
      <c r="O88" s="34" t="s">
        <v>294</v>
      </c>
    </row>
    <row r="89" spans="1:15" ht="15" customHeight="1" x14ac:dyDescent="0.3">
      <c r="A89" s="25" t="s">
        <v>285</v>
      </c>
      <c r="B89" s="51" t="s">
        <v>286</v>
      </c>
      <c r="C89" s="51" t="s">
        <v>476</v>
      </c>
      <c r="D89" s="25" t="s">
        <v>477</v>
      </c>
      <c r="E89" s="52" t="s">
        <v>485</v>
      </c>
      <c r="F89" s="25" t="s">
        <v>486</v>
      </c>
      <c r="G89" s="28" t="s">
        <v>291</v>
      </c>
      <c r="H89" s="49" t="s">
        <v>314</v>
      </c>
      <c r="I89" s="53" t="s">
        <v>480</v>
      </c>
      <c r="J89" s="38">
        <v>46023</v>
      </c>
      <c r="K89" s="39"/>
      <c r="L89" s="38">
        <v>46023</v>
      </c>
      <c r="M89" s="40" t="s">
        <v>292</v>
      </c>
      <c r="N89" s="41" t="s">
        <v>293</v>
      </c>
      <c r="O89" s="42" t="s">
        <v>294</v>
      </c>
    </row>
    <row r="90" spans="1:15" ht="15" customHeight="1" x14ac:dyDescent="0.3">
      <c r="A90" s="25" t="s">
        <v>285</v>
      </c>
      <c r="B90" s="51" t="s">
        <v>286</v>
      </c>
      <c r="C90" s="51" t="s">
        <v>476</v>
      </c>
      <c r="D90" s="25" t="s">
        <v>477</v>
      </c>
      <c r="E90" s="52" t="s">
        <v>487</v>
      </c>
      <c r="F90" s="25" t="s">
        <v>488</v>
      </c>
      <c r="G90" s="28" t="s">
        <v>291</v>
      </c>
      <c r="H90" s="49" t="s">
        <v>314</v>
      </c>
      <c r="I90" s="53" t="s">
        <v>480</v>
      </c>
      <c r="J90" s="30">
        <v>46023</v>
      </c>
      <c r="K90" s="31"/>
      <c r="L90" s="30">
        <v>46023</v>
      </c>
      <c r="M90" s="32" t="s">
        <v>292</v>
      </c>
      <c r="N90" s="33" t="s">
        <v>293</v>
      </c>
      <c r="O90" s="34" t="s">
        <v>294</v>
      </c>
    </row>
    <row r="91" spans="1:15" ht="15" customHeight="1" x14ac:dyDescent="0.3">
      <c r="A91" s="25" t="s">
        <v>285</v>
      </c>
      <c r="B91" s="51" t="s">
        <v>286</v>
      </c>
      <c r="C91" s="51" t="s">
        <v>476</v>
      </c>
      <c r="D91" s="25" t="s">
        <v>477</v>
      </c>
      <c r="E91" s="52" t="s">
        <v>489</v>
      </c>
      <c r="F91" s="25" t="s">
        <v>490</v>
      </c>
      <c r="G91" s="28" t="s">
        <v>291</v>
      </c>
      <c r="H91" s="49" t="s">
        <v>314</v>
      </c>
      <c r="I91" s="53" t="s">
        <v>480</v>
      </c>
      <c r="J91" s="38">
        <v>46023</v>
      </c>
      <c r="K91" s="39"/>
      <c r="L91" s="38">
        <v>46023</v>
      </c>
      <c r="M91" s="40" t="s">
        <v>292</v>
      </c>
      <c r="N91" s="41" t="s">
        <v>293</v>
      </c>
      <c r="O91" s="42" t="s">
        <v>294</v>
      </c>
    </row>
    <row r="92" spans="1:15" ht="15" customHeight="1" x14ac:dyDescent="0.3">
      <c r="A92" s="25" t="s">
        <v>285</v>
      </c>
      <c r="B92" s="51" t="s">
        <v>286</v>
      </c>
      <c r="C92" s="51" t="s">
        <v>476</v>
      </c>
      <c r="D92" s="25" t="s">
        <v>477</v>
      </c>
      <c r="E92" s="52" t="s">
        <v>491</v>
      </c>
      <c r="F92" s="25" t="s">
        <v>492</v>
      </c>
      <c r="G92" s="28" t="s">
        <v>291</v>
      </c>
      <c r="H92" s="49" t="s">
        <v>314</v>
      </c>
      <c r="I92" s="53" t="s">
        <v>480</v>
      </c>
      <c r="J92" s="30">
        <v>46023</v>
      </c>
      <c r="K92" s="31"/>
      <c r="L92" s="30">
        <v>46023</v>
      </c>
      <c r="M92" s="32" t="s">
        <v>292</v>
      </c>
      <c r="N92" s="33" t="s">
        <v>293</v>
      </c>
      <c r="O92" s="34" t="s">
        <v>294</v>
      </c>
    </row>
    <row r="93" spans="1:15" ht="15" customHeight="1" x14ac:dyDescent="0.3">
      <c r="A93" s="25" t="s">
        <v>285</v>
      </c>
      <c r="B93" s="51" t="s">
        <v>286</v>
      </c>
      <c r="C93" s="51" t="s">
        <v>476</v>
      </c>
      <c r="D93" s="25" t="s">
        <v>477</v>
      </c>
      <c r="E93" s="52" t="s">
        <v>493</v>
      </c>
      <c r="F93" s="25" t="s">
        <v>494</v>
      </c>
      <c r="G93" s="28" t="s">
        <v>291</v>
      </c>
      <c r="H93" s="49" t="s">
        <v>314</v>
      </c>
      <c r="I93" s="53" t="s">
        <v>480</v>
      </c>
      <c r="J93" s="38">
        <v>46023</v>
      </c>
      <c r="K93" s="39"/>
      <c r="L93" s="38">
        <v>46023</v>
      </c>
      <c r="M93" s="40" t="s">
        <v>292</v>
      </c>
      <c r="N93" s="41" t="s">
        <v>293</v>
      </c>
      <c r="O93" s="42" t="s">
        <v>294</v>
      </c>
    </row>
    <row r="94" spans="1:15" ht="15" customHeight="1" x14ac:dyDescent="0.3">
      <c r="A94" s="25" t="s">
        <v>285</v>
      </c>
      <c r="B94" s="51" t="s">
        <v>286</v>
      </c>
      <c r="C94" s="51" t="s">
        <v>476</v>
      </c>
      <c r="D94" s="25" t="s">
        <v>477</v>
      </c>
      <c r="E94" s="52" t="s">
        <v>495</v>
      </c>
      <c r="F94" s="25" t="s">
        <v>496</v>
      </c>
      <c r="G94" s="28" t="s">
        <v>291</v>
      </c>
      <c r="H94" s="49" t="s">
        <v>314</v>
      </c>
      <c r="I94" s="53" t="s">
        <v>480</v>
      </c>
      <c r="J94" s="30">
        <v>46023</v>
      </c>
      <c r="K94" s="31"/>
      <c r="L94" s="30">
        <v>46023</v>
      </c>
      <c r="M94" s="32" t="s">
        <v>292</v>
      </c>
      <c r="N94" s="33" t="s">
        <v>293</v>
      </c>
      <c r="O94" s="34" t="s">
        <v>294</v>
      </c>
    </row>
    <row r="95" spans="1:15" ht="15" customHeight="1" x14ac:dyDescent="0.3">
      <c r="A95" s="25" t="s">
        <v>285</v>
      </c>
      <c r="B95" s="51" t="s">
        <v>286</v>
      </c>
      <c r="C95" s="51" t="s">
        <v>476</v>
      </c>
      <c r="D95" s="25" t="s">
        <v>477</v>
      </c>
      <c r="E95" s="52" t="s">
        <v>497</v>
      </c>
      <c r="F95" s="25" t="s">
        <v>498</v>
      </c>
      <c r="G95" s="28" t="s">
        <v>291</v>
      </c>
      <c r="H95" s="49" t="s">
        <v>314</v>
      </c>
      <c r="I95" s="53" t="s">
        <v>480</v>
      </c>
      <c r="J95" s="38">
        <v>46023</v>
      </c>
      <c r="K95" s="39"/>
      <c r="L95" s="38">
        <v>46023</v>
      </c>
      <c r="M95" s="40" t="s">
        <v>292</v>
      </c>
      <c r="N95" s="41" t="s">
        <v>293</v>
      </c>
      <c r="O95" s="42" t="s">
        <v>294</v>
      </c>
    </row>
    <row r="96" spans="1:15" ht="15" customHeight="1" x14ac:dyDescent="0.3">
      <c r="A96" s="25" t="s">
        <v>285</v>
      </c>
      <c r="B96" s="51" t="s">
        <v>286</v>
      </c>
      <c r="C96" s="51" t="s">
        <v>499</v>
      </c>
      <c r="D96" s="25" t="s">
        <v>500</v>
      </c>
      <c r="E96" s="52" t="s">
        <v>501</v>
      </c>
      <c r="F96" s="25" t="s">
        <v>502</v>
      </c>
      <c r="G96" s="28" t="s">
        <v>291</v>
      </c>
      <c r="H96" s="49" t="s">
        <v>314</v>
      </c>
      <c r="I96" s="53" t="s">
        <v>480</v>
      </c>
      <c r="J96" s="30">
        <v>46023</v>
      </c>
      <c r="K96" s="31"/>
      <c r="L96" s="30">
        <v>46023</v>
      </c>
      <c r="M96" s="32" t="s">
        <v>292</v>
      </c>
      <c r="N96" s="33" t="s">
        <v>293</v>
      </c>
      <c r="O96" s="34" t="s">
        <v>294</v>
      </c>
    </row>
    <row r="97" spans="1:15" ht="15" customHeight="1" x14ac:dyDescent="0.3">
      <c r="A97" s="25" t="s">
        <v>285</v>
      </c>
      <c r="B97" s="51" t="s">
        <v>286</v>
      </c>
      <c r="C97" s="51" t="s">
        <v>499</v>
      </c>
      <c r="D97" s="25" t="s">
        <v>500</v>
      </c>
      <c r="E97" s="52" t="s">
        <v>503</v>
      </c>
      <c r="F97" s="25" t="s">
        <v>504</v>
      </c>
      <c r="G97" s="28" t="s">
        <v>291</v>
      </c>
      <c r="H97" s="49" t="s">
        <v>314</v>
      </c>
      <c r="I97" s="53" t="s">
        <v>480</v>
      </c>
      <c r="J97" s="38">
        <v>46023</v>
      </c>
      <c r="K97" s="39"/>
      <c r="L97" s="38">
        <v>46023</v>
      </c>
      <c r="M97" s="40" t="s">
        <v>292</v>
      </c>
      <c r="N97" s="41" t="s">
        <v>293</v>
      </c>
      <c r="O97" s="42" t="s">
        <v>294</v>
      </c>
    </row>
    <row r="98" spans="1:15" ht="15" customHeight="1" x14ac:dyDescent="0.3">
      <c r="A98" s="25" t="s">
        <v>285</v>
      </c>
      <c r="B98" s="51" t="s">
        <v>286</v>
      </c>
      <c r="C98" s="51" t="s">
        <v>499</v>
      </c>
      <c r="D98" s="25" t="s">
        <v>500</v>
      </c>
      <c r="E98" s="52" t="s">
        <v>505</v>
      </c>
      <c r="F98" s="25" t="s">
        <v>506</v>
      </c>
      <c r="G98" s="28" t="s">
        <v>291</v>
      </c>
      <c r="H98" s="49" t="s">
        <v>314</v>
      </c>
      <c r="I98" s="53" t="s">
        <v>480</v>
      </c>
      <c r="J98" s="30">
        <v>46023</v>
      </c>
      <c r="K98" s="31"/>
      <c r="L98" s="30">
        <v>46023</v>
      </c>
      <c r="M98" s="32" t="s">
        <v>292</v>
      </c>
      <c r="N98" s="33" t="s">
        <v>293</v>
      </c>
      <c r="O98" s="34" t="s">
        <v>294</v>
      </c>
    </row>
    <row r="99" spans="1:15" ht="15" customHeight="1" x14ac:dyDescent="0.3">
      <c r="A99" s="25" t="s">
        <v>285</v>
      </c>
      <c r="B99" s="51" t="s">
        <v>286</v>
      </c>
      <c r="C99" s="51" t="s">
        <v>499</v>
      </c>
      <c r="D99" s="25" t="s">
        <v>500</v>
      </c>
      <c r="E99" s="52" t="s">
        <v>505</v>
      </c>
      <c r="F99" s="25" t="s">
        <v>507</v>
      </c>
      <c r="G99" s="28" t="s">
        <v>291</v>
      </c>
      <c r="H99" s="49" t="s">
        <v>314</v>
      </c>
      <c r="I99" s="53" t="s">
        <v>480</v>
      </c>
      <c r="J99" s="38">
        <v>46023</v>
      </c>
      <c r="K99" s="39"/>
      <c r="L99" s="38">
        <v>46023</v>
      </c>
      <c r="M99" s="40" t="s">
        <v>292</v>
      </c>
      <c r="N99" s="41" t="s">
        <v>293</v>
      </c>
      <c r="O99" s="42" t="s">
        <v>294</v>
      </c>
    </row>
    <row r="100" spans="1:15" ht="15" customHeight="1" x14ac:dyDescent="0.3">
      <c r="A100" s="25" t="s">
        <v>285</v>
      </c>
      <c r="B100" s="51" t="s">
        <v>286</v>
      </c>
      <c r="C100" s="51" t="s">
        <v>499</v>
      </c>
      <c r="D100" s="25" t="s">
        <v>500</v>
      </c>
      <c r="E100" s="52" t="s">
        <v>508</v>
      </c>
      <c r="F100" s="25" t="s">
        <v>509</v>
      </c>
      <c r="G100" s="28" t="s">
        <v>291</v>
      </c>
      <c r="H100" s="49" t="s">
        <v>314</v>
      </c>
      <c r="I100" s="53" t="s">
        <v>480</v>
      </c>
      <c r="J100" s="30">
        <v>46023</v>
      </c>
      <c r="K100" s="31"/>
      <c r="L100" s="30">
        <v>46023</v>
      </c>
      <c r="M100" s="32" t="s">
        <v>292</v>
      </c>
      <c r="N100" s="33" t="s">
        <v>293</v>
      </c>
      <c r="O100" s="34" t="s">
        <v>294</v>
      </c>
    </row>
    <row r="101" spans="1:15" ht="15" customHeight="1" x14ac:dyDescent="0.3">
      <c r="A101" s="25" t="s">
        <v>285</v>
      </c>
      <c r="B101" s="51" t="s">
        <v>286</v>
      </c>
      <c r="C101" s="51" t="s">
        <v>499</v>
      </c>
      <c r="D101" s="25" t="s">
        <v>500</v>
      </c>
      <c r="E101" s="52" t="s">
        <v>510</v>
      </c>
      <c r="F101" s="25" t="s">
        <v>511</v>
      </c>
      <c r="G101" s="28" t="s">
        <v>291</v>
      </c>
      <c r="H101" s="49" t="s">
        <v>314</v>
      </c>
      <c r="I101" s="53" t="s">
        <v>480</v>
      </c>
      <c r="J101" s="38">
        <v>46023</v>
      </c>
      <c r="K101" s="39"/>
      <c r="L101" s="38">
        <v>46023</v>
      </c>
      <c r="M101" s="40" t="s">
        <v>292</v>
      </c>
      <c r="N101" s="41" t="s">
        <v>293</v>
      </c>
      <c r="O101" s="42" t="s">
        <v>294</v>
      </c>
    </row>
    <row r="102" spans="1:15" ht="15" customHeight="1" x14ac:dyDescent="0.3">
      <c r="A102" s="25" t="s">
        <v>285</v>
      </c>
      <c r="B102" s="51" t="s">
        <v>286</v>
      </c>
      <c r="C102" s="51" t="s">
        <v>499</v>
      </c>
      <c r="D102" s="25" t="s">
        <v>500</v>
      </c>
      <c r="E102" s="52" t="s">
        <v>512</v>
      </c>
      <c r="F102" s="25" t="s">
        <v>513</v>
      </c>
      <c r="G102" s="28" t="s">
        <v>291</v>
      </c>
      <c r="H102" s="49" t="s">
        <v>314</v>
      </c>
      <c r="I102" s="53" t="s">
        <v>480</v>
      </c>
      <c r="J102" s="30">
        <v>46023</v>
      </c>
      <c r="K102" s="31"/>
      <c r="L102" s="30">
        <v>46023</v>
      </c>
      <c r="M102" s="32" t="s">
        <v>292</v>
      </c>
      <c r="N102" s="33" t="s">
        <v>293</v>
      </c>
      <c r="O102" s="34" t="s">
        <v>294</v>
      </c>
    </row>
    <row r="103" spans="1:15" ht="15" customHeight="1" x14ac:dyDescent="0.3">
      <c r="A103" s="25" t="s">
        <v>285</v>
      </c>
      <c r="B103" s="51" t="s">
        <v>286</v>
      </c>
      <c r="C103" s="51" t="s">
        <v>499</v>
      </c>
      <c r="D103" s="25" t="s">
        <v>500</v>
      </c>
      <c r="E103" s="52" t="s">
        <v>514</v>
      </c>
      <c r="F103" s="25" t="s">
        <v>515</v>
      </c>
      <c r="G103" s="28" t="s">
        <v>291</v>
      </c>
      <c r="H103" s="49" t="s">
        <v>314</v>
      </c>
      <c r="I103" s="53" t="s">
        <v>480</v>
      </c>
      <c r="J103" s="38">
        <v>46023</v>
      </c>
      <c r="K103" s="39"/>
      <c r="L103" s="38">
        <v>46023</v>
      </c>
      <c r="M103" s="40" t="s">
        <v>292</v>
      </c>
      <c r="N103" s="41" t="s">
        <v>293</v>
      </c>
      <c r="O103" s="42" t="s">
        <v>294</v>
      </c>
    </row>
    <row r="104" spans="1:15" ht="15" customHeight="1" x14ac:dyDescent="0.3">
      <c r="A104" s="25" t="s">
        <v>285</v>
      </c>
      <c r="B104" s="51" t="s">
        <v>286</v>
      </c>
      <c r="C104" s="51" t="s">
        <v>499</v>
      </c>
      <c r="D104" s="25" t="s">
        <v>500</v>
      </c>
      <c r="E104" s="52" t="s">
        <v>516</v>
      </c>
      <c r="F104" s="25" t="s">
        <v>517</v>
      </c>
      <c r="G104" s="28" t="s">
        <v>291</v>
      </c>
      <c r="H104" s="49" t="s">
        <v>314</v>
      </c>
      <c r="I104" s="53" t="s">
        <v>480</v>
      </c>
      <c r="J104" s="30">
        <v>46023</v>
      </c>
      <c r="K104" s="31"/>
      <c r="L104" s="30">
        <v>46023</v>
      </c>
      <c r="M104" s="32" t="s">
        <v>292</v>
      </c>
      <c r="N104" s="33" t="s">
        <v>293</v>
      </c>
      <c r="O104" s="34" t="s">
        <v>294</v>
      </c>
    </row>
    <row r="105" spans="1:15" ht="15" customHeight="1" x14ac:dyDescent="0.3">
      <c r="A105" s="25" t="s">
        <v>285</v>
      </c>
      <c r="B105" s="51" t="s">
        <v>286</v>
      </c>
      <c r="C105" s="51" t="s">
        <v>499</v>
      </c>
      <c r="D105" s="25" t="s">
        <v>500</v>
      </c>
      <c r="E105" s="52" t="s">
        <v>518</v>
      </c>
      <c r="F105" s="25" t="s">
        <v>519</v>
      </c>
      <c r="G105" s="28" t="s">
        <v>291</v>
      </c>
      <c r="H105" s="49" t="s">
        <v>314</v>
      </c>
      <c r="I105" s="53" t="s">
        <v>480</v>
      </c>
      <c r="J105" s="38">
        <v>46023</v>
      </c>
      <c r="K105" s="39"/>
      <c r="L105" s="38">
        <v>46023</v>
      </c>
      <c r="M105" s="40" t="s">
        <v>292</v>
      </c>
      <c r="N105" s="41" t="s">
        <v>293</v>
      </c>
      <c r="O105" s="42" t="s">
        <v>294</v>
      </c>
    </row>
    <row r="106" spans="1:15" ht="15" customHeight="1" x14ac:dyDescent="0.3">
      <c r="A106" s="25" t="s">
        <v>285</v>
      </c>
      <c r="B106" s="51" t="s">
        <v>286</v>
      </c>
      <c r="C106" s="51" t="s">
        <v>499</v>
      </c>
      <c r="D106" s="25" t="s">
        <v>500</v>
      </c>
      <c r="E106" s="52" t="s">
        <v>520</v>
      </c>
      <c r="F106" s="25" t="s">
        <v>521</v>
      </c>
      <c r="G106" s="28" t="s">
        <v>291</v>
      </c>
      <c r="H106" s="49" t="s">
        <v>314</v>
      </c>
      <c r="I106" s="53" t="s">
        <v>480</v>
      </c>
      <c r="J106" s="30">
        <v>46023</v>
      </c>
      <c r="K106" s="31"/>
      <c r="L106" s="30">
        <v>46023</v>
      </c>
      <c r="M106" s="32" t="s">
        <v>292</v>
      </c>
      <c r="N106" s="33" t="s">
        <v>293</v>
      </c>
      <c r="O106" s="34" t="s">
        <v>294</v>
      </c>
    </row>
    <row r="107" spans="1:15" ht="15" customHeight="1" x14ac:dyDescent="0.3">
      <c r="A107" s="25" t="s">
        <v>285</v>
      </c>
      <c r="B107" s="51" t="s">
        <v>286</v>
      </c>
      <c r="C107" s="51" t="s">
        <v>499</v>
      </c>
      <c r="D107" s="25" t="s">
        <v>500</v>
      </c>
      <c r="E107" s="52" t="s">
        <v>522</v>
      </c>
      <c r="F107" s="25" t="s">
        <v>523</v>
      </c>
      <c r="G107" s="28" t="s">
        <v>291</v>
      </c>
      <c r="H107" s="49" t="s">
        <v>314</v>
      </c>
      <c r="I107" s="53" t="s">
        <v>480</v>
      </c>
      <c r="J107" s="38">
        <v>46023</v>
      </c>
      <c r="K107" s="39"/>
      <c r="L107" s="38">
        <v>46023</v>
      </c>
      <c r="M107" s="40" t="s">
        <v>292</v>
      </c>
      <c r="N107" s="41" t="s">
        <v>293</v>
      </c>
      <c r="O107" s="42" t="s">
        <v>294</v>
      </c>
    </row>
    <row r="108" spans="1:15" ht="15" customHeight="1" x14ac:dyDescent="0.3">
      <c r="A108" s="25" t="s">
        <v>285</v>
      </c>
      <c r="B108" s="51" t="s">
        <v>286</v>
      </c>
      <c r="C108" s="51" t="s">
        <v>499</v>
      </c>
      <c r="D108" s="25" t="s">
        <v>500</v>
      </c>
      <c r="E108" s="52" t="s">
        <v>524</v>
      </c>
      <c r="F108" s="25" t="s">
        <v>525</v>
      </c>
      <c r="G108" s="28" t="s">
        <v>291</v>
      </c>
      <c r="H108" s="49" t="s">
        <v>314</v>
      </c>
      <c r="I108" s="53" t="s">
        <v>480</v>
      </c>
      <c r="J108" s="30">
        <v>46023</v>
      </c>
      <c r="K108" s="31"/>
      <c r="L108" s="30">
        <v>46023</v>
      </c>
      <c r="M108" s="32" t="s">
        <v>292</v>
      </c>
      <c r="N108" s="33" t="s">
        <v>293</v>
      </c>
      <c r="O108" s="34" t="s">
        <v>294</v>
      </c>
    </row>
    <row r="109" spans="1:15" ht="15" customHeight="1" x14ac:dyDescent="0.3">
      <c r="A109" s="25" t="s">
        <v>285</v>
      </c>
      <c r="B109" s="35" t="s">
        <v>286</v>
      </c>
      <c r="C109" s="35" t="s">
        <v>526</v>
      </c>
      <c r="D109" s="25" t="s">
        <v>527</v>
      </c>
      <c r="E109" s="36" t="s">
        <v>528</v>
      </c>
      <c r="F109" s="25" t="s">
        <v>527</v>
      </c>
      <c r="G109" s="28" t="s">
        <v>291</v>
      </c>
      <c r="H109" s="28" t="s">
        <v>291</v>
      </c>
      <c r="I109" s="37"/>
      <c r="J109" s="38">
        <v>46023</v>
      </c>
      <c r="K109" s="39"/>
      <c r="L109" s="38">
        <v>46023</v>
      </c>
      <c r="M109" s="40" t="s">
        <v>292</v>
      </c>
      <c r="N109" s="41" t="s">
        <v>293</v>
      </c>
      <c r="O109" s="42" t="s">
        <v>294</v>
      </c>
    </row>
    <row r="110" spans="1:15" ht="15" customHeight="1" x14ac:dyDescent="0.3">
      <c r="A110" s="25" t="s">
        <v>285</v>
      </c>
      <c r="B110" s="26" t="s">
        <v>286</v>
      </c>
      <c r="C110" s="26" t="s">
        <v>526</v>
      </c>
      <c r="D110" s="25" t="s">
        <v>527</v>
      </c>
      <c r="E110" s="27" t="s">
        <v>529</v>
      </c>
      <c r="F110" s="25" t="s">
        <v>530</v>
      </c>
      <c r="G110" s="28" t="s">
        <v>291</v>
      </c>
      <c r="H110" s="28" t="s">
        <v>291</v>
      </c>
      <c r="I110" s="29"/>
      <c r="J110" s="30">
        <v>46023</v>
      </c>
      <c r="K110" s="31"/>
      <c r="L110" s="30">
        <v>46023</v>
      </c>
      <c r="M110" s="32" t="s">
        <v>292</v>
      </c>
      <c r="N110" s="33" t="s">
        <v>293</v>
      </c>
      <c r="O110" s="34" t="s">
        <v>294</v>
      </c>
    </row>
    <row r="111" spans="1:15" ht="15" customHeight="1" x14ac:dyDescent="0.3">
      <c r="A111" s="25" t="s">
        <v>285</v>
      </c>
      <c r="B111" s="35" t="s">
        <v>286</v>
      </c>
      <c r="C111" s="35" t="s">
        <v>526</v>
      </c>
      <c r="D111" s="25" t="s">
        <v>527</v>
      </c>
      <c r="E111" s="36" t="s">
        <v>531</v>
      </c>
      <c r="F111" s="25" t="s">
        <v>532</v>
      </c>
      <c r="G111" s="28" t="s">
        <v>291</v>
      </c>
      <c r="H111" s="28" t="s">
        <v>291</v>
      </c>
      <c r="I111" s="37"/>
      <c r="J111" s="38">
        <v>46023</v>
      </c>
      <c r="K111" s="39"/>
      <c r="L111" s="38">
        <v>46023</v>
      </c>
      <c r="M111" s="40" t="s">
        <v>292</v>
      </c>
      <c r="N111" s="41" t="s">
        <v>293</v>
      </c>
      <c r="O111" s="42" t="s">
        <v>294</v>
      </c>
    </row>
    <row r="112" spans="1:15" ht="15" customHeight="1" x14ac:dyDescent="0.3">
      <c r="A112" s="25" t="s">
        <v>285</v>
      </c>
      <c r="B112" s="26" t="s">
        <v>286</v>
      </c>
      <c r="C112" s="26" t="s">
        <v>526</v>
      </c>
      <c r="D112" s="25" t="s">
        <v>527</v>
      </c>
      <c r="E112" s="27" t="s">
        <v>533</v>
      </c>
      <c r="F112" s="25" t="s">
        <v>534</v>
      </c>
      <c r="G112" s="28" t="s">
        <v>291</v>
      </c>
      <c r="H112" s="28" t="s">
        <v>291</v>
      </c>
      <c r="I112" s="29"/>
      <c r="J112" s="30">
        <v>46023</v>
      </c>
      <c r="K112" s="31"/>
      <c r="L112" s="30">
        <v>46023</v>
      </c>
      <c r="M112" s="32" t="s">
        <v>292</v>
      </c>
      <c r="N112" s="33" t="s">
        <v>293</v>
      </c>
      <c r="O112" s="34" t="s">
        <v>294</v>
      </c>
    </row>
    <row r="113" spans="1:15" ht="15" customHeight="1" x14ac:dyDescent="0.3">
      <c r="A113" s="25" t="s">
        <v>285</v>
      </c>
      <c r="B113" s="35" t="s">
        <v>286</v>
      </c>
      <c r="C113" s="35" t="s">
        <v>526</v>
      </c>
      <c r="D113" s="25" t="s">
        <v>527</v>
      </c>
      <c r="E113" s="36" t="s">
        <v>535</v>
      </c>
      <c r="F113" s="25" t="s">
        <v>536</v>
      </c>
      <c r="G113" s="28" t="s">
        <v>291</v>
      </c>
      <c r="H113" s="28" t="s">
        <v>291</v>
      </c>
      <c r="I113" s="37"/>
      <c r="J113" s="38">
        <v>46023</v>
      </c>
      <c r="K113" s="39"/>
      <c r="L113" s="38">
        <v>46023</v>
      </c>
      <c r="M113" s="40" t="s">
        <v>292</v>
      </c>
      <c r="N113" s="41" t="s">
        <v>293</v>
      </c>
      <c r="O113" s="42" t="s">
        <v>294</v>
      </c>
    </row>
    <row r="114" spans="1:15" ht="15" customHeight="1" x14ac:dyDescent="0.3">
      <c r="A114" s="25" t="s">
        <v>285</v>
      </c>
      <c r="B114" s="26" t="s">
        <v>286</v>
      </c>
      <c r="C114" s="26" t="s">
        <v>526</v>
      </c>
      <c r="D114" s="25" t="s">
        <v>527</v>
      </c>
      <c r="E114" s="27" t="s">
        <v>537</v>
      </c>
      <c r="F114" s="25" t="s">
        <v>538</v>
      </c>
      <c r="G114" s="28" t="s">
        <v>291</v>
      </c>
      <c r="H114" s="28" t="s">
        <v>291</v>
      </c>
      <c r="I114" s="29"/>
      <c r="J114" s="30">
        <v>46023</v>
      </c>
      <c r="K114" s="31"/>
      <c r="L114" s="30">
        <v>46023</v>
      </c>
      <c r="M114" s="32" t="s">
        <v>292</v>
      </c>
      <c r="N114" s="33" t="s">
        <v>293</v>
      </c>
      <c r="O114" s="34" t="s">
        <v>294</v>
      </c>
    </row>
    <row r="115" spans="1:15" ht="15" customHeight="1" x14ac:dyDescent="0.3">
      <c r="A115" s="25" t="s">
        <v>285</v>
      </c>
      <c r="B115" s="35" t="s">
        <v>286</v>
      </c>
      <c r="C115" s="35" t="s">
        <v>526</v>
      </c>
      <c r="D115" s="25" t="s">
        <v>527</v>
      </c>
      <c r="E115" s="36" t="s">
        <v>539</v>
      </c>
      <c r="F115" s="25" t="s">
        <v>540</v>
      </c>
      <c r="G115" s="28" t="s">
        <v>291</v>
      </c>
      <c r="H115" s="28" t="s">
        <v>291</v>
      </c>
      <c r="I115" s="37"/>
      <c r="J115" s="38">
        <v>46023</v>
      </c>
      <c r="K115" s="39"/>
      <c r="L115" s="38">
        <v>46023</v>
      </c>
      <c r="M115" s="40" t="s">
        <v>292</v>
      </c>
      <c r="N115" s="41" t="s">
        <v>293</v>
      </c>
      <c r="O115" s="42" t="s">
        <v>294</v>
      </c>
    </row>
    <row r="116" spans="1:15" ht="15" customHeight="1" x14ac:dyDescent="0.3">
      <c r="A116" s="25" t="s">
        <v>285</v>
      </c>
      <c r="B116" s="26" t="s">
        <v>286</v>
      </c>
      <c r="C116" s="26" t="s">
        <v>526</v>
      </c>
      <c r="D116" s="25" t="s">
        <v>527</v>
      </c>
      <c r="E116" s="27" t="s">
        <v>541</v>
      </c>
      <c r="F116" s="25" t="s">
        <v>542</v>
      </c>
      <c r="G116" s="28" t="s">
        <v>291</v>
      </c>
      <c r="H116" s="28" t="s">
        <v>291</v>
      </c>
      <c r="I116" s="29"/>
      <c r="J116" s="30">
        <v>46023</v>
      </c>
      <c r="K116" s="31"/>
      <c r="L116" s="30">
        <v>46023</v>
      </c>
      <c r="M116" s="32" t="s">
        <v>292</v>
      </c>
      <c r="N116" s="33" t="s">
        <v>293</v>
      </c>
      <c r="O116" s="34" t="s">
        <v>294</v>
      </c>
    </row>
    <row r="117" spans="1:15" ht="15" customHeight="1" x14ac:dyDescent="0.3">
      <c r="A117" s="25" t="s">
        <v>285</v>
      </c>
      <c r="B117" s="47" t="s">
        <v>286</v>
      </c>
      <c r="C117" s="47" t="s">
        <v>543</v>
      </c>
      <c r="D117" s="25" t="s">
        <v>544</v>
      </c>
      <c r="E117" s="48" t="s">
        <v>545</v>
      </c>
      <c r="F117" s="25" t="s">
        <v>546</v>
      </c>
      <c r="G117" s="45" t="s">
        <v>314</v>
      </c>
      <c r="H117" s="49" t="s">
        <v>314</v>
      </c>
      <c r="I117" s="50" t="s">
        <v>394</v>
      </c>
      <c r="J117" s="38">
        <v>46023</v>
      </c>
      <c r="K117" s="39"/>
      <c r="L117" s="38">
        <v>46023</v>
      </c>
      <c r="M117" s="40" t="s">
        <v>292</v>
      </c>
      <c r="N117" s="41" t="s">
        <v>293</v>
      </c>
      <c r="O117" s="42" t="s">
        <v>294</v>
      </c>
    </row>
    <row r="118" spans="1:15" ht="15" customHeight="1" x14ac:dyDescent="0.3">
      <c r="A118" s="25" t="s">
        <v>285</v>
      </c>
      <c r="B118" s="47" t="s">
        <v>286</v>
      </c>
      <c r="C118" s="47" t="s">
        <v>543</v>
      </c>
      <c r="D118" s="25" t="s">
        <v>544</v>
      </c>
      <c r="E118" s="48" t="s">
        <v>547</v>
      </c>
      <c r="F118" s="25" t="s">
        <v>548</v>
      </c>
      <c r="G118" s="45" t="s">
        <v>314</v>
      </c>
      <c r="H118" s="49" t="s">
        <v>314</v>
      </c>
      <c r="I118" s="50" t="s">
        <v>394</v>
      </c>
      <c r="J118" s="30">
        <v>46023</v>
      </c>
      <c r="K118" s="31"/>
      <c r="L118" s="30">
        <v>46023</v>
      </c>
      <c r="M118" s="32" t="s">
        <v>292</v>
      </c>
      <c r="N118" s="33" t="s">
        <v>293</v>
      </c>
      <c r="O118" s="34" t="s">
        <v>294</v>
      </c>
    </row>
    <row r="119" spans="1:15" ht="15" customHeight="1" x14ac:dyDescent="0.3">
      <c r="A119" s="25" t="s">
        <v>285</v>
      </c>
      <c r="B119" s="47" t="s">
        <v>286</v>
      </c>
      <c r="C119" s="47" t="s">
        <v>543</v>
      </c>
      <c r="D119" s="25" t="s">
        <v>544</v>
      </c>
      <c r="E119" s="48" t="s">
        <v>549</v>
      </c>
      <c r="F119" s="25" t="s">
        <v>550</v>
      </c>
      <c r="G119" s="45" t="s">
        <v>314</v>
      </c>
      <c r="H119" s="49" t="s">
        <v>314</v>
      </c>
      <c r="I119" s="50" t="s">
        <v>394</v>
      </c>
      <c r="J119" s="38">
        <v>46023</v>
      </c>
      <c r="K119" s="39"/>
      <c r="L119" s="38">
        <v>46023</v>
      </c>
      <c r="M119" s="40" t="s">
        <v>292</v>
      </c>
      <c r="N119" s="41" t="s">
        <v>293</v>
      </c>
      <c r="O119" s="42" t="s">
        <v>294</v>
      </c>
    </row>
    <row r="120" spans="1:15" ht="15" customHeight="1" x14ac:dyDescent="0.3">
      <c r="A120" s="25" t="s">
        <v>285</v>
      </c>
      <c r="B120" s="47" t="s">
        <v>286</v>
      </c>
      <c r="C120" s="47" t="s">
        <v>543</v>
      </c>
      <c r="D120" s="25" t="s">
        <v>544</v>
      </c>
      <c r="E120" s="48" t="s">
        <v>551</v>
      </c>
      <c r="F120" s="25" t="s">
        <v>552</v>
      </c>
      <c r="G120" s="45" t="s">
        <v>314</v>
      </c>
      <c r="H120" s="49" t="s">
        <v>314</v>
      </c>
      <c r="I120" s="50" t="s">
        <v>394</v>
      </c>
      <c r="J120" s="30">
        <v>46023</v>
      </c>
      <c r="K120" s="31"/>
      <c r="L120" s="30">
        <v>46023</v>
      </c>
      <c r="M120" s="32" t="s">
        <v>292</v>
      </c>
      <c r="N120" s="33" t="s">
        <v>293</v>
      </c>
      <c r="O120" s="34" t="s">
        <v>294</v>
      </c>
    </row>
    <row r="121" spans="1:15" ht="15" customHeight="1" x14ac:dyDescent="0.3">
      <c r="A121" s="25" t="s">
        <v>285</v>
      </c>
      <c r="B121" s="35" t="s">
        <v>286</v>
      </c>
      <c r="C121" s="35" t="s">
        <v>553</v>
      </c>
      <c r="D121" s="25" t="s">
        <v>554</v>
      </c>
      <c r="E121" s="36" t="s">
        <v>555</v>
      </c>
      <c r="F121" s="25" t="s">
        <v>556</v>
      </c>
      <c r="G121" s="28" t="s">
        <v>291</v>
      </c>
      <c r="H121" s="28" t="s">
        <v>291</v>
      </c>
      <c r="I121" s="37"/>
      <c r="J121" s="38">
        <v>46023</v>
      </c>
      <c r="K121" s="39"/>
      <c r="L121" s="38">
        <v>46023</v>
      </c>
      <c r="M121" s="40" t="s">
        <v>292</v>
      </c>
      <c r="N121" s="41" t="s">
        <v>293</v>
      </c>
      <c r="O121" s="42" t="s">
        <v>294</v>
      </c>
    </row>
    <row r="122" spans="1:15" ht="15" customHeight="1" x14ac:dyDescent="0.3">
      <c r="A122" s="25" t="s">
        <v>285</v>
      </c>
      <c r="B122" s="26" t="s">
        <v>286</v>
      </c>
      <c r="C122" s="26" t="s">
        <v>553</v>
      </c>
      <c r="D122" s="25" t="s">
        <v>554</v>
      </c>
      <c r="E122" s="27" t="s">
        <v>557</v>
      </c>
      <c r="F122" s="25" t="s">
        <v>558</v>
      </c>
      <c r="G122" s="28" t="s">
        <v>291</v>
      </c>
      <c r="H122" s="28" t="s">
        <v>291</v>
      </c>
      <c r="I122" s="29"/>
      <c r="J122" s="30">
        <v>46023</v>
      </c>
      <c r="K122" s="31"/>
      <c r="L122" s="30">
        <v>46023</v>
      </c>
      <c r="M122" s="32" t="s">
        <v>292</v>
      </c>
      <c r="N122" s="33" t="s">
        <v>293</v>
      </c>
      <c r="O122" s="34" t="s">
        <v>294</v>
      </c>
    </row>
    <row r="123" spans="1:15" ht="15" customHeight="1" x14ac:dyDescent="0.3">
      <c r="A123" s="25" t="s">
        <v>285</v>
      </c>
      <c r="B123" s="35" t="s">
        <v>286</v>
      </c>
      <c r="C123" s="35" t="s">
        <v>553</v>
      </c>
      <c r="D123" s="25" t="s">
        <v>554</v>
      </c>
      <c r="E123" s="36" t="s">
        <v>559</v>
      </c>
      <c r="F123" s="25" t="s">
        <v>560</v>
      </c>
      <c r="G123" s="28" t="s">
        <v>291</v>
      </c>
      <c r="H123" s="28" t="s">
        <v>291</v>
      </c>
      <c r="I123" s="37"/>
      <c r="J123" s="38">
        <v>46023</v>
      </c>
      <c r="K123" s="39"/>
      <c r="L123" s="38">
        <v>46023</v>
      </c>
      <c r="M123" s="40" t="s">
        <v>292</v>
      </c>
      <c r="N123" s="41" t="s">
        <v>293</v>
      </c>
      <c r="O123" s="42" t="s">
        <v>294</v>
      </c>
    </row>
    <row r="124" spans="1:15" ht="15" customHeight="1" x14ac:dyDescent="0.3">
      <c r="A124" s="25" t="s">
        <v>285</v>
      </c>
      <c r="B124" s="26" t="s">
        <v>286</v>
      </c>
      <c r="C124" s="26" t="s">
        <v>553</v>
      </c>
      <c r="D124" s="25" t="s">
        <v>554</v>
      </c>
      <c r="E124" s="27" t="s">
        <v>561</v>
      </c>
      <c r="F124" s="25" t="s">
        <v>562</v>
      </c>
      <c r="G124" s="28" t="s">
        <v>291</v>
      </c>
      <c r="H124" s="28" t="s">
        <v>291</v>
      </c>
      <c r="I124" s="29"/>
      <c r="J124" s="30">
        <v>46023</v>
      </c>
      <c r="K124" s="31"/>
      <c r="L124" s="30">
        <v>46023</v>
      </c>
      <c r="M124" s="32" t="s">
        <v>292</v>
      </c>
      <c r="N124" s="33" t="s">
        <v>293</v>
      </c>
      <c r="O124" s="34" t="s">
        <v>294</v>
      </c>
    </row>
    <row r="125" spans="1:15" ht="15" customHeight="1" x14ac:dyDescent="0.3">
      <c r="A125" s="25" t="s">
        <v>285</v>
      </c>
      <c r="B125" s="35" t="s">
        <v>286</v>
      </c>
      <c r="C125" s="35" t="s">
        <v>553</v>
      </c>
      <c r="D125" s="25" t="s">
        <v>554</v>
      </c>
      <c r="E125" s="36" t="s">
        <v>563</v>
      </c>
      <c r="F125" s="25" t="s">
        <v>564</v>
      </c>
      <c r="G125" s="28" t="s">
        <v>291</v>
      </c>
      <c r="H125" s="28" t="s">
        <v>291</v>
      </c>
      <c r="I125" s="37"/>
      <c r="J125" s="38">
        <v>46023</v>
      </c>
      <c r="K125" s="39"/>
      <c r="L125" s="38">
        <v>46023</v>
      </c>
      <c r="M125" s="40" t="s">
        <v>292</v>
      </c>
      <c r="N125" s="41" t="s">
        <v>293</v>
      </c>
      <c r="O125" s="42" t="s">
        <v>294</v>
      </c>
    </row>
    <row r="126" spans="1:15" ht="15" customHeight="1" x14ac:dyDescent="0.3">
      <c r="A126" s="25" t="s">
        <v>285</v>
      </c>
      <c r="B126" s="26" t="s">
        <v>286</v>
      </c>
      <c r="C126" s="26" t="s">
        <v>553</v>
      </c>
      <c r="D126" s="25" t="s">
        <v>554</v>
      </c>
      <c r="E126" s="27" t="s">
        <v>565</v>
      </c>
      <c r="F126" s="25" t="s">
        <v>566</v>
      </c>
      <c r="G126" s="28" t="s">
        <v>291</v>
      </c>
      <c r="H126" s="28" t="s">
        <v>291</v>
      </c>
      <c r="I126" s="29"/>
      <c r="J126" s="30">
        <v>46023</v>
      </c>
      <c r="K126" s="31"/>
      <c r="L126" s="30">
        <v>46023</v>
      </c>
      <c r="M126" s="32" t="s">
        <v>292</v>
      </c>
      <c r="N126" s="33" t="s">
        <v>293</v>
      </c>
      <c r="O126" s="34" t="s">
        <v>294</v>
      </c>
    </row>
    <row r="127" spans="1:15" ht="15" customHeight="1" x14ac:dyDescent="0.3">
      <c r="A127" s="25" t="s">
        <v>285</v>
      </c>
      <c r="B127" s="35" t="s">
        <v>286</v>
      </c>
      <c r="C127" s="35" t="s">
        <v>553</v>
      </c>
      <c r="D127" s="25" t="s">
        <v>554</v>
      </c>
      <c r="E127" s="36" t="s">
        <v>567</v>
      </c>
      <c r="F127" s="25" t="s">
        <v>554</v>
      </c>
      <c r="G127" s="28" t="s">
        <v>291</v>
      </c>
      <c r="H127" s="28" t="s">
        <v>291</v>
      </c>
      <c r="I127" s="37"/>
      <c r="J127" s="38">
        <v>46023</v>
      </c>
      <c r="K127" s="39"/>
      <c r="L127" s="38">
        <v>46023</v>
      </c>
      <c r="M127" s="40" t="s">
        <v>292</v>
      </c>
      <c r="N127" s="41" t="s">
        <v>293</v>
      </c>
      <c r="O127" s="42" t="s">
        <v>294</v>
      </c>
    </row>
    <row r="128" spans="1:15" ht="15" customHeight="1" x14ac:dyDescent="0.3">
      <c r="A128" s="25" t="s">
        <v>285</v>
      </c>
      <c r="B128" s="26" t="s">
        <v>286</v>
      </c>
      <c r="C128" s="26" t="s">
        <v>553</v>
      </c>
      <c r="D128" s="25" t="s">
        <v>554</v>
      </c>
      <c r="E128" s="27" t="s">
        <v>568</v>
      </c>
      <c r="F128" s="25" t="s">
        <v>569</v>
      </c>
      <c r="G128" s="28" t="s">
        <v>291</v>
      </c>
      <c r="H128" s="28" t="s">
        <v>291</v>
      </c>
      <c r="I128" s="29"/>
      <c r="J128" s="30">
        <v>46023</v>
      </c>
      <c r="K128" s="31"/>
      <c r="L128" s="30">
        <v>46023</v>
      </c>
      <c r="M128" s="32" t="s">
        <v>292</v>
      </c>
      <c r="N128" s="33" t="s">
        <v>293</v>
      </c>
      <c r="O128" s="34" t="s">
        <v>294</v>
      </c>
    </row>
    <row r="129" spans="1:15" ht="15" customHeight="1" x14ac:dyDescent="0.3">
      <c r="A129" s="25" t="s">
        <v>285</v>
      </c>
      <c r="B129" s="35" t="s">
        <v>286</v>
      </c>
      <c r="C129" s="35" t="s">
        <v>553</v>
      </c>
      <c r="D129" s="25" t="s">
        <v>554</v>
      </c>
      <c r="E129" s="36" t="s">
        <v>570</v>
      </c>
      <c r="F129" s="25" t="s">
        <v>571</v>
      </c>
      <c r="G129" s="28" t="s">
        <v>291</v>
      </c>
      <c r="H129" s="28" t="s">
        <v>291</v>
      </c>
      <c r="I129" s="37"/>
      <c r="J129" s="38">
        <v>46023</v>
      </c>
      <c r="K129" s="39"/>
      <c r="L129" s="38">
        <v>46023</v>
      </c>
      <c r="M129" s="40" t="s">
        <v>292</v>
      </c>
      <c r="N129" s="41" t="s">
        <v>293</v>
      </c>
      <c r="O129" s="42" t="s">
        <v>294</v>
      </c>
    </row>
    <row r="130" spans="1:15" ht="15" customHeight="1" x14ac:dyDescent="0.3">
      <c r="A130" s="25" t="s">
        <v>285</v>
      </c>
      <c r="B130" s="26" t="s">
        <v>286</v>
      </c>
      <c r="C130" s="26" t="s">
        <v>553</v>
      </c>
      <c r="D130" s="25" t="s">
        <v>554</v>
      </c>
      <c r="E130" s="27" t="s">
        <v>572</v>
      </c>
      <c r="F130" s="25" t="s">
        <v>573</v>
      </c>
      <c r="G130" s="28" t="s">
        <v>291</v>
      </c>
      <c r="H130" s="28" t="s">
        <v>291</v>
      </c>
      <c r="I130" s="29"/>
      <c r="J130" s="30">
        <v>46023</v>
      </c>
      <c r="K130" s="31"/>
      <c r="L130" s="30">
        <v>46023</v>
      </c>
      <c r="M130" s="32" t="s">
        <v>292</v>
      </c>
      <c r="N130" s="33" t="s">
        <v>293</v>
      </c>
      <c r="O130" s="34" t="s">
        <v>294</v>
      </c>
    </row>
    <row r="131" spans="1:15" ht="15" customHeight="1" x14ac:dyDescent="0.3">
      <c r="A131" s="25" t="s">
        <v>285</v>
      </c>
      <c r="B131" s="47" t="s">
        <v>286</v>
      </c>
      <c r="C131" s="47" t="s">
        <v>574</v>
      </c>
      <c r="D131" s="25" t="s">
        <v>575</v>
      </c>
      <c r="E131" s="48" t="s">
        <v>576</v>
      </c>
      <c r="F131" s="25" t="s">
        <v>577</v>
      </c>
      <c r="G131" s="45" t="s">
        <v>314</v>
      </c>
      <c r="H131" s="49" t="s">
        <v>314</v>
      </c>
      <c r="I131" s="50" t="s">
        <v>394</v>
      </c>
      <c r="J131" s="38">
        <v>46023</v>
      </c>
      <c r="K131" s="39"/>
      <c r="L131" s="38">
        <v>46023</v>
      </c>
      <c r="M131" s="40" t="s">
        <v>292</v>
      </c>
      <c r="N131" s="41" t="s">
        <v>293</v>
      </c>
      <c r="O131" s="42" t="s">
        <v>294</v>
      </c>
    </row>
    <row r="132" spans="1:15" ht="15" customHeight="1" x14ac:dyDescent="0.3">
      <c r="A132" s="25" t="s">
        <v>285</v>
      </c>
      <c r="B132" s="47" t="s">
        <v>286</v>
      </c>
      <c r="C132" s="47" t="s">
        <v>574</v>
      </c>
      <c r="D132" s="25" t="s">
        <v>575</v>
      </c>
      <c r="E132" s="48" t="s">
        <v>578</v>
      </c>
      <c r="F132" s="25" t="s">
        <v>579</v>
      </c>
      <c r="G132" s="45" t="s">
        <v>314</v>
      </c>
      <c r="H132" s="49" t="s">
        <v>314</v>
      </c>
      <c r="I132" s="50" t="s">
        <v>394</v>
      </c>
      <c r="J132" s="30">
        <v>46023</v>
      </c>
      <c r="K132" s="31"/>
      <c r="L132" s="30">
        <v>46023</v>
      </c>
      <c r="M132" s="32" t="s">
        <v>292</v>
      </c>
      <c r="N132" s="33" t="s">
        <v>293</v>
      </c>
      <c r="O132" s="34" t="s">
        <v>294</v>
      </c>
    </row>
    <row r="133" spans="1:15" ht="15" customHeight="1" x14ac:dyDescent="0.3">
      <c r="A133" s="25" t="s">
        <v>285</v>
      </c>
      <c r="B133" s="47" t="s">
        <v>286</v>
      </c>
      <c r="C133" s="47" t="s">
        <v>574</v>
      </c>
      <c r="D133" s="25" t="s">
        <v>575</v>
      </c>
      <c r="E133" s="48" t="s">
        <v>580</v>
      </c>
      <c r="F133" s="25" t="s">
        <v>581</v>
      </c>
      <c r="G133" s="45" t="s">
        <v>314</v>
      </c>
      <c r="H133" s="49" t="s">
        <v>314</v>
      </c>
      <c r="I133" s="50" t="s">
        <v>394</v>
      </c>
      <c r="J133" s="38">
        <v>46023</v>
      </c>
      <c r="K133" s="39"/>
      <c r="L133" s="38">
        <v>46023</v>
      </c>
      <c r="M133" s="40" t="s">
        <v>292</v>
      </c>
      <c r="N133" s="41" t="s">
        <v>293</v>
      </c>
      <c r="O133" s="42" t="s">
        <v>294</v>
      </c>
    </row>
    <row r="134" spans="1:15" ht="15" customHeight="1" x14ac:dyDescent="0.3">
      <c r="A134" s="25" t="s">
        <v>285</v>
      </c>
      <c r="B134" s="47" t="s">
        <v>286</v>
      </c>
      <c r="C134" s="47" t="s">
        <v>574</v>
      </c>
      <c r="D134" s="25" t="s">
        <v>575</v>
      </c>
      <c r="E134" s="48" t="s">
        <v>582</v>
      </c>
      <c r="F134" s="25" t="s">
        <v>583</v>
      </c>
      <c r="G134" s="45" t="s">
        <v>314</v>
      </c>
      <c r="H134" s="49" t="s">
        <v>314</v>
      </c>
      <c r="I134" s="50" t="s">
        <v>394</v>
      </c>
      <c r="J134" s="30">
        <v>46023</v>
      </c>
      <c r="K134" s="31"/>
      <c r="L134" s="30">
        <v>46023</v>
      </c>
      <c r="M134" s="32" t="s">
        <v>292</v>
      </c>
      <c r="N134" s="33" t="s">
        <v>293</v>
      </c>
      <c r="O134" s="34" t="s">
        <v>294</v>
      </c>
    </row>
    <row r="135" spans="1:15" ht="15" customHeight="1" x14ac:dyDescent="0.3">
      <c r="A135" s="25" t="s">
        <v>285</v>
      </c>
      <c r="B135" s="47" t="s">
        <v>286</v>
      </c>
      <c r="C135" s="47" t="s">
        <v>574</v>
      </c>
      <c r="D135" s="25" t="s">
        <v>575</v>
      </c>
      <c r="E135" s="48" t="s">
        <v>584</v>
      </c>
      <c r="F135" s="25" t="s">
        <v>585</v>
      </c>
      <c r="G135" s="45" t="s">
        <v>314</v>
      </c>
      <c r="H135" s="49" t="s">
        <v>314</v>
      </c>
      <c r="I135" s="50" t="s">
        <v>394</v>
      </c>
      <c r="J135" s="38">
        <v>46023</v>
      </c>
      <c r="K135" s="39"/>
      <c r="L135" s="38">
        <v>46023</v>
      </c>
      <c r="M135" s="40" t="s">
        <v>292</v>
      </c>
      <c r="N135" s="41" t="s">
        <v>293</v>
      </c>
      <c r="O135" s="42" t="s">
        <v>294</v>
      </c>
    </row>
    <row r="136" spans="1:15" ht="15" customHeight="1" x14ac:dyDescent="0.3">
      <c r="A136" s="25" t="s">
        <v>285</v>
      </c>
      <c r="B136" s="47" t="s">
        <v>286</v>
      </c>
      <c r="C136" s="47" t="s">
        <v>586</v>
      </c>
      <c r="D136" s="25" t="s">
        <v>587</v>
      </c>
      <c r="E136" s="48" t="s">
        <v>588</v>
      </c>
      <c r="F136" s="25" t="s">
        <v>589</v>
      </c>
      <c r="G136" s="45" t="s">
        <v>314</v>
      </c>
      <c r="H136" s="49" t="s">
        <v>314</v>
      </c>
      <c r="I136" s="50" t="s">
        <v>394</v>
      </c>
      <c r="J136" s="30">
        <v>46023</v>
      </c>
      <c r="K136" s="31"/>
      <c r="L136" s="30">
        <v>46023</v>
      </c>
      <c r="M136" s="32" t="s">
        <v>292</v>
      </c>
      <c r="N136" s="33" t="s">
        <v>293</v>
      </c>
      <c r="O136" s="34" t="s">
        <v>294</v>
      </c>
    </row>
    <row r="137" spans="1:15" ht="15" customHeight="1" x14ac:dyDescent="0.3">
      <c r="A137" s="25" t="s">
        <v>285</v>
      </c>
      <c r="B137" s="47" t="s">
        <v>286</v>
      </c>
      <c r="C137" s="47" t="s">
        <v>586</v>
      </c>
      <c r="D137" s="25" t="s">
        <v>587</v>
      </c>
      <c r="E137" s="48" t="s">
        <v>590</v>
      </c>
      <c r="F137" s="25" t="s">
        <v>591</v>
      </c>
      <c r="G137" s="45" t="s">
        <v>314</v>
      </c>
      <c r="H137" s="49" t="s">
        <v>314</v>
      </c>
      <c r="I137" s="50" t="s">
        <v>394</v>
      </c>
      <c r="J137" s="38">
        <v>46023</v>
      </c>
      <c r="K137" s="39"/>
      <c r="L137" s="38">
        <v>46023</v>
      </c>
      <c r="M137" s="40" t="s">
        <v>292</v>
      </c>
      <c r="N137" s="41" t="s">
        <v>293</v>
      </c>
      <c r="O137" s="42" t="s">
        <v>294</v>
      </c>
    </row>
    <row r="138" spans="1:15" ht="15" customHeight="1" x14ac:dyDescent="0.3">
      <c r="A138" s="25" t="s">
        <v>285</v>
      </c>
      <c r="B138" s="47" t="s">
        <v>286</v>
      </c>
      <c r="C138" s="47" t="s">
        <v>586</v>
      </c>
      <c r="D138" s="25" t="s">
        <v>587</v>
      </c>
      <c r="E138" s="48" t="s">
        <v>592</v>
      </c>
      <c r="F138" s="25" t="s">
        <v>593</v>
      </c>
      <c r="G138" s="45" t="s">
        <v>314</v>
      </c>
      <c r="H138" s="49" t="s">
        <v>314</v>
      </c>
      <c r="I138" s="50" t="s">
        <v>394</v>
      </c>
      <c r="J138" s="30">
        <v>46023</v>
      </c>
      <c r="K138" s="31"/>
      <c r="L138" s="30">
        <v>46023</v>
      </c>
      <c r="M138" s="32" t="s">
        <v>292</v>
      </c>
      <c r="N138" s="33" t="s">
        <v>293</v>
      </c>
      <c r="O138" s="34" t="s">
        <v>294</v>
      </c>
    </row>
    <row r="139" spans="1:15" ht="15" customHeight="1" x14ac:dyDescent="0.3">
      <c r="A139" s="25" t="s">
        <v>285</v>
      </c>
      <c r="B139" s="47" t="s">
        <v>286</v>
      </c>
      <c r="C139" s="47" t="s">
        <v>586</v>
      </c>
      <c r="D139" s="25" t="s">
        <v>587</v>
      </c>
      <c r="E139" s="48" t="s">
        <v>594</v>
      </c>
      <c r="F139" s="25" t="s">
        <v>595</v>
      </c>
      <c r="G139" s="45" t="s">
        <v>314</v>
      </c>
      <c r="H139" s="49" t="s">
        <v>314</v>
      </c>
      <c r="I139" s="50" t="s">
        <v>394</v>
      </c>
      <c r="J139" s="38">
        <v>46023</v>
      </c>
      <c r="K139" s="39"/>
      <c r="L139" s="38">
        <v>46023</v>
      </c>
      <c r="M139" s="40" t="s">
        <v>292</v>
      </c>
      <c r="N139" s="41" t="s">
        <v>293</v>
      </c>
      <c r="O139" s="42" t="s">
        <v>294</v>
      </c>
    </row>
    <row r="140" spans="1:15" ht="15" customHeight="1" x14ac:dyDescent="0.3">
      <c r="A140" s="25" t="s">
        <v>285</v>
      </c>
      <c r="B140" s="47" t="s">
        <v>286</v>
      </c>
      <c r="C140" s="47" t="s">
        <v>586</v>
      </c>
      <c r="D140" s="25" t="s">
        <v>587</v>
      </c>
      <c r="E140" s="48" t="s">
        <v>596</v>
      </c>
      <c r="F140" s="25" t="s">
        <v>597</v>
      </c>
      <c r="G140" s="45" t="s">
        <v>314</v>
      </c>
      <c r="H140" s="49" t="s">
        <v>314</v>
      </c>
      <c r="I140" s="50" t="s">
        <v>394</v>
      </c>
      <c r="J140" s="30">
        <v>46023</v>
      </c>
      <c r="K140" s="31"/>
      <c r="L140" s="30">
        <v>46023</v>
      </c>
      <c r="M140" s="32" t="s">
        <v>292</v>
      </c>
      <c r="N140" s="33" t="s">
        <v>293</v>
      </c>
      <c r="O140" s="34" t="s">
        <v>294</v>
      </c>
    </row>
    <row r="141" spans="1:15" ht="15" customHeight="1" x14ac:dyDescent="0.3">
      <c r="A141" s="25" t="s">
        <v>598</v>
      </c>
      <c r="B141" s="54" t="s">
        <v>599</v>
      </c>
      <c r="C141" s="54" t="s">
        <v>600</v>
      </c>
      <c r="D141" s="25" t="s">
        <v>601</v>
      </c>
      <c r="E141" s="55" t="s">
        <v>602</v>
      </c>
      <c r="F141" s="25" t="s">
        <v>603</v>
      </c>
      <c r="G141" s="28" t="s">
        <v>291</v>
      </c>
      <c r="H141" s="28" t="s">
        <v>291</v>
      </c>
      <c r="I141" s="56" t="s">
        <v>604</v>
      </c>
      <c r="J141" s="38">
        <v>46023</v>
      </c>
      <c r="K141" s="39"/>
      <c r="L141" s="38">
        <v>46023</v>
      </c>
      <c r="M141" s="40" t="s">
        <v>292</v>
      </c>
      <c r="N141" s="41" t="s">
        <v>293</v>
      </c>
      <c r="O141" s="42" t="s">
        <v>294</v>
      </c>
    </row>
    <row r="142" spans="1:15" ht="15" customHeight="1" x14ac:dyDescent="0.3">
      <c r="A142" s="25" t="s">
        <v>598</v>
      </c>
      <c r="B142" s="54" t="s">
        <v>599</v>
      </c>
      <c r="C142" s="54" t="s">
        <v>605</v>
      </c>
      <c r="D142" s="25" t="s">
        <v>606</v>
      </c>
      <c r="E142" s="55" t="s">
        <v>607</v>
      </c>
      <c r="F142" s="25" t="s">
        <v>608</v>
      </c>
      <c r="G142" s="28" t="s">
        <v>291</v>
      </c>
      <c r="H142" s="28" t="s">
        <v>291</v>
      </c>
      <c r="I142" s="56" t="s">
        <v>604</v>
      </c>
      <c r="J142" s="30">
        <v>46023</v>
      </c>
      <c r="K142" s="31"/>
      <c r="L142" s="30">
        <v>46023</v>
      </c>
      <c r="M142" s="32" t="s">
        <v>292</v>
      </c>
      <c r="N142" s="33" t="s">
        <v>293</v>
      </c>
      <c r="O142" s="34" t="s">
        <v>294</v>
      </c>
    </row>
    <row r="143" spans="1:15" ht="15" customHeight="1" x14ac:dyDescent="0.3">
      <c r="A143" s="25" t="s">
        <v>598</v>
      </c>
      <c r="B143" s="54" t="s">
        <v>599</v>
      </c>
      <c r="C143" s="54" t="s">
        <v>609</v>
      </c>
      <c r="D143" s="25" t="s">
        <v>610</v>
      </c>
      <c r="E143" s="55" t="s">
        <v>611</v>
      </c>
      <c r="F143" s="25" t="s">
        <v>612</v>
      </c>
      <c r="G143" s="28" t="s">
        <v>291</v>
      </c>
      <c r="H143" s="28" t="s">
        <v>291</v>
      </c>
      <c r="I143" s="56" t="s">
        <v>604</v>
      </c>
      <c r="J143" s="38">
        <v>46023</v>
      </c>
      <c r="K143" s="39"/>
      <c r="L143" s="38">
        <v>46023</v>
      </c>
      <c r="M143" s="40" t="s">
        <v>292</v>
      </c>
      <c r="N143" s="41" t="s">
        <v>293</v>
      </c>
      <c r="O143" s="42" t="s">
        <v>294</v>
      </c>
    </row>
    <row r="144" spans="1:15" ht="15" customHeight="1" x14ac:dyDescent="0.3">
      <c r="A144" s="25" t="s">
        <v>598</v>
      </c>
      <c r="B144" s="54" t="s">
        <v>599</v>
      </c>
      <c r="C144" s="54" t="s">
        <v>613</v>
      </c>
      <c r="D144" s="25" t="s">
        <v>614</v>
      </c>
      <c r="E144" s="55" t="s">
        <v>615</v>
      </c>
      <c r="F144" s="25" t="s">
        <v>616</v>
      </c>
      <c r="G144" s="28" t="s">
        <v>291</v>
      </c>
      <c r="H144" s="28" t="s">
        <v>291</v>
      </c>
      <c r="I144" s="56" t="s">
        <v>604</v>
      </c>
      <c r="J144" s="30">
        <v>46023</v>
      </c>
      <c r="K144" s="31"/>
      <c r="L144" s="30">
        <v>46023</v>
      </c>
      <c r="M144" s="32" t="s">
        <v>292</v>
      </c>
      <c r="N144" s="33" t="s">
        <v>293</v>
      </c>
      <c r="O144" s="34" t="s">
        <v>294</v>
      </c>
    </row>
    <row r="145" spans="1:15" ht="15" customHeight="1" x14ac:dyDescent="0.3">
      <c r="A145" s="25" t="s">
        <v>598</v>
      </c>
      <c r="B145" s="54" t="s">
        <v>599</v>
      </c>
      <c r="C145" s="54" t="s">
        <v>617</v>
      </c>
      <c r="D145" s="25" t="s">
        <v>618</v>
      </c>
      <c r="E145" s="55" t="s">
        <v>619</v>
      </c>
      <c r="F145" s="25" t="s">
        <v>620</v>
      </c>
      <c r="G145" s="28" t="s">
        <v>291</v>
      </c>
      <c r="H145" s="28" t="s">
        <v>291</v>
      </c>
      <c r="I145" s="56" t="s">
        <v>604</v>
      </c>
      <c r="J145" s="38">
        <v>46023</v>
      </c>
      <c r="K145" s="39"/>
      <c r="L145" s="38">
        <v>46023</v>
      </c>
      <c r="M145" s="40" t="s">
        <v>292</v>
      </c>
      <c r="N145" s="41" t="s">
        <v>293</v>
      </c>
      <c r="O145" s="42" t="s">
        <v>294</v>
      </c>
    </row>
    <row r="146" spans="1:15" ht="15" customHeight="1" x14ac:dyDescent="0.3">
      <c r="A146" s="25" t="s">
        <v>598</v>
      </c>
      <c r="B146" s="54" t="s">
        <v>599</v>
      </c>
      <c r="C146" s="54" t="s">
        <v>621</v>
      </c>
      <c r="D146" s="25" t="s">
        <v>622</v>
      </c>
      <c r="E146" s="55" t="s">
        <v>623</v>
      </c>
      <c r="F146" s="25" t="s">
        <v>624</v>
      </c>
      <c r="G146" s="28" t="s">
        <v>291</v>
      </c>
      <c r="H146" s="28" t="s">
        <v>291</v>
      </c>
      <c r="I146" s="56" t="s">
        <v>604</v>
      </c>
      <c r="J146" s="30">
        <v>46023</v>
      </c>
      <c r="K146" s="31"/>
      <c r="L146" s="30">
        <v>46023</v>
      </c>
      <c r="M146" s="32" t="s">
        <v>292</v>
      </c>
      <c r="N146" s="33" t="s">
        <v>293</v>
      </c>
      <c r="O146" s="34" t="s">
        <v>294</v>
      </c>
    </row>
    <row r="147" spans="1:15" ht="15" customHeight="1" x14ac:dyDescent="0.3">
      <c r="A147" s="25" t="s">
        <v>598</v>
      </c>
      <c r="B147" s="54" t="s">
        <v>599</v>
      </c>
      <c r="C147" s="54" t="s">
        <v>625</v>
      </c>
      <c r="D147" s="25" t="s">
        <v>626</v>
      </c>
      <c r="E147" s="55" t="s">
        <v>627</v>
      </c>
      <c r="F147" s="25" t="s">
        <v>628</v>
      </c>
      <c r="G147" s="28" t="s">
        <v>291</v>
      </c>
      <c r="H147" s="28" t="s">
        <v>291</v>
      </c>
      <c r="I147" s="56" t="s">
        <v>604</v>
      </c>
      <c r="J147" s="38">
        <v>46023</v>
      </c>
      <c r="K147" s="39"/>
      <c r="L147" s="38">
        <v>46023</v>
      </c>
      <c r="M147" s="40" t="s">
        <v>292</v>
      </c>
      <c r="N147" s="41" t="s">
        <v>293</v>
      </c>
      <c r="O147" s="42" t="s">
        <v>294</v>
      </c>
    </row>
    <row r="148" spans="1:15" ht="15" customHeight="1" x14ac:dyDescent="0.3">
      <c r="A148" s="25" t="s">
        <v>598</v>
      </c>
      <c r="B148" s="54" t="s">
        <v>599</v>
      </c>
      <c r="C148" s="54" t="s">
        <v>629</v>
      </c>
      <c r="D148" s="25" t="s">
        <v>630</v>
      </c>
      <c r="E148" s="55" t="s">
        <v>631</v>
      </c>
      <c r="F148" s="25" t="s">
        <v>632</v>
      </c>
      <c r="G148" s="28" t="s">
        <v>291</v>
      </c>
      <c r="H148" s="28" t="s">
        <v>291</v>
      </c>
      <c r="I148" s="56" t="s">
        <v>604</v>
      </c>
      <c r="J148" s="30">
        <v>46023</v>
      </c>
      <c r="K148" s="31"/>
      <c r="L148" s="30">
        <v>46023</v>
      </c>
      <c r="M148" s="32" t="s">
        <v>292</v>
      </c>
      <c r="N148" s="33" t="s">
        <v>293</v>
      </c>
      <c r="O148" s="34" t="s">
        <v>294</v>
      </c>
    </row>
    <row r="149" spans="1:15" ht="15" customHeight="1" x14ac:dyDescent="0.3">
      <c r="A149" s="25" t="s">
        <v>598</v>
      </c>
      <c r="B149" s="54" t="s">
        <v>599</v>
      </c>
      <c r="C149" s="54" t="s">
        <v>633</v>
      </c>
      <c r="D149" s="25" t="s">
        <v>634</v>
      </c>
      <c r="E149" s="55" t="s">
        <v>635</v>
      </c>
      <c r="F149" s="25" t="s">
        <v>636</v>
      </c>
      <c r="G149" s="28" t="s">
        <v>291</v>
      </c>
      <c r="H149" s="28" t="s">
        <v>291</v>
      </c>
      <c r="I149" s="56" t="s">
        <v>604</v>
      </c>
      <c r="J149" s="38">
        <v>46023</v>
      </c>
      <c r="K149" s="39"/>
      <c r="L149" s="38">
        <v>46023</v>
      </c>
      <c r="M149" s="40" t="s">
        <v>292</v>
      </c>
      <c r="N149" s="41" t="s">
        <v>293</v>
      </c>
      <c r="O149" s="42" t="s">
        <v>294</v>
      </c>
    </row>
    <row r="150" spans="1:15" ht="15" customHeight="1" x14ac:dyDescent="0.3">
      <c r="A150" s="25" t="s">
        <v>598</v>
      </c>
      <c r="B150" s="54" t="s">
        <v>599</v>
      </c>
      <c r="C150" s="54" t="s">
        <v>637</v>
      </c>
      <c r="D150" s="25" t="s">
        <v>638</v>
      </c>
      <c r="E150" s="55" t="s">
        <v>639</v>
      </c>
      <c r="F150" s="25" t="s">
        <v>640</v>
      </c>
      <c r="G150" s="28" t="s">
        <v>291</v>
      </c>
      <c r="H150" s="28" t="s">
        <v>291</v>
      </c>
      <c r="I150" s="56" t="s">
        <v>604</v>
      </c>
      <c r="J150" s="30">
        <v>46023</v>
      </c>
      <c r="K150" s="31"/>
      <c r="L150" s="30">
        <v>46023</v>
      </c>
      <c r="M150" s="32" t="s">
        <v>292</v>
      </c>
      <c r="N150" s="33" t="s">
        <v>293</v>
      </c>
      <c r="O150" s="34" t="s">
        <v>294</v>
      </c>
    </row>
    <row r="151" spans="1:15" ht="15" customHeight="1" x14ac:dyDescent="0.3">
      <c r="A151" s="25" t="s">
        <v>598</v>
      </c>
      <c r="B151" s="54" t="s">
        <v>599</v>
      </c>
      <c r="C151" s="54" t="s">
        <v>641</v>
      </c>
      <c r="D151" s="25" t="s">
        <v>642</v>
      </c>
      <c r="E151" s="55" t="s">
        <v>643</v>
      </c>
      <c r="F151" s="25" t="s">
        <v>644</v>
      </c>
      <c r="G151" s="28" t="s">
        <v>291</v>
      </c>
      <c r="H151" s="28" t="s">
        <v>291</v>
      </c>
      <c r="I151" s="56" t="s">
        <v>604</v>
      </c>
      <c r="J151" s="38">
        <v>46023</v>
      </c>
      <c r="K151" s="39"/>
      <c r="L151" s="38">
        <v>46023</v>
      </c>
      <c r="M151" s="40" t="s">
        <v>292</v>
      </c>
      <c r="N151" s="41" t="s">
        <v>293</v>
      </c>
      <c r="O151" s="42" t="s">
        <v>294</v>
      </c>
    </row>
    <row r="152" spans="1:15" ht="15" customHeight="1" x14ac:dyDescent="0.3">
      <c r="A152" s="25" t="s">
        <v>598</v>
      </c>
      <c r="B152" s="54" t="s">
        <v>599</v>
      </c>
      <c r="C152" s="54" t="s">
        <v>645</v>
      </c>
      <c r="D152" s="25" t="s">
        <v>646</v>
      </c>
      <c r="E152" s="55" t="s">
        <v>647</v>
      </c>
      <c r="F152" s="25" t="s">
        <v>648</v>
      </c>
      <c r="G152" s="28" t="s">
        <v>291</v>
      </c>
      <c r="H152" s="28" t="s">
        <v>291</v>
      </c>
      <c r="I152" s="56" t="s">
        <v>604</v>
      </c>
      <c r="J152" s="30">
        <v>46023</v>
      </c>
      <c r="K152" s="31"/>
      <c r="L152" s="30">
        <v>46023</v>
      </c>
      <c r="M152" s="32" t="s">
        <v>292</v>
      </c>
      <c r="N152" s="33" t="s">
        <v>293</v>
      </c>
      <c r="O152" s="34" t="s">
        <v>294</v>
      </c>
    </row>
    <row r="153" spans="1:15" ht="15" customHeight="1" x14ac:dyDescent="0.3">
      <c r="A153" s="25" t="s">
        <v>598</v>
      </c>
      <c r="B153" s="54" t="s">
        <v>599</v>
      </c>
      <c r="C153" s="54" t="s">
        <v>649</v>
      </c>
      <c r="D153" s="25" t="s">
        <v>650</v>
      </c>
      <c r="E153" s="55" t="s">
        <v>651</v>
      </c>
      <c r="F153" s="25" t="s">
        <v>652</v>
      </c>
      <c r="G153" s="28" t="s">
        <v>291</v>
      </c>
      <c r="H153" s="28" t="s">
        <v>291</v>
      </c>
      <c r="I153" s="56" t="s">
        <v>604</v>
      </c>
      <c r="J153" s="38">
        <v>46023</v>
      </c>
      <c r="K153" s="39"/>
      <c r="L153" s="38">
        <v>46023</v>
      </c>
      <c r="M153" s="40" t="s">
        <v>292</v>
      </c>
      <c r="N153" s="41" t="s">
        <v>293</v>
      </c>
      <c r="O153" s="42" t="s">
        <v>294</v>
      </c>
    </row>
    <row r="154" spans="1:15" ht="15" customHeight="1" x14ac:dyDescent="0.3">
      <c r="A154" s="25" t="s">
        <v>598</v>
      </c>
      <c r="B154" s="54" t="s">
        <v>599</v>
      </c>
      <c r="C154" s="54" t="s">
        <v>653</v>
      </c>
      <c r="D154" s="25" t="s">
        <v>654</v>
      </c>
      <c r="E154" s="55" t="s">
        <v>655</v>
      </c>
      <c r="F154" s="25" t="s">
        <v>656</v>
      </c>
      <c r="G154" s="28" t="s">
        <v>291</v>
      </c>
      <c r="H154" s="28" t="s">
        <v>291</v>
      </c>
      <c r="I154" s="56" t="s">
        <v>604</v>
      </c>
      <c r="J154" s="30">
        <v>46023</v>
      </c>
      <c r="K154" s="31"/>
      <c r="L154" s="30">
        <v>46023</v>
      </c>
      <c r="M154" s="32" t="s">
        <v>292</v>
      </c>
      <c r="N154" s="33" t="s">
        <v>293</v>
      </c>
      <c r="O154" s="34" t="s">
        <v>294</v>
      </c>
    </row>
    <row r="155" spans="1:15" ht="15" customHeight="1" x14ac:dyDescent="0.3">
      <c r="A155" s="25" t="s">
        <v>598</v>
      </c>
      <c r="B155" s="54" t="s">
        <v>599</v>
      </c>
      <c r="C155" s="54" t="s">
        <v>657</v>
      </c>
      <c r="D155" s="25" t="s">
        <v>658</v>
      </c>
      <c r="E155" s="55" t="s">
        <v>659</v>
      </c>
      <c r="F155" s="25" t="s">
        <v>660</v>
      </c>
      <c r="G155" s="28" t="s">
        <v>291</v>
      </c>
      <c r="H155" s="28" t="s">
        <v>291</v>
      </c>
      <c r="I155" s="56" t="s">
        <v>604</v>
      </c>
      <c r="J155" s="38">
        <v>46023</v>
      </c>
      <c r="K155" s="39"/>
      <c r="L155" s="38">
        <v>46023</v>
      </c>
      <c r="M155" s="40" t="s">
        <v>292</v>
      </c>
      <c r="N155" s="41" t="s">
        <v>293</v>
      </c>
      <c r="O155" s="42" t="s">
        <v>294</v>
      </c>
    </row>
    <row r="156" spans="1:15" ht="15" customHeight="1" x14ac:dyDescent="0.3">
      <c r="A156" s="25" t="s">
        <v>598</v>
      </c>
      <c r="B156" s="54" t="s">
        <v>599</v>
      </c>
      <c r="C156" s="54" t="s">
        <v>661</v>
      </c>
      <c r="D156" s="25" t="s">
        <v>662</v>
      </c>
      <c r="E156" s="55" t="s">
        <v>663</v>
      </c>
      <c r="F156" s="25" t="s">
        <v>664</v>
      </c>
      <c r="G156" s="28" t="s">
        <v>291</v>
      </c>
      <c r="H156" s="28" t="s">
        <v>291</v>
      </c>
      <c r="I156" s="56" t="s">
        <v>604</v>
      </c>
      <c r="J156" s="30">
        <v>46023</v>
      </c>
      <c r="K156" s="31"/>
      <c r="L156" s="30">
        <v>46023</v>
      </c>
      <c r="M156" s="32" t="s">
        <v>292</v>
      </c>
      <c r="N156" s="33" t="s">
        <v>293</v>
      </c>
      <c r="O156" s="34" t="s">
        <v>294</v>
      </c>
    </row>
    <row r="157" spans="1:15" ht="15" customHeight="1" x14ac:dyDescent="0.3">
      <c r="A157" s="25" t="s">
        <v>598</v>
      </c>
      <c r="B157" s="54" t="s">
        <v>599</v>
      </c>
      <c r="C157" s="54" t="s">
        <v>665</v>
      </c>
      <c r="D157" s="25" t="s">
        <v>666</v>
      </c>
      <c r="E157" s="55" t="s">
        <v>667</v>
      </c>
      <c r="F157" s="25" t="s">
        <v>668</v>
      </c>
      <c r="G157" s="28" t="s">
        <v>291</v>
      </c>
      <c r="H157" s="28" t="s">
        <v>291</v>
      </c>
      <c r="I157" s="56" t="s">
        <v>604</v>
      </c>
      <c r="J157" s="38">
        <v>46023</v>
      </c>
      <c r="K157" s="39"/>
      <c r="L157" s="38">
        <v>46023</v>
      </c>
      <c r="M157" s="40" t="s">
        <v>292</v>
      </c>
      <c r="N157" s="41" t="s">
        <v>293</v>
      </c>
      <c r="O157" s="42" t="s">
        <v>294</v>
      </c>
    </row>
  </sheetData>
  <mergeCells count="2">
    <mergeCell ref="A1:O1"/>
    <mergeCell ref="A2:O2"/>
  </mergeCells>
  <dataValidations count="1">
    <dataValidation type="list" showErrorMessage="1" errorTitle="Invalid" error="Select from list" sqref="G4:H157" xr:uid="{00000000-0002-0000-0300-000000000000}">
      <formula1>"Yes,No"</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A535A"/>
  </sheetPr>
  <dimension ref="A1:U83"/>
  <sheetViews>
    <sheetView showGridLines="0" zoomScaleNormal="100" workbookViewId="0">
      <pane ySplit="4" topLeftCell="A5" activePane="bottomLeft" state="frozen"/>
      <selection pane="bottomLeft" sqref="A1:U1"/>
    </sheetView>
  </sheetViews>
  <sheetFormatPr defaultColWidth="8.6640625" defaultRowHeight="14.4" x14ac:dyDescent="0.3"/>
  <cols>
    <col min="1" max="1" width="7" style="14" customWidth="1"/>
    <col min="2" max="2" width="62" style="14" customWidth="1"/>
    <col min="3" max="4" width="8" style="14" customWidth="1"/>
    <col min="5" max="5" width="22" style="14" customWidth="1"/>
    <col min="6" max="6" width="26" style="14" customWidth="1"/>
    <col min="7" max="7" width="10" style="14" customWidth="1"/>
    <col min="8" max="8" width="22" style="14" customWidth="1"/>
    <col min="9" max="9" width="16" style="14" customWidth="1"/>
    <col min="10" max="10" width="48" style="14" customWidth="1"/>
    <col min="11" max="11" width="46" style="14" customWidth="1"/>
    <col min="12" max="12" width="14" style="14" customWidth="1"/>
    <col min="13" max="13" width="56" style="14" customWidth="1"/>
    <col min="14" max="14" width="12" style="14" customWidth="1"/>
    <col min="15" max="15" width="22" style="14" customWidth="1"/>
    <col min="16" max="19" width="16" style="14" customWidth="1"/>
    <col min="20" max="20" width="20" style="14" customWidth="1"/>
    <col min="21" max="21" width="32" style="14" customWidth="1"/>
  </cols>
  <sheetData>
    <row r="1" spans="1:21" ht="25.5" customHeight="1" x14ac:dyDescent="0.3">
      <c r="A1" s="275" t="s">
        <v>5949</v>
      </c>
      <c r="B1" s="275"/>
      <c r="C1" s="275"/>
      <c r="D1" s="275"/>
      <c r="E1" s="275"/>
      <c r="F1" s="275"/>
      <c r="G1" s="275"/>
      <c r="H1" s="275"/>
      <c r="I1" s="275"/>
      <c r="J1" s="275"/>
      <c r="K1" s="275"/>
      <c r="L1" s="275"/>
      <c r="M1" s="275"/>
      <c r="N1" s="275"/>
      <c r="O1" s="275"/>
      <c r="P1" s="275"/>
      <c r="Q1" s="275"/>
      <c r="R1" s="275"/>
      <c r="S1" s="275"/>
      <c r="T1" s="275"/>
      <c r="U1" s="275"/>
    </row>
    <row r="2" spans="1:21" ht="36" customHeight="1" x14ac:dyDescent="0.3">
      <c r="A2" s="276" t="s">
        <v>5950</v>
      </c>
      <c r="B2" s="276"/>
      <c r="C2" s="276"/>
      <c r="D2" s="276"/>
      <c r="E2" s="276"/>
      <c r="F2" s="276"/>
      <c r="G2" s="276"/>
      <c r="H2" s="276"/>
      <c r="I2" s="276"/>
      <c r="J2" s="276"/>
      <c r="K2" s="276"/>
      <c r="L2" s="276"/>
      <c r="M2" s="276"/>
      <c r="N2" s="276"/>
      <c r="O2" s="276"/>
      <c r="P2" s="276"/>
      <c r="Q2" s="276"/>
      <c r="R2" s="276"/>
      <c r="S2" s="276"/>
      <c r="T2" s="276"/>
      <c r="U2" s="276"/>
    </row>
    <row r="3" spans="1:21" ht="21.75" customHeight="1" x14ac:dyDescent="0.3">
      <c r="A3" s="277" t="str">
        <f>HYPERLINK("#HOME!A1","🏠  HOME  |  Back to Navigation")</f>
        <v>🏠  HOME  |  Back to Navigation</v>
      </c>
      <c r="B3" s="277"/>
      <c r="C3" s="277"/>
      <c r="D3" s="277"/>
      <c r="E3" s="277"/>
      <c r="F3" s="277"/>
      <c r="G3" s="277"/>
      <c r="H3" s="277"/>
      <c r="I3" s="277"/>
      <c r="J3" s="277"/>
      <c r="K3" s="277"/>
      <c r="P3" s="278" t="s">
        <v>5951</v>
      </c>
      <c r="Q3" s="278"/>
      <c r="R3" s="278"/>
      <c r="S3" s="278"/>
      <c r="T3" s="278"/>
      <c r="U3" s="278"/>
    </row>
    <row r="4" spans="1:21" ht="36" customHeight="1" x14ac:dyDescent="0.3">
      <c r="A4" s="121" t="s">
        <v>5607</v>
      </c>
      <c r="B4" s="121" t="s">
        <v>5952</v>
      </c>
      <c r="C4" s="121" t="s">
        <v>5953</v>
      </c>
      <c r="D4" s="121" t="s">
        <v>5954</v>
      </c>
      <c r="E4" s="121" t="s">
        <v>5955</v>
      </c>
      <c r="F4" s="121" t="s">
        <v>5608</v>
      </c>
      <c r="G4" s="121" t="s">
        <v>5609</v>
      </c>
      <c r="H4" s="121" t="s">
        <v>5610</v>
      </c>
      <c r="I4" s="121" t="s">
        <v>718</v>
      </c>
      <c r="J4" s="121" t="s">
        <v>5611</v>
      </c>
      <c r="K4" s="121" t="s">
        <v>5956</v>
      </c>
      <c r="L4" s="121" t="s">
        <v>5957</v>
      </c>
      <c r="M4" s="121" t="s">
        <v>5958</v>
      </c>
      <c r="N4" s="121" t="s">
        <v>5959</v>
      </c>
      <c r="O4" s="121" t="s">
        <v>5960</v>
      </c>
      <c r="P4" s="24" t="s">
        <v>279</v>
      </c>
      <c r="Q4" s="24" t="s">
        <v>280</v>
      </c>
      <c r="R4" s="24" t="s">
        <v>281</v>
      </c>
      <c r="S4" s="24" t="s">
        <v>282</v>
      </c>
      <c r="T4" s="24" t="s">
        <v>283</v>
      </c>
      <c r="U4" s="24" t="s">
        <v>284</v>
      </c>
    </row>
    <row r="5" spans="1:21" ht="21.75" customHeight="1" x14ac:dyDescent="0.3">
      <c r="A5" s="279" t="s">
        <v>5961</v>
      </c>
      <c r="B5" s="279"/>
      <c r="C5" s="279"/>
      <c r="D5" s="279"/>
      <c r="E5" s="279"/>
      <c r="F5" s="279"/>
      <c r="G5" s="279"/>
      <c r="H5" s="279"/>
      <c r="I5" s="279"/>
      <c r="J5" s="279"/>
      <c r="K5" s="279"/>
      <c r="L5" s="279"/>
      <c r="M5" s="279"/>
      <c r="N5" s="279"/>
      <c r="O5" s="279"/>
      <c r="P5" s="38">
        <v>46023</v>
      </c>
      <c r="Q5" s="39"/>
      <c r="R5" s="38">
        <v>46023</v>
      </c>
      <c r="S5" s="40" t="s">
        <v>292</v>
      </c>
      <c r="T5" s="41" t="s">
        <v>5962</v>
      </c>
      <c r="U5" s="42" t="s">
        <v>294</v>
      </c>
    </row>
    <row r="6" spans="1:21" ht="15.75" customHeight="1" x14ac:dyDescent="0.3">
      <c r="A6" s="164">
        <v>1</v>
      </c>
      <c r="B6" s="165" t="s">
        <v>5811</v>
      </c>
      <c r="C6" s="166" t="s">
        <v>5963</v>
      </c>
      <c r="D6" s="167" t="s">
        <v>5963</v>
      </c>
      <c r="E6" s="168" t="s">
        <v>5964</v>
      </c>
      <c r="F6" s="169" t="s">
        <v>5812</v>
      </c>
      <c r="G6" s="170" t="s">
        <v>5965</v>
      </c>
      <c r="H6" s="168" t="s">
        <v>288</v>
      </c>
      <c r="I6" s="171" t="s">
        <v>5966</v>
      </c>
      <c r="J6" s="168" t="s">
        <v>5967</v>
      </c>
      <c r="K6" s="168" t="s">
        <v>5968</v>
      </c>
      <c r="L6" s="172" t="s">
        <v>5969</v>
      </c>
      <c r="M6" s="173" t="s">
        <v>5970</v>
      </c>
      <c r="N6" s="166" t="s">
        <v>5971</v>
      </c>
      <c r="O6" s="174" t="s">
        <v>5972</v>
      </c>
      <c r="P6" s="30">
        <v>46023</v>
      </c>
      <c r="Q6" s="31"/>
      <c r="R6" s="30">
        <v>46023</v>
      </c>
      <c r="S6" s="32" t="s">
        <v>292</v>
      </c>
      <c r="T6" s="33" t="s">
        <v>5962</v>
      </c>
      <c r="U6" s="34" t="s">
        <v>294</v>
      </c>
    </row>
    <row r="7" spans="1:21" ht="15.75" customHeight="1" x14ac:dyDescent="0.3">
      <c r="A7" s="175">
        <v>2</v>
      </c>
      <c r="B7" s="176" t="s">
        <v>5811</v>
      </c>
      <c r="C7" s="177" t="s">
        <v>5963</v>
      </c>
      <c r="D7" s="178" t="s">
        <v>5963</v>
      </c>
      <c r="E7" s="179" t="s">
        <v>5964</v>
      </c>
      <c r="F7" s="180" t="s">
        <v>5859</v>
      </c>
      <c r="G7" s="181" t="s">
        <v>5973</v>
      </c>
      <c r="H7" s="179" t="s">
        <v>288</v>
      </c>
      <c r="I7" s="182" t="s">
        <v>5966</v>
      </c>
      <c r="J7" s="179" t="s">
        <v>5974</v>
      </c>
      <c r="K7" s="183" t="s">
        <v>5975</v>
      </c>
      <c r="L7" s="183"/>
      <c r="M7" s="184"/>
      <c r="N7" s="177"/>
      <c r="O7" s="185"/>
      <c r="P7" s="38">
        <v>46023</v>
      </c>
      <c r="Q7" s="39"/>
      <c r="R7" s="38">
        <v>46023</v>
      </c>
      <c r="S7" s="40" t="s">
        <v>292</v>
      </c>
      <c r="T7" s="41" t="s">
        <v>5962</v>
      </c>
      <c r="U7" s="42" t="s">
        <v>294</v>
      </c>
    </row>
    <row r="8" spans="1:21" ht="15.75" customHeight="1" x14ac:dyDescent="0.3">
      <c r="A8" s="164">
        <v>3</v>
      </c>
      <c r="B8" s="186" t="s">
        <v>5811</v>
      </c>
      <c r="C8" s="166" t="s">
        <v>5963</v>
      </c>
      <c r="D8" s="167" t="s">
        <v>5963</v>
      </c>
      <c r="E8" s="168" t="s">
        <v>5964</v>
      </c>
      <c r="F8" s="169" t="s">
        <v>5894</v>
      </c>
      <c r="G8" s="170" t="s">
        <v>5976</v>
      </c>
      <c r="H8" s="168" t="s">
        <v>288</v>
      </c>
      <c r="I8" s="171" t="s">
        <v>5966</v>
      </c>
      <c r="J8" s="168" t="s">
        <v>5977</v>
      </c>
      <c r="K8" s="172" t="s">
        <v>5975</v>
      </c>
      <c r="L8" s="172"/>
      <c r="M8" s="173"/>
      <c r="N8" s="166"/>
      <c r="O8" s="174"/>
      <c r="P8" s="30">
        <v>46023</v>
      </c>
      <c r="Q8" s="31"/>
      <c r="R8" s="30">
        <v>46023</v>
      </c>
      <c r="S8" s="32" t="s">
        <v>292</v>
      </c>
      <c r="T8" s="33" t="s">
        <v>5962</v>
      </c>
      <c r="U8" s="34" t="s">
        <v>294</v>
      </c>
    </row>
    <row r="9" spans="1:21" ht="15.75" customHeight="1" x14ac:dyDescent="0.3">
      <c r="A9" s="175">
        <v>4</v>
      </c>
      <c r="B9" s="176" t="s">
        <v>5811</v>
      </c>
      <c r="C9" s="177" t="s">
        <v>5963</v>
      </c>
      <c r="D9" s="178" t="s">
        <v>5963</v>
      </c>
      <c r="E9" s="179" t="s">
        <v>5964</v>
      </c>
      <c r="F9" s="180" t="s">
        <v>1146</v>
      </c>
      <c r="G9" s="181" t="s">
        <v>5978</v>
      </c>
      <c r="H9" s="179" t="s">
        <v>500</v>
      </c>
      <c r="I9" s="182" t="s">
        <v>5966</v>
      </c>
      <c r="J9" s="179" t="s">
        <v>5979</v>
      </c>
      <c r="K9" s="183" t="s">
        <v>5975</v>
      </c>
      <c r="L9" s="183"/>
      <c r="M9" s="184"/>
      <c r="N9" s="177"/>
      <c r="O9" s="185"/>
      <c r="P9" s="38">
        <v>46023</v>
      </c>
      <c r="Q9" s="39"/>
      <c r="R9" s="38">
        <v>46023</v>
      </c>
      <c r="S9" s="40" t="s">
        <v>292</v>
      </c>
      <c r="T9" s="41" t="s">
        <v>5962</v>
      </c>
      <c r="U9" s="42" t="s">
        <v>294</v>
      </c>
    </row>
    <row r="10" spans="1:21" ht="15.75" customHeight="1" x14ac:dyDescent="0.3">
      <c r="A10" s="164">
        <v>5</v>
      </c>
      <c r="B10" s="186" t="s">
        <v>5811</v>
      </c>
      <c r="C10" s="166" t="s">
        <v>5963</v>
      </c>
      <c r="D10" s="167" t="s">
        <v>5963</v>
      </c>
      <c r="E10" s="168" t="s">
        <v>5964</v>
      </c>
      <c r="F10" s="169" t="s">
        <v>1370</v>
      </c>
      <c r="G10" s="170" t="s">
        <v>5980</v>
      </c>
      <c r="H10" s="168" t="s">
        <v>368</v>
      </c>
      <c r="I10" s="171" t="s">
        <v>5966</v>
      </c>
      <c r="J10" s="168" t="s">
        <v>5981</v>
      </c>
      <c r="K10" s="172" t="s">
        <v>5975</v>
      </c>
      <c r="L10" s="172"/>
      <c r="M10" s="173"/>
      <c r="N10" s="166"/>
      <c r="O10" s="174"/>
      <c r="P10" s="30">
        <v>46023</v>
      </c>
      <c r="Q10" s="31"/>
      <c r="R10" s="30">
        <v>46023</v>
      </c>
      <c r="S10" s="32" t="s">
        <v>292</v>
      </c>
      <c r="T10" s="33" t="s">
        <v>5962</v>
      </c>
      <c r="U10" s="34" t="s">
        <v>294</v>
      </c>
    </row>
    <row r="11" spans="1:21" ht="15.75" customHeight="1" x14ac:dyDescent="0.3">
      <c r="A11" s="175">
        <v>6</v>
      </c>
      <c r="B11" s="176" t="s">
        <v>5811</v>
      </c>
      <c r="C11" s="177" t="s">
        <v>5963</v>
      </c>
      <c r="D11" s="178" t="s">
        <v>5963</v>
      </c>
      <c r="E11" s="179" t="s">
        <v>5964</v>
      </c>
      <c r="F11" s="180" t="s">
        <v>5912</v>
      </c>
      <c r="G11" s="181" t="s">
        <v>5982</v>
      </c>
      <c r="H11" s="179" t="s">
        <v>554</v>
      </c>
      <c r="I11" s="182" t="s">
        <v>5966</v>
      </c>
      <c r="J11" s="179" t="s">
        <v>5983</v>
      </c>
      <c r="K11" s="183" t="s">
        <v>5975</v>
      </c>
      <c r="L11" s="183"/>
      <c r="M11" s="184"/>
      <c r="N11" s="177"/>
      <c r="O11" s="185"/>
      <c r="P11" s="38">
        <v>46023</v>
      </c>
      <c r="Q11" s="39"/>
      <c r="R11" s="38">
        <v>46023</v>
      </c>
      <c r="S11" s="40" t="s">
        <v>292</v>
      </c>
      <c r="T11" s="41" t="s">
        <v>5962</v>
      </c>
      <c r="U11" s="42" t="s">
        <v>294</v>
      </c>
    </row>
    <row r="12" spans="1:21" ht="15.75" customHeight="1" x14ac:dyDescent="0.3">
      <c r="A12" s="164">
        <v>7</v>
      </c>
      <c r="B12" s="186" t="s">
        <v>5811</v>
      </c>
      <c r="C12" s="166" t="s">
        <v>5963</v>
      </c>
      <c r="D12" s="167" t="s">
        <v>5963</v>
      </c>
      <c r="E12" s="168" t="s">
        <v>5964</v>
      </c>
      <c r="F12" s="169" t="s">
        <v>5917</v>
      </c>
      <c r="G12" s="170" t="s">
        <v>5984</v>
      </c>
      <c r="H12" s="168" t="s">
        <v>477</v>
      </c>
      <c r="I12" s="171" t="s">
        <v>5966</v>
      </c>
      <c r="J12" s="168" t="s">
        <v>5985</v>
      </c>
      <c r="K12" s="172" t="s">
        <v>5975</v>
      </c>
      <c r="L12" s="172"/>
      <c r="M12" s="173"/>
      <c r="N12" s="166"/>
      <c r="O12" s="174"/>
      <c r="P12" s="30">
        <v>46023</v>
      </c>
      <c r="Q12" s="31"/>
      <c r="R12" s="30">
        <v>46023</v>
      </c>
      <c r="S12" s="32" t="s">
        <v>292</v>
      </c>
      <c r="T12" s="33" t="s">
        <v>5962</v>
      </c>
      <c r="U12" s="34" t="s">
        <v>294</v>
      </c>
    </row>
    <row r="13" spans="1:21" ht="15.75" customHeight="1" x14ac:dyDescent="0.3">
      <c r="A13" s="175">
        <v>8</v>
      </c>
      <c r="B13" s="176" t="s">
        <v>5811</v>
      </c>
      <c r="C13" s="177" t="s">
        <v>5963</v>
      </c>
      <c r="D13" s="178" t="s">
        <v>5963</v>
      </c>
      <c r="E13" s="179" t="s">
        <v>5964</v>
      </c>
      <c r="F13" s="180" t="s">
        <v>5922</v>
      </c>
      <c r="G13" s="181" t="s">
        <v>5986</v>
      </c>
      <c r="H13" s="179" t="s">
        <v>463</v>
      </c>
      <c r="I13" s="182" t="s">
        <v>5966</v>
      </c>
      <c r="J13" s="179" t="s">
        <v>5987</v>
      </c>
      <c r="K13" s="183" t="s">
        <v>5975</v>
      </c>
      <c r="L13" s="183"/>
      <c r="M13" s="184"/>
      <c r="N13" s="177"/>
      <c r="O13" s="185"/>
      <c r="P13" s="38">
        <v>46023</v>
      </c>
      <c r="Q13" s="39"/>
      <c r="R13" s="38">
        <v>46023</v>
      </c>
      <c r="S13" s="40" t="s">
        <v>292</v>
      </c>
      <c r="T13" s="41" t="s">
        <v>5962</v>
      </c>
      <c r="U13" s="42" t="s">
        <v>294</v>
      </c>
    </row>
    <row r="14" spans="1:21" ht="15.75" customHeight="1" x14ac:dyDescent="0.3">
      <c r="A14" s="164">
        <v>9</v>
      </c>
      <c r="B14" s="186" t="s">
        <v>5811</v>
      </c>
      <c r="C14" s="166" t="s">
        <v>5963</v>
      </c>
      <c r="D14" s="167" t="s">
        <v>5963</v>
      </c>
      <c r="E14" s="168" t="s">
        <v>5964</v>
      </c>
      <c r="F14" s="169" t="s">
        <v>5926</v>
      </c>
      <c r="G14" s="170" t="s">
        <v>5988</v>
      </c>
      <c r="H14" s="168" t="s">
        <v>429</v>
      </c>
      <c r="I14" s="171" t="s">
        <v>5966</v>
      </c>
      <c r="J14" s="168" t="s">
        <v>5989</v>
      </c>
      <c r="K14" s="172" t="s">
        <v>5975</v>
      </c>
      <c r="L14" s="172"/>
      <c r="M14" s="173"/>
      <c r="N14" s="166"/>
      <c r="O14" s="174"/>
      <c r="P14" s="30">
        <v>46023</v>
      </c>
      <c r="Q14" s="31"/>
      <c r="R14" s="30">
        <v>46023</v>
      </c>
      <c r="S14" s="32" t="s">
        <v>292</v>
      </c>
      <c r="T14" s="33" t="s">
        <v>5962</v>
      </c>
      <c r="U14" s="34" t="s">
        <v>294</v>
      </c>
    </row>
    <row r="15" spans="1:21" ht="15.75" customHeight="1" x14ac:dyDescent="0.3">
      <c r="A15" s="175">
        <v>10</v>
      </c>
      <c r="B15" s="176" t="s">
        <v>5811</v>
      </c>
      <c r="C15" s="177" t="s">
        <v>5963</v>
      </c>
      <c r="D15" s="178" t="s">
        <v>5963</v>
      </c>
      <c r="E15" s="179" t="s">
        <v>5964</v>
      </c>
      <c r="F15" s="180" t="s">
        <v>5928</v>
      </c>
      <c r="G15" s="181" t="s">
        <v>5990</v>
      </c>
      <c r="H15" s="179" t="s">
        <v>340</v>
      </c>
      <c r="I15" s="182" t="s">
        <v>5966</v>
      </c>
      <c r="J15" s="179" t="s">
        <v>5991</v>
      </c>
      <c r="K15" s="183" t="s">
        <v>5975</v>
      </c>
      <c r="L15" s="183"/>
      <c r="M15" s="184"/>
      <c r="N15" s="177"/>
      <c r="O15" s="185"/>
      <c r="P15" s="38">
        <v>46023</v>
      </c>
      <c r="Q15" s="39"/>
      <c r="R15" s="38">
        <v>46023</v>
      </c>
      <c r="S15" s="40" t="s">
        <v>292</v>
      </c>
      <c r="T15" s="41" t="s">
        <v>5962</v>
      </c>
      <c r="U15" s="42" t="s">
        <v>294</v>
      </c>
    </row>
    <row r="16" spans="1:21" ht="15.75" customHeight="1" x14ac:dyDescent="0.3">
      <c r="A16" s="164">
        <v>11</v>
      </c>
      <c r="B16" s="186" t="s">
        <v>5811</v>
      </c>
      <c r="C16" s="166" t="s">
        <v>5963</v>
      </c>
      <c r="D16" s="167" t="s">
        <v>5963</v>
      </c>
      <c r="E16" s="168" t="s">
        <v>5964</v>
      </c>
      <c r="F16" s="169" t="s">
        <v>5930</v>
      </c>
      <c r="G16" s="170" t="s">
        <v>5992</v>
      </c>
      <c r="H16" s="168" t="s">
        <v>329</v>
      </c>
      <c r="I16" s="171" t="s">
        <v>5966</v>
      </c>
      <c r="J16" s="168" t="s">
        <v>5993</v>
      </c>
      <c r="K16" s="172" t="s">
        <v>5975</v>
      </c>
      <c r="L16" s="172"/>
      <c r="M16" s="173"/>
      <c r="N16" s="166"/>
      <c r="O16" s="174"/>
      <c r="P16" s="30">
        <v>46023</v>
      </c>
      <c r="Q16" s="31"/>
      <c r="R16" s="30">
        <v>46023</v>
      </c>
      <c r="S16" s="32" t="s">
        <v>292</v>
      </c>
      <c r="T16" s="33" t="s">
        <v>5962</v>
      </c>
      <c r="U16" s="34" t="s">
        <v>294</v>
      </c>
    </row>
    <row r="17" spans="1:21" ht="15.75" customHeight="1" x14ac:dyDescent="0.3">
      <c r="A17" s="175">
        <v>12</v>
      </c>
      <c r="B17" s="176" t="s">
        <v>5811</v>
      </c>
      <c r="C17" s="177" t="s">
        <v>5963</v>
      </c>
      <c r="D17" s="178" t="s">
        <v>5963</v>
      </c>
      <c r="E17" s="179" t="s">
        <v>5964</v>
      </c>
      <c r="F17" s="180" t="s">
        <v>5932</v>
      </c>
      <c r="G17" s="181" t="s">
        <v>5994</v>
      </c>
      <c r="H17" s="179" t="s">
        <v>575</v>
      </c>
      <c r="I17" s="182" t="s">
        <v>5966</v>
      </c>
      <c r="J17" s="179" t="s">
        <v>5995</v>
      </c>
      <c r="K17" s="183" t="s">
        <v>5975</v>
      </c>
      <c r="L17" s="183"/>
      <c r="M17" s="184"/>
      <c r="N17" s="177"/>
      <c r="O17" s="185"/>
      <c r="P17" s="38">
        <v>46023</v>
      </c>
      <c r="Q17" s="39"/>
      <c r="R17" s="38">
        <v>46023</v>
      </c>
      <c r="S17" s="40" t="s">
        <v>292</v>
      </c>
      <c r="T17" s="41" t="s">
        <v>5962</v>
      </c>
      <c r="U17" s="42" t="s">
        <v>294</v>
      </c>
    </row>
    <row r="18" spans="1:21" ht="15.75" customHeight="1" x14ac:dyDescent="0.3">
      <c r="A18" s="164">
        <v>13</v>
      </c>
      <c r="B18" s="165" t="s">
        <v>833</v>
      </c>
      <c r="C18" s="166" t="s">
        <v>5996</v>
      </c>
      <c r="D18" s="167" t="s">
        <v>5996</v>
      </c>
      <c r="E18" s="168" t="s">
        <v>5964</v>
      </c>
      <c r="F18" s="169" t="s">
        <v>5813</v>
      </c>
      <c r="G18" s="170" t="s">
        <v>5997</v>
      </c>
      <c r="H18" s="168" t="s">
        <v>288</v>
      </c>
      <c r="I18" s="171" t="s">
        <v>5998</v>
      </c>
      <c r="J18" s="168" t="s">
        <v>5999</v>
      </c>
      <c r="K18" s="168" t="s">
        <v>6000</v>
      </c>
      <c r="L18" s="172" t="s">
        <v>6001</v>
      </c>
      <c r="M18" s="173" t="s">
        <v>6002</v>
      </c>
      <c r="N18" s="166" t="s">
        <v>6003</v>
      </c>
      <c r="O18" s="174" t="s">
        <v>6004</v>
      </c>
      <c r="P18" s="30">
        <v>46023</v>
      </c>
      <c r="Q18" s="31"/>
      <c r="R18" s="30">
        <v>46023</v>
      </c>
      <c r="S18" s="32" t="s">
        <v>292</v>
      </c>
      <c r="T18" s="33" t="s">
        <v>5962</v>
      </c>
      <c r="U18" s="34" t="s">
        <v>294</v>
      </c>
    </row>
    <row r="19" spans="1:21" ht="15.75" customHeight="1" x14ac:dyDescent="0.3">
      <c r="A19" s="175">
        <v>14</v>
      </c>
      <c r="B19" s="176" t="s">
        <v>833</v>
      </c>
      <c r="C19" s="177" t="s">
        <v>5996</v>
      </c>
      <c r="D19" s="178" t="s">
        <v>5996</v>
      </c>
      <c r="E19" s="179" t="s">
        <v>5964</v>
      </c>
      <c r="F19" s="180" t="s">
        <v>5860</v>
      </c>
      <c r="G19" s="181" t="s">
        <v>6005</v>
      </c>
      <c r="H19" s="179" t="s">
        <v>288</v>
      </c>
      <c r="I19" s="182" t="s">
        <v>5998</v>
      </c>
      <c r="J19" s="179" t="s">
        <v>6006</v>
      </c>
      <c r="K19" s="183" t="s">
        <v>5975</v>
      </c>
      <c r="L19" s="183"/>
      <c r="M19" s="184"/>
      <c r="N19" s="177"/>
      <c r="O19" s="185"/>
      <c r="P19" s="38">
        <v>46023</v>
      </c>
      <c r="Q19" s="39"/>
      <c r="R19" s="38">
        <v>46023</v>
      </c>
      <c r="S19" s="40" t="s">
        <v>292</v>
      </c>
      <c r="T19" s="41" t="s">
        <v>5962</v>
      </c>
      <c r="U19" s="42" t="s">
        <v>294</v>
      </c>
    </row>
    <row r="20" spans="1:21" ht="15.75" customHeight="1" x14ac:dyDescent="0.3">
      <c r="A20" s="164">
        <v>15</v>
      </c>
      <c r="B20" s="186" t="s">
        <v>833</v>
      </c>
      <c r="C20" s="166" t="s">
        <v>5996</v>
      </c>
      <c r="D20" s="167" t="s">
        <v>5996</v>
      </c>
      <c r="E20" s="168" t="s">
        <v>5964</v>
      </c>
      <c r="F20" s="169" t="s">
        <v>917</v>
      </c>
      <c r="G20" s="170" t="s">
        <v>6007</v>
      </c>
      <c r="H20" s="168" t="s">
        <v>500</v>
      </c>
      <c r="I20" s="171" t="s">
        <v>5998</v>
      </c>
      <c r="J20" s="168" t="s">
        <v>6008</v>
      </c>
      <c r="K20" s="172" t="s">
        <v>5975</v>
      </c>
      <c r="L20" s="172"/>
      <c r="M20" s="173"/>
      <c r="N20" s="166"/>
      <c r="O20" s="174"/>
      <c r="P20" s="30">
        <v>46023</v>
      </c>
      <c r="Q20" s="31"/>
      <c r="R20" s="30">
        <v>46023</v>
      </c>
      <c r="S20" s="32" t="s">
        <v>292</v>
      </c>
      <c r="T20" s="33" t="s">
        <v>5962</v>
      </c>
      <c r="U20" s="34" t="s">
        <v>294</v>
      </c>
    </row>
    <row r="21" spans="1:21" ht="15.75" customHeight="1" x14ac:dyDescent="0.3">
      <c r="A21" s="175">
        <v>16</v>
      </c>
      <c r="B21" s="176" t="s">
        <v>833</v>
      </c>
      <c r="C21" s="177" t="s">
        <v>5996</v>
      </c>
      <c r="D21" s="178" t="s">
        <v>5996</v>
      </c>
      <c r="E21" s="179" t="s">
        <v>5964</v>
      </c>
      <c r="F21" s="180" t="s">
        <v>5904</v>
      </c>
      <c r="G21" s="181" t="s">
        <v>6009</v>
      </c>
      <c r="H21" s="179" t="s">
        <v>554</v>
      </c>
      <c r="I21" s="182" t="s">
        <v>5998</v>
      </c>
      <c r="J21" s="179" t="s">
        <v>6010</v>
      </c>
      <c r="K21" s="183" t="s">
        <v>5975</v>
      </c>
      <c r="L21" s="183"/>
      <c r="M21" s="184"/>
      <c r="N21" s="177"/>
      <c r="O21" s="185"/>
      <c r="P21" s="38">
        <v>46023</v>
      </c>
      <c r="Q21" s="39"/>
      <c r="R21" s="38">
        <v>46023</v>
      </c>
      <c r="S21" s="40" t="s">
        <v>292</v>
      </c>
      <c r="T21" s="41" t="s">
        <v>5962</v>
      </c>
      <c r="U21" s="42" t="s">
        <v>294</v>
      </c>
    </row>
    <row r="22" spans="1:21" ht="15.75" customHeight="1" x14ac:dyDescent="0.3">
      <c r="A22" s="164">
        <v>17</v>
      </c>
      <c r="B22" s="186" t="s">
        <v>833</v>
      </c>
      <c r="C22" s="166" t="s">
        <v>5996</v>
      </c>
      <c r="D22" s="167" t="s">
        <v>5996</v>
      </c>
      <c r="E22" s="168" t="s">
        <v>5964</v>
      </c>
      <c r="F22" s="169" t="s">
        <v>5907</v>
      </c>
      <c r="G22" s="170" t="s">
        <v>6011</v>
      </c>
      <c r="H22" s="168" t="s">
        <v>368</v>
      </c>
      <c r="I22" s="171" t="s">
        <v>5998</v>
      </c>
      <c r="J22" s="168" t="s">
        <v>6012</v>
      </c>
      <c r="K22" s="172" t="s">
        <v>5975</v>
      </c>
      <c r="L22" s="172"/>
      <c r="M22" s="173"/>
      <c r="N22" s="166"/>
      <c r="O22" s="174"/>
      <c r="P22" s="30">
        <v>46023</v>
      </c>
      <c r="Q22" s="31"/>
      <c r="R22" s="30">
        <v>46023</v>
      </c>
      <c r="S22" s="32" t="s">
        <v>292</v>
      </c>
      <c r="T22" s="33" t="s">
        <v>5962</v>
      </c>
      <c r="U22" s="34" t="s">
        <v>294</v>
      </c>
    </row>
    <row r="23" spans="1:21" ht="15.75" customHeight="1" x14ac:dyDescent="0.3">
      <c r="A23" s="175">
        <v>18</v>
      </c>
      <c r="B23" s="176" t="s">
        <v>833</v>
      </c>
      <c r="C23" s="177" t="s">
        <v>5996</v>
      </c>
      <c r="D23" s="178" t="s">
        <v>5996</v>
      </c>
      <c r="E23" s="179" t="s">
        <v>5964</v>
      </c>
      <c r="F23" s="180" t="s">
        <v>1013</v>
      </c>
      <c r="G23" s="181" t="s">
        <v>6013</v>
      </c>
      <c r="H23" s="179" t="s">
        <v>329</v>
      </c>
      <c r="I23" s="182" t="s">
        <v>5998</v>
      </c>
      <c r="J23" s="179" t="s">
        <v>6014</v>
      </c>
      <c r="K23" s="183" t="s">
        <v>5975</v>
      </c>
      <c r="L23" s="183"/>
      <c r="M23" s="184"/>
      <c r="N23" s="177"/>
      <c r="O23" s="185"/>
      <c r="P23" s="38">
        <v>46023</v>
      </c>
      <c r="Q23" s="39"/>
      <c r="R23" s="38">
        <v>46023</v>
      </c>
      <c r="S23" s="40" t="s">
        <v>292</v>
      </c>
      <c r="T23" s="41" t="s">
        <v>5962</v>
      </c>
      <c r="U23" s="42" t="s">
        <v>294</v>
      </c>
    </row>
    <row r="24" spans="1:21" ht="15.75" customHeight="1" x14ac:dyDescent="0.3">
      <c r="A24" s="164">
        <v>19</v>
      </c>
      <c r="B24" s="186" t="s">
        <v>833</v>
      </c>
      <c r="C24" s="166" t="s">
        <v>5996</v>
      </c>
      <c r="D24" s="167" t="s">
        <v>5996</v>
      </c>
      <c r="E24" s="168" t="s">
        <v>5964</v>
      </c>
      <c r="F24" s="169" t="s">
        <v>5918</v>
      </c>
      <c r="G24" s="170" t="s">
        <v>6015</v>
      </c>
      <c r="H24" s="168" t="s">
        <v>477</v>
      </c>
      <c r="I24" s="171" t="s">
        <v>5998</v>
      </c>
      <c r="J24" s="168" t="s">
        <v>6016</v>
      </c>
      <c r="K24" s="172" t="s">
        <v>5975</v>
      </c>
      <c r="L24" s="172"/>
      <c r="M24" s="173"/>
      <c r="N24" s="166"/>
      <c r="O24" s="174"/>
      <c r="P24" s="30">
        <v>46023</v>
      </c>
      <c r="Q24" s="31"/>
      <c r="R24" s="30">
        <v>46023</v>
      </c>
      <c r="S24" s="32" t="s">
        <v>292</v>
      </c>
      <c r="T24" s="33" t="s">
        <v>5962</v>
      </c>
      <c r="U24" s="34" t="s">
        <v>294</v>
      </c>
    </row>
    <row r="25" spans="1:21" ht="15.75" customHeight="1" x14ac:dyDescent="0.3">
      <c r="A25" s="175">
        <v>20</v>
      </c>
      <c r="B25" s="187" t="s">
        <v>5893</v>
      </c>
      <c r="C25" s="177" t="s">
        <v>6017</v>
      </c>
      <c r="D25" s="178" t="s">
        <v>6017</v>
      </c>
      <c r="E25" s="179" t="s">
        <v>5964</v>
      </c>
      <c r="F25" s="180" t="s">
        <v>5814</v>
      </c>
      <c r="G25" s="181" t="s">
        <v>6018</v>
      </c>
      <c r="H25" s="179" t="s">
        <v>288</v>
      </c>
      <c r="I25" s="182" t="s">
        <v>6019</v>
      </c>
      <c r="J25" s="179" t="s">
        <v>6020</v>
      </c>
      <c r="K25" s="179" t="s">
        <v>6021</v>
      </c>
      <c r="L25" s="183" t="s">
        <v>6022</v>
      </c>
      <c r="M25" s="184" t="s">
        <v>6023</v>
      </c>
      <c r="N25" s="177" t="s">
        <v>6024</v>
      </c>
      <c r="O25" s="185" t="s">
        <v>6025</v>
      </c>
      <c r="P25" s="38">
        <v>46023</v>
      </c>
      <c r="Q25" s="39"/>
      <c r="R25" s="38">
        <v>46023</v>
      </c>
      <c r="S25" s="40" t="s">
        <v>292</v>
      </c>
      <c r="T25" s="41" t="s">
        <v>5962</v>
      </c>
      <c r="U25" s="42" t="s">
        <v>294</v>
      </c>
    </row>
    <row r="26" spans="1:21" ht="15.75" customHeight="1" x14ac:dyDescent="0.3">
      <c r="A26" s="164">
        <v>21</v>
      </c>
      <c r="B26" s="186" t="s">
        <v>5893</v>
      </c>
      <c r="C26" s="166" t="s">
        <v>6017</v>
      </c>
      <c r="D26" s="167" t="s">
        <v>6017</v>
      </c>
      <c r="E26" s="168" t="s">
        <v>5964</v>
      </c>
      <c r="F26" s="169" t="s">
        <v>1122</v>
      </c>
      <c r="G26" s="170" t="s">
        <v>6026</v>
      </c>
      <c r="H26" s="168" t="s">
        <v>500</v>
      </c>
      <c r="I26" s="171" t="s">
        <v>6019</v>
      </c>
      <c r="J26" s="168" t="s">
        <v>6027</v>
      </c>
      <c r="K26" s="172" t="s">
        <v>5975</v>
      </c>
      <c r="L26" s="172"/>
      <c r="M26" s="173"/>
      <c r="N26" s="166"/>
      <c r="O26" s="174"/>
      <c r="P26" s="30">
        <v>46023</v>
      </c>
      <c r="Q26" s="31"/>
      <c r="R26" s="30">
        <v>46023</v>
      </c>
      <c r="S26" s="32" t="s">
        <v>292</v>
      </c>
      <c r="T26" s="33" t="s">
        <v>5962</v>
      </c>
      <c r="U26" s="34" t="s">
        <v>294</v>
      </c>
    </row>
    <row r="27" spans="1:21" ht="15.75" customHeight="1" x14ac:dyDescent="0.3">
      <c r="A27" s="175">
        <v>22</v>
      </c>
      <c r="B27" s="176" t="s">
        <v>5893</v>
      </c>
      <c r="C27" s="177" t="s">
        <v>6017</v>
      </c>
      <c r="D27" s="178" t="s">
        <v>6017</v>
      </c>
      <c r="E27" s="179" t="s">
        <v>5964</v>
      </c>
      <c r="F27" s="180" t="s">
        <v>769</v>
      </c>
      <c r="G27" s="181" t="s">
        <v>6028</v>
      </c>
      <c r="H27" s="179" t="s">
        <v>368</v>
      </c>
      <c r="I27" s="182" t="s">
        <v>6019</v>
      </c>
      <c r="J27" s="179" t="s">
        <v>6029</v>
      </c>
      <c r="K27" s="183" t="s">
        <v>5975</v>
      </c>
      <c r="L27" s="183"/>
      <c r="M27" s="184"/>
      <c r="N27" s="177"/>
      <c r="O27" s="185"/>
      <c r="P27" s="38">
        <v>46023</v>
      </c>
      <c r="Q27" s="39"/>
      <c r="R27" s="38">
        <v>46023</v>
      </c>
      <c r="S27" s="40" t="s">
        <v>292</v>
      </c>
      <c r="T27" s="41" t="s">
        <v>5962</v>
      </c>
      <c r="U27" s="42" t="s">
        <v>294</v>
      </c>
    </row>
    <row r="28" spans="1:21" ht="15.75" customHeight="1" x14ac:dyDescent="0.3">
      <c r="A28" s="164">
        <v>23</v>
      </c>
      <c r="B28" s="186" t="s">
        <v>5893</v>
      </c>
      <c r="C28" s="166" t="s">
        <v>6017</v>
      </c>
      <c r="D28" s="167" t="s">
        <v>6017</v>
      </c>
      <c r="E28" s="168" t="s">
        <v>5964</v>
      </c>
      <c r="F28" s="169" t="s">
        <v>1063</v>
      </c>
      <c r="G28" s="170" t="s">
        <v>6030</v>
      </c>
      <c r="H28" s="168" t="s">
        <v>554</v>
      </c>
      <c r="I28" s="171" t="s">
        <v>6019</v>
      </c>
      <c r="J28" s="168" t="s">
        <v>6031</v>
      </c>
      <c r="K28" s="172" t="s">
        <v>5975</v>
      </c>
      <c r="L28" s="172"/>
      <c r="M28" s="173"/>
      <c r="N28" s="166"/>
      <c r="O28" s="174"/>
      <c r="P28" s="30">
        <v>46023</v>
      </c>
      <c r="Q28" s="31"/>
      <c r="R28" s="30">
        <v>46023</v>
      </c>
      <c r="S28" s="32" t="s">
        <v>292</v>
      </c>
      <c r="T28" s="33" t="s">
        <v>5962</v>
      </c>
      <c r="U28" s="34" t="s">
        <v>294</v>
      </c>
    </row>
    <row r="29" spans="1:21" ht="15.75" customHeight="1" x14ac:dyDescent="0.3">
      <c r="A29" s="175">
        <v>24</v>
      </c>
      <c r="B29" s="176" t="s">
        <v>5893</v>
      </c>
      <c r="C29" s="177" t="s">
        <v>6017</v>
      </c>
      <c r="D29" s="178" t="s">
        <v>6017</v>
      </c>
      <c r="E29" s="179" t="s">
        <v>5964</v>
      </c>
      <c r="F29" s="180" t="s">
        <v>803</v>
      </c>
      <c r="G29" s="181" t="s">
        <v>6032</v>
      </c>
      <c r="H29" s="179" t="s">
        <v>477</v>
      </c>
      <c r="I29" s="182" t="s">
        <v>6019</v>
      </c>
      <c r="J29" s="179" t="s">
        <v>6033</v>
      </c>
      <c r="K29" s="183" t="s">
        <v>5975</v>
      </c>
      <c r="L29" s="183"/>
      <c r="M29" s="184"/>
      <c r="N29" s="177"/>
      <c r="O29" s="185"/>
      <c r="P29" s="38">
        <v>46023</v>
      </c>
      <c r="Q29" s="39"/>
      <c r="R29" s="38">
        <v>46023</v>
      </c>
      <c r="S29" s="40" t="s">
        <v>292</v>
      </c>
      <c r="T29" s="41" t="s">
        <v>5962</v>
      </c>
      <c r="U29" s="42" t="s">
        <v>294</v>
      </c>
    </row>
    <row r="30" spans="1:21" ht="15.75" customHeight="1" x14ac:dyDescent="0.3">
      <c r="A30" s="164">
        <v>25</v>
      </c>
      <c r="B30" s="186" t="s">
        <v>5893</v>
      </c>
      <c r="C30" s="166" t="s">
        <v>6017</v>
      </c>
      <c r="D30" s="167" t="s">
        <v>6017</v>
      </c>
      <c r="E30" s="168" t="s">
        <v>5964</v>
      </c>
      <c r="F30" s="169" t="s">
        <v>5913</v>
      </c>
      <c r="G30" s="170" t="s">
        <v>6034</v>
      </c>
      <c r="H30" s="168" t="s">
        <v>429</v>
      </c>
      <c r="I30" s="171" t="s">
        <v>6019</v>
      </c>
      <c r="J30" s="168" t="s">
        <v>6035</v>
      </c>
      <c r="K30" s="172" t="s">
        <v>5975</v>
      </c>
      <c r="L30" s="172"/>
      <c r="M30" s="173"/>
      <c r="N30" s="166"/>
      <c r="O30" s="174"/>
      <c r="P30" s="30">
        <v>46023</v>
      </c>
      <c r="Q30" s="31"/>
      <c r="R30" s="30">
        <v>46023</v>
      </c>
      <c r="S30" s="32" t="s">
        <v>292</v>
      </c>
      <c r="T30" s="33" t="s">
        <v>5962</v>
      </c>
      <c r="U30" s="34" t="s">
        <v>294</v>
      </c>
    </row>
    <row r="31" spans="1:21" ht="15.75" customHeight="1" x14ac:dyDescent="0.3">
      <c r="A31" s="175">
        <v>26</v>
      </c>
      <c r="B31" s="176" t="s">
        <v>5893</v>
      </c>
      <c r="C31" s="177" t="s">
        <v>6017</v>
      </c>
      <c r="D31" s="178" t="s">
        <v>6017</v>
      </c>
      <c r="E31" s="179" t="s">
        <v>5964</v>
      </c>
      <c r="F31" s="180" t="s">
        <v>5919</v>
      </c>
      <c r="G31" s="181" t="s">
        <v>6036</v>
      </c>
      <c r="H31" s="179" t="s">
        <v>340</v>
      </c>
      <c r="I31" s="182" t="s">
        <v>6019</v>
      </c>
      <c r="J31" s="179" t="s">
        <v>6037</v>
      </c>
      <c r="K31" s="183" t="s">
        <v>5975</v>
      </c>
      <c r="L31" s="183"/>
      <c r="M31" s="184"/>
      <c r="N31" s="177"/>
      <c r="O31" s="185"/>
      <c r="P31" s="38">
        <v>46023</v>
      </c>
      <c r="Q31" s="39"/>
      <c r="R31" s="38">
        <v>46023</v>
      </c>
      <c r="S31" s="40" t="s">
        <v>292</v>
      </c>
      <c r="T31" s="41" t="s">
        <v>5962</v>
      </c>
      <c r="U31" s="42" t="s">
        <v>294</v>
      </c>
    </row>
    <row r="32" spans="1:21" ht="15.75" customHeight="1" x14ac:dyDescent="0.3">
      <c r="A32" s="164">
        <v>27</v>
      </c>
      <c r="B32" s="165" t="s">
        <v>5903</v>
      </c>
      <c r="C32" s="166" t="s">
        <v>6038</v>
      </c>
      <c r="D32" s="167" t="s">
        <v>6038</v>
      </c>
      <c r="E32" s="168" t="s">
        <v>6039</v>
      </c>
      <c r="F32" s="169" t="s">
        <v>5815</v>
      </c>
      <c r="G32" s="170" t="s">
        <v>6040</v>
      </c>
      <c r="H32" s="168" t="s">
        <v>288</v>
      </c>
      <c r="I32" s="171" t="s">
        <v>6041</v>
      </c>
      <c r="J32" s="168" t="s">
        <v>6042</v>
      </c>
      <c r="K32" s="168" t="s">
        <v>6042</v>
      </c>
      <c r="L32" s="172" t="s">
        <v>6043</v>
      </c>
      <c r="M32" s="173" t="s">
        <v>6044</v>
      </c>
      <c r="N32" s="166" t="s">
        <v>6045</v>
      </c>
      <c r="O32" s="174" t="s">
        <v>6046</v>
      </c>
      <c r="P32" s="30">
        <v>46023</v>
      </c>
      <c r="Q32" s="31"/>
      <c r="R32" s="30">
        <v>46023</v>
      </c>
      <c r="S32" s="32" t="s">
        <v>292</v>
      </c>
      <c r="T32" s="33" t="s">
        <v>5962</v>
      </c>
      <c r="U32" s="34" t="s">
        <v>294</v>
      </c>
    </row>
    <row r="33" spans="1:21" ht="15.75" customHeight="1" x14ac:dyDescent="0.3">
      <c r="A33" s="175">
        <v>28</v>
      </c>
      <c r="B33" s="176" t="s">
        <v>5903</v>
      </c>
      <c r="C33" s="177" t="s">
        <v>6038</v>
      </c>
      <c r="D33" s="178" t="s">
        <v>6038</v>
      </c>
      <c r="E33" s="179" t="s">
        <v>6039</v>
      </c>
      <c r="F33" s="180" t="s">
        <v>5861</v>
      </c>
      <c r="G33" s="181" t="s">
        <v>6047</v>
      </c>
      <c r="H33" s="179" t="s">
        <v>500</v>
      </c>
      <c r="I33" s="182" t="s">
        <v>6041</v>
      </c>
      <c r="J33" s="179" t="s">
        <v>6048</v>
      </c>
      <c r="K33" s="183" t="s">
        <v>5975</v>
      </c>
      <c r="L33" s="183"/>
      <c r="M33" s="184"/>
      <c r="N33" s="177"/>
      <c r="O33" s="185"/>
      <c r="P33" s="38">
        <v>46023</v>
      </c>
      <c r="Q33" s="39"/>
      <c r="R33" s="38">
        <v>46023</v>
      </c>
      <c r="S33" s="40" t="s">
        <v>292</v>
      </c>
      <c r="T33" s="41" t="s">
        <v>5962</v>
      </c>
      <c r="U33" s="42" t="s">
        <v>294</v>
      </c>
    </row>
    <row r="34" spans="1:21" ht="15.75" customHeight="1" x14ac:dyDescent="0.3">
      <c r="A34" s="164">
        <v>29</v>
      </c>
      <c r="B34" s="186" t="s">
        <v>5903</v>
      </c>
      <c r="C34" s="166" t="s">
        <v>6038</v>
      </c>
      <c r="D34" s="167" t="s">
        <v>6038</v>
      </c>
      <c r="E34" s="168" t="s">
        <v>6039</v>
      </c>
      <c r="F34" s="169" t="s">
        <v>5895</v>
      </c>
      <c r="G34" s="170" t="s">
        <v>6049</v>
      </c>
      <c r="H34" s="168" t="s">
        <v>368</v>
      </c>
      <c r="I34" s="171" t="s">
        <v>6041</v>
      </c>
      <c r="J34" s="168" t="s">
        <v>6029</v>
      </c>
      <c r="K34" s="172" t="s">
        <v>5975</v>
      </c>
      <c r="L34" s="172"/>
      <c r="M34" s="173"/>
      <c r="N34" s="166"/>
      <c r="O34" s="174"/>
      <c r="P34" s="30">
        <v>46023</v>
      </c>
      <c r="Q34" s="31"/>
      <c r="R34" s="30">
        <v>46023</v>
      </c>
      <c r="S34" s="32" t="s">
        <v>292</v>
      </c>
      <c r="T34" s="33" t="s">
        <v>5962</v>
      </c>
      <c r="U34" s="34" t="s">
        <v>294</v>
      </c>
    </row>
    <row r="35" spans="1:21" ht="21.75" customHeight="1" x14ac:dyDescent="0.3">
      <c r="A35" s="280" t="s">
        <v>6050</v>
      </c>
      <c r="B35" s="280"/>
      <c r="C35" s="280"/>
      <c r="D35" s="280"/>
      <c r="E35" s="280"/>
      <c r="F35" s="280"/>
      <c r="G35" s="280"/>
      <c r="H35" s="280"/>
      <c r="I35" s="280"/>
      <c r="J35" s="280"/>
      <c r="K35" s="280"/>
      <c r="L35" s="280"/>
      <c r="M35" s="280"/>
      <c r="N35" s="280"/>
      <c r="O35" s="280"/>
      <c r="P35" s="38">
        <v>46023</v>
      </c>
      <c r="Q35" s="39"/>
      <c r="R35" s="38">
        <v>46023</v>
      </c>
      <c r="S35" s="40" t="s">
        <v>292</v>
      </c>
      <c r="T35" s="41" t="s">
        <v>5962</v>
      </c>
      <c r="U35" s="42" t="s">
        <v>294</v>
      </c>
    </row>
    <row r="36" spans="1:21" ht="15.75" customHeight="1" x14ac:dyDescent="0.3">
      <c r="A36" s="188">
        <v>30</v>
      </c>
      <c r="B36" s="189" t="s">
        <v>818</v>
      </c>
      <c r="C36" s="190" t="s">
        <v>6051</v>
      </c>
      <c r="D36" s="191" t="s">
        <v>6051</v>
      </c>
      <c r="E36" s="192" t="s">
        <v>6052</v>
      </c>
      <c r="F36" s="193" t="s">
        <v>5816</v>
      </c>
      <c r="G36" s="194" t="s">
        <v>6053</v>
      </c>
      <c r="H36" s="192" t="s">
        <v>288</v>
      </c>
      <c r="I36" s="195" t="s">
        <v>6054</v>
      </c>
      <c r="J36" s="192" t="s">
        <v>6055</v>
      </c>
      <c r="K36" s="192" t="s">
        <v>6056</v>
      </c>
      <c r="L36" s="196" t="s">
        <v>6057</v>
      </c>
      <c r="M36" s="197" t="s">
        <v>6058</v>
      </c>
      <c r="N36" s="190" t="s">
        <v>6059</v>
      </c>
      <c r="O36" s="198" t="s">
        <v>6060</v>
      </c>
      <c r="P36" s="30">
        <v>46023</v>
      </c>
      <c r="Q36" s="31"/>
      <c r="R36" s="30">
        <v>46023</v>
      </c>
      <c r="S36" s="32" t="s">
        <v>292</v>
      </c>
      <c r="T36" s="33" t="s">
        <v>5962</v>
      </c>
      <c r="U36" s="34" t="s">
        <v>294</v>
      </c>
    </row>
    <row r="37" spans="1:21" ht="15.75" customHeight="1" x14ac:dyDescent="0.3">
      <c r="A37" s="175">
        <v>31</v>
      </c>
      <c r="B37" s="199" t="s">
        <v>818</v>
      </c>
      <c r="C37" s="177" t="s">
        <v>6051</v>
      </c>
      <c r="D37" s="178" t="s">
        <v>6051</v>
      </c>
      <c r="E37" s="179" t="s">
        <v>6052</v>
      </c>
      <c r="F37" s="180" t="s">
        <v>5862</v>
      </c>
      <c r="G37" s="181" t="s">
        <v>6061</v>
      </c>
      <c r="H37" s="179" t="s">
        <v>288</v>
      </c>
      <c r="I37" s="182" t="s">
        <v>6054</v>
      </c>
      <c r="J37" s="179" t="s">
        <v>5974</v>
      </c>
      <c r="K37" s="183" t="s">
        <v>5975</v>
      </c>
      <c r="L37" s="183"/>
      <c r="M37" s="184"/>
      <c r="N37" s="177"/>
      <c r="O37" s="185"/>
      <c r="P37" s="38">
        <v>46023</v>
      </c>
      <c r="Q37" s="39"/>
      <c r="R37" s="38">
        <v>46023</v>
      </c>
      <c r="S37" s="40" t="s">
        <v>292</v>
      </c>
      <c r="T37" s="41" t="s">
        <v>5962</v>
      </c>
      <c r="U37" s="42" t="s">
        <v>294</v>
      </c>
    </row>
    <row r="38" spans="1:21" ht="15.75" customHeight="1" x14ac:dyDescent="0.3">
      <c r="A38" s="188">
        <v>32</v>
      </c>
      <c r="B38" s="200" t="s">
        <v>818</v>
      </c>
      <c r="C38" s="190" t="s">
        <v>6051</v>
      </c>
      <c r="D38" s="191" t="s">
        <v>6051</v>
      </c>
      <c r="E38" s="192" t="s">
        <v>6052</v>
      </c>
      <c r="F38" s="193" t="s">
        <v>5896</v>
      </c>
      <c r="G38" s="194" t="s">
        <v>6062</v>
      </c>
      <c r="H38" s="192" t="s">
        <v>500</v>
      </c>
      <c r="I38" s="195" t="s">
        <v>6054</v>
      </c>
      <c r="J38" s="192" t="s">
        <v>6063</v>
      </c>
      <c r="K38" s="196" t="s">
        <v>5975</v>
      </c>
      <c r="L38" s="196"/>
      <c r="M38" s="197"/>
      <c r="N38" s="190"/>
      <c r="O38" s="198"/>
      <c r="P38" s="30">
        <v>46023</v>
      </c>
      <c r="Q38" s="31"/>
      <c r="R38" s="30">
        <v>46023</v>
      </c>
      <c r="S38" s="32" t="s">
        <v>292</v>
      </c>
      <c r="T38" s="33" t="s">
        <v>5962</v>
      </c>
      <c r="U38" s="34" t="s">
        <v>294</v>
      </c>
    </row>
    <row r="39" spans="1:21" ht="15.75" customHeight="1" x14ac:dyDescent="0.3">
      <c r="A39" s="175">
        <v>33</v>
      </c>
      <c r="B39" s="199" t="s">
        <v>818</v>
      </c>
      <c r="C39" s="177" t="s">
        <v>6051</v>
      </c>
      <c r="D39" s="178" t="s">
        <v>6051</v>
      </c>
      <c r="E39" s="179" t="s">
        <v>6052</v>
      </c>
      <c r="F39" s="180" t="s">
        <v>944</v>
      </c>
      <c r="G39" s="181" t="s">
        <v>6064</v>
      </c>
      <c r="H39" s="179" t="s">
        <v>554</v>
      </c>
      <c r="I39" s="182" t="s">
        <v>6054</v>
      </c>
      <c r="J39" s="179" t="s">
        <v>6065</v>
      </c>
      <c r="K39" s="183" t="s">
        <v>5975</v>
      </c>
      <c r="L39" s="183"/>
      <c r="M39" s="184"/>
      <c r="N39" s="177"/>
      <c r="O39" s="185"/>
      <c r="P39" s="38">
        <v>46023</v>
      </c>
      <c r="Q39" s="39"/>
      <c r="R39" s="38">
        <v>46023</v>
      </c>
      <c r="S39" s="40" t="s">
        <v>292</v>
      </c>
      <c r="T39" s="41" t="s">
        <v>5962</v>
      </c>
      <c r="U39" s="42" t="s">
        <v>294</v>
      </c>
    </row>
    <row r="40" spans="1:21" ht="15.75" customHeight="1" x14ac:dyDescent="0.3">
      <c r="A40" s="188">
        <v>34</v>
      </c>
      <c r="B40" s="200" t="s">
        <v>818</v>
      </c>
      <c r="C40" s="190" t="s">
        <v>6051</v>
      </c>
      <c r="D40" s="191" t="s">
        <v>6051</v>
      </c>
      <c r="E40" s="192" t="s">
        <v>6052</v>
      </c>
      <c r="F40" s="193" t="s">
        <v>5908</v>
      </c>
      <c r="G40" s="194" t="s">
        <v>6066</v>
      </c>
      <c r="H40" s="192" t="s">
        <v>368</v>
      </c>
      <c r="I40" s="195" t="s">
        <v>6054</v>
      </c>
      <c r="J40" s="192" t="s">
        <v>6029</v>
      </c>
      <c r="K40" s="196" t="s">
        <v>5975</v>
      </c>
      <c r="L40" s="196"/>
      <c r="M40" s="197"/>
      <c r="N40" s="190"/>
      <c r="O40" s="198"/>
      <c r="P40" s="30">
        <v>46023</v>
      </c>
      <c r="Q40" s="31"/>
      <c r="R40" s="30">
        <v>46023</v>
      </c>
      <c r="S40" s="32" t="s">
        <v>292</v>
      </c>
      <c r="T40" s="33" t="s">
        <v>5962</v>
      </c>
      <c r="U40" s="34" t="s">
        <v>294</v>
      </c>
    </row>
    <row r="41" spans="1:21" ht="15.75" customHeight="1" x14ac:dyDescent="0.3">
      <c r="A41" s="175">
        <v>35</v>
      </c>
      <c r="B41" s="201" t="s">
        <v>5911</v>
      </c>
      <c r="C41" s="177" t="s">
        <v>6067</v>
      </c>
      <c r="D41" s="178" t="s">
        <v>6067</v>
      </c>
      <c r="E41" s="179" t="s">
        <v>6052</v>
      </c>
      <c r="F41" s="180" t="s">
        <v>5817</v>
      </c>
      <c r="G41" s="181" t="s">
        <v>6068</v>
      </c>
      <c r="H41" s="179" t="s">
        <v>288</v>
      </c>
      <c r="I41" s="182" t="s">
        <v>6069</v>
      </c>
      <c r="J41" s="179" t="s">
        <v>6070</v>
      </c>
      <c r="K41" s="179" t="s">
        <v>6071</v>
      </c>
      <c r="L41" s="183" t="s">
        <v>6072</v>
      </c>
      <c r="M41" s="184" t="s">
        <v>6073</v>
      </c>
      <c r="N41" s="177" t="s">
        <v>6074</v>
      </c>
      <c r="O41" s="185" t="s">
        <v>6075</v>
      </c>
      <c r="P41" s="38">
        <v>46023</v>
      </c>
      <c r="Q41" s="39"/>
      <c r="R41" s="38">
        <v>46023</v>
      </c>
      <c r="S41" s="40" t="s">
        <v>292</v>
      </c>
      <c r="T41" s="41" t="s">
        <v>5962</v>
      </c>
      <c r="U41" s="42" t="s">
        <v>294</v>
      </c>
    </row>
    <row r="42" spans="1:21" ht="15.75" customHeight="1" x14ac:dyDescent="0.3">
      <c r="A42" s="188">
        <v>36</v>
      </c>
      <c r="B42" s="200" t="s">
        <v>5911</v>
      </c>
      <c r="C42" s="190" t="s">
        <v>6067</v>
      </c>
      <c r="D42" s="191" t="s">
        <v>6067</v>
      </c>
      <c r="E42" s="192" t="s">
        <v>6052</v>
      </c>
      <c r="F42" s="193" t="s">
        <v>5863</v>
      </c>
      <c r="G42" s="194" t="s">
        <v>6076</v>
      </c>
      <c r="H42" s="192" t="s">
        <v>500</v>
      </c>
      <c r="I42" s="195" t="s">
        <v>6069</v>
      </c>
      <c r="J42" s="192" t="s">
        <v>6077</v>
      </c>
      <c r="K42" s="196" t="s">
        <v>5975</v>
      </c>
      <c r="L42" s="196"/>
      <c r="M42" s="197"/>
      <c r="N42" s="190"/>
      <c r="O42" s="198"/>
      <c r="P42" s="30">
        <v>46023</v>
      </c>
      <c r="Q42" s="31"/>
      <c r="R42" s="30">
        <v>46023</v>
      </c>
      <c r="S42" s="32" t="s">
        <v>292</v>
      </c>
      <c r="T42" s="33" t="s">
        <v>5962</v>
      </c>
      <c r="U42" s="34" t="s">
        <v>294</v>
      </c>
    </row>
    <row r="43" spans="1:21" ht="15.75" customHeight="1" x14ac:dyDescent="0.3">
      <c r="A43" s="175">
        <v>37</v>
      </c>
      <c r="B43" s="199" t="s">
        <v>5911</v>
      </c>
      <c r="C43" s="177" t="s">
        <v>6067</v>
      </c>
      <c r="D43" s="178" t="s">
        <v>6067</v>
      </c>
      <c r="E43" s="179" t="s">
        <v>6052</v>
      </c>
      <c r="F43" s="180" t="s">
        <v>5897</v>
      </c>
      <c r="G43" s="181" t="s">
        <v>6078</v>
      </c>
      <c r="H43" s="179" t="s">
        <v>554</v>
      </c>
      <c r="I43" s="182" t="s">
        <v>6069</v>
      </c>
      <c r="J43" s="179" t="s">
        <v>6031</v>
      </c>
      <c r="K43" s="183" t="s">
        <v>5975</v>
      </c>
      <c r="L43" s="183"/>
      <c r="M43" s="184"/>
      <c r="N43" s="177"/>
      <c r="O43" s="185"/>
      <c r="P43" s="38">
        <v>46023</v>
      </c>
      <c r="Q43" s="39"/>
      <c r="R43" s="38">
        <v>46023</v>
      </c>
      <c r="S43" s="40" t="s">
        <v>292</v>
      </c>
      <c r="T43" s="41" t="s">
        <v>5962</v>
      </c>
      <c r="U43" s="42" t="s">
        <v>294</v>
      </c>
    </row>
    <row r="44" spans="1:21" ht="15.75" customHeight="1" x14ac:dyDescent="0.3">
      <c r="A44" s="188">
        <v>38</v>
      </c>
      <c r="B44" s="189" t="s">
        <v>5916</v>
      </c>
      <c r="C44" s="190" t="s">
        <v>6079</v>
      </c>
      <c r="D44" s="191" t="s">
        <v>6079</v>
      </c>
      <c r="E44" s="192" t="s">
        <v>6052</v>
      </c>
      <c r="F44" s="193" t="s">
        <v>5818</v>
      </c>
      <c r="G44" s="194" t="s">
        <v>6080</v>
      </c>
      <c r="H44" s="192" t="s">
        <v>288</v>
      </c>
      <c r="I44" s="195" t="s">
        <v>6081</v>
      </c>
      <c r="J44" s="192" t="s">
        <v>6082</v>
      </c>
      <c r="K44" s="192" t="s">
        <v>6083</v>
      </c>
      <c r="L44" s="196" t="s">
        <v>6084</v>
      </c>
      <c r="M44" s="197" t="s">
        <v>6085</v>
      </c>
      <c r="N44" s="190" t="s">
        <v>6086</v>
      </c>
      <c r="O44" s="198" t="s">
        <v>6087</v>
      </c>
      <c r="P44" s="30">
        <v>46023</v>
      </c>
      <c r="Q44" s="31"/>
      <c r="R44" s="30">
        <v>46023</v>
      </c>
      <c r="S44" s="32" t="s">
        <v>292</v>
      </c>
      <c r="T44" s="33" t="s">
        <v>5962</v>
      </c>
      <c r="U44" s="34" t="s">
        <v>294</v>
      </c>
    </row>
    <row r="45" spans="1:21" ht="15.75" customHeight="1" x14ac:dyDescent="0.3">
      <c r="A45" s="175">
        <v>39</v>
      </c>
      <c r="B45" s="199" t="s">
        <v>5916</v>
      </c>
      <c r="C45" s="177" t="s">
        <v>6079</v>
      </c>
      <c r="D45" s="178" t="s">
        <v>6079</v>
      </c>
      <c r="E45" s="179" t="s">
        <v>6052</v>
      </c>
      <c r="F45" s="180" t="s">
        <v>5864</v>
      </c>
      <c r="G45" s="181" t="s">
        <v>6088</v>
      </c>
      <c r="H45" s="179" t="s">
        <v>500</v>
      </c>
      <c r="I45" s="182" t="s">
        <v>6081</v>
      </c>
      <c r="J45" s="179" t="s">
        <v>6089</v>
      </c>
      <c r="K45" s="183" t="s">
        <v>5975</v>
      </c>
      <c r="L45" s="183"/>
      <c r="M45" s="184"/>
      <c r="N45" s="177"/>
      <c r="O45" s="185"/>
      <c r="P45" s="38">
        <v>46023</v>
      </c>
      <c r="Q45" s="39"/>
      <c r="R45" s="38">
        <v>46023</v>
      </c>
      <c r="S45" s="40" t="s">
        <v>292</v>
      </c>
      <c r="T45" s="41" t="s">
        <v>5962</v>
      </c>
      <c r="U45" s="42" t="s">
        <v>294</v>
      </c>
    </row>
    <row r="46" spans="1:21" ht="15.75" customHeight="1" x14ac:dyDescent="0.3">
      <c r="A46" s="188">
        <v>40</v>
      </c>
      <c r="B46" s="189" t="s">
        <v>5921</v>
      </c>
      <c r="C46" s="190" t="s">
        <v>6090</v>
      </c>
      <c r="D46" s="191" t="s">
        <v>6090</v>
      </c>
      <c r="E46" s="192" t="s">
        <v>6052</v>
      </c>
      <c r="F46" s="193" t="s">
        <v>5819</v>
      </c>
      <c r="G46" s="194" t="s">
        <v>6091</v>
      </c>
      <c r="H46" s="192" t="s">
        <v>288</v>
      </c>
      <c r="I46" s="195" t="s">
        <v>6092</v>
      </c>
      <c r="J46" s="192" t="s">
        <v>6093</v>
      </c>
      <c r="K46" s="192" t="s">
        <v>6093</v>
      </c>
      <c r="L46" s="196" t="s">
        <v>6094</v>
      </c>
      <c r="M46" s="197" t="s">
        <v>6095</v>
      </c>
      <c r="N46" s="190" t="s">
        <v>6096</v>
      </c>
      <c r="O46" s="198" t="s">
        <v>6097</v>
      </c>
      <c r="P46" s="30">
        <v>46023</v>
      </c>
      <c r="Q46" s="31"/>
      <c r="R46" s="30">
        <v>46023</v>
      </c>
      <c r="S46" s="32" t="s">
        <v>292</v>
      </c>
      <c r="T46" s="33" t="s">
        <v>5962</v>
      </c>
      <c r="U46" s="34" t="s">
        <v>294</v>
      </c>
    </row>
    <row r="47" spans="1:21" ht="15.75" customHeight="1" x14ac:dyDescent="0.3">
      <c r="A47" s="175">
        <v>41</v>
      </c>
      <c r="B47" s="199" t="s">
        <v>5921</v>
      </c>
      <c r="C47" s="177" t="s">
        <v>6090</v>
      </c>
      <c r="D47" s="178" t="s">
        <v>6090</v>
      </c>
      <c r="E47" s="179" t="s">
        <v>6052</v>
      </c>
      <c r="F47" s="180" t="s">
        <v>5865</v>
      </c>
      <c r="G47" s="181" t="s">
        <v>6098</v>
      </c>
      <c r="H47" s="179" t="s">
        <v>368</v>
      </c>
      <c r="I47" s="182" t="s">
        <v>6092</v>
      </c>
      <c r="J47" s="179" t="s">
        <v>6029</v>
      </c>
      <c r="K47" s="183" t="s">
        <v>5975</v>
      </c>
      <c r="L47" s="183"/>
      <c r="M47" s="184"/>
      <c r="N47" s="177"/>
      <c r="O47" s="185"/>
      <c r="P47" s="38">
        <v>46023</v>
      </c>
      <c r="Q47" s="39"/>
      <c r="R47" s="38">
        <v>46023</v>
      </c>
      <c r="S47" s="40" t="s">
        <v>292</v>
      </c>
      <c r="T47" s="41" t="s">
        <v>5962</v>
      </c>
      <c r="U47" s="42" t="s">
        <v>294</v>
      </c>
    </row>
    <row r="48" spans="1:21" ht="15.75" customHeight="1" x14ac:dyDescent="0.3">
      <c r="A48" s="188">
        <v>42</v>
      </c>
      <c r="B48" s="200" t="s">
        <v>5921</v>
      </c>
      <c r="C48" s="190" t="s">
        <v>6090</v>
      </c>
      <c r="D48" s="191" t="s">
        <v>6090</v>
      </c>
      <c r="E48" s="192" t="s">
        <v>6052</v>
      </c>
      <c r="F48" s="193" t="s">
        <v>5898</v>
      </c>
      <c r="G48" s="194" t="s">
        <v>6099</v>
      </c>
      <c r="H48" s="192" t="s">
        <v>329</v>
      </c>
      <c r="I48" s="195" t="s">
        <v>6092</v>
      </c>
      <c r="J48" s="192" t="s">
        <v>6100</v>
      </c>
      <c r="K48" s="196" t="s">
        <v>5975</v>
      </c>
      <c r="L48" s="196"/>
      <c r="M48" s="197"/>
      <c r="N48" s="190"/>
      <c r="O48" s="198"/>
      <c r="P48" s="30">
        <v>46023</v>
      </c>
      <c r="Q48" s="31"/>
      <c r="R48" s="30">
        <v>46023</v>
      </c>
      <c r="S48" s="32" t="s">
        <v>292</v>
      </c>
      <c r="T48" s="33" t="s">
        <v>5962</v>
      </c>
      <c r="U48" s="34" t="s">
        <v>294</v>
      </c>
    </row>
    <row r="49" spans="1:21" ht="21.75" customHeight="1" x14ac:dyDescent="0.3">
      <c r="A49" s="281" t="s">
        <v>6101</v>
      </c>
      <c r="B49" s="281"/>
      <c r="C49" s="281"/>
      <c r="D49" s="281"/>
      <c r="E49" s="281"/>
      <c r="F49" s="281"/>
      <c r="G49" s="281"/>
      <c r="H49" s="281"/>
      <c r="I49" s="281"/>
      <c r="J49" s="281"/>
      <c r="K49" s="281"/>
      <c r="L49" s="281"/>
      <c r="M49" s="281"/>
      <c r="N49" s="281"/>
      <c r="O49" s="281"/>
      <c r="P49" s="38">
        <v>46023</v>
      </c>
      <c r="Q49" s="39"/>
      <c r="R49" s="38">
        <v>46023</v>
      </c>
      <c r="S49" s="40" t="s">
        <v>292</v>
      </c>
      <c r="T49" s="41" t="s">
        <v>5962</v>
      </c>
      <c r="U49" s="42" t="s">
        <v>294</v>
      </c>
    </row>
    <row r="50" spans="1:21" ht="15.75" customHeight="1" x14ac:dyDescent="0.3">
      <c r="A50" s="202">
        <v>43</v>
      </c>
      <c r="B50" s="203" t="s">
        <v>5925</v>
      </c>
      <c r="C50" s="204" t="s">
        <v>6102</v>
      </c>
      <c r="D50" s="205" t="s">
        <v>6102</v>
      </c>
      <c r="E50" s="206" t="s">
        <v>6103</v>
      </c>
      <c r="F50" s="207" t="s">
        <v>5820</v>
      </c>
      <c r="G50" s="208" t="s">
        <v>6104</v>
      </c>
      <c r="H50" s="206" t="s">
        <v>288</v>
      </c>
      <c r="I50" s="209" t="s">
        <v>6105</v>
      </c>
      <c r="J50" s="206" t="s">
        <v>6106</v>
      </c>
      <c r="K50" s="206" t="s">
        <v>6107</v>
      </c>
      <c r="L50" s="210" t="s">
        <v>6108</v>
      </c>
      <c r="M50" s="211" t="s">
        <v>6109</v>
      </c>
      <c r="N50" s="204" t="s">
        <v>6110</v>
      </c>
      <c r="O50" s="212" t="s">
        <v>6111</v>
      </c>
      <c r="P50" s="30">
        <v>46023</v>
      </c>
      <c r="Q50" s="31"/>
      <c r="R50" s="30">
        <v>46023</v>
      </c>
      <c r="S50" s="32" t="s">
        <v>292</v>
      </c>
      <c r="T50" s="33" t="s">
        <v>5962</v>
      </c>
      <c r="U50" s="34" t="s">
        <v>294</v>
      </c>
    </row>
    <row r="51" spans="1:21" ht="15.75" customHeight="1" x14ac:dyDescent="0.3">
      <c r="A51" s="175">
        <v>44</v>
      </c>
      <c r="B51" s="213" t="s">
        <v>5925</v>
      </c>
      <c r="C51" s="177" t="s">
        <v>6102</v>
      </c>
      <c r="D51" s="178" t="s">
        <v>6102</v>
      </c>
      <c r="E51" s="179" t="s">
        <v>6103</v>
      </c>
      <c r="F51" s="180" t="s">
        <v>5866</v>
      </c>
      <c r="G51" s="181" t="s">
        <v>6112</v>
      </c>
      <c r="H51" s="179" t="s">
        <v>288</v>
      </c>
      <c r="I51" s="182" t="s">
        <v>6105</v>
      </c>
      <c r="J51" s="179" t="s">
        <v>6113</v>
      </c>
      <c r="K51" s="183" t="s">
        <v>5975</v>
      </c>
      <c r="L51" s="183"/>
      <c r="M51" s="184"/>
      <c r="N51" s="177"/>
      <c r="O51" s="185"/>
      <c r="P51" s="38">
        <v>46023</v>
      </c>
      <c r="Q51" s="39"/>
      <c r="R51" s="38">
        <v>46023</v>
      </c>
      <c r="S51" s="40" t="s">
        <v>292</v>
      </c>
      <c r="T51" s="41" t="s">
        <v>5962</v>
      </c>
      <c r="U51" s="42" t="s">
        <v>294</v>
      </c>
    </row>
    <row r="52" spans="1:21" ht="15.75" customHeight="1" x14ac:dyDescent="0.3">
      <c r="A52" s="202">
        <v>45</v>
      </c>
      <c r="B52" s="214" t="s">
        <v>5925</v>
      </c>
      <c r="C52" s="204" t="s">
        <v>6102</v>
      </c>
      <c r="D52" s="205" t="s">
        <v>6102</v>
      </c>
      <c r="E52" s="206" t="s">
        <v>6103</v>
      </c>
      <c r="F52" s="207" t="s">
        <v>5899</v>
      </c>
      <c r="G52" s="208" t="s">
        <v>6114</v>
      </c>
      <c r="H52" s="206" t="s">
        <v>500</v>
      </c>
      <c r="I52" s="209" t="s">
        <v>6105</v>
      </c>
      <c r="J52" s="206" t="s">
        <v>6115</v>
      </c>
      <c r="K52" s="210" t="s">
        <v>5975</v>
      </c>
      <c r="L52" s="210"/>
      <c r="M52" s="211"/>
      <c r="N52" s="204"/>
      <c r="O52" s="212"/>
      <c r="P52" s="30">
        <v>46023</v>
      </c>
      <c r="Q52" s="31"/>
      <c r="R52" s="30">
        <v>46023</v>
      </c>
      <c r="S52" s="32" t="s">
        <v>292</v>
      </c>
      <c r="T52" s="33" t="s">
        <v>5962</v>
      </c>
      <c r="U52" s="34" t="s">
        <v>294</v>
      </c>
    </row>
    <row r="53" spans="1:21" ht="15.75" customHeight="1" x14ac:dyDescent="0.3">
      <c r="A53" s="175">
        <v>46</v>
      </c>
      <c r="B53" s="213" t="s">
        <v>5925</v>
      </c>
      <c r="C53" s="177" t="s">
        <v>6102</v>
      </c>
      <c r="D53" s="178" t="s">
        <v>6102</v>
      </c>
      <c r="E53" s="179" t="s">
        <v>6103</v>
      </c>
      <c r="F53" s="180" t="s">
        <v>5905</v>
      </c>
      <c r="G53" s="181" t="s">
        <v>6116</v>
      </c>
      <c r="H53" s="179" t="s">
        <v>554</v>
      </c>
      <c r="I53" s="182" t="s">
        <v>6105</v>
      </c>
      <c r="J53" s="179" t="s">
        <v>6065</v>
      </c>
      <c r="K53" s="183" t="s">
        <v>5975</v>
      </c>
      <c r="L53" s="183"/>
      <c r="M53" s="184"/>
      <c r="N53" s="177"/>
      <c r="O53" s="185"/>
      <c r="P53" s="38">
        <v>46023</v>
      </c>
      <c r="Q53" s="39"/>
      <c r="R53" s="38">
        <v>46023</v>
      </c>
      <c r="S53" s="40" t="s">
        <v>292</v>
      </c>
      <c r="T53" s="41" t="s">
        <v>5962</v>
      </c>
      <c r="U53" s="42" t="s">
        <v>294</v>
      </c>
    </row>
    <row r="54" spans="1:21" ht="15.75" customHeight="1" x14ac:dyDescent="0.3">
      <c r="A54" s="202">
        <v>47</v>
      </c>
      <c r="B54" s="214" t="s">
        <v>5925</v>
      </c>
      <c r="C54" s="204" t="s">
        <v>6102</v>
      </c>
      <c r="D54" s="205" t="s">
        <v>6102</v>
      </c>
      <c r="E54" s="206" t="s">
        <v>6103</v>
      </c>
      <c r="F54" s="207" t="s">
        <v>5909</v>
      </c>
      <c r="G54" s="208" t="s">
        <v>6117</v>
      </c>
      <c r="H54" s="206" t="s">
        <v>368</v>
      </c>
      <c r="I54" s="209" t="s">
        <v>6105</v>
      </c>
      <c r="J54" s="206" t="s">
        <v>6029</v>
      </c>
      <c r="K54" s="210" t="s">
        <v>5975</v>
      </c>
      <c r="L54" s="210"/>
      <c r="M54" s="211"/>
      <c r="N54" s="204"/>
      <c r="O54" s="212"/>
      <c r="P54" s="30">
        <v>46023</v>
      </c>
      <c r="Q54" s="31"/>
      <c r="R54" s="30">
        <v>46023</v>
      </c>
      <c r="S54" s="32" t="s">
        <v>292</v>
      </c>
      <c r="T54" s="33" t="s">
        <v>5962</v>
      </c>
      <c r="U54" s="34" t="s">
        <v>294</v>
      </c>
    </row>
    <row r="55" spans="1:21" ht="15.75" customHeight="1" x14ac:dyDescent="0.3">
      <c r="A55" s="175">
        <v>48</v>
      </c>
      <c r="B55" s="213" t="s">
        <v>5925</v>
      </c>
      <c r="C55" s="177" t="s">
        <v>6102</v>
      </c>
      <c r="D55" s="178" t="s">
        <v>6102</v>
      </c>
      <c r="E55" s="179" t="s">
        <v>6103</v>
      </c>
      <c r="F55" s="180" t="s">
        <v>5914</v>
      </c>
      <c r="G55" s="181" t="s">
        <v>6118</v>
      </c>
      <c r="H55" s="179" t="s">
        <v>340</v>
      </c>
      <c r="I55" s="182" t="s">
        <v>6105</v>
      </c>
      <c r="J55" s="179" t="s">
        <v>6037</v>
      </c>
      <c r="K55" s="183" t="s">
        <v>5975</v>
      </c>
      <c r="L55" s="183"/>
      <c r="M55" s="184"/>
      <c r="N55" s="177"/>
      <c r="O55" s="185"/>
      <c r="P55" s="38">
        <v>46023</v>
      </c>
      <c r="Q55" s="39"/>
      <c r="R55" s="38">
        <v>46023</v>
      </c>
      <c r="S55" s="40" t="s">
        <v>292</v>
      </c>
      <c r="T55" s="41" t="s">
        <v>5962</v>
      </c>
      <c r="U55" s="42" t="s">
        <v>294</v>
      </c>
    </row>
    <row r="56" spans="1:21" ht="15.75" customHeight="1" x14ac:dyDescent="0.3">
      <c r="A56" s="202">
        <v>49</v>
      </c>
      <c r="B56" s="203" t="s">
        <v>5927</v>
      </c>
      <c r="C56" s="204" t="s">
        <v>6119</v>
      </c>
      <c r="D56" s="205" t="s">
        <v>6119</v>
      </c>
      <c r="E56" s="206" t="s">
        <v>6103</v>
      </c>
      <c r="F56" s="207" t="s">
        <v>5821</v>
      </c>
      <c r="G56" s="208" t="s">
        <v>6120</v>
      </c>
      <c r="H56" s="206" t="s">
        <v>288</v>
      </c>
      <c r="I56" s="209" t="s">
        <v>6121</v>
      </c>
      <c r="J56" s="206" t="s">
        <v>6006</v>
      </c>
      <c r="K56" s="206" t="s">
        <v>6122</v>
      </c>
      <c r="L56" s="210" t="s">
        <v>6123</v>
      </c>
      <c r="M56" s="211" t="s">
        <v>6124</v>
      </c>
      <c r="N56" s="204" t="s">
        <v>6086</v>
      </c>
      <c r="O56" s="212" t="s">
        <v>6125</v>
      </c>
      <c r="P56" s="30">
        <v>46023</v>
      </c>
      <c r="Q56" s="31"/>
      <c r="R56" s="30">
        <v>46023</v>
      </c>
      <c r="S56" s="32" t="s">
        <v>292</v>
      </c>
      <c r="T56" s="33" t="s">
        <v>5962</v>
      </c>
      <c r="U56" s="34" t="s">
        <v>294</v>
      </c>
    </row>
    <row r="57" spans="1:21" ht="15.75" customHeight="1" x14ac:dyDescent="0.3">
      <c r="A57" s="175">
        <v>50</v>
      </c>
      <c r="B57" s="213" t="s">
        <v>5927</v>
      </c>
      <c r="C57" s="177" t="s">
        <v>6119</v>
      </c>
      <c r="D57" s="178" t="s">
        <v>6119</v>
      </c>
      <c r="E57" s="179" t="s">
        <v>6103</v>
      </c>
      <c r="F57" s="180" t="s">
        <v>5867</v>
      </c>
      <c r="G57" s="181" t="s">
        <v>6126</v>
      </c>
      <c r="H57" s="179" t="s">
        <v>500</v>
      </c>
      <c r="I57" s="182" t="s">
        <v>6121</v>
      </c>
      <c r="J57" s="179" t="s">
        <v>6077</v>
      </c>
      <c r="K57" s="183" t="s">
        <v>5975</v>
      </c>
      <c r="L57" s="183"/>
      <c r="M57" s="184"/>
      <c r="N57" s="177"/>
      <c r="O57" s="185"/>
      <c r="P57" s="38">
        <v>46023</v>
      </c>
      <c r="Q57" s="39"/>
      <c r="R57" s="38">
        <v>46023</v>
      </c>
      <c r="S57" s="40" t="s">
        <v>292</v>
      </c>
      <c r="T57" s="41" t="s">
        <v>5962</v>
      </c>
      <c r="U57" s="42" t="s">
        <v>294</v>
      </c>
    </row>
    <row r="58" spans="1:21" ht="15.75" customHeight="1" x14ac:dyDescent="0.3">
      <c r="A58" s="202">
        <v>51</v>
      </c>
      <c r="B58" s="203" t="s">
        <v>5929</v>
      </c>
      <c r="C58" s="204" t="s">
        <v>6127</v>
      </c>
      <c r="D58" s="205" t="s">
        <v>6127</v>
      </c>
      <c r="E58" s="206" t="s">
        <v>6103</v>
      </c>
      <c r="F58" s="207" t="s">
        <v>5822</v>
      </c>
      <c r="G58" s="208" t="s">
        <v>6128</v>
      </c>
      <c r="H58" s="206" t="s">
        <v>288</v>
      </c>
      <c r="I58" s="209" t="s">
        <v>6129</v>
      </c>
      <c r="J58" s="206" t="s">
        <v>6130</v>
      </c>
      <c r="K58" s="206" t="s">
        <v>6131</v>
      </c>
      <c r="L58" s="210" t="s">
        <v>6132</v>
      </c>
      <c r="M58" s="211" t="s">
        <v>6133</v>
      </c>
      <c r="N58" s="204" t="s">
        <v>6086</v>
      </c>
      <c r="O58" s="212" t="s">
        <v>6134</v>
      </c>
      <c r="P58" s="30">
        <v>46023</v>
      </c>
      <c r="Q58" s="31"/>
      <c r="R58" s="30">
        <v>46023</v>
      </c>
      <c r="S58" s="32" t="s">
        <v>292</v>
      </c>
      <c r="T58" s="33" t="s">
        <v>5962</v>
      </c>
      <c r="U58" s="34" t="s">
        <v>294</v>
      </c>
    </row>
    <row r="59" spans="1:21" ht="15.75" customHeight="1" x14ac:dyDescent="0.3">
      <c r="A59" s="175">
        <v>52</v>
      </c>
      <c r="B59" s="213" t="s">
        <v>5929</v>
      </c>
      <c r="C59" s="177" t="s">
        <v>6127</v>
      </c>
      <c r="D59" s="178" t="s">
        <v>6127</v>
      </c>
      <c r="E59" s="179" t="s">
        <v>6103</v>
      </c>
      <c r="F59" s="180" t="s">
        <v>5868</v>
      </c>
      <c r="G59" s="181" t="s">
        <v>6135</v>
      </c>
      <c r="H59" s="179" t="s">
        <v>554</v>
      </c>
      <c r="I59" s="182" t="s">
        <v>6129</v>
      </c>
      <c r="J59" s="179" t="s">
        <v>6065</v>
      </c>
      <c r="K59" s="183" t="s">
        <v>5975</v>
      </c>
      <c r="L59" s="183"/>
      <c r="M59" s="184"/>
      <c r="N59" s="177"/>
      <c r="O59" s="185"/>
      <c r="P59" s="38">
        <v>46023</v>
      </c>
      <c r="Q59" s="39"/>
      <c r="R59" s="38">
        <v>46023</v>
      </c>
      <c r="S59" s="40" t="s">
        <v>292</v>
      </c>
      <c r="T59" s="41" t="s">
        <v>5962</v>
      </c>
      <c r="U59" s="42" t="s">
        <v>294</v>
      </c>
    </row>
    <row r="60" spans="1:21" ht="15.75" customHeight="1" x14ac:dyDescent="0.3">
      <c r="A60" s="202">
        <v>53</v>
      </c>
      <c r="B60" s="203" t="s">
        <v>5931</v>
      </c>
      <c r="C60" s="204" t="s">
        <v>6136</v>
      </c>
      <c r="D60" s="205" t="s">
        <v>6136</v>
      </c>
      <c r="E60" s="206" t="s">
        <v>6103</v>
      </c>
      <c r="F60" s="207" t="s">
        <v>5823</v>
      </c>
      <c r="G60" s="208" t="s">
        <v>6137</v>
      </c>
      <c r="H60" s="206" t="s">
        <v>288</v>
      </c>
      <c r="I60" s="209" t="s">
        <v>6138</v>
      </c>
      <c r="J60" s="206" t="s">
        <v>6139</v>
      </c>
      <c r="K60" s="206" t="s">
        <v>6139</v>
      </c>
      <c r="L60" s="210" t="s">
        <v>6140</v>
      </c>
      <c r="M60" s="211" t="s">
        <v>6133</v>
      </c>
      <c r="N60" s="204" t="s">
        <v>6086</v>
      </c>
      <c r="O60" s="212" t="s">
        <v>6141</v>
      </c>
      <c r="P60" s="30">
        <v>46023</v>
      </c>
      <c r="Q60" s="31"/>
      <c r="R60" s="30">
        <v>46023</v>
      </c>
      <c r="S60" s="32" t="s">
        <v>292</v>
      </c>
      <c r="T60" s="33" t="s">
        <v>5962</v>
      </c>
      <c r="U60" s="34" t="s">
        <v>294</v>
      </c>
    </row>
    <row r="61" spans="1:21" ht="15.75" customHeight="1" x14ac:dyDescent="0.3">
      <c r="A61" s="175">
        <v>54</v>
      </c>
      <c r="B61" s="215" t="s">
        <v>5933</v>
      </c>
      <c r="C61" s="177" t="s">
        <v>6142</v>
      </c>
      <c r="D61" s="178" t="s">
        <v>6142</v>
      </c>
      <c r="E61" s="179" t="s">
        <v>6103</v>
      </c>
      <c r="F61" s="180" t="s">
        <v>5824</v>
      </c>
      <c r="G61" s="181" t="s">
        <v>6143</v>
      </c>
      <c r="H61" s="179" t="s">
        <v>288</v>
      </c>
      <c r="I61" s="182" t="s">
        <v>6144</v>
      </c>
      <c r="J61" s="179" t="s">
        <v>288</v>
      </c>
      <c r="K61" s="179" t="s">
        <v>288</v>
      </c>
      <c r="L61" s="183" t="s">
        <v>6145</v>
      </c>
      <c r="M61" s="184" t="s">
        <v>6133</v>
      </c>
      <c r="N61" s="177" t="s">
        <v>6146</v>
      </c>
      <c r="O61" s="185" t="s">
        <v>6147</v>
      </c>
      <c r="P61" s="38">
        <v>46023</v>
      </c>
      <c r="Q61" s="39"/>
      <c r="R61" s="38">
        <v>46023</v>
      </c>
      <c r="S61" s="40" t="s">
        <v>292</v>
      </c>
      <c r="T61" s="41" t="s">
        <v>5962</v>
      </c>
      <c r="U61" s="42" t="s">
        <v>294</v>
      </c>
    </row>
    <row r="62" spans="1:21" ht="21.75" customHeight="1" x14ac:dyDescent="0.3">
      <c r="A62" s="282" t="s">
        <v>6148</v>
      </c>
      <c r="B62" s="282"/>
      <c r="C62" s="282"/>
      <c r="D62" s="282"/>
      <c r="E62" s="282"/>
      <c r="F62" s="282"/>
      <c r="G62" s="282"/>
      <c r="H62" s="282"/>
      <c r="I62" s="282"/>
      <c r="J62" s="282"/>
      <c r="K62" s="282"/>
      <c r="L62" s="282"/>
      <c r="M62" s="282"/>
      <c r="N62" s="282"/>
      <c r="O62" s="282"/>
      <c r="P62" s="30">
        <v>46023</v>
      </c>
      <c r="Q62" s="31"/>
      <c r="R62" s="30">
        <v>46023</v>
      </c>
      <c r="S62" s="32" t="s">
        <v>292</v>
      </c>
      <c r="T62" s="33" t="s">
        <v>5962</v>
      </c>
      <c r="U62" s="34" t="s">
        <v>294</v>
      </c>
    </row>
    <row r="63" spans="1:21" ht="15.75" customHeight="1" x14ac:dyDescent="0.3">
      <c r="A63" s="175">
        <v>55</v>
      </c>
      <c r="B63" s="216" t="s">
        <v>5934</v>
      </c>
      <c r="C63" s="177" t="s">
        <v>6149</v>
      </c>
      <c r="D63" s="178" t="s">
        <v>6149</v>
      </c>
      <c r="E63" s="179" t="s">
        <v>6150</v>
      </c>
      <c r="F63" s="180" t="s">
        <v>5825</v>
      </c>
      <c r="G63" s="181" t="s">
        <v>6151</v>
      </c>
      <c r="H63" s="179" t="s">
        <v>288</v>
      </c>
      <c r="I63" s="182" t="s">
        <v>6152</v>
      </c>
      <c r="J63" s="179" t="s">
        <v>6153</v>
      </c>
      <c r="K63" s="179" t="s">
        <v>6153</v>
      </c>
      <c r="L63" s="183" t="s">
        <v>6154</v>
      </c>
      <c r="M63" s="184" t="s">
        <v>6155</v>
      </c>
      <c r="N63" s="177" t="s">
        <v>6096</v>
      </c>
      <c r="O63" s="185" t="s">
        <v>6156</v>
      </c>
      <c r="P63" s="38">
        <v>46023</v>
      </c>
      <c r="Q63" s="39"/>
      <c r="R63" s="38">
        <v>46023</v>
      </c>
      <c r="S63" s="40" t="s">
        <v>292</v>
      </c>
      <c r="T63" s="41" t="s">
        <v>5962</v>
      </c>
      <c r="U63" s="42" t="s">
        <v>294</v>
      </c>
    </row>
    <row r="64" spans="1:21" ht="15.75" customHeight="1" x14ac:dyDescent="0.3">
      <c r="A64" s="217">
        <v>56</v>
      </c>
      <c r="B64" s="218" t="s">
        <v>5934</v>
      </c>
      <c r="C64" s="219" t="s">
        <v>6149</v>
      </c>
      <c r="D64" s="220" t="s">
        <v>6149</v>
      </c>
      <c r="E64" s="221" t="s">
        <v>6150</v>
      </c>
      <c r="F64" s="222" t="s">
        <v>5869</v>
      </c>
      <c r="G64" s="223" t="s">
        <v>6157</v>
      </c>
      <c r="H64" s="221" t="s">
        <v>500</v>
      </c>
      <c r="I64" s="224" t="s">
        <v>6152</v>
      </c>
      <c r="J64" s="221" t="s">
        <v>6115</v>
      </c>
      <c r="K64" s="225" t="s">
        <v>5975</v>
      </c>
      <c r="L64" s="225"/>
      <c r="M64" s="226"/>
      <c r="N64" s="219"/>
      <c r="O64" s="227"/>
      <c r="P64" s="30">
        <v>46023</v>
      </c>
      <c r="Q64" s="31"/>
      <c r="R64" s="30">
        <v>46023</v>
      </c>
      <c r="S64" s="32" t="s">
        <v>292</v>
      </c>
      <c r="T64" s="33" t="s">
        <v>5962</v>
      </c>
      <c r="U64" s="34" t="s">
        <v>294</v>
      </c>
    </row>
    <row r="65" spans="1:21" ht="15.75" customHeight="1" x14ac:dyDescent="0.3">
      <c r="A65" s="175">
        <v>57</v>
      </c>
      <c r="B65" s="216" t="s">
        <v>5935</v>
      </c>
      <c r="C65" s="177" t="s">
        <v>6158</v>
      </c>
      <c r="D65" s="178" t="s">
        <v>6158</v>
      </c>
      <c r="E65" s="179" t="s">
        <v>6150</v>
      </c>
      <c r="F65" s="180" t="s">
        <v>5826</v>
      </c>
      <c r="G65" s="181" t="s">
        <v>6159</v>
      </c>
      <c r="H65" s="179" t="s">
        <v>288</v>
      </c>
      <c r="I65" s="182" t="s">
        <v>6160</v>
      </c>
      <c r="J65" s="179" t="s">
        <v>6161</v>
      </c>
      <c r="K65" s="179" t="s">
        <v>6153</v>
      </c>
      <c r="L65" s="183" t="s">
        <v>6162</v>
      </c>
      <c r="M65" s="184" t="s">
        <v>6163</v>
      </c>
      <c r="N65" s="177" t="s">
        <v>6164</v>
      </c>
      <c r="O65" s="185" t="s">
        <v>6165</v>
      </c>
      <c r="P65" s="38">
        <v>46023</v>
      </c>
      <c r="Q65" s="39"/>
      <c r="R65" s="38">
        <v>46023</v>
      </c>
      <c r="S65" s="40" t="s">
        <v>292</v>
      </c>
      <c r="T65" s="41" t="s">
        <v>5962</v>
      </c>
      <c r="U65" s="42" t="s">
        <v>294</v>
      </c>
    </row>
    <row r="66" spans="1:21" ht="15.75" customHeight="1" x14ac:dyDescent="0.3">
      <c r="A66" s="217">
        <v>58</v>
      </c>
      <c r="B66" s="218" t="s">
        <v>5935</v>
      </c>
      <c r="C66" s="219" t="s">
        <v>6158</v>
      </c>
      <c r="D66" s="220" t="s">
        <v>6158</v>
      </c>
      <c r="E66" s="221" t="s">
        <v>6150</v>
      </c>
      <c r="F66" s="222" t="s">
        <v>5870</v>
      </c>
      <c r="G66" s="223" t="s">
        <v>6166</v>
      </c>
      <c r="H66" s="221" t="s">
        <v>500</v>
      </c>
      <c r="I66" s="224" t="s">
        <v>6160</v>
      </c>
      <c r="J66" s="221" t="s">
        <v>6077</v>
      </c>
      <c r="K66" s="225" t="s">
        <v>5975</v>
      </c>
      <c r="L66" s="225"/>
      <c r="M66" s="226"/>
      <c r="N66" s="219"/>
      <c r="O66" s="227"/>
      <c r="P66" s="30">
        <v>46023</v>
      </c>
      <c r="Q66" s="31"/>
      <c r="R66" s="30">
        <v>46023</v>
      </c>
      <c r="S66" s="32" t="s">
        <v>292</v>
      </c>
      <c r="T66" s="33" t="s">
        <v>5962</v>
      </c>
      <c r="U66" s="34" t="s">
        <v>294</v>
      </c>
    </row>
    <row r="67" spans="1:21" ht="15.75" customHeight="1" x14ac:dyDescent="0.3">
      <c r="A67" s="175">
        <v>59</v>
      </c>
      <c r="B67" s="228" t="s">
        <v>5935</v>
      </c>
      <c r="C67" s="177" t="s">
        <v>6158</v>
      </c>
      <c r="D67" s="178" t="s">
        <v>6158</v>
      </c>
      <c r="E67" s="179" t="s">
        <v>6150</v>
      </c>
      <c r="F67" s="180" t="s">
        <v>5900</v>
      </c>
      <c r="G67" s="181" t="s">
        <v>6167</v>
      </c>
      <c r="H67" s="179" t="s">
        <v>554</v>
      </c>
      <c r="I67" s="182" t="s">
        <v>6160</v>
      </c>
      <c r="J67" s="179" t="s">
        <v>6031</v>
      </c>
      <c r="K67" s="183" t="s">
        <v>5975</v>
      </c>
      <c r="L67" s="183"/>
      <c r="M67" s="184"/>
      <c r="N67" s="177"/>
      <c r="O67" s="185"/>
      <c r="P67" s="38">
        <v>46023</v>
      </c>
      <c r="Q67" s="39"/>
      <c r="R67" s="38">
        <v>46023</v>
      </c>
      <c r="S67" s="40" t="s">
        <v>292</v>
      </c>
      <c r="T67" s="41" t="s">
        <v>5962</v>
      </c>
      <c r="U67" s="42" t="s">
        <v>294</v>
      </c>
    </row>
    <row r="68" spans="1:21" ht="15.75" customHeight="1" x14ac:dyDescent="0.3">
      <c r="A68" s="217">
        <v>60</v>
      </c>
      <c r="B68" s="229" t="s">
        <v>5936</v>
      </c>
      <c r="C68" s="219" t="s">
        <v>6168</v>
      </c>
      <c r="D68" s="220" t="s">
        <v>6168</v>
      </c>
      <c r="E68" s="221" t="s">
        <v>6150</v>
      </c>
      <c r="F68" s="222" t="s">
        <v>5827</v>
      </c>
      <c r="G68" s="223" t="s">
        <v>6169</v>
      </c>
      <c r="H68" s="221" t="s">
        <v>288</v>
      </c>
      <c r="I68" s="224" t="s">
        <v>6170</v>
      </c>
      <c r="J68" s="221" t="s">
        <v>288</v>
      </c>
      <c r="K68" s="221" t="s">
        <v>288</v>
      </c>
      <c r="L68" s="225" t="s">
        <v>6171</v>
      </c>
      <c r="M68" s="226" t="s">
        <v>6172</v>
      </c>
      <c r="N68" s="219" t="s">
        <v>6173</v>
      </c>
      <c r="O68" s="227" t="s">
        <v>6174</v>
      </c>
      <c r="P68" s="30">
        <v>46023</v>
      </c>
      <c r="Q68" s="31"/>
      <c r="R68" s="30">
        <v>46023</v>
      </c>
      <c r="S68" s="32" t="s">
        <v>292</v>
      </c>
      <c r="T68" s="33" t="s">
        <v>5962</v>
      </c>
      <c r="U68" s="34" t="s">
        <v>294</v>
      </c>
    </row>
    <row r="69" spans="1:21" ht="15.75" customHeight="1" x14ac:dyDescent="0.3">
      <c r="A69" s="175">
        <v>61</v>
      </c>
      <c r="B69" s="216" t="s">
        <v>5937</v>
      </c>
      <c r="C69" s="177" t="s">
        <v>6175</v>
      </c>
      <c r="D69" s="178" t="s">
        <v>6175</v>
      </c>
      <c r="E69" s="179" t="s">
        <v>6150</v>
      </c>
      <c r="F69" s="180" t="s">
        <v>5828</v>
      </c>
      <c r="G69" s="181" t="s">
        <v>6176</v>
      </c>
      <c r="H69" s="179" t="s">
        <v>288</v>
      </c>
      <c r="I69" s="182" t="s">
        <v>6177</v>
      </c>
      <c r="J69" s="179" t="s">
        <v>288</v>
      </c>
      <c r="K69" s="179" t="s">
        <v>288</v>
      </c>
      <c r="L69" s="183" t="s">
        <v>6178</v>
      </c>
      <c r="M69" s="184" t="s">
        <v>6179</v>
      </c>
      <c r="N69" s="177" t="s">
        <v>6180</v>
      </c>
      <c r="O69" s="185" t="s">
        <v>6181</v>
      </c>
      <c r="P69" s="38">
        <v>46023</v>
      </c>
      <c r="Q69" s="39"/>
      <c r="R69" s="38">
        <v>46023</v>
      </c>
      <c r="S69" s="40" t="s">
        <v>292</v>
      </c>
      <c r="T69" s="41" t="s">
        <v>5962</v>
      </c>
      <c r="U69" s="42" t="s">
        <v>294</v>
      </c>
    </row>
    <row r="70" spans="1:21" ht="15.75" customHeight="1" x14ac:dyDescent="0.3">
      <c r="A70" s="217">
        <v>62</v>
      </c>
      <c r="B70" s="229" t="s">
        <v>5938</v>
      </c>
      <c r="C70" s="219" t="s">
        <v>6182</v>
      </c>
      <c r="D70" s="220" t="s">
        <v>6182</v>
      </c>
      <c r="E70" s="221" t="s">
        <v>6150</v>
      </c>
      <c r="F70" s="222" t="s">
        <v>5829</v>
      </c>
      <c r="G70" s="223" t="s">
        <v>6183</v>
      </c>
      <c r="H70" s="221" t="s">
        <v>288</v>
      </c>
      <c r="I70" s="224" t="s">
        <v>6184</v>
      </c>
      <c r="J70" s="221" t="s">
        <v>288</v>
      </c>
      <c r="K70" s="221" t="s">
        <v>288</v>
      </c>
      <c r="L70" s="225" t="s">
        <v>6185</v>
      </c>
      <c r="M70" s="226" t="s">
        <v>6186</v>
      </c>
      <c r="N70" s="219" t="s">
        <v>6086</v>
      </c>
      <c r="O70" s="227" t="s">
        <v>6187</v>
      </c>
      <c r="P70" s="30">
        <v>46023</v>
      </c>
      <c r="Q70" s="31"/>
      <c r="R70" s="30">
        <v>46023</v>
      </c>
      <c r="S70" s="32" t="s">
        <v>292</v>
      </c>
      <c r="T70" s="33" t="s">
        <v>5962</v>
      </c>
      <c r="U70" s="34" t="s">
        <v>294</v>
      </c>
    </row>
    <row r="71" spans="1:21" ht="15.75" customHeight="1" x14ac:dyDescent="0.3">
      <c r="A71" s="175">
        <v>63</v>
      </c>
      <c r="B71" s="228" t="s">
        <v>5938</v>
      </c>
      <c r="C71" s="177" t="s">
        <v>6182</v>
      </c>
      <c r="D71" s="178" t="s">
        <v>6182</v>
      </c>
      <c r="E71" s="179" t="s">
        <v>6150</v>
      </c>
      <c r="F71" s="180" t="s">
        <v>5871</v>
      </c>
      <c r="G71" s="181" t="s">
        <v>6188</v>
      </c>
      <c r="H71" s="179" t="s">
        <v>500</v>
      </c>
      <c r="I71" s="182" t="s">
        <v>6184</v>
      </c>
      <c r="J71" s="179" t="s">
        <v>6077</v>
      </c>
      <c r="K71" s="183" t="s">
        <v>5975</v>
      </c>
      <c r="L71" s="183"/>
      <c r="M71" s="184"/>
      <c r="N71" s="177"/>
      <c r="O71" s="185"/>
      <c r="P71" s="38">
        <v>46023</v>
      </c>
      <c r="Q71" s="39"/>
      <c r="R71" s="38">
        <v>46023</v>
      </c>
      <c r="S71" s="40" t="s">
        <v>292</v>
      </c>
      <c r="T71" s="41" t="s">
        <v>5962</v>
      </c>
      <c r="U71" s="42" t="s">
        <v>294</v>
      </c>
    </row>
    <row r="72" spans="1:21" ht="15.75" customHeight="1" x14ac:dyDescent="0.3">
      <c r="A72" s="217">
        <v>64</v>
      </c>
      <c r="B72" s="229" t="s">
        <v>5939</v>
      </c>
      <c r="C72" s="219" t="s">
        <v>6189</v>
      </c>
      <c r="D72" s="220" t="s">
        <v>6189</v>
      </c>
      <c r="E72" s="221" t="s">
        <v>6150</v>
      </c>
      <c r="F72" s="222" t="s">
        <v>5830</v>
      </c>
      <c r="G72" s="223" t="s">
        <v>6190</v>
      </c>
      <c r="H72" s="221" t="s">
        <v>288</v>
      </c>
      <c r="I72" s="224" t="s">
        <v>6191</v>
      </c>
      <c r="J72" s="221" t="s">
        <v>288</v>
      </c>
      <c r="K72" s="221" t="s">
        <v>288</v>
      </c>
      <c r="L72" s="225" t="s">
        <v>6192</v>
      </c>
      <c r="M72" s="226" t="s">
        <v>6193</v>
      </c>
      <c r="N72" s="219" t="s">
        <v>6194</v>
      </c>
      <c r="O72" s="227" t="s">
        <v>6195</v>
      </c>
      <c r="P72" s="30">
        <v>46023</v>
      </c>
      <c r="Q72" s="31"/>
      <c r="R72" s="30">
        <v>46023</v>
      </c>
      <c r="S72" s="32" t="s">
        <v>292</v>
      </c>
      <c r="T72" s="33" t="s">
        <v>5962</v>
      </c>
      <c r="U72" s="34" t="s">
        <v>294</v>
      </c>
    </row>
    <row r="73" spans="1:21" ht="15.75" customHeight="1" x14ac:dyDescent="0.3">
      <c r="A73" s="175">
        <v>65</v>
      </c>
      <c r="B73" s="216" t="s">
        <v>5940</v>
      </c>
      <c r="C73" s="177" t="s">
        <v>6196</v>
      </c>
      <c r="D73" s="178" t="s">
        <v>6196</v>
      </c>
      <c r="E73" s="179" t="s">
        <v>6150</v>
      </c>
      <c r="F73" s="180" t="s">
        <v>5831</v>
      </c>
      <c r="G73" s="181" t="s">
        <v>6197</v>
      </c>
      <c r="H73" s="179" t="s">
        <v>288</v>
      </c>
      <c r="I73" s="182" t="s">
        <v>6198</v>
      </c>
      <c r="J73" s="179" t="s">
        <v>288</v>
      </c>
      <c r="K73" s="179" t="s">
        <v>288</v>
      </c>
      <c r="L73" s="183" t="s">
        <v>6199</v>
      </c>
      <c r="M73" s="184" t="s">
        <v>6200</v>
      </c>
      <c r="N73" s="177" t="s">
        <v>6201</v>
      </c>
      <c r="O73" s="185" t="s">
        <v>6202</v>
      </c>
      <c r="P73" s="38">
        <v>46023</v>
      </c>
      <c r="Q73" s="39"/>
      <c r="R73" s="38">
        <v>46023</v>
      </c>
      <c r="S73" s="40" t="s">
        <v>292</v>
      </c>
      <c r="T73" s="41" t="s">
        <v>5962</v>
      </c>
      <c r="U73" s="42" t="s">
        <v>294</v>
      </c>
    </row>
    <row r="74" spans="1:21" ht="21.75" customHeight="1" x14ac:dyDescent="0.3">
      <c r="A74" s="283" t="s">
        <v>6203</v>
      </c>
      <c r="B74" s="283"/>
      <c r="C74" s="283"/>
      <c r="D74" s="283"/>
      <c r="E74" s="283"/>
      <c r="F74" s="283"/>
      <c r="G74" s="283"/>
      <c r="H74" s="283"/>
      <c r="I74" s="283"/>
      <c r="J74" s="283"/>
      <c r="K74" s="283"/>
      <c r="L74" s="283"/>
      <c r="M74" s="283"/>
      <c r="N74" s="283"/>
      <c r="O74" s="283"/>
      <c r="P74" s="30">
        <v>46023</v>
      </c>
      <c r="Q74" s="31"/>
      <c r="R74" s="30">
        <v>46023</v>
      </c>
      <c r="S74" s="32" t="s">
        <v>292</v>
      </c>
      <c r="T74" s="33" t="s">
        <v>5962</v>
      </c>
      <c r="U74" s="34" t="s">
        <v>294</v>
      </c>
    </row>
    <row r="75" spans="1:21" ht="15.75" customHeight="1" x14ac:dyDescent="0.3">
      <c r="A75" s="175">
        <v>66</v>
      </c>
      <c r="B75" s="230" t="s">
        <v>5941</v>
      </c>
      <c r="C75" s="177" t="s">
        <v>6204</v>
      </c>
      <c r="D75" s="178" t="s">
        <v>6204</v>
      </c>
      <c r="E75" s="179" t="s">
        <v>6205</v>
      </c>
      <c r="F75" s="180" t="s">
        <v>5832</v>
      </c>
      <c r="G75" s="181" t="s">
        <v>6206</v>
      </c>
      <c r="H75" s="179" t="s">
        <v>288</v>
      </c>
      <c r="I75" s="182" t="s">
        <v>6207</v>
      </c>
      <c r="J75" s="179" t="s">
        <v>6208</v>
      </c>
      <c r="K75" s="179" t="s">
        <v>6209</v>
      </c>
      <c r="L75" s="183" t="s">
        <v>6210</v>
      </c>
      <c r="M75" s="184" t="s">
        <v>6211</v>
      </c>
      <c r="N75" s="177" t="s">
        <v>6180</v>
      </c>
      <c r="O75" s="185" t="s">
        <v>6212</v>
      </c>
      <c r="P75" s="38">
        <v>46023</v>
      </c>
      <c r="Q75" s="39"/>
      <c r="R75" s="38">
        <v>46023</v>
      </c>
      <c r="S75" s="40" t="s">
        <v>292</v>
      </c>
      <c r="T75" s="41" t="s">
        <v>5962</v>
      </c>
      <c r="U75" s="42" t="s">
        <v>294</v>
      </c>
    </row>
    <row r="76" spans="1:21" ht="15.75" customHeight="1" x14ac:dyDescent="0.3">
      <c r="A76" s="231">
        <v>67</v>
      </c>
      <c r="B76" s="232" t="s">
        <v>5942</v>
      </c>
      <c r="C76" s="233" t="s">
        <v>6213</v>
      </c>
      <c r="D76" s="234" t="s">
        <v>6213</v>
      </c>
      <c r="E76" s="235" t="s">
        <v>6205</v>
      </c>
      <c r="F76" s="236" t="s">
        <v>5833</v>
      </c>
      <c r="G76" s="237" t="s">
        <v>6214</v>
      </c>
      <c r="H76" s="235" t="s">
        <v>288</v>
      </c>
      <c r="I76" s="238" t="s">
        <v>6215</v>
      </c>
      <c r="J76" s="235" t="s">
        <v>6042</v>
      </c>
      <c r="K76" s="235" t="s">
        <v>6042</v>
      </c>
      <c r="L76" s="239" t="s">
        <v>6216</v>
      </c>
      <c r="M76" s="240" t="s">
        <v>6217</v>
      </c>
      <c r="N76" s="233" t="s">
        <v>6024</v>
      </c>
      <c r="O76" s="241" t="s">
        <v>6218</v>
      </c>
      <c r="P76" s="30">
        <v>46023</v>
      </c>
      <c r="Q76" s="31"/>
      <c r="R76" s="30">
        <v>46023</v>
      </c>
      <c r="S76" s="32" t="s">
        <v>292</v>
      </c>
      <c r="T76" s="33" t="s">
        <v>5962</v>
      </c>
      <c r="U76" s="34" t="s">
        <v>294</v>
      </c>
    </row>
    <row r="77" spans="1:21" ht="15.75" customHeight="1" x14ac:dyDescent="0.3">
      <c r="A77" s="175">
        <v>68</v>
      </c>
      <c r="B77" s="230" t="s">
        <v>5943</v>
      </c>
      <c r="C77" s="177" t="s">
        <v>6219</v>
      </c>
      <c r="D77" s="178" t="s">
        <v>6219</v>
      </c>
      <c r="E77" s="179" t="s">
        <v>6205</v>
      </c>
      <c r="F77" s="180" t="s">
        <v>5834</v>
      </c>
      <c r="G77" s="181" t="s">
        <v>6220</v>
      </c>
      <c r="H77" s="179" t="s">
        <v>288</v>
      </c>
      <c r="I77" s="182" t="s">
        <v>6221</v>
      </c>
      <c r="J77" s="179" t="s">
        <v>6222</v>
      </c>
      <c r="K77" s="179" t="s">
        <v>6223</v>
      </c>
      <c r="L77" s="183" t="s">
        <v>6224</v>
      </c>
      <c r="M77" s="184" t="s">
        <v>6225</v>
      </c>
      <c r="N77" s="177" t="s">
        <v>6086</v>
      </c>
      <c r="O77" s="185" t="s">
        <v>6226</v>
      </c>
      <c r="P77" s="38">
        <v>46023</v>
      </c>
      <c r="Q77" s="39"/>
      <c r="R77" s="38">
        <v>46023</v>
      </c>
      <c r="S77" s="40" t="s">
        <v>292</v>
      </c>
      <c r="T77" s="41" t="s">
        <v>5962</v>
      </c>
      <c r="U77" s="42" t="s">
        <v>294</v>
      </c>
    </row>
    <row r="78" spans="1:21" ht="15.75" customHeight="1" x14ac:dyDescent="0.3">
      <c r="A78" s="231">
        <v>69</v>
      </c>
      <c r="B78" s="232" t="s">
        <v>5944</v>
      </c>
      <c r="C78" s="233" t="s">
        <v>6227</v>
      </c>
      <c r="D78" s="234" t="s">
        <v>6227</v>
      </c>
      <c r="E78" s="235" t="s">
        <v>6205</v>
      </c>
      <c r="F78" s="236" t="s">
        <v>5835</v>
      </c>
      <c r="G78" s="237" t="s">
        <v>6228</v>
      </c>
      <c r="H78" s="235" t="s">
        <v>288</v>
      </c>
      <c r="I78" s="238" t="s">
        <v>6229</v>
      </c>
      <c r="J78" s="235" t="s">
        <v>288</v>
      </c>
      <c r="K78" s="235" t="s">
        <v>288</v>
      </c>
      <c r="L78" s="239" t="s">
        <v>6230</v>
      </c>
      <c r="M78" s="240" t="s">
        <v>6231</v>
      </c>
      <c r="N78" s="233" t="s">
        <v>6146</v>
      </c>
      <c r="O78" s="241" t="s">
        <v>6232</v>
      </c>
      <c r="P78" s="30">
        <v>46023</v>
      </c>
      <c r="Q78" s="31"/>
      <c r="R78" s="30">
        <v>46023</v>
      </c>
      <c r="S78" s="32" t="s">
        <v>292</v>
      </c>
      <c r="T78" s="33" t="s">
        <v>5962</v>
      </c>
      <c r="U78" s="34" t="s">
        <v>294</v>
      </c>
    </row>
    <row r="79" spans="1:21" ht="15.75" customHeight="1" x14ac:dyDescent="0.3">
      <c r="A79" s="175">
        <v>70</v>
      </c>
      <c r="B79" s="230" t="s">
        <v>5945</v>
      </c>
      <c r="C79" s="177" t="s">
        <v>6233</v>
      </c>
      <c r="D79" s="178" t="s">
        <v>6234</v>
      </c>
      <c r="E79" s="179" t="s">
        <v>6205</v>
      </c>
      <c r="F79" s="180" t="s">
        <v>5836</v>
      </c>
      <c r="G79" s="181" t="s">
        <v>6235</v>
      </c>
      <c r="H79" s="179" t="s">
        <v>288</v>
      </c>
      <c r="I79" s="182" t="s">
        <v>6236</v>
      </c>
      <c r="J79" s="179" t="s">
        <v>288</v>
      </c>
      <c r="K79" s="179" t="s">
        <v>288</v>
      </c>
      <c r="L79" s="183" t="s">
        <v>6237</v>
      </c>
      <c r="M79" s="184" t="s">
        <v>6238</v>
      </c>
      <c r="N79" s="177" t="s">
        <v>6086</v>
      </c>
      <c r="O79" s="185" t="s">
        <v>6239</v>
      </c>
      <c r="P79" s="38">
        <v>46023</v>
      </c>
      <c r="Q79" s="39"/>
      <c r="R79" s="38">
        <v>46023</v>
      </c>
      <c r="S79" s="40" t="s">
        <v>292</v>
      </c>
      <c r="T79" s="41" t="s">
        <v>5962</v>
      </c>
      <c r="U79" s="42" t="s">
        <v>294</v>
      </c>
    </row>
    <row r="80" spans="1:21" ht="15.75" customHeight="1" x14ac:dyDescent="0.3">
      <c r="A80" s="231">
        <v>71</v>
      </c>
      <c r="B80" s="232" t="s">
        <v>5946</v>
      </c>
      <c r="C80" s="233" t="s">
        <v>6240</v>
      </c>
      <c r="D80" s="234" t="s">
        <v>6240</v>
      </c>
      <c r="E80" s="235" t="s">
        <v>6205</v>
      </c>
      <c r="F80" s="236" t="s">
        <v>5837</v>
      </c>
      <c r="G80" s="237" t="s">
        <v>6241</v>
      </c>
      <c r="H80" s="235" t="s">
        <v>288</v>
      </c>
      <c r="I80" s="238" t="s">
        <v>6242</v>
      </c>
      <c r="J80" s="235" t="s">
        <v>6042</v>
      </c>
      <c r="K80" s="235" t="s">
        <v>6042</v>
      </c>
      <c r="L80" s="239" t="s">
        <v>6224</v>
      </c>
      <c r="M80" s="240" t="s">
        <v>6243</v>
      </c>
      <c r="N80" s="233" t="s">
        <v>6110</v>
      </c>
      <c r="O80" s="241" t="s">
        <v>6244</v>
      </c>
      <c r="P80" s="30">
        <v>46023</v>
      </c>
      <c r="Q80" s="31"/>
      <c r="R80" s="30">
        <v>46023</v>
      </c>
      <c r="S80" s="32" t="s">
        <v>292</v>
      </c>
      <c r="T80" s="33" t="s">
        <v>5962</v>
      </c>
      <c r="U80" s="34" t="s">
        <v>294</v>
      </c>
    </row>
    <row r="81" spans="1:21" ht="15.75" customHeight="1" x14ac:dyDescent="0.3">
      <c r="A81" s="175">
        <v>72</v>
      </c>
      <c r="B81" s="230" t="s">
        <v>5947</v>
      </c>
      <c r="C81" s="177" t="s">
        <v>6245</v>
      </c>
      <c r="D81" s="178" t="s">
        <v>6245</v>
      </c>
      <c r="E81" s="179" t="s">
        <v>6205</v>
      </c>
      <c r="F81" s="180" t="s">
        <v>5838</v>
      </c>
      <c r="G81" s="181" t="s">
        <v>6246</v>
      </c>
      <c r="H81" s="179" t="s">
        <v>288</v>
      </c>
      <c r="I81" s="182" t="s">
        <v>6247</v>
      </c>
      <c r="J81" s="179" t="s">
        <v>288</v>
      </c>
      <c r="K81" s="179" t="s">
        <v>288</v>
      </c>
      <c r="L81" s="183" t="s">
        <v>6248</v>
      </c>
      <c r="M81" s="184" t="s">
        <v>6249</v>
      </c>
      <c r="N81" s="177" t="s">
        <v>6250</v>
      </c>
      <c r="O81" s="185" t="s">
        <v>6251</v>
      </c>
      <c r="P81" s="38">
        <v>46023</v>
      </c>
      <c r="Q81" s="39"/>
      <c r="R81" s="38">
        <v>46023</v>
      </c>
      <c r="S81" s="40" t="s">
        <v>292</v>
      </c>
      <c r="T81" s="41" t="s">
        <v>5962</v>
      </c>
      <c r="U81" s="42" t="s">
        <v>294</v>
      </c>
    </row>
    <row r="82" spans="1:21" ht="15.75" customHeight="1" x14ac:dyDescent="0.3">
      <c r="A82" s="231">
        <v>73</v>
      </c>
      <c r="B82" s="232" t="s">
        <v>5948</v>
      </c>
      <c r="C82" s="233" t="s">
        <v>6252</v>
      </c>
      <c r="D82" s="234" t="s">
        <v>6252</v>
      </c>
      <c r="E82" s="235" t="s">
        <v>6205</v>
      </c>
      <c r="F82" s="236" t="s">
        <v>5839</v>
      </c>
      <c r="G82" s="237" t="s">
        <v>6253</v>
      </c>
      <c r="H82" s="235" t="s">
        <v>288</v>
      </c>
      <c r="I82" s="238" t="s">
        <v>6254</v>
      </c>
      <c r="J82" s="235" t="s">
        <v>288</v>
      </c>
      <c r="K82" s="235" t="s">
        <v>288</v>
      </c>
      <c r="L82" s="239" t="s">
        <v>6255</v>
      </c>
      <c r="M82" s="240" t="s">
        <v>6256</v>
      </c>
      <c r="N82" s="233" t="s">
        <v>6250</v>
      </c>
      <c r="O82" s="241" t="s">
        <v>6257</v>
      </c>
      <c r="P82" s="30">
        <v>46023</v>
      </c>
      <c r="Q82" s="31"/>
      <c r="R82" s="30">
        <v>46023</v>
      </c>
      <c r="S82" s="32" t="s">
        <v>292</v>
      </c>
      <c r="T82" s="33" t="s">
        <v>5962</v>
      </c>
      <c r="U82" s="34" t="s">
        <v>294</v>
      </c>
    </row>
    <row r="83" spans="1:21" ht="21.75" customHeight="1" x14ac:dyDescent="0.3">
      <c r="A83" s="284" t="s">
        <v>6258</v>
      </c>
      <c r="B83" s="284"/>
      <c r="C83" s="284"/>
      <c r="D83" s="284"/>
      <c r="E83" s="284"/>
    </row>
  </sheetData>
  <mergeCells count="10">
    <mergeCell ref="A35:O35"/>
    <mergeCell ref="A49:O49"/>
    <mergeCell ref="A62:O62"/>
    <mergeCell ref="A74:O74"/>
    <mergeCell ref="A83:E83"/>
    <mergeCell ref="A1:U1"/>
    <mergeCell ref="A2:U2"/>
    <mergeCell ref="A3:K3"/>
    <mergeCell ref="P3:U3"/>
    <mergeCell ref="A5:O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B2D00"/>
    <pageSetUpPr fitToPage="1"/>
  </sheetPr>
  <dimension ref="A1:L135"/>
  <sheetViews>
    <sheetView showGridLines="0" zoomScaleNormal="100" workbookViewId="0">
      <pane ySplit="3" topLeftCell="A4" activePane="bottomLeft" state="frozen"/>
      <selection pane="bottomLeft" activeCell="E7" sqref="E7"/>
    </sheetView>
  </sheetViews>
  <sheetFormatPr defaultColWidth="8.6640625" defaultRowHeight="14.4" x14ac:dyDescent="0.3"/>
  <cols>
    <col min="1" max="1" width="47.44140625" style="14" customWidth="1"/>
    <col min="2" max="2" width="49.5546875" style="14" customWidth="1"/>
    <col min="3" max="3" width="27.44140625" style="14" customWidth="1"/>
    <col min="4" max="5" width="10" style="14" customWidth="1"/>
    <col min="6" max="6" width="46" style="14" customWidth="1"/>
    <col min="7" max="10" width="16" style="14" customWidth="1"/>
    <col min="11" max="11" width="20" style="14" customWidth="1"/>
    <col min="12" max="12" width="32" style="14" customWidth="1"/>
  </cols>
  <sheetData>
    <row r="1" spans="1:12" ht="24" customHeight="1" x14ac:dyDescent="0.3">
      <c r="A1" s="262" t="s">
        <v>5304</v>
      </c>
      <c r="B1" s="262"/>
      <c r="C1" s="262"/>
      <c r="D1" s="262"/>
      <c r="E1" s="262"/>
      <c r="F1" s="262"/>
      <c r="G1" s="262"/>
      <c r="H1" s="262"/>
      <c r="I1" s="262"/>
      <c r="J1" s="262"/>
      <c r="K1" s="262"/>
      <c r="L1" s="262"/>
    </row>
    <row r="2" spans="1:12" ht="43.5" customHeight="1" x14ac:dyDescent="0.3">
      <c r="A2" s="263" t="s">
        <v>5305</v>
      </c>
      <c r="B2" s="263"/>
      <c r="C2" s="263"/>
      <c r="D2" s="263"/>
      <c r="E2" s="263"/>
      <c r="F2" s="263"/>
      <c r="G2" s="263"/>
      <c r="H2" s="263"/>
      <c r="I2" s="263"/>
      <c r="J2" s="263"/>
      <c r="K2" s="263"/>
      <c r="L2" s="263"/>
    </row>
    <row r="3" spans="1:12" ht="27.75" customHeight="1" x14ac:dyDescent="0.3">
      <c r="A3" s="112" t="s">
        <v>5306</v>
      </c>
      <c r="B3" s="112" t="s">
        <v>5307</v>
      </c>
      <c r="C3" s="112" t="s">
        <v>5308</v>
      </c>
      <c r="D3" s="112" t="s">
        <v>5309</v>
      </c>
      <c r="E3" s="112" t="s">
        <v>5310</v>
      </c>
      <c r="F3" s="112" t="s">
        <v>5311</v>
      </c>
      <c r="G3" s="24" t="s">
        <v>279</v>
      </c>
      <c r="H3" s="24" t="s">
        <v>280</v>
      </c>
      <c r="I3" s="24" t="s">
        <v>281</v>
      </c>
      <c r="J3" s="24" t="s">
        <v>282</v>
      </c>
      <c r="K3" s="24" t="s">
        <v>283</v>
      </c>
      <c r="L3" s="24" t="s">
        <v>284</v>
      </c>
    </row>
    <row r="4" spans="1:12" ht="13.5" customHeight="1" x14ac:dyDescent="0.3">
      <c r="A4" s="113" t="s">
        <v>5312</v>
      </c>
      <c r="B4" s="114">
        <v>0</v>
      </c>
      <c r="C4" s="114">
        <v>1</v>
      </c>
      <c r="D4" s="114">
        <v>1</v>
      </c>
      <c r="E4" s="114">
        <v>1</v>
      </c>
      <c r="F4" s="115" t="s">
        <v>5313</v>
      </c>
      <c r="G4" s="30">
        <v>46023</v>
      </c>
      <c r="H4" s="31"/>
      <c r="I4" s="30">
        <v>46023</v>
      </c>
      <c r="J4" s="32" t="s">
        <v>292</v>
      </c>
      <c r="K4" s="33" t="s">
        <v>5314</v>
      </c>
      <c r="L4" s="34" t="s">
        <v>294</v>
      </c>
    </row>
    <row r="5" spans="1:12" ht="13.5" customHeight="1" x14ac:dyDescent="0.3">
      <c r="A5" s="113" t="s">
        <v>5312</v>
      </c>
      <c r="B5" s="114">
        <v>2</v>
      </c>
      <c r="C5" s="114">
        <v>3</v>
      </c>
      <c r="D5" s="114">
        <v>1</v>
      </c>
      <c r="E5" s="114">
        <v>2</v>
      </c>
      <c r="F5" s="115" t="s">
        <v>5315</v>
      </c>
      <c r="G5" s="38">
        <v>46023</v>
      </c>
      <c r="H5" s="39"/>
      <c r="I5" s="38">
        <v>46023</v>
      </c>
      <c r="J5" s="40" t="s">
        <v>292</v>
      </c>
      <c r="K5" s="41" t="s">
        <v>5314</v>
      </c>
      <c r="L5" s="42" t="s">
        <v>294</v>
      </c>
    </row>
    <row r="6" spans="1:12" ht="13.5" customHeight="1" x14ac:dyDescent="0.3">
      <c r="A6" s="113" t="s">
        <v>5312</v>
      </c>
      <c r="B6" s="114">
        <v>4</v>
      </c>
      <c r="C6" s="114">
        <v>5</v>
      </c>
      <c r="D6" s="114">
        <v>1</v>
      </c>
      <c r="E6" s="114">
        <v>3</v>
      </c>
      <c r="F6" s="115" t="s">
        <v>5316</v>
      </c>
      <c r="G6" s="30">
        <v>46023</v>
      </c>
      <c r="H6" s="31"/>
      <c r="I6" s="30">
        <v>46023</v>
      </c>
      <c r="J6" s="32" t="s">
        <v>292</v>
      </c>
      <c r="K6" s="33" t="s">
        <v>5314</v>
      </c>
      <c r="L6" s="34" t="s">
        <v>294</v>
      </c>
    </row>
    <row r="7" spans="1:12" ht="13.5" customHeight="1" x14ac:dyDescent="0.3">
      <c r="A7" s="113" t="s">
        <v>5312</v>
      </c>
      <c r="B7" s="114">
        <v>6</v>
      </c>
      <c r="C7" s="114">
        <v>7</v>
      </c>
      <c r="D7" s="114">
        <v>1</v>
      </c>
      <c r="E7" s="114">
        <v>4</v>
      </c>
      <c r="F7" s="115" t="s">
        <v>5317</v>
      </c>
      <c r="G7" s="38">
        <v>46023</v>
      </c>
      <c r="H7" s="39"/>
      <c r="I7" s="38">
        <v>46023</v>
      </c>
      <c r="J7" s="40" t="s">
        <v>292</v>
      </c>
      <c r="K7" s="41" t="s">
        <v>5314</v>
      </c>
      <c r="L7" s="42" t="s">
        <v>294</v>
      </c>
    </row>
    <row r="8" spans="1:12" ht="13.5" customHeight="1" x14ac:dyDescent="0.3">
      <c r="A8" s="113" t="s">
        <v>5312</v>
      </c>
      <c r="B8" s="114">
        <v>8</v>
      </c>
      <c r="C8" s="114">
        <v>9</v>
      </c>
      <c r="D8" s="114">
        <v>1</v>
      </c>
      <c r="E8" s="114">
        <v>5</v>
      </c>
      <c r="F8" s="115" t="s">
        <v>5318</v>
      </c>
      <c r="G8" s="30">
        <v>46023</v>
      </c>
      <c r="H8" s="31"/>
      <c r="I8" s="30">
        <v>46023</v>
      </c>
      <c r="J8" s="32" t="s">
        <v>292</v>
      </c>
      <c r="K8" s="33" t="s">
        <v>5314</v>
      </c>
      <c r="L8" s="34" t="s">
        <v>294</v>
      </c>
    </row>
    <row r="9" spans="1:12" ht="13.5" customHeight="1" x14ac:dyDescent="0.3">
      <c r="A9" s="113" t="s">
        <v>5312</v>
      </c>
      <c r="B9" s="114">
        <v>10</v>
      </c>
      <c r="C9" s="114">
        <v>11</v>
      </c>
      <c r="D9" s="114">
        <v>1</v>
      </c>
      <c r="E9" s="114">
        <v>6</v>
      </c>
      <c r="F9" s="115" t="s">
        <v>5319</v>
      </c>
      <c r="G9" s="38">
        <v>46023</v>
      </c>
      <c r="H9" s="39"/>
      <c r="I9" s="38">
        <v>46023</v>
      </c>
      <c r="J9" s="40" t="s">
        <v>292</v>
      </c>
      <c r="K9" s="41" t="s">
        <v>5314</v>
      </c>
      <c r="L9" s="42" t="s">
        <v>294</v>
      </c>
    </row>
    <row r="10" spans="1:12" ht="13.5" customHeight="1" x14ac:dyDescent="0.3">
      <c r="A10" s="113" t="s">
        <v>5312</v>
      </c>
      <c r="B10" s="114">
        <v>12</v>
      </c>
      <c r="C10" s="114">
        <v>13</v>
      </c>
      <c r="D10" s="114">
        <v>1</v>
      </c>
      <c r="E10" s="114">
        <v>7</v>
      </c>
      <c r="F10" s="115" t="s">
        <v>5320</v>
      </c>
      <c r="G10" s="30">
        <v>46023</v>
      </c>
      <c r="H10" s="31"/>
      <c r="I10" s="30">
        <v>46023</v>
      </c>
      <c r="J10" s="32" t="s">
        <v>292</v>
      </c>
      <c r="K10" s="33" t="s">
        <v>5314</v>
      </c>
      <c r="L10" s="34" t="s">
        <v>294</v>
      </c>
    </row>
    <row r="11" spans="1:12" ht="13.5" customHeight="1" x14ac:dyDescent="0.3">
      <c r="A11" s="113" t="s">
        <v>5312</v>
      </c>
      <c r="B11" s="114">
        <v>14</v>
      </c>
      <c r="C11" s="114">
        <v>15</v>
      </c>
      <c r="D11" s="114">
        <v>1</v>
      </c>
      <c r="E11" s="114">
        <v>8</v>
      </c>
      <c r="F11" s="115" t="s">
        <v>5321</v>
      </c>
      <c r="G11" s="38">
        <v>46023</v>
      </c>
      <c r="H11" s="39"/>
      <c r="I11" s="38">
        <v>46023</v>
      </c>
      <c r="J11" s="40" t="s">
        <v>292</v>
      </c>
      <c r="K11" s="41" t="s">
        <v>5314</v>
      </c>
      <c r="L11" s="42" t="s">
        <v>294</v>
      </c>
    </row>
    <row r="12" spans="1:12" ht="13.5" customHeight="1" x14ac:dyDescent="0.3">
      <c r="A12" s="113" t="s">
        <v>5312</v>
      </c>
      <c r="B12" s="114">
        <v>16</v>
      </c>
      <c r="C12" s="114">
        <v>17</v>
      </c>
      <c r="D12" s="114">
        <v>1</v>
      </c>
      <c r="E12" s="114">
        <v>9</v>
      </c>
      <c r="F12" s="115" t="s">
        <v>5322</v>
      </c>
      <c r="G12" s="30">
        <v>46023</v>
      </c>
      <c r="H12" s="31"/>
      <c r="I12" s="30">
        <v>46023</v>
      </c>
      <c r="J12" s="32" t="s">
        <v>292</v>
      </c>
      <c r="K12" s="33" t="s">
        <v>5314</v>
      </c>
      <c r="L12" s="34" t="s">
        <v>294</v>
      </c>
    </row>
    <row r="13" spans="1:12" ht="13.5" customHeight="1" x14ac:dyDescent="0.3">
      <c r="A13" s="113" t="s">
        <v>5312</v>
      </c>
      <c r="B13" s="114">
        <v>18</v>
      </c>
      <c r="C13" s="114">
        <v>19</v>
      </c>
      <c r="D13" s="114">
        <v>1</v>
      </c>
      <c r="E13" s="114">
        <v>10</v>
      </c>
      <c r="F13" s="115" t="s">
        <v>5323</v>
      </c>
      <c r="G13" s="38">
        <v>46023</v>
      </c>
      <c r="H13" s="39"/>
      <c r="I13" s="38">
        <v>46023</v>
      </c>
      <c r="J13" s="40" t="s">
        <v>292</v>
      </c>
      <c r="K13" s="41" t="s">
        <v>5314</v>
      </c>
      <c r="L13" s="42" t="s">
        <v>294</v>
      </c>
    </row>
    <row r="14" spans="1:12" ht="13.5" customHeight="1" x14ac:dyDescent="0.3">
      <c r="A14" s="113" t="s">
        <v>5312</v>
      </c>
      <c r="B14" s="114">
        <v>20</v>
      </c>
      <c r="C14" s="114">
        <v>21</v>
      </c>
      <c r="D14" s="114">
        <v>1</v>
      </c>
      <c r="E14" s="114">
        <v>11</v>
      </c>
      <c r="F14" s="115" t="s">
        <v>5324</v>
      </c>
      <c r="G14" s="30">
        <v>46023</v>
      </c>
      <c r="H14" s="31"/>
      <c r="I14" s="30">
        <v>46023</v>
      </c>
      <c r="J14" s="32" t="s">
        <v>292</v>
      </c>
      <c r="K14" s="33" t="s">
        <v>5314</v>
      </c>
      <c r="L14" s="34" t="s">
        <v>294</v>
      </c>
    </row>
    <row r="15" spans="1:12" ht="13.5" customHeight="1" x14ac:dyDescent="0.3">
      <c r="A15" s="113" t="s">
        <v>5312</v>
      </c>
      <c r="B15" s="114">
        <v>22</v>
      </c>
      <c r="C15" s="114">
        <v>23</v>
      </c>
      <c r="D15" s="114">
        <v>1</v>
      </c>
      <c r="E15" s="114">
        <v>12</v>
      </c>
      <c r="F15" s="115" t="s">
        <v>5325</v>
      </c>
      <c r="G15" s="38">
        <v>46023</v>
      </c>
      <c r="H15" s="39"/>
      <c r="I15" s="38">
        <v>46023</v>
      </c>
      <c r="J15" s="40" t="s">
        <v>292</v>
      </c>
      <c r="K15" s="41" t="s">
        <v>5314</v>
      </c>
      <c r="L15" s="42" t="s">
        <v>294</v>
      </c>
    </row>
    <row r="16" spans="1:12" ht="13.5" customHeight="1" x14ac:dyDescent="0.3">
      <c r="A16" s="113" t="s">
        <v>5312</v>
      </c>
      <c r="B16" s="114">
        <v>24</v>
      </c>
      <c r="C16" s="114">
        <v>25</v>
      </c>
      <c r="D16" s="114">
        <v>1</v>
      </c>
      <c r="E16" s="114">
        <v>13</v>
      </c>
      <c r="F16" s="115" t="s">
        <v>5326</v>
      </c>
      <c r="G16" s="30">
        <v>46023</v>
      </c>
      <c r="H16" s="31"/>
      <c r="I16" s="30">
        <v>46023</v>
      </c>
      <c r="J16" s="32" t="s">
        <v>292</v>
      </c>
      <c r="K16" s="33" t="s">
        <v>5314</v>
      </c>
      <c r="L16" s="34" t="s">
        <v>294</v>
      </c>
    </row>
    <row r="17" spans="1:12" ht="13.5" customHeight="1" x14ac:dyDescent="0.3">
      <c r="A17" s="113" t="s">
        <v>5312</v>
      </c>
      <c r="B17" s="114">
        <v>26</v>
      </c>
      <c r="C17" s="114">
        <v>27</v>
      </c>
      <c r="D17" s="114">
        <v>1</v>
      </c>
      <c r="E17" s="114">
        <v>14</v>
      </c>
      <c r="F17" s="115" t="s">
        <v>5327</v>
      </c>
      <c r="G17" s="38">
        <v>46023</v>
      </c>
      <c r="H17" s="39"/>
      <c r="I17" s="38">
        <v>46023</v>
      </c>
      <c r="J17" s="40" t="s">
        <v>292</v>
      </c>
      <c r="K17" s="41" t="s">
        <v>5314</v>
      </c>
      <c r="L17" s="42" t="s">
        <v>294</v>
      </c>
    </row>
    <row r="18" spans="1:12" ht="13.5" customHeight="1" x14ac:dyDescent="0.3">
      <c r="A18" s="113" t="s">
        <v>5312</v>
      </c>
      <c r="B18" s="114">
        <v>28</v>
      </c>
      <c r="C18" s="114">
        <v>29</v>
      </c>
      <c r="D18" s="114">
        <v>1</v>
      </c>
      <c r="E18" s="114">
        <v>15</v>
      </c>
      <c r="F18" s="115" t="s">
        <v>5328</v>
      </c>
      <c r="G18" s="30">
        <v>46023</v>
      </c>
      <c r="H18" s="31"/>
      <c r="I18" s="30">
        <v>46023</v>
      </c>
      <c r="J18" s="32" t="s">
        <v>292</v>
      </c>
      <c r="K18" s="33" t="s">
        <v>5314</v>
      </c>
      <c r="L18" s="34" t="s">
        <v>294</v>
      </c>
    </row>
    <row r="19" spans="1:12" ht="13.5" customHeight="1" x14ac:dyDescent="0.3">
      <c r="A19" s="113" t="s">
        <v>5312</v>
      </c>
      <c r="B19" s="114">
        <v>30</v>
      </c>
      <c r="C19" s="114">
        <v>31</v>
      </c>
      <c r="D19" s="114">
        <v>2</v>
      </c>
      <c r="E19" s="114">
        <v>1</v>
      </c>
      <c r="F19" s="115" t="s">
        <v>5329</v>
      </c>
      <c r="G19" s="38">
        <v>46023</v>
      </c>
      <c r="H19" s="39"/>
      <c r="I19" s="38">
        <v>46023</v>
      </c>
      <c r="J19" s="40" t="s">
        <v>292</v>
      </c>
      <c r="K19" s="41" t="s">
        <v>5314</v>
      </c>
      <c r="L19" s="42" t="s">
        <v>294</v>
      </c>
    </row>
    <row r="20" spans="1:12" ht="13.5" customHeight="1" x14ac:dyDescent="0.3">
      <c r="A20" s="113" t="s">
        <v>5312</v>
      </c>
      <c r="B20" s="114">
        <v>32</v>
      </c>
      <c r="C20" s="114">
        <v>33</v>
      </c>
      <c r="D20" s="114">
        <v>2</v>
      </c>
      <c r="E20" s="114">
        <v>2</v>
      </c>
      <c r="F20" s="115" t="s">
        <v>5330</v>
      </c>
      <c r="G20" s="30">
        <v>46023</v>
      </c>
      <c r="H20" s="31"/>
      <c r="I20" s="30">
        <v>46023</v>
      </c>
      <c r="J20" s="32" t="s">
        <v>292</v>
      </c>
      <c r="K20" s="33" t="s">
        <v>5314</v>
      </c>
      <c r="L20" s="34" t="s">
        <v>294</v>
      </c>
    </row>
    <row r="21" spans="1:12" ht="13.5" customHeight="1" x14ac:dyDescent="0.3">
      <c r="A21" s="113" t="s">
        <v>5312</v>
      </c>
      <c r="B21" s="114">
        <v>34</v>
      </c>
      <c r="C21" s="114">
        <v>35</v>
      </c>
      <c r="D21" s="114">
        <v>2</v>
      </c>
      <c r="E21" s="114">
        <v>3</v>
      </c>
      <c r="F21" s="115" t="s">
        <v>5331</v>
      </c>
      <c r="G21" s="38">
        <v>46023</v>
      </c>
      <c r="H21" s="39"/>
      <c r="I21" s="38">
        <v>46023</v>
      </c>
      <c r="J21" s="40" t="s">
        <v>292</v>
      </c>
      <c r="K21" s="41" t="s">
        <v>5314</v>
      </c>
      <c r="L21" s="42" t="s">
        <v>294</v>
      </c>
    </row>
    <row r="22" spans="1:12" ht="13.5" customHeight="1" x14ac:dyDescent="0.3">
      <c r="A22" s="113" t="s">
        <v>5312</v>
      </c>
      <c r="B22" s="114">
        <v>36</v>
      </c>
      <c r="C22" s="114">
        <v>37</v>
      </c>
      <c r="D22" s="114">
        <v>2</v>
      </c>
      <c r="E22" s="114">
        <v>4</v>
      </c>
      <c r="F22" s="115" t="s">
        <v>5332</v>
      </c>
      <c r="G22" s="30">
        <v>46023</v>
      </c>
      <c r="H22" s="31"/>
      <c r="I22" s="30">
        <v>46023</v>
      </c>
      <c r="J22" s="32" t="s">
        <v>292</v>
      </c>
      <c r="K22" s="33" t="s">
        <v>5314</v>
      </c>
      <c r="L22" s="34" t="s">
        <v>294</v>
      </c>
    </row>
    <row r="23" spans="1:12" ht="13.5" customHeight="1" x14ac:dyDescent="0.3">
      <c r="A23" s="113" t="s">
        <v>5312</v>
      </c>
      <c r="B23" s="114">
        <v>38</v>
      </c>
      <c r="C23" s="114">
        <v>39</v>
      </c>
      <c r="D23" s="114">
        <v>2</v>
      </c>
      <c r="E23" s="114">
        <v>5</v>
      </c>
      <c r="F23" s="115" t="s">
        <v>5333</v>
      </c>
      <c r="G23" s="38">
        <v>46023</v>
      </c>
      <c r="H23" s="39"/>
      <c r="I23" s="38">
        <v>46023</v>
      </c>
      <c r="J23" s="40" t="s">
        <v>292</v>
      </c>
      <c r="K23" s="41" t="s">
        <v>5314</v>
      </c>
      <c r="L23" s="42" t="s">
        <v>294</v>
      </c>
    </row>
    <row r="24" spans="1:12" ht="13.5" customHeight="1" x14ac:dyDescent="0.3">
      <c r="A24" s="113" t="s">
        <v>5312</v>
      </c>
      <c r="B24" s="114">
        <v>40</v>
      </c>
      <c r="C24" s="114">
        <v>99</v>
      </c>
      <c r="D24" s="114">
        <v>2</v>
      </c>
      <c r="E24" s="114">
        <v>6</v>
      </c>
      <c r="F24" s="115" t="s">
        <v>5334</v>
      </c>
      <c r="G24" s="30">
        <v>46023</v>
      </c>
      <c r="H24" s="31"/>
      <c r="I24" s="30">
        <v>46023</v>
      </c>
      <c r="J24" s="32" t="s">
        <v>292</v>
      </c>
      <c r="K24" s="33" t="s">
        <v>5314</v>
      </c>
      <c r="L24" s="34" t="s">
        <v>294</v>
      </c>
    </row>
    <row r="25" spans="1:12" ht="13.5" customHeight="1" x14ac:dyDescent="0.3">
      <c r="A25" s="113" t="s">
        <v>5312</v>
      </c>
      <c r="B25" s="114">
        <v>42</v>
      </c>
      <c r="C25" s="114">
        <v>99</v>
      </c>
      <c r="D25" s="114">
        <v>2</v>
      </c>
      <c r="E25" s="114">
        <v>7</v>
      </c>
      <c r="F25" s="115" t="s">
        <v>5335</v>
      </c>
      <c r="G25" s="38">
        <v>46023</v>
      </c>
      <c r="H25" s="39"/>
      <c r="I25" s="38">
        <v>46023</v>
      </c>
      <c r="J25" s="40" t="s">
        <v>292</v>
      </c>
      <c r="K25" s="41" t="s">
        <v>5314</v>
      </c>
      <c r="L25" s="42" t="s">
        <v>294</v>
      </c>
    </row>
    <row r="26" spans="1:12" ht="13.5" customHeight="1" x14ac:dyDescent="0.3">
      <c r="A26" s="113" t="s">
        <v>779</v>
      </c>
      <c r="B26" s="114">
        <v>0</v>
      </c>
      <c r="C26" s="114">
        <v>1</v>
      </c>
      <c r="D26" s="114">
        <v>2</v>
      </c>
      <c r="E26" s="114">
        <v>1</v>
      </c>
      <c r="F26" s="116" t="s">
        <v>5336</v>
      </c>
      <c r="G26" s="30">
        <v>46023</v>
      </c>
      <c r="H26" s="31"/>
      <c r="I26" s="30">
        <v>46023</v>
      </c>
      <c r="J26" s="32" t="s">
        <v>292</v>
      </c>
      <c r="K26" s="33" t="s">
        <v>5314</v>
      </c>
      <c r="L26" s="34" t="s">
        <v>294</v>
      </c>
    </row>
    <row r="27" spans="1:12" ht="13.5" customHeight="1" x14ac:dyDescent="0.3">
      <c r="A27" s="113" t="s">
        <v>779</v>
      </c>
      <c r="B27" s="114">
        <v>2</v>
      </c>
      <c r="C27" s="114">
        <v>3</v>
      </c>
      <c r="D27" s="114">
        <v>2</v>
      </c>
      <c r="E27" s="114">
        <v>2</v>
      </c>
      <c r="F27" s="116" t="s">
        <v>5337</v>
      </c>
      <c r="G27" s="38">
        <v>46023</v>
      </c>
      <c r="H27" s="39"/>
      <c r="I27" s="38">
        <v>46023</v>
      </c>
      <c r="J27" s="40" t="s">
        <v>292</v>
      </c>
      <c r="K27" s="41" t="s">
        <v>5314</v>
      </c>
      <c r="L27" s="42" t="s">
        <v>294</v>
      </c>
    </row>
    <row r="28" spans="1:12" ht="13.5" customHeight="1" x14ac:dyDescent="0.3">
      <c r="A28" s="113" t="s">
        <v>779</v>
      </c>
      <c r="B28" s="114">
        <v>4</v>
      </c>
      <c r="C28" s="114">
        <v>5</v>
      </c>
      <c r="D28" s="114">
        <v>2</v>
      </c>
      <c r="E28" s="114">
        <v>3</v>
      </c>
      <c r="F28" s="116" t="s">
        <v>5338</v>
      </c>
      <c r="G28" s="30">
        <v>46023</v>
      </c>
      <c r="H28" s="31"/>
      <c r="I28" s="30">
        <v>46023</v>
      </c>
      <c r="J28" s="32" t="s">
        <v>292</v>
      </c>
      <c r="K28" s="33" t="s">
        <v>5314</v>
      </c>
      <c r="L28" s="34" t="s">
        <v>294</v>
      </c>
    </row>
    <row r="29" spans="1:12" ht="13.5" customHeight="1" x14ac:dyDescent="0.3">
      <c r="A29" s="113" t="s">
        <v>779</v>
      </c>
      <c r="B29" s="114">
        <v>6</v>
      </c>
      <c r="C29" s="114">
        <v>7</v>
      </c>
      <c r="D29" s="114">
        <v>2</v>
      </c>
      <c r="E29" s="114">
        <v>4</v>
      </c>
      <c r="F29" s="116" t="s">
        <v>5339</v>
      </c>
      <c r="G29" s="38">
        <v>46023</v>
      </c>
      <c r="H29" s="39"/>
      <c r="I29" s="38">
        <v>46023</v>
      </c>
      <c r="J29" s="40" t="s">
        <v>292</v>
      </c>
      <c r="K29" s="41" t="s">
        <v>5314</v>
      </c>
      <c r="L29" s="42" t="s">
        <v>294</v>
      </c>
    </row>
    <row r="30" spans="1:12" ht="13.5" customHeight="1" x14ac:dyDescent="0.3">
      <c r="A30" s="113" t="s">
        <v>779</v>
      </c>
      <c r="B30" s="114">
        <v>8</v>
      </c>
      <c r="C30" s="114">
        <v>9</v>
      </c>
      <c r="D30" s="114">
        <v>2</v>
      </c>
      <c r="E30" s="114">
        <v>5</v>
      </c>
      <c r="F30" s="116" t="s">
        <v>5340</v>
      </c>
      <c r="G30" s="30">
        <v>46023</v>
      </c>
      <c r="H30" s="31"/>
      <c r="I30" s="30">
        <v>46023</v>
      </c>
      <c r="J30" s="32" t="s">
        <v>292</v>
      </c>
      <c r="K30" s="33" t="s">
        <v>5314</v>
      </c>
      <c r="L30" s="34" t="s">
        <v>294</v>
      </c>
    </row>
    <row r="31" spans="1:12" ht="13.5" customHeight="1" x14ac:dyDescent="0.3">
      <c r="A31" s="113" t="s">
        <v>779</v>
      </c>
      <c r="B31" s="114">
        <v>10</v>
      </c>
      <c r="C31" s="114">
        <v>11</v>
      </c>
      <c r="D31" s="114">
        <v>2</v>
      </c>
      <c r="E31" s="114">
        <v>6</v>
      </c>
      <c r="F31" s="116" t="s">
        <v>5341</v>
      </c>
      <c r="G31" s="38">
        <v>46023</v>
      </c>
      <c r="H31" s="39"/>
      <c r="I31" s="38">
        <v>46023</v>
      </c>
      <c r="J31" s="40" t="s">
        <v>292</v>
      </c>
      <c r="K31" s="41" t="s">
        <v>5314</v>
      </c>
      <c r="L31" s="42" t="s">
        <v>294</v>
      </c>
    </row>
    <row r="32" spans="1:12" ht="13.5" customHeight="1" x14ac:dyDescent="0.3">
      <c r="A32" s="113" t="s">
        <v>779</v>
      </c>
      <c r="B32" s="114">
        <v>12</v>
      </c>
      <c r="C32" s="114">
        <v>13</v>
      </c>
      <c r="D32" s="114">
        <v>2</v>
      </c>
      <c r="E32" s="114">
        <v>7</v>
      </c>
      <c r="F32" s="116" t="s">
        <v>5342</v>
      </c>
      <c r="G32" s="30">
        <v>46023</v>
      </c>
      <c r="H32" s="31"/>
      <c r="I32" s="30">
        <v>46023</v>
      </c>
      <c r="J32" s="32" t="s">
        <v>292</v>
      </c>
      <c r="K32" s="33" t="s">
        <v>5314</v>
      </c>
      <c r="L32" s="34" t="s">
        <v>294</v>
      </c>
    </row>
    <row r="33" spans="1:12" ht="13.5" customHeight="1" x14ac:dyDescent="0.3">
      <c r="A33" s="113" t="s">
        <v>779</v>
      </c>
      <c r="B33" s="114">
        <v>14</v>
      </c>
      <c r="C33" s="114">
        <v>15</v>
      </c>
      <c r="D33" s="114">
        <v>2</v>
      </c>
      <c r="E33" s="114">
        <v>8</v>
      </c>
      <c r="F33" s="116" t="s">
        <v>5343</v>
      </c>
      <c r="G33" s="38">
        <v>46023</v>
      </c>
      <c r="H33" s="39"/>
      <c r="I33" s="38">
        <v>46023</v>
      </c>
      <c r="J33" s="40" t="s">
        <v>292</v>
      </c>
      <c r="K33" s="41" t="s">
        <v>5314</v>
      </c>
      <c r="L33" s="42" t="s">
        <v>294</v>
      </c>
    </row>
    <row r="34" spans="1:12" ht="13.5" customHeight="1" x14ac:dyDescent="0.3">
      <c r="A34" s="113" t="s">
        <v>779</v>
      </c>
      <c r="B34" s="114">
        <v>16</v>
      </c>
      <c r="C34" s="114">
        <v>17</v>
      </c>
      <c r="D34" s="114">
        <v>2</v>
      </c>
      <c r="E34" s="114">
        <v>9</v>
      </c>
      <c r="F34" s="116" t="s">
        <v>5344</v>
      </c>
      <c r="G34" s="30">
        <v>46023</v>
      </c>
      <c r="H34" s="31"/>
      <c r="I34" s="30">
        <v>46023</v>
      </c>
      <c r="J34" s="32" t="s">
        <v>292</v>
      </c>
      <c r="K34" s="33" t="s">
        <v>5314</v>
      </c>
      <c r="L34" s="34" t="s">
        <v>294</v>
      </c>
    </row>
    <row r="35" spans="1:12" ht="13.5" customHeight="1" x14ac:dyDescent="0.3">
      <c r="A35" s="113" t="s">
        <v>779</v>
      </c>
      <c r="B35" s="114">
        <v>18</v>
      </c>
      <c r="C35" s="114">
        <v>19</v>
      </c>
      <c r="D35" s="114">
        <v>2</v>
      </c>
      <c r="E35" s="114">
        <v>10</v>
      </c>
      <c r="F35" s="116" t="s">
        <v>5345</v>
      </c>
      <c r="G35" s="38">
        <v>46023</v>
      </c>
      <c r="H35" s="39"/>
      <c r="I35" s="38">
        <v>46023</v>
      </c>
      <c r="J35" s="40" t="s">
        <v>292</v>
      </c>
      <c r="K35" s="41" t="s">
        <v>5314</v>
      </c>
      <c r="L35" s="42" t="s">
        <v>294</v>
      </c>
    </row>
    <row r="36" spans="1:12" ht="13.5" customHeight="1" x14ac:dyDescent="0.3">
      <c r="A36" s="113" t="s">
        <v>779</v>
      </c>
      <c r="B36" s="114">
        <v>20</v>
      </c>
      <c r="C36" s="114">
        <v>21</v>
      </c>
      <c r="D36" s="114">
        <v>2</v>
      </c>
      <c r="E36" s="114">
        <v>11</v>
      </c>
      <c r="F36" s="116" t="s">
        <v>5346</v>
      </c>
      <c r="G36" s="30">
        <v>46023</v>
      </c>
      <c r="H36" s="31"/>
      <c r="I36" s="30">
        <v>46023</v>
      </c>
      <c r="J36" s="32" t="s">
        <v>292</v>
      </c>
      <c r="K36" s="33" t="s">
        <v>5314</v>
      </c>
      <c r="L36" s="34" t="s">
        <v>294</v>
      </c>
    </row>
    <row r="37" spans="1:12" ht="13.5" customHeight="1" x14ac:dyDescent="0.3">
      <c r="A37" s="113" t="s">
        <v>779</v>
      </c>
      <c r="B37" s="114">
        <v>22</v>
      </c>
      <c r="C37" s="114">
        <v>23</v>
      </c>
      <c r="D37" s="114">
        <v>2</v>
      </c>
      <c r="E37" s="114">
        <v>12</v>
      </c>
      <c r="F37" s="116" t="s">
        <v>5347</v>
      </c>
      <c r="G37" s="38">
        <v>46023</v>
      </c>
      <c r="H37" s="39"/>
      <c r="I37" s="38">
        <v>46023</v>
      </c>
      <c r="J37" s="40" t="s">
        <v>292</v>
      </c>
      <c r="K37" s="41" t="s">
        <v>5314</v>
      </c>
      <c r="L37" s="42" t="s">
        <v>294</v>
      </c>
    </row>
    <row r="38" spans="1:12" ht="13.5" customHeight="1" x14ac:dyDescent="0.3">
      <c r="A38" s="113" t="s">
        <v>779</v>
      </c>
      <c r="B38" s="114">
        <v>24</v>
      </c>
      <c r="C38" s="114">
        <v>25</v>
      </c>
      <c r="D38" s="114">
        <v>2</v>
      </c>
      <c r="E38" s="114">
        <v>13</v>
      </c>
      <c r="F38" s="116" t="s">
        <v>5348</v>
      </c>
      <c r="G38" s="30">
        <v>46023</v>
      </c>
      <c r="H38" s="31"/>
      <c r="I38" s="30">
        <v>46023</v>
      </c>
      <c r="J38" s="32" t="s">
        <v>292</v>
      </c>
      <c r="K38" s="33" t="s">
        <v>5314</v>
      </c>
      <c r="L38" s="34" t="s">
        <v>294</v>
      </c>
    </row>
    <row r="39" spans="1:12" ht="13.5" customHeight="1" x14ac:dyDescent="0.3">
      <c r="A39" s="113" t="s">
        <v>779</v>
      </c>
      <c r="B39" s="114">
        <v>26</v>
      </c>
      <c r="C39" s="114">
        <v>27</v>
      </c>
      <c r="D39" s="114">
        <v>2</v>
      </c>
      <c r="E39" s="114">
        <v>14</v>
      </c>
      <c r="F39" s="116" t="s">
        <v>5349</v>
      </c>
      <c r="G39" s="38">
        <v>46023</v>
      </c>
      <c r="H39" s="39"/>
      <c r="I39" s="38">
        <v>46023</v>
      </c>
      <c r="J39" s="40" t="s">
        <v>292</v>
      </c>
      <c r="K39" s="41" t="s">
        <v>5314</v>
      </c>
      <c r="L39" s="42" t="s">
        <v>294</v>
      </c>
    </row>
    <row r="40" spans="1:12" ht="13.5" customHeight="1" x14ac:dyDescent="0.3">
      <c r="A40" s="113" t="s">
        <v>779</v>
      </c>
      <c r="B40" s="114">
        <v>28</v>
      </c>
      <c r="C40" s="114">
        <v>29</v>
      </c>
      <c r="D40" s="114">
        <v>2</v>
      </c>
      <c r="E40" s="114">
        <v>15</v>
      </c>
      <c r="F40" s="116" t="s">
        <v>5350</v>
      </c>
      <c r="G40" s="30">
        <v>46023</v>
      </c>
      <c r="H40" s="31"/>
      <c r="I40" s="30">
        <v>46023</v>
      </c>
      <c r="J40" s="32" t="s">
        <v>292</v>
      </c>
      <c r="K40" s="33" t="s">
        <v>5314</v>
      </c>
      <c r="L40" s="34" t="s">
        <v>294</v>
      </c>
    </row>
    <row r="41" spans="1:12" ht="13.5" customHeight="1" x14ac:dyDescent="0.3">
      <c r="A41" s="113" t="s">
        <v>779</v>
      </c>
      <c r="B41" s="114">
        <v>30</v>
      </c>
      <c r="C41" s="114">
        <v>31</v>
      </c>
      <c r="D41" s="114">
        <v>3</v>
      </c>
      <c r="E41" s="114">
        <v>1</v>
      </c>
      <c r="F41" s="116" t="s">
        <v>5351</v>
      </c>
      <c r="G41" s="38">
        <v>46023</v>
      </c>
      <c r="H41" s="39"/>
      <c r="I41" s="38">
        <v>46023</v>
      </c>
      <c r="J41" s="40" t="s">
        <v>292</v>
      </c>
      <c r="K41" s="41" t="s">
        <v>5314</v>
      </c>
      <c r="L41" s="42" t="s">
        <v>294</v>
      </c>
    </row>
    <row r="42" spans="1:12" ht="13.5" customHeight="1" x14ac:dyDescent="0.3">
      <c r="A42" s="113" t="s">
        <v>779</v>
      </c>
      <c r="B42" s="114">
        <v>32</v>
      </c>
      <c r="C42" s="114">
        <v>33</v>
      </c>
      <c r="D42" s="114">
        <v>3</v>
      </c>
      <c r="E42" s="114">
        <v>2</v>
      </c>
      <c r="F42" s="116" t="s">
        <v>5352</v>
      </c>
      <c r="G42" s="30">
        <v>46023</v>
      </c>
      <c r="H42" s="31"/>
      <c r="I42" s="30">
        <v>46023</v>
      </c>
      <c r="J42" s="32" t="s">
        <v>292</v>
      </c>
      <c r="K42" s="33" t="s">
        <v>5314</v>
      </c>
      <c r="L42" s="34" t="s">
        <v>294</v>
      </c>
    </row>
    <row r="43" spans="1:12" ht="13.5" customHeight="1" x14ac:dyDescent="0.3">
      <c r="A43" s="113" t="s">
        <v>779</v>
      </c>
      <c r="B43" s="114">
        <v>34</v>
      </c>
      <c r="C43" s="114">
        <v>35</v>
      </c>
      <c r="D43" s="114">
        <v>3</v>
      </c>
      <c r="E43" s="114">
        <v>3</v>
      </c>
      <c r="F43" s="116" t="s">
        <v>5353</v>
      </c>
      <c r="G43" s="38">
        <v>46023</v>
      </c>
      <c r="H43" s="39"/>
      <c r="I43" s="38">
        <v>46023</v>
      </c>
      <c r="J43" s="40" t="s">
        <v>292</v>
      </c>
      <c r="K43" s="41" t="s">
        <v>5314</v>
      </c>
      <c r="L43" s="42" t="s">
        <v>294</v>
      </c>
    </row>
    <row r="44" spans="1:12" ht="13.5" customHeight="1" x14ac:dyDescent="0.3">
      <c r="A44" s="113" t="s">
        <v>779</v>
      </c>
      <c r="B44" s="114">
        <v>36</v>
      </c>
      <c r="C44" s="114">
        <v>37</v>
      </c>
      <c r="D44" s="114">
        <v>3</v>
      </c>
      <c r="E44" s="114">
        <v>4</v>
      </c>
      <c r="F44" s="116" t="s">
        <v>5354</v>
      </c>
      <c r="G44" s="30">
        <v>46023</v>
      </c>
      <c r="H44" s="31"/>
      <c r="I44" s="30">
        <v>46023</v>
      </c>
      <c r="J44" s="32" t="s">
        <v>292</v>
      </c>
      <c r="K44" s="33" t="s">
        <v>5314</v>
      </c>
      <c r="L44" s="34" t="s">
        <v>294</v>
      </c>
    </row>
    <row r="45" spans="1:12" ht="13.5" customHeight="1" x14ac:dyDescent="0.3">
      <c r="A45" s="113" t="s">
        <v>779</v>
      </c>
      <c r="B45" s="114">
        <v>38</v>
      </c>
      <c r="C45" s="114">
        <v>39</v>
      </c>
      <c r="D45" s="114">
        <v>3</v>
      </c>
      <c r="E45" s="114">
        <v>5</v>
      </c>
      <c r="F45" s="116" t="s">
        <v>5355</v>
      </c>
      <c r="G45" s="38">
        <v>46023</v>
      </c>
      <c r="H45" s="39"/>
      <c r="I45" s="38">
        <v>46023</v>
      </c>
      <c r="J45" s="40" t="s">
        <v>292</v>
      </c>
      <c r="K45" s="41" t="s">
        <v>5314</v>
      </c>
      <c r="L45" s="42" t="s">
        <v>294</v>
      </c>
    </row>
    <row r="46" spans="1:12" ht="13.5" customHeight="1" x14ac:dyDescent="0.3">
      <c r="A46" s="113" t="s">
        <v>779</v>
      </c>
      <c r="B46" s="114">
        <v>40</v>
      </c>
      <c r="C46" s="114">
        <v>99</v>
      </c>
      <c r="D46" s="114">
        <v>3</v>
      </c>
      <c r="E46" s="114">
        <v>6</v>
      </c>
      <c r="F46" s="116" t="s">
        <v>5356</v>
      </c>
      <c r="G46" s="30">
        <v>46023</v>
      </c>
      <c r="H46" s="31"/>
      <c r="I46" s="30">
        <v>46023</v>
      </c>
      <c r="J46" s="32" t="s">
        <v>292</v>
      </c>
      <c r="K46" s="33" t="s">
        <v>5314</v>
      </c>
      <c r="L46" s="34" t="s">
        <v>294</v>
      </c>
    </row>
    <row r="47" spans="1:12" ht="13.5" customHeight="1" x14ac:dyDescent="0.3">
      <c r="A47" s="113" t="s">
        <v>779</v>
      </c>
      <c r="B47" s="114">
        <v>42</v>
      </c>
      <c r="C47" s="114">
        <v>99</v>
      </c>
      <c r="D47" s="114">
        <v>3</v>
      </c>
      <c r="E47" s="114">
        <v>7</v>
      </c>
      <c r="F47" s="116" t="s">
        <v>5357</v>
      </c>
      <c r="G47" s="38">
        <v>46023</v>
      </c>
      <c r="H47" s="39"/>
      <c r="I47" s="38">
        <v>46023</v>
      </c>
      <c r="J47" s="40" t="s">
        <v>292</v>
      </c>
      <c r="K47" s="41" t="s">
        <v>5314</v>
      </c>
      <c r="L47" s="42" t="s">
        <v>294</v>
      </c>
    </row>
    <row r="48" spans="1:12" ht="13.5" customHeight="1" x14ac:dyDescent="0.3">
      <c r="A48" s="113" t="s">
        <v>1081</v>
      </c>
      <c r="B48" s="114">
        <v>0</v>
      </c>
      <c r="C48" s="114">
        <v>1</v>
      </c>
      <c r="D48" s="114">
        <v>3</v>
      </c>
      <c r="E48" s="114">
        <v>1</v>
      </c>
      <c r="F48" s="117" t="s">
        <v>5358</v>
      </c>
      <c r="G48" s="30">
        <v>46023</v>
      </c>
      <c r="H48" s="31"/>
      <c r="I48" s="30">
        <v>46023</v>
      </c>
      <c r="J48" s="32" t="s">
        <v>292</v>
      </c>
      <c r="K48" s="33" t="s">
        <v>5314</v>
      </c>
      <c r="L48" s="34" t="s">
        <v>294</v>
      </c>
    </row>
    <row r="49" spans="1:12" ht="13.5" customHeight="1" x14ac:dyDescent="0.3">
      <c r="A49" s="113" t="s">
        <v>1081</v>
      </c>
      <c r="B49" s="114">
        <v>2</v>
      </c>
      <c r="C49" s="114">
        <v>3</v>
      </c>
      <c r="D49" s="114">
        <v>3</v>
      </c>
      <c r="E49" s="114">
        <v>2</v>
      </c>
      <c r="F49" s="117" t="s">
        <v>5359</v>
      </c>
      <c r="G49" s="38">
        <v>46023</v>
      </c>
      <c r="H49" s="39"/>
      <c r="I49" s="38">
        <v>46023</v>
      </c>
      <c r="J49" s="40" t="s">
        <v>292</v>
      </c>
      <c r="K49" s="41" t="s">
        <v>5314</v>
      </c>
      <c r="L49" s="42" t="s">
        <v>294</v>
      </c>
    </row>
    <row r="50" spans="1:12" ht="13.5" customHeight="1" x14ac:dyDescent="0.3">
      <c r="A50" s="113" t="s">
        <v>1081</v>
      </c>
      <c r="B50" s="114">
        <v>4</v>
      </c>
      <c r="C50" s="114">
        <v>5</v>
      </c>
      <c r="D50" s="114">
        <v>3</v>
      </c>
      <c r="E50" s="114">
        <v>3</v>
      </c>
      <c r="F50" s="117" t="s">
        <v>5360</v>
      </c>
      <c r="G50" s="30">
        <v>46023</v>
      </c>
      <c r="H50" s="31"/>
      <c r="I50" s="30">
        <v>46023</v>
      </c>
      <c r="J50" s="32" t="s">
        <v>292</v>
      </c>
      <c r="K50" s="33" t="s">
        <v>5314</v>
      </c>
      <c r="L50" s="34" t="s">
        <v>294</v>
      </c>
    </row>
    <row r="51" spans="1:12" ht="13.5" customHeight="1" x14ac:dyDescent="0.3">
      <c r="A51" s="113" t="s">
        <v>1081</v>
      </c>
      <c r="B51" s="114">
        <v>6</v>
      </c>
      <c r="C51" s="114">
        <v>7</v>
      </c>
      <c r="D51" s="114">
        <v>3</v>
      </c>
      <c r="E51" s="114">
        <v>4</v>
      </c>
      <c r="F51" s="117" t="s">
        <v>5361</v>
      </c>
      <c r="G51" s="38">
        <v>46023</v>
      </c>
      <c r="H51" s="39"/>
      <c r="I51" s="38">
        <v>46023</v>
      </c>
      <c r="J51" s="40" t="s">
        <v>292</v>
      </c>
      <c r="K51" s="41" t="s">
        <v>5314</v>
      </c>
      <c r="L51" s="42" t="s">
        <v>294</v>
      </c>
    </row>
    <row r="52" spans="1:12" ht="13.5" customHeight="1" x14ac:dyDescent="0.3">
      <c r="A52" s="113" t="s">
        <v>1081</v>
      </c>
      <c r="B52" s="114">
        <v>8</v>
      </c>
      <c r="C52" s="114">
        <v>9</v>
      </c>
      <c r="D52" s="114">
        <v>3</v>
      </c>
      <c r="E52" s="114">
        <v>5</v>
      </c>
      <c r="F52" s="117" t="s">
        <v>5362</v>
      </c>
      <c r="G52" s="30">
        <v>46023</v>
      </c>
      <c r="H52" s="31"/>
      <c r="I52" s="30">
        <v>46023</v>
      </c>
      <c r="J52" s="32" t="s">
        <v>292</v>
      </c>
      <c r="K52" s="33" t="s">
        <v>5314</v>
      </c>
      <c r="L52" s="34" t="s">
        <v>294</v>
      </c>
    </row>
    <row r="53" spans="1:12" ht="13.5" customHeight="1" x14ac:dyDescent="0.3">
      <c r="A53" s="113" t="s">
        <v>1081</v>
      </c>
      <c r="B53" s="114">
        <v>10</v>
      </c>
      <c r="C53" s="114">
        <v>11</v>
      </c>
      <c r="D53" s="114">
        <v>3</v>
      </c>
      <c r="E53" s="114">
        <v>6</v>
      </c>
      <c r="F53" s="117" t="s">
        <v>5363</v>
      </c>
      <c r="G53" s="38">
        <v>46023</v>
      </c>
      <c r="H53" s="39"/>
      <c r="I53" s="38">
        <v>46023</v>
      </c>
      <c r="J53" s="40" t="s">
        <v>292</v>
      </c>
      <c r="K53" s="41" t="s">
        <v>5314</v>
      </c>
      <c r="L53" s="42" t="s">
        <v>294</v>
      </c>
    </row>
    <row r="54" spans="1:12" ht="13.5" customHeight="1" x14ac:dyDescent="0.3">
      <c r="A54" s="113" t="s">
        <v>1081</v>
      </c>
      <c r="B54" s="114">
        <v>12</v>
      </c>
      <c r="C54" s="114">
        <v>13</v>
      </c>
      <c r="D54" s="114">
        <v>3</v>
      </c>
      <c r="E54" s="114">
        <v>7</v>
      </c>
      <c r="F54" s="117" t="s">
        <v>5364</v>
      </c>
      <c r="G54" s="30">
        <v>46023</v>
      </c>
      <c r="H54" s="31"/>
      <c r="I54" s="30">
        <v>46023</v>
      </c>
      <c r="J54" s="32" t="s">
        <v>292</v>
      </c>
      <c r="K54" s="33" t="s">
        <v>5314</v>
      </c>
      <c r="L54" s="34" t="s">
        <v>294</v>
      </c>
    </row>
    <row r="55" spans="1:12" ht="13.5" customHeight="1" x14ac:dyDescent="0.3">
      <c r="A55" s="113" t="s">
        <v>1081</v>
      </c>
      <c r="B55" s="114">
        <v>14</v>
      </c>
      <c r="C55" s="114">
        <v>15</v>
      </c>
      <c r="D55" s="114">
        <v>3</v>
      </c>
      <c r="E55" s="114">
        <v>8</v>
      </c>
      <c r="F55" s="117" t="s">
        <v>5365</v>
      </c>
      <c r="G55" s="38">
        <v>46023</v>
      </c>
      <c r="H55" s="39"/>
      <c r="I55" s="38">
        <v>46023</v>
      </c>
      <c r="J55" s="40" t="s">
        <v>292</v>
      </c>
      <c r="K55" s="41" t="s">
        <v>5314</v>
      </c>
      <c r="L55" s="42" t="s">
        <v>294</v>
      </c>
    </row>
    <row r="56" spans="1:12" ht="13.5" customHeight="1" x14ac:dyDescent="0.3">
      <c r="A56" s="113" t="s">
        <v>1081</v>
      </c>
      <c r="B56" s="114">
        <v>16</v>
      </c>
      <c r="C56" s="114">
        <v>17</v>
      </c>
      <c r="D56" s="114">
        <v>3</v>
      </c>
      <c r="E56" s="114">
        <v>9</v>
      </c>
      <c r="F56" s="117" t="s">
        <v>5366</v>
      </c>
      <c r="G56" s="30">
        <v>46023</v>
      </c>
      <c r="H56" s="31"/>
      <c r="I56" s="30">
        <v>46023</v>
      </c>
      <c r="J56" s="32" t="s">
        <v>292</v>
      </c>
      <c r="K56" s="33" t="s">
        <v>5314</v>
      </c>
      <c r="L56" s="34" t="s">
        <v>294</v>
      </c>
    </row>
    <row r="57" spans="1:12" ht="13.5" customHeight="1" x14ac:dyDescent="0.3">
      <c r="A57" s="113" t="s">
        <v>1081</v>
      </c>
      <c r="B57" s="114">
        <v>18</v>
      </c>
      <c r="C57" s="114">
        <v>19</v>
      </c>
      <c r="D57" s="114">
        <v>3</v>
      </c>
      <c r="E57" s="114">
        <v>10</v>
      </c>
      <c r="F57" s="117" t="s">
        <v>5367</v>
      </c>
      <c r="G57" s="38">
        <v>46023</v>
      </c>
      <c r="H57" s="39"/>
      <c r="I57" s="38">
        <v>46023</v>
      </c>
      <c r="J57" s="40" t="s">
        <v>292</v>
      </c>
      <c r="K57" s="41" t="s">
        <v>5314</v>
      </c>
      <c r="L57" s="42" t="s">
        <v>294</v>
      </c>
    </row>
    <row r="58" spans="1:12" ht="13.5" customHeight="1" x14ac:dyDescent="0.3">
      <c r="A58" s="113" t="s">
        <v>1081</v>
      </c>
      <c r="B58" s="114">
        <v>20</v>
      </c>
      <c r="C58" s="114">
        <v>21</v>
      </c>
      <c r="D58" s="114">
        <v>3</v>
      </c>
      <c r="E58" s="114">
        <v>11</v>
      </c>
      <c r="F58" s="117" t="s">
        <v>5368</v>
      </c>
      <c r="G58" s="30">
        <v>46023</v>
      </c>
      <c r="H58" s="31"/>
      <c r="I58" s="30">
        <v>46023</v>
      </c>
      <c r="J58" s="32" t="s">
        <v>292</v>
      </c>
      <c r="K58" s="33" t="s">
        <v>5314</v>
      </c>
      <c r="L58" s="34" t="s">
        <v>294</v>
      </c>
    </row>
    <row r="59" spans="1:12" ht="13.5" customHeight="1" x14ac:dyDescent="0.3">
      <c r="A59" s="113" t="s">
        <v>1081</v>
      </c>
      <c r="B59" s="114">
        <v>22</v>
      </c>
      <c r="C59" s="114">
        <v>23</v>
      </c>
      <c r="D59" s="114">
        <v>3</v>
      </c>
      <c r="E59" s="114">
        <v>12</v>
      </c>
      <c r="F59" s="117" t="s">
        <v>5369</v>
      </c>
      <c r="G59" s="38">
        <v>46023</v>
      </c>
      <c r="H59" s="39"/>
      <c r="I59" s="38">
        <v>46023</v>
      </c>
      <c r="J59" s="40" t="s">
        <v>292</v>
      </c>
      <c r="K59" s="41" t="s">
        <v>5314</v>
      </c>
      <c r="L59" s="42" t="s">
        <v>294</v>
      </c>
    </row>
    <row r="60" spans="1:12" ht="13.5" customHeight="1" x14ac:dyDescent="0.3">
      <c r="A60" s="113" t="s">
        <v>1081</v>
      </c>
      <c r="B60" s="114">
        <v>24</v>
      </c>
      <c r="C60" s="114">
        <v>25</v>
      </c>
      <c r="D60" s="114">
        <v>3</v>
      </c>
      <c r="E60" s="114">
        <v>13</v>
      </c>
      <c r="F60" s="117" t="s">
        <v>5370</v>
      </c>
      <c r="G60" s="30">
        <v>46023</v>
      </c>
      <c r="H60" s="31"/>
      <c r="I60" s="30">
        <v>46023</v>
      </c>
      <c r="J60" s="32" t="s">
        <v>292</v>
      </c>
      <c r="K60" s="33" t="s">
        <v>5314</v>
      </c>
      <c r="L60" s="34" t="s">
        <v>294</v>
      </c>
    </row>
    <row r="61" spans="1:12" ht="13.5" customHeight="1" x14ac:dyDescent="0.3">
      <c r="A61" s="113" t="s">
        <v>1081</v>
      </c>
      <c r="B61" s="114">
        <v>26</v>
      </c>
      <c r="C61" s="114">
        <v>27</v>
      </c>
      <c r="D61" s="114">
        <v>3</v>
      </c>
      <c r="E61" s="114">
        <v>14</v>
      </c>
      <c r="F61" s="117" t="s">
        <v>5371</v>
      </c>
      <c r="G61" s="38">
        <v>46023</v>
      </c>
      <c r="H61" s="39"/>
      <c r="I61" s="38">
        <v>46023</v>
      </c>
      <c r="J61" s="40" t="s">
        <v>292</v>
      </c>
      <c r="K61" s="41" t="s">
        <v>5314</v>
      </c>
      <c r="L61" s="42" t="s">
        <v>294</v>
      </c>
    </row>
    <row r="62" spans="1:12" ht="13.5" customHeight="1" x14ac:dyDescent="0.3">
      <c r="A62" s="113" t="s">
        <v>1081</v>
      </c>
      <c r="B62" s="114">
        <v>28</v>
      </c>
      <c r="C62" s="114">
        <v>29</v>
      </c>
      <c r="D62" s="114">
        <v>3</v>
      </c>
      <c r="E62" s="114">
        <v>15</v>
      </c>
      <c r="F62" s="117" t="s">
        <v>5372</v>
      </c>
      <c r="G62" s="30">
        <v>46023</v>
      </c>
      <c r="H62" s="31"/>
      <c r="I62" s="30">
        <v>46023</v>
      </c>
      <c r="J62" s="32" t="s">
        <v>292</v>
      </c>
      <c r="K62" s="33" t="s">
        <v>5314</v>
      </c>
      <c r="L62" s="34" t="s">
        <v>294</v>
      </c>
    </row>
    <row r="63" spans="1:12" ht="13.5" customHeight="1" x14ac:dyDescent="0.3">
      <c r="A63" s="113" t="s">
        <v>1081</v>
      </c>
      <c r="B63" s="114">
        <v>30</v>
      </c>
      <c r="C63" s="114">
        <v>31</v>
      </c>
      <c r="D63" s="114">
        <v>4</v>
      </c>
      <c r="E63" s="114">
        <v>1</v>
      </c>
      <c r="F63" s="117" t="s">
        <v>5373</v>
      </c>
      <c r="G63" s="38">
        <v>46023</v>
      </c>
      <c r="H63" s="39"/>
      <c r="I63" s="38">
        <v>46023</v>
      </c>
      <c r="J63" s="40" t="s">
        <v>292</v>
      </c>
      <c r="K63" s="41" t="s">
        <v>5314</v>
      </c>
      <c r="L63" s="42" t="s">
        <v>294</v>
      </c>
    </row>
    <row r="64" spans="1:12" ht="13.5" customHeight="1" x14ac:dyDescent="0.3">
      <c r="A64" s="113" t="s">
        <v>1081</v>
      </c>
      <c r="B64" s="114">
        <v>32</v>
      </c>
      <c r="C64" s="114">
        <v>33</v>
      </c>
      <c r="D64" s="114">
        <v>4</v>
      </c>
      <c r="E64" s="114">
        <v>2</v>
      </c>
      <c r="F64" s="117" t="s">
        <v>5374</v>
      </c>
      <c r="G64" s="30">
        <v>46023</v>
      </c>
      <c r="H64" s="31"/>
      <c r="I64" s="30">
        <v>46023</v>
      </c>
      <c r="J64" s="32" t="s">
        <v>292</v>
      </c>
      <c r="K64" s="33" t="s">
        <v>5314</v>
      </c>
      <c r="L64" s="34" t="s">
        <v>294</v>
      </c>
    </row>
    <row r="65" spans="1:12" ht="13.5" customHeight="1" x14ac:dyDescent="0.3">
      <c r="A65" s="113" t="s">
        <v>1081</v>
      </c>
      <c r="B65" s="114">
        <v>34</v>
      </c>
      <c r="C65" s="114">
        <v>35</v>
      </c>
      <c r="D65" s="114">
        <v>4</v>
      </c>
      <c r="E65" s="114">
        <v>3</v>
      </c>
      <c r="F65" s="117" t="s">
        <v>5375</v>
      </c>
      <c r="G65" s="38">
        <v>46023</v>
      </c>
      <c r="H65" s="39"/>
      <c r="I65" s="38">
        <v>46023</v>
      </c>
      <c r="J65" s="40" t="s">
        <v>292</v>
      </c>
      <c r="K65" s="41" t="s">
        <v>5314</v>
      </c>
      <c r="L65" s="42" t="s">
        <v>294</v>
      </c>
    </row>
    <row r="66" spans="1:12" ht="13.5" customHeight="1" x14ac:dyDescent="0.3">
      <c r="A66" s="113" t="s">
        <v>1081</v>
      </c>
      <c r="B66" s="114">
        <v>36</v>
      </c>
      <c r="C66" s="114">
        <v>37</v>
      </c>
      <c r="D66" s="114">
        <v>4</v>
      </c>
      <c r="E66" s="114">
        <v>4</v>
      </c>
      <c r="F66" s="117" t="s">
        <v>5376</v>
      </c>
      <c r="G66" s="30">
        <v>46023</v>
      </c>
      <c r="H66" s="31"/>
      <c r="I66" s="30">
        <v>46023</v>
      </c>
      <c r="J66" s="32" t="s">
        <v>292</v>
      </c>
      <c r="K66" s="33" t="s">
        <v>5314</v>
      </c>
      <c r="L66" s="34" t="s">
        <v>294</v>
      </c>
    </row>
    <row r="67" spans="1:12" ht="13.5" customHeight="1" x14ac:dyDescent="0.3">
      <c r="A67" s="113" t="s">
        <v>1081</v>
      </c>
      <c r="B67" s="114">
        <v>38</v>
      </c>
      <c r="C67" s="114">
        <v>39</v>
      </c>
      <c r="D67" s="114">
        <v>4</v>
      </c>
      <c r="E67" s="114">
        <v>5</v>
      </c>
      <c r="F67" s="117" t="s">
        <v>5377</v>
      </c>
      <c r="G67" s="38">
        <v>46023</v>
      </c>
      <c r="H67" s="39"/>
      <c r="I67" s="38">
        <v>46023</v>
      </c>
      <c r="J67" s="40" t="s">
        <v>292</v>
      </c>
      <c r="K67" s="41" t="s">
        <v>5314</v>
      </c>
      <c r="L67" s="42" t="s">
        <v>294</v>
      </c>
    </row>
    <row r="68" spans="1:12" ht="13.5" customHeight="1" x14ac:dyDescent="0.3">
      <c r="A68" s="113" t="s">
        <v>1081</v>
      </c>
      <c r="B68" s="114">
        <v>40</v>
      </c>
      <c r="C68" s="114">
        <v>99</v>
      </c>
      <c r="D68" s="114">
        <v>4</v>
      </c>
      <c r="E68" s="114">
        <v>6</v>
      </c>
      <c r="F68" s="117" t="s">
        <v>5378</v>
      </c>
      <c r="G68" s="30">
        <v>46023</v>
      </c>
      <c r="H68" s="31"/>
      <c r="I68" s="30">
        <v>46023</v>
      </c>
      <c r="J68" s="32" t="s">
        <v>292</v>
      </c>
      <c r="K68" s="33" t="s">
        <v>5314</v>
      </c>
      <c r="L68" s="34" t="s">
        <v>294</v>
      </c>
    </row>
    <row r="69" spans="1:12" ht="13.5" customHeight="1" x14ac:dyDescent="0.3">
      <c r="A69" s="113" t="s">
        <v>1081</v>
      </c>
      <c r="B69" s="114">
        <v>42</v>
      </c>
      <c r="C69" s="114">
        <v>99</v>
      </c>
      <c r="D69" s="114">
        <v>4</v>
      </c>
      <c r="E69" s="114">
        <v>7</v>
      </c>
      <c r="F69" s="117" t="s">
        <v>5379</v>
      </c>
      <c r="G69" s="38">
        <v>46023</v>
      </c>
      <c r="H69" s="39"/>
      <c r="I69" s="38">
        <v>46023</v>
      </c>
      <c r="J69" s="40" t="s">
        <v>292</v>
      </c>
      <c r="K69" s="41" t="s">
        <v>5314</v>
      </c>
      <c r="L69" s="42" t="s">
        <v>294</v>
      </c>
    </row>
    <row r="70" spans="1:12" ht="13.5" customHeight="1" x14ac:dyDescent="0.3">
      <c r="A70" s="113" t="s">
        <v>737</v>
      </c>
      <c r="B70" s="114">
        <v>0</v>
      </c>
      <c r="C70" s="114">
        <v>1</v>
      </c>
      <c r="D70" s="114">
        <v>4</v>
      </c>
      <c r="E70" s="114">
        <v>1</v>
      </c>
      <c r="F70" s="118" t="s">
        <v>5380</v>
      </c>
      <c r="G70" s="30">
        <v>46023</v>
      </c>
      <c r="H70" s="31"/>
      <c r="I70" s="30">
        <v>46023</v>
      </c>
      <c r="J70" s="32" t="s">
        <v>292</v>
      </c>
      <c r="K70" s="33" t="s">
        <v>5314</v>
      </c>
      <c r="L70" s="34" t="s">
        <v>294</v>
      </c>
    </row>
    <row r="71" spans="1:12" ht="13.5" customHeight="1" x14ac:dyDescent="0.3">
      <c r="A71" s="113" t="s">
        <v>737</v>
      </c>
      <c r="B71" s="114">
        <v>2</v>
      </c>
      <c r="C71" s="114">
        <v>3</v>
      </c>
      <c r="D71" s="114">
        <v>4</v>
      </c>
      <c r="E71" s="114">
        <v>2</v>
      </c>
      <c r="F71" s="118" t="s">
        <v>5381</v>
      </c>
      <c r="G71" s="38">
        <v>46023</v>
      </c>
      <c r="H71" s="39"/>
      <c r="I71" s="38">
        <v>46023</v>
      </c>
      <c r="J71" s="40" t="s">
        <v>292</v>
      </c>
      <c r="K71" s="41" t="s">
        <v>5314</v>
      </c>
      <c r="L71" s="42" t="s">
        <v>294</v>
      </c>
    </row>
    <row r="72" spans="1:12" ht="13.5" customHeight="1" x14ac:dyDescent="0.3">
      <c r="A72" s="113" t="s">
        <v>737</v>
      </c>
      <c r="B72" s="114">
        <v>4</v>
      </c>
      <c r="C72" s="114">
        <v>5</v>
      </c>
      <c r="D72" s="114">
        <v>4</v>
      </c>
      <c r="E72" s="114">
        <v>3</v>
      </c>
      <c r="F72" s="118" t="s">
        <v>5382</v>
      </c>
      <c r="G72" s="30">
        <v>46023</v>
      </c>
      <c r="H72" s="31"/>
      <c r="I72" s="30">
        <v>46023</v>
      </c>
      <c r="J72" s="32" t="s">
        <v>292</v>
      </c>
      <c r="K72" s="33" t="s">
        <v>5314</v>
      </c>
      <c r="L72" s="34" t="s">
        <v>294</v>
      </c>
    </row>
    <row r="73" spans="1:12" ht="13.5" customHeight="1" x14ac:dyDescent="0.3">
      <c r="A73" s="113" t="s">
        <v>737</v>
      </c>
      <c r="B73" s="114">
        <v>6</v>
      </c>
      <c r="C73" s="114">
        <v>7</v>
      </c>
      <c r="D73" s="114">
        <v>4</v>
      </c>
      <c r="E73" s="114">
        <v>4</v>
      </c>
      <c r="F73" s="118" t="s">
        <v>5383</v>
      </c>
      <c r="G73" s="38">
        <v>46023</v>
      </c>
      <c r="H73" s="39"/>
      <c r="I73" s="38">
        <v>46023</v>
      </c>
      <c r="J73" s="40" t="s">
        <v>292</v>
      </c>
      <c r="K73" s="41" t="s">
        <v>5314</v>
      </c>
      <c r="L73" s="42" t="s">
        <v>294</v>
      </c>
    </row>
    <row r="74" spans="1:12" ht="13.5" customHeight="1" x14ac:dyDescent="0.3">
      <c r="A74" s="113" t="s">
        <v>737</v>
      </c>
      <c r="B74" s="114">
        <v>8</v>
      </c>
      <c r="C74" s="114">
        <v>9</v>
      </c>
      <c r="D74" s="114">
        <v>4</v>
      </c>
      <c r="E74" s="114">
        <v>5</v>
      </c>
      <c r="F74" s="118" t="s">
        <v>5384</v>
      </c>
      <c r="G74" s="30">
        <v>46023</v>
      </c>
      <c r="H74" s="31"/>
      <c r="I74" s="30">
        <v>46023</v>
      </c>
      <c r="J74" s="32" t="s">
        <v>292</v>
      </c>
      <c r="K74" s="33" t="s">
        <v>5314</v>
      </c>
      <c r="L74" s="34" t="s">
        <v>294</v>
      </c>
    </row>
    <row r="75" spans="1:12" ht="13.5" customHeight="1" x14ac:dyDescent="0.3">
      <c r="A75" s="113" t="s">
        <v>737</v>
      </c>
      <c r="B75" s="114">
        <v>10</v>
      </c>
      <c r="C75" s="114">
        <v>11</v>
      </c>
      <c r="D75" s="114">
        <v>4</v>
      </c>
      <c r="E75" s="114">
        <v>6</v>
      </c>
      <c r="F75" s="118" t="s">
        <v>5385</v>
      </c>
      <c r="G75" s="38">
        <v>46023</v>
      </c>
      <c r="H75" s="39"/>
      <c r="I75" s="38">
        <v>46023</v>
      </c>
      <c r="J75" s="40" t="s">
        <v>292</v>
      </c>
      <c r="K75" s="41" t="s">
        <v>5314</v>
      </c>
      <c r="L75" s="42" t="s">
        <v>294</v>
      </c>
    </row>
    <row r="76" spans="1:12" ht="13.5" customHeight="1" x14ac:dyDescent="0.3">
      <c r="A76" s="113" t="s">
        <v>737</v>
      </c>
      <c r="B76" s="114">
        <v>12</v>
      </c>
      <c r="C76" s="114">
        <v>13</v>
      </c>
      <c r="D76" s="114">
        <v>4</v>
      </c>
      <c r="E76" s="114">
        <v>7</v>
      </c>
      <c r="F76" s="118" t="s">
        <v>5386</v>
      </c>
      <c r="G76" s="30">
        <v>46023</v>
      </c>
      <c r="H76" s="31"/>
      <c r="I76" s="30">
        <v>46023</v>
      </c>
      <c r="J76" s="32" t="s">
        <v>292</v>
      </c>
      <c r="K76" s="33" t="s">
        <v>5314</v>
      </c>
      <c r="L76" s="34" t="s">
        <v>294</v>
      </c>
    </row>
    <row r="77" spans="1:12" ht="13.5" customHeight="1" x14ac:dyDescent="0.3">
      <c r="A77" s="113" t="s">
        <v>737</v>
      </c>
      <c r="B77" s="114">
        <v>14</v>
      </c>
      <c r="C77" s="114">
        <v>15</v>
      </c>
      <c r="D77" s="114">
        <v>4</v>
      </c>
      <c r="E77" s="114">
        <v>8</v>
      </c>
      <c r="F77" s="118" t="s">
        <v>5387</v>
      </c>
      <c r="G77" s="38">
        <v>46023</v>
      </c>
      <c r="H77" s="39"/>
      <c r="I77" s="38">
        <v>46023</v>
      </c>
      <c r="J77" s="40" t="s">
        <v>292</v>
      </c>
      <c r="K77" s="41" t="s">
        <v>5314</v>
      </c>
      <c r="L77" s="42" t="s">
        <v>294</v>
      </c>
    </row>
    <row r="78" spans="1:12" ht="13.5" customHeight="1" x14ac:dyDescent="0.3">
      <c r="A78" s="113" t="s">
        <v>737</v>
      </c>
      <c r="B78" s="114">
        <v>16</v>
      </c>
      <c r="C78" s="114">
        <v>17</v>
      </c>
      <c r="D78" s="114">
        <v>4</v>
      </c>
      <c r="E78" s="114">
        <v>9</v>
      </c>
      <c r="F78" s="118" t="s">
        <v>5388</v>
      </c>
      <c r="G78" s="30">
        <v>46023</v>
      </c>
      <c r="H78" s="31"/>
      <c r="I78" s="30">
        <v>46023</v>
      </c>
      <c r="J78" s="32" t="s">
        <v>292</v>
      </c>
      <c r="K78" s="33" t="s">
        <v>5314</v>
      </c>
      <c r="L78" s="34" t="s">
        <v>294</v>
      </c>
    </row>
    <row r="79" spans="1:12" ht="13.5" customHeight="1" x14ac:dyDescent="0.3">
      <c r="A79" s="113" t="s">
        <v>737</v>
      </c>
      <c r="B79" s="114">
        <v>18</v>
      </c>
      <c r="C79" s="114">
        <v>19</v>
      </c>
      <c r="D79" s="114">
        <v>4</v>
      </c>
      <c r="E79" s="114">
        <v>10</v>
      </c>
      <c r="F79" s="118" t="s">
        <v>5389</v>
      </c>
      <c r="G79" s="38">
        <v>46023</v>
      </c>
      <c r="H79" s="39"/>
      <c r="I79" s="38">
        <v>46023</v>
      </c>
      <c r="J79" s="40" t="s">
        <v>292</v>
      </c>
      <c r="K79" s="41" t="s">
        <v>5314</v>
      </c>
      <c r="L79" s="42" t="s">
        <v>294</v>
      </c>
    </row>
    <row r="80" spans="1:12" ht="13.5" customHeight="1" x14ac:dyDescent="0.3">
      <c r="A80" s="113" t="s">
        <v>737</v>
      </c>
      <c r="B80" s="114">
        <v>20</v>
      </c>
      <c r="C80" s="114">
        <v>21</v>
      </c>
      <c r="D80" s="114">
        <v>4</v>
      </c>
      <c r="E80" s="114">
        <v>11</v>
      </c>
      <c r="F80" s="118" t="s">
        <v>5390</v>
      </c>
      <c r="G80" s="30">
        <v>46023</v>
      </c>
      <c r="H80" s="31"/>
      <c r="I80" s="30">
        <v>46023</v>
      </c>
      <c r="J80" s="32" t="s">
        <v>292</v>
      </c>
      <c r="K80" s="33" t="s">
        <v>5314</v>
      </c>
      <c r="L80" s="34" t="s">
        <v>294</v>
      </c>
    </row>
    <row r="81" spans="1:12" ht="13.5" customHeight="1" x14ac:dyDescent="0.3">
      <c r="A81" s="113" t="s">
        <v>737</v>
      </c>
      <c r="B81" s="114">
        <v>22</v>
      </c>
      <c r="C81" s="114">
        <v>23</v>
      </c>
      <c r="D81" s="114">
        <v>4</v>
      </c>
      <c r="E81" s="114">
        <v>12</v>
      </c>
      <c r="F81" s="118" t="s">
        <v>5391</v>
      </c>
      <c r="G81" s="38">
        <v>46023</v>
      </c>
      <c r="H81" s="39"/>
      <c r="I81" s="38">
        <v>46023</v>
      </c>
      <c r="J81" s="40" t="s">
        <v>292</v>
      </c>
      <c r="K81" s="41" t="s">
        <v>5314</v>
      </c>
      <c r="L81" s="42" t="s">
        <v>294</v>
      </c>
    </row>
    <row r="82" spans="1:12" ht="13.5" customHeight="1" x14ac:dyDescent="0.3">
      <c r="A82" s="113" t="s">
        <v>737</v>
      </c>
      <c r="B82" s="114">
        <v>24</v>
      </c>
      <c r="C82" s="114">
        <v>25</v>
      </c>
      <c r="D82" s="114">
        <v>4</v>
      </c>
      <c r="E82" s="114">
        <v>13</v>
      </c>
      <c r="F82" s="118" t="s">
        <v>5392</v>
      </c>
      <c r="G82" s="30">
        <v>46023</v>
      </c>
      <c r="H82" s="31"/>
      <c r="I82" s="30">
        <v>46023</v>
      </c>
      <c r="J82" s="32" t="s">
        <v>292</v>
      </c>
      <c r="K82" s="33" t="s">
        <v>5314</v>
      </c>
      <c r="L82" s="34" t="s">
        <v>294</v>
      </c>
    </row>
    <row r="83" spans="1:12" ht="13.5" customHeight="1" x14ac:dyDescent="0.3">
      <c r="A83" s="113" t="s">
        <v>737</v>
      </c>
      <c r="B83" s="114">
        <v>26</v>
      </c>
      <c r="C83" s="114">
        <v>27</v>
      </c>
      <c r="D83" s="114">
        <v>4</v>
      </c>
      <c r="E83" s="114">
        <v>14</v>
      </c>
      <c r="F83" s="118" t="s">
        <v>5393</v>
      </c>
      <c r="G83" s="38">
        <v>46023</v>
      </c>
      <c r="H83" s="39"/>
      <c r="I83" s="38">
        <v>46023</v>
      </c>
      <c r="J83" s="40" t="s">
        <v>292</v>
      </c>
      <c r="K83" s="41" t="s">
        <v>5314</v>
      </c>
      <c r="L83" s="42" t="s">
        <v>294</v>
      </c>
    </row>
    <row r="84" spans="1:12" ht="13.5" customHeight="1" x14ac:dyDescent="0.3">
      <c r="A84" s="113" t="s">
        <v>737</v>
      </c>
      <c r="B84" s="114">
        <v>28</v>
      </c>
      <c r="C84" s="114">
        <v>29</v>
      </c>
      <c r="D84" s="114">
        <v>4</v>
      </c>
      <c r="E84" s="114">
        <v>15</v>
      </c>
      <c r="F84" s="118" t="s">
        <v>5394</v>
      </c>
      <c r="G84" s="30">
        <v>46023</v>
      </c>
      <c r="H84" s="31"/>
      <c r="I84" s="30">
        <v>46023</v>
      </c>
      <c r="J84" s="32" t="s">
        <v>292</v>
      </c>
      <c r="K84" s="33" t="s">
        <v>5314</v>
      </c>
      <c r="L84" s="34" t="s">
        <v>294</v>
      </c>
    </row>
    <row r="85" spans="1:12" ht="13.5" customHeight="1" x14ac:dyDescent="0.3">
      <c r="A85" s="113" t="s">
        <v>737</v>
      </c>
      <c r="B85" s="114">
        <v>30</v>
      </c>
      <c r="C85" s="114">
        <v>31</v>
      </c>
      <c r="D85" s="114">
        <v>5</v>
      </c>
      <c r="E85" s="114">
        <v>1</v>
      </c>
      <c r="F85" s="118" t="s">
        <v>5395</v>
      </c>
      <c r="G85" s="38">
        <v>46023</v>
      </c>
      <c r="H85" s="39"/>
      <c r="I85" s="38">
        <v>46023</v>
      </c>
      <c r="J85" s="40" t="s">
        <v>292</v>
      </c>
      <c r="K85" s="41" t="s">
        <v>5314</v>
      </c>
      <c r="L85" s="42" t="s">
        <v>294</v>
      </c>
    </row>
    <row r="86" spans="1:12" ht="13.5" customHeight="1" x14ac:dyDescent="0.3">
      <c r="A86" s="113" t="s">
        <v>737</v>
      </c>
      <c r="B86" s="114">
        <v>32</v>
      </c>
      <c r="C86" s="114">
        <v>33</v>
      </c>
      <c r="D86" s="114">
        <v>5</v>
      </c>
      <c r="E86" s="114">
        <v>2</v>
      </c>
      <c r="F86" s="118" t="s">
        <v>5396</v>
      </c>
      <c r="G86" s="30">
        <v>46023</v>
      </c>
      <c r="H86" s="31"/>
      <c r="I86" s="30">
        <v>46023</v>
      </c>
      <c r="J86" s="32" t="s">
        <v>292</v>
      </c>
      <c r="K86" s="33" t="s">
        <v>5314</v>
      </c>
      <c r="L86" s="34" t="s">
        <v>294</v>
      </c>
    </row>
    <row r="87" spans="1:12" ht="13.5" customHeight="1" x14ac:dyDescent="0.3">
      <c r="A87" s="113" t="s">
        <v>737</v>
      </c>
      <c r="B87" s="114">
        <v>34</v>
      </c>
      <c r="C87" s="114">
        <v>35</v>
      </c>
      <c r="D87" s="114">
        <v>5</v>
      </c>
      <c r="E87" s="114">
        <v>3</v>
      </c>
      <c r="F87" s="118" t="s">
        <v>5397</v>
      </c>
      <c r="G87" s="38">
        <v>46023</v>
      </c>
      <c r="H87" s="39"/>
      <c r="I87" s="38">
        <v>46023</v>
      </c>
      <c r="J87" s="40" t="s">
        <v>292</v>
      </c>
      <c r="K87" s="41" t="s">
        <v>5314</v>
      </c>
      <c r="L87" s="42" t="s">
        <v>294</v>
      </c>
    </row>
    <row r="88" spans="1:12" ht="13.5" customHeight="1" x14ac:dyDescent="0.3">
      <c r="A88" s="113" t="s">
        <v>737</v>
      </c>
      <c r="B88" s="114">
        <v>36</v>
      </c>
      <c r="C88" s="114">
        <v>37</v>
      </c>
      <c r="D88" s="114">
        <v>5</v>
      </c>
      <c r="E88" s="114">
        <v>4</v>
      </c>
      <c r="F88" s="118" t="s">
        <v>5398</v>
      </c>
      <c r="G88" s="30">
        <v>46023</v>
      </c>
      <c r="H88" s="31"/>
      <c r="I88" s="30">
        <v>46023</v>
      </c>
      <c r="J88" s="32" t="s">
        <v>292</v>
      </c>
      <c r="K88" s="33" t="s">
        <v>5314</v>
      </c>
      <c r="L88" s="34" t="s">
        <v>294</v>
      </c>
    </row>
    <row r="89" spans="1:12" ht="13.5" customHeight="1" x14ac:dyDescent="0.3">
      <c r="A89" s="113" t="s">
        <v>737</v>
      </c>
      <c r="B89" s="114">
        <v>38</v>
      </c>
      <c r="C89" s="114">
        <v>39</v>
      </c>
      <c r="D89" s="114">
        <v>5</v>
      </c>
      <c r="E89" s="114">
        <v>5</v>
      </c>
      <c r="F89" s="118" t="s">
        <v>5399</v>
      </c>
      <c r="G89" s="38">
        <v>46023</v>
      </c>
      <c r="H89" s="39"/>
      <c r="I89" s="38">
        <v>46023</v>
      </c>
      <c r="J89" s="40" t="s">
        <v>292</v>
      </c>
      <c r="K89" s="41" t="s">
        <v>5314</v>
      </c>
      <c r="L89" s="42" t="s">
        <v>294</v>
      </c>
    </row>
    <row r="90" spans="1:12" ht="13.5" customHeight="1" x14ac:dyDescent="0.3">
      <c r="A90" s="113" t="s">
        <v>737</v>
      </c>
      <c r="B90" s="114">
        <v>40</v>
      </c>
      <c r="C90" s="114">
        <v>99</v>
      </c>
      <c r="D90" s="114">
        <v>5</v>
      </c>
      <c r="E90" s="114">
        <v>6</v>
      </c>
      <c r="F90" s="118" t="s">
        <v>5400</v>
      </c>
      <c r="G90" s="30">
        <v>46023</v>
      </c>
      <c r="H90" s="31"/>
      <c r="I90" s="30">
        <v>46023</v>
      </c>
      <c r="J90" s="32" t="s">
        <v>292</v>
      </c>
      <c r="K90" s="33" t="s">
        <v>5314</v>
      </c>
      <c r="L90" s="34" t="s">
        <v>294</v>
      </c>
    </row>
    <row r="91" spans="1:12" ht="13.5" customHeight="1" x14ac:dyDescent="0.3">
      <c r="A91" s="113" t="s">
        <v>737</v>
      </c>
      <c r="B91" s="114">
        <v>42</v>
      </c>
      <c r="C91" s="114">
        <v>99</v>
      </c>
      <c r="D91" s="114">
        <v>5</v>
      </c>
      <c r="E91" s="114">
        <v>7</v>
      </c>
      <c r="F91" s="118" t="s">
        <v>5401</v>
      </c>
      <c r="G91" s="38">
        <v>46023</v>
      </c>
      <c r="H91" s="39"/>
      <c r="I91" s="38">
        <v>46023</v>
      </c>
      <c r="J91" s="40" t="s">
        <v>292</v>
      </c>
      <c r="K91" s="41" t="s">
        <v>5314</v>
      </c>
      <c r="L91" s="42" t="s">
        <v>294</v>
      </c>
    </row>
    <row r="92" spans="1:12" ht="13.5" customHeight="1" x14ac:dyDescent="0.3">
      <c r="A92" s="113" t="s">
        <v>758</v>
      </c>
      <c r="B92" s="114">
        <v>0</v>
      </c>
      <c r="C92" s="114">
        <v>1</v>
      </c>
      <c r="D92" s="114">
        <v>5</v>
      </c>
      <c r="E92" s="114">
        <v>1</v>
      </c>
      <c r="F92" s="119" t="s">
        <v>5402</v>
      </c>
      <c r="G92" s="30">
        <v>46023</v>
      </c>
      <c r="H92" s="31"/>
      <c r="I92" s="30">
        <v>46023</v>
      </c>
      <c r="J92" s="32" t="s">
        <v>292</v>
      </c>
      <c r="K92" s="33" t="s">
        <v>5314</v>
      </c>
      <c r="L92" s="34" t="s">
        <v>294</v>
      </c>
    </row>
    <row r="93" spans="1:12" ht="13.5" customHeight="1" x14ac:dyDescent="0.3">
      <c r="A93" s="113" t="s">
        <v>758</v>
      </c>
      <c r="B93" s="114">
        <v>2</v>
      </c>
      <c r="C93" s="114">
        <v>3</v>
      </c>
      <c r="D93" s="114">
        <v>5</v>
      </c>
      <c r="E93" s="114">
        <v>2</v>
      </c>
      <c r="F93" s="119" t="s">
        <v>5403</v>
      </c>
      <c r="G93" s="38">
        <v>46023</v>
      </c>
      <c r="H93" s="39"/>
      <c r="I93" s="38">
        <v>46023</v>
      </c>
      <c r="J93" s="40" t="s">
        <v>292</v>
      </c>
      <c r="K93" s="41" t="s">
        <v>5314</v>
      </c>
      <c r="L93" s="42" t="s">
        <v>294</v>
      </c>
    </row>
    <row r="94" spans="1:12" ht="13.5" customHeight="1" x14ac:dyDescent="0.3">
      <c r="A94" s="113" t="s">
        <v>758</v>
      </c>
      <c r="B94" s="114">
        <v>4</v>
      </c>
      <c r="C94" s="114">
        <v>5</v>
      </c>
      <c r="D94" s="114">
        <v>5</v>
      </c>
      <c r="E94" s="114">
        <v>3</v>
      </c>
      <c r="F94" s="119" t="s">
        <v>5404</v>
      </c>
      <c r="G94" s="30">
        <v>46023</v>
      </c>
      <c r="H94" s="31"/>
      <c r="I94" s="30">
        <v>46023</v>
      </c>
      <c r="J94" s="32" t="s">
        <v>292</v>
      </c>
      <c r="K94" s="33" t="s">
        <v>5314</v>
      </c>
      <c r="L94" s="34" t="s">
        <v>294</v>
      </c>
    </row>
    <row r="95" spans="1:12" ht="13.5" customHeight="1" x14ac:dyDescent="0.3">
      <c r="A95" s="113" t="s">
        <v>758</v>
      </c>
      <c r="B95" s="114">
        <v>6</v>
      </c>
      <c r="C95" s="114">
        <v>7</v>
      </c>
      <c r="D95" s="114">
        <v>5</v>
      </c>
      <c r="E95" s="114">
        <v>4</v>
      </c>
      <c r="F95" s="119" t="s">
        <v>5405</v>
      </c>
      <c r="G95" s="38">
        <v>46023</v>
      </c>
      <c r="H95" s="39"/>
      <c r="I95" s="38">
        <v>46023</v>
      </c>
      <c r="J95" s="40" t="s">
        <v>292</v>
      </c>
      <c r="K95" s="41" t="s">
        <v>5314</v>
      </c>
      <c r="L95" s="42" t="s">
        <v>294</v>
      </c>
    </row>
    <row r="96" spans="1:12" ht="13.5" customHeight="1" x14ac:dyDescent="0.3">
      <c r="A96" s="113" t="s">
        <v>758</v>
      </c>
      <c r="B96" s="114">
        <v>8</v>
      </c>
      <c r="C96" s="114">
        <v>9</v>
      </c>
      <c r="D96" s="114">
        <v>5</v>
      </c>
      <c r="E96" s="114">
        <v>5</v>
      </c>
      <c r="F96" s="119" t="s">
        <v>5406</v>
      </c>
      <c r="G96" s="30">
        <v>46023</v>
      </c>
      <c r="H96" s="31"/>
      <c r="I96" s="30">
        <v>46023</v>
      </c>
      <c r="J96" s="32" t="s">
        <v>292</v>
      </c>
      <c r="K96" s="33" t="s">
        <v>5314</v>
      </c>
      <c r="L96" s="34" t="s">
        <v>294</v>
      </c>
    </row>
    <row r="97" spans="1:12" ht="13.5" customHeight="1" x14ac:dyDescent="0.3">
      <c r="A97" s="113" t="s">
        <v>758</v>
      </c>
      <c r="B97" s="114">
        <v>10</v>
      </c>
      <c r="C97" s="114">
        <v>11</v>
      </c>
      <c r="D97" s="114">
        <v>5</v>
      </c>
      <c r="E97" s="114">
        <v>6</v>
      </c>
      <c r="F97" s="119" t="s">
        <v>5407</v>
      </c>
      <c r="G97" s="38">
        <v>46023</v>
      </c>
      <c r="H97" s="39"/>
      <c r="I97" s="38">
        <v>46023</v>
      </c>
      <c r="J97" s="40" t="s">
        <v>292</v>
      </c>
      <c r="K97" s="41" t="s">
        <v>5314</v>
      </c>
      <c r="L97" s="42" t="s">
        <v>294</v>
      </c>
    </row>
    <row r="98" spans="1:12" ht="13.5" customHeight="1" x14ac:dyDescent="0.3">
      <c r="A98" s="113" t="s">
        <v>758</v>
      </c>
      <c r="B98" s="114">
        <v>12</v>
      </c>
      <c r="C98" s="114">
        <v>13</v>
      </c>
      <c r="D98" s="114">
        <v>5</v>
      </c>
      <c r="E98" s="114">
        <v>7</v>
      </c>
      <c r="F98" s="119" t="s">
        <v>5408</v>
      </c>
      <c r="G98" s="30">
        <v>46023</v>
      </c>
      <c r="H98" s="31"/>
      <c r="I98" s="30">
        <v>46023</v>
      </c>
      <c r="J98" s="32" t="s">
        <v>292</v>
      </c>
      <c r="K98" s="33" t="s">
        <v>5314</v>
      </c>
      <c r="L98" s="34" t="s">
        <v>294</v>
      </c>
    </row>
    <row r="99" spans="1:12" ht="13.5" customHeight="1" x14ac:dyDescent="0.3">
      <c r="A99" s="113" t="s">
        <v>758</v>
      </c>
      <c r="B99" s="114">
        <v>14</v>
      </c>
      <c r="C99" s="114">
        <v>15</v>
      </c>
      <c r="D99" s="114">
        <v>5</v>
      </c>
      <c r="E99" s="114">
        <v>8</v>
      </c>
      <c r="F99" s="119" t="s">
        <v>5409</v>
      </c>
      <c r="G99" s="38">
        <v>46023</v>
      </c>
      <c r="H99" s="39"/>
      <c r="I99" s="38">
        <v>46023</v>
      </c>
      <c r="J99" s="40" t="s">
        <v>292</v>
      </c>
      <c r="K99" s="41" t="s">
        <v>5314</v>
      </c>
      <c r="L99" s="42" t="s">
        <v>294</v>
      </c>
    </row>
    <row r="100" spans="1:12" ht="13.5" customHeight="1" x14ac:dyDescent="0.3">
      <c r="A100" s="113" t="s">
        <v>758</v>
      </c>
      <c r="B100" s="114">
        <v>16</v>
      </c>
      <c r="C100" s="114">
        <v>17</v>
      </c>
      <c r="D100" s="114">
        <v>5</v>
      </c>
      <c r="E100" s="114">
        <v>9</v>
      </c>
      <c r="F100" s="119" t="s">
        <v>5410</v>
      </c>
      <c r="G100" s="30">
        <v>46023</v>
      </c>
      <c r="H100" s="31"/>
      <c r="I100" s="30">
        <v>46023</v>
      </c>
      <c r="J100" s="32" t="s">
        <v>292</v>
      </c>
      <c r="K100" s="33" t="s">
        <v>5314</v>
      </c>
      <c r="L100" s="34" t="s">
        <v>294</v>
      </c>
    </row>
    <row r="101" spans="1:12" ht="13.5" customHeight="1" x14ac:dyDescent="0.3">
      <c r="A101" s="113" t="s">
        <v>758</v>
      </c>
      <c r="B101" s="114">
        <v>18</v>
      </c>
      <c r="C101" s="114">
        <v>19</v>
      </c>
      <c r="D101" s="114">
        <v>5</v>
      </c>
      <c r="E101" s="114">
        <v>10</v>
      </c>
      <c r="F101" s="119" t="s">
        <v>5411</v>
      </c>
      <c r="G101" s="38">
        <v>46023</v>
      </c>
      <c r="H101" s="39"/>
      <c r="I101" s="38">
        <v>46023</v>
      </c>
      <c r="J101" s="40" t="s">
        <v>292</v>
      </c>
      <c r="K101" s="41" t="s">
        <v>5314</v>
      </c>
      <c r="L101" s="42" t="s">
        <v>294</v>
      </c>
    </row>
    <row r="102" spans="1:12" ht="13.5" customHeight="1" x14ac:dyDescent="0.3">
      <c r="A102" s="113" t="s">
        <v>758</v>
      </c>
      <c r="B102" s="114">
        <v>20</v>
      </c>
      <c r="C102" s="114">
        <v>21</v>
      </c>
      <c r="D102" s="114">
        <v>5</v>
      </c>
      <c r="E102" s="114">
        <v>11</v>
      </c>
      <c r="F102" s="119" t="s">
        <v>5412</v>
      </c>
      <c r="G102" s="30">
        <v>46023</v>
      </c>
      <c r="H102" s="31"/>
      <c r="I102" s="30">
        <v>46023</v>
      </c>
      <c r="J102" s="32" t="s">
        <v>292</v>
      </c>
      <c r="K102" s="33" t="s">
        <v>5314</v>
      </c>
      <c r="L102" s="34" t="s">
        <v>294</v>
      </c>
    </row>
    <row r="103" spans="1:12" ht="13.5" customHeight="1" x14ac:dyDescent="0.3">
      <c r="A103" s="113" t="s">
        <v>758</v>
      </c>
      <c r="B103" s="114">
        <v>22</v>
      </c>
      <c r="C103" s="114">
        <v>23</v>
      </c>
      <c r="D103" s="114">
        <v>5</v>
      </c>
      <c r="E103" s="114">
        <v>12</v>
      </c>
      <c r="F103" s="119" t="s">
        <v>5413</v>
      </c>
      <c r="G103" s="38">
        <v>46023</v>
      </c>
      <c r="H103" s="39"/>
      <c r="I103" s="38">
        <v>46023</v>
      </c>
      <c r="J103" s="40" t="s">
        <v>292</v>
      </c>
      <c r="K103" s="41" t="s">
        <v>5314</v>
      </c>
      <c r="L103" s="42" t="s">
        <v>294</v>
      </c>
    </row>
    <row r="104" spans="1:12" ht="13.5" customHeight="1" x14ac:dyDescent="0.3">
      <c r="A104" s="113" t="s">
        <v>758</v>
      </c>
      <c r="B104" s="114">
        <v>24</v>
      </c>
      <c r="C104" s="114">
        <v>25</v>
      </c>
      <c r="D104" s="114">
        <v>5</v>
      </c>
      <c r="E104" s="114">
        <v>13</v>
      </c>
      <c r="F104" s="119" t="s">
        <v>5414</v>
      </c>
      <c r="G104" s="30">
        <v>46023</v>
      </c>
      <c r="H104" s="31"/>
      <c r="I104" s="30">
        <v>46023</v>
      </c>
      <c r="J104" s="32" t="s">
        <v>292</v>
      </c>
      <c r="K104" s="33" t="s">
        <v>5314</v>
      </c>
      <c r="L104" s="34" t="s">
        <v>294</v>
      </c>
    </row>
    <row r="105" spans="1:12" ht="13.5" customHeight="1" x14ac:dyDescent="0.3">
      <c r="A105" s="113" t="s">
        <v>758</v>
      </c>
      <c r="B105" s="114">
        <v>26</v>
      </c>
      <c r="C105" s="114">
        <v>27</v>
      </c>
      <c r="D105" s="114">
        <v>5</v>
      </c>
      <c r="E105" s="114">
        <v>14</v>
      </c>
      <c r="F105" s="119" t="s">
        <v>5415</v>
      </c>
      <c r="G105" s="38">
        <v>46023</v>
      </c>
      <c r="H105" s="39"/>
      <c r="I105" s="38">
        <v>46023</v>
      </c>
      <c r="J105" s="40" t="s">
        <v>292</v>
      </c>
      <c r="K105" s="41" t="s">
        <v>5314</v>
      </c>
      <c r="L105" s="42" t="s">
        <v>294</v>
      </c>
    </row>
    <row r="106" spans="1:12" ht="13.5" customHeight="1" x14ac:dyDescent="0.3">
      <c r="A106" s="113" t="s">
        <v>758</v>
      </c>
      <c r="B106" s="114">
        <v>28</v>
      </c>
      <c r="C106" s="114">
        <v>29</v>
      </c>
      <c r="D106" s="114">
        <v>5</v>
      </c>
      <c r="E106" s="114">
        <v>15</v>
      </c>
      <c r="F106" s="119" t="s">
        <v>5416</v>
      </c>
      <c r="G106" s="30">
        <v>46023</v>
      </c>
      <c r="H106" s="31"/>
      <c r="I106" s="30">
        <v>46023</v>
      </c>
      <c r="J106" s="32" t="s">
        <v>292</v>
      </c>
      <c r="K106" s="33" t="s">
        <v>5314</v>
      </c>
      <c r="L106" s="34" t="s">
        <v>294</v>
      </c>
    </row>
    <row r="107" spans="1:12" ht="13.5" customHeight="1" x14ac:dyDescent="0.3">
      <c r="A107" s="113" t="s">
        <v>758</v>
      </c>
      <c r="B107" s="114">
        <v>30</v>
      </c>
      <c r="C107" s="114">
        <v>31</v>
      </c>
      <c r="D107" s="114">
        <v>5</v>
      </c>
      <c r="E107" s="114">
        <v>1</v>
      </c>
      <c r="F107" s="119" t="s">
        <v>5417</v>
      </c>
      <c r="G107" s="38">
        <v>46023</v>
      </c>
      <c r="H107" s="39"/>
      <c r="I107" s="38">
        <v>46023</v>
      </c>
      <c r="J107" s="40" t="s">
        <v>292</v>
      </c>
      <c r="K107" s="41" t="s">
        <v>5314</v>
      </c>
      <c r="L107" s="42" t="s">
        <v>294</v>
      </c>
    </row>
    <row r="108" spans="1:12" ht="13.5" customHeight="1" x14ac:dyDescent="0.3">
      <c r="A108" s="113" t="s">
        <v>758</v>
      </c>
      <c r="B108" s="114">
        <v>32</v>
      </c>
      <c r="C108" s="114">
        <v>33</v>
      </c>
      <c r="D108" s="114">
        <v>5</v>
      </c>
      <c r="E108" s="114">
        <v>2</v>
      </c>
      <c r="F108" s="119" t="s">
        <v>5418</v>
      </c>
      <c r="G108" s="30">
        <v>46023</v>
      </c>
      <c r="H108" s="31"/>
      <c r="I108" s="30">
        <v>46023</v>
      </c>
      <c r="J108" s="32" t="s">
        <v>292</v>
      </c>
      <c r="K108" s="33" t="s">
        <v>5314</v>
      </c>
      <c r="L108" s="34" t="s">
        <v>294</v>
      </c>
    </row>
    <row r="109" spans="1:12" ht="13.5" customHeight="1" x14ac:dyDescent="0.3">
      <c r="A109" s="113" t="s">
        <v>758</v>
      </c>
      <c r="B109" s="114">
        <v>34</v>
      </c>
      <c r="C109" s="114">
        <v>35</v>
      </c>
      <c r="D109" s="114">
        <v>5</v>
      </c>
      <c r="E109" s="114">
        <v>3</v>
      </c>
      <c r="F109" s="119" t="s">
        <v>5419</v>
      </c>
      <c r="G109" s="38">
        <v>46023</v>
      </c>
      <c r="H109" s="39"/>
      <c r="I109" s="38">
        <v>46023</v>
      </c>
      <c r="J109" s="40" t="s">
        <v>292</v>
      </c>
      <c r="K109" s="41" t="s">
        <v>5314</v>
      </c>
      <c r="L109" s="42" t="s">
        <v>294</v>
      </c>
    </row>
    <row r="110" spans="1:12" ht="13.5" customHeight="1" x14ac:dyDescent="0.3">
      <c r="A110" s="113" t="s">
        <v>758</v>
      </c>
      <c r="B110" s="114">
        <v>36</v>
      </c>
      <c r="C110" s="114">
        <v>37</v>
      </c>
      <c r="D110" s="114">
        <v>5</v>
      </c>
      <c r="E110" s="114">
        <v>4</v>
      </c>
      <c r="F110" s="119" t="s">
        <v>5420</v>
      </c>
      <c r="G110" s="30">
        <v>46023</v>
      </c>
      <c r="H110" s="31"/>
      <c r="I110" s="30">
        <v>46023</v>
      </c>
      <c r="J110" s="32" t="s">
        <v>292</v>
      </c>
      <c r="K110" s="33" t="s">
        <v>5314</v>
      </c>
      <c r="L110" s="34" t="s">
        <v>294</v>
      </c>
    </row>
    <row r="111" spans="1:12" ht="13.5" customHeight="1" x14ac:dyDescent="0.3">
      <c r="A111" s="113" t="s">
        <v>758</v>
      </c>
      <c r="B111" s="114">
        <v>38</v>
      </c>
      <c r="C111" s="114">
        <v>39</v>
      </c>
      <c r="D111" s="114">
        <v>5</v>
      </c>
      <c r="E111" s="114">
        <v>5</v>
      </c>
      <c r="F111" s="119" t="s">
        <v>5421</v>
      </c>
      <c r="G111" s="38">
        <v>46023</v>
      </c>
      <c r="H111" s="39"/>
      <c r="I111" s="38">
        <v>46023</v>
      </c>
      <c r="J111" s="40" t="s">
        <v>292</v>
      </c>
      <c r="K111" s="41" t="s">
        <v>5314</v>
      </c>
      <c r="L111" s="42" t="s">
        <v>294</v>
      </c>
    </row>
    <row r="112" spans="1:12" ht="13.5" customHeight="1" x14ac:dyDescent="0.3">
      <c r="A112" s="113" t="s">
        <v>758</v>
      </c>
      <c r="B112" s="114">
        <v>40</v>
      </c>
      <c r="C112" s="114">
        <v>99</v>
      </c>
      <c r="D112" s="114">
        <v>5</v>
      </c>
      <c r="E112" s="114">
        <v>6</v>
      </c>
      <c r="F112" s="119" t="s">
        <v>5422</v>
      </c>
      <c r="G112" s="30">
        <v>46023</v>
      </c>
      <c r="H112" s="31"/>
      <c r="I112" s="30">
        <v>46023</v>
      </c>
      <c r="J112" s="32" t="s">
        <v>292</v>
      </c>
      <c r="K112" s="33" t="s">
        <v>5314</v>
      </c>
      <c r="L112" s="34" t="s">
        <v>294</v>
      </c>
    </row>
    <row r="113" spans="1:12" ht="13.5" customHeight="1" x14ac:dyDescent="0.3">
      <c r="A113" s="113" t="s">
        <v>758</v>
      </c>
      <c r="B113" s="114">
        <v>42</v>
      </c>
      <c r="C113" s="114">
        <v>99</v>
      </c>
      <c r="D113" s="114">
        <v>5</v>
      </c>
      <c r="E113" s="114">
        <v>7</v>
      </c>
      <c r="F113" s="119" t="s">
        <v>5423</v>
      </c>
      <c r="G113" s="38">
        <v>46023</v>
      </c>
      <c r="H113" s="39"/>
      <c r="I113" s="38">
        <v>46023</v>
      </c>
      <c r="J113" s="40" t="s">
        <v>292</v>
      </c>
      <c r="K113" s="41" t="s">
        <v>5314</v>
      </c>
      <c r="L113" s="42" t="s">
        <v>294</v>
      </c>
    </row>
    <row r="114" spans="1:12" ht="13.5" customHeight="1" x14ac:dyDescent="0.3">
      <c r="A114" s="113" t="s">
        <v>1292</v>
      </c>
      <c r="B114" s="114">
        <v>0</v>
      </c>
      <c r="C114" s="114">
        <v>1</v>
      </c>
      <c r="D114" s="114">
        <v>5</v>
      </c>
      <c r="E114" s="114">
        <v>6</v>
      </c>
      <c r="F114" s="120" t="s">
        <v>5424</v>
      </c>
      <c r="G114" s="30">
        <v>46023</v>
      </c>
      <c r="H114" s="31"/>
      <c r="I114" s="30">
        <v>46023</v>
      </c>
      <c r="J114" s="32" t="s">
        <v>292</v>
      </c>
      <c r="K114" s="33" t="s">
        <v>5314</v>
      </c>
      <c r="L114" s="34" t="s">
        <v>294</v>
      </c>
    </row>
    <row r="115" spans="1:12" ht="13.5" customHeight="1" x14ac:dyDescent="0.3">
      <c r="A115" s="113" t="s">
        <v>1292</v>
      </c>
      <c r="B115" s="114">
        <v>2</v>
      </c>
      <c r="C115" s="114">
        <v>3</v>
      </c>
      <c r="D115" s="114">
        <v>5</v>
      </c>
      <c r="E115" s="114">
        <v>7</v>
      </c>
      <c r="F115" s="120" t="s">
        <v>5425</v>
      </c>
      <c r="G115" s="38">
        <v>46023</v>
      </c>
      <c r="H115" s="39"/>
      <c r="I115" s="38">
        <v>46023</v>
      </c>
      <c r="J115" s="40" t="s">
        <v>292</v>
      </c>
      <c r="K115" s="41" t="s">
        <v>5314</v>
      </c>
      <c r="L115" s="42" t="s">
        <v>294</v>
      </c>
    </row>
    <row r="116" spans="1:12" ht="13.5" customHeight="1" x14ac:dyDescent="0.3">
      <c r="A116" s="113" t="s">
        <v>1292</v>
      </c>
      <c r="B116" s="114">
        <v>4</v>
      </c>
      <c r="C116" s="114">
        <v>5</v>
      </c>
      <c r="D116" s="114">
        <v>5</v>
      </c>
      <c r="E116" s="114">
        <v>8</v>
      </c>
      <c r="F116" s="120" t="s">
        <v>5426</v>
      </c>
      <c r="G116" s="30">
        <v>46023</v>
      </c>
      <c r="H116" s="31"/>
      <c r="I116" s="30">
        <v>46023</v>
      </c>
      <c r="J116" s="32" t="s">
        <v>292</v>
      </c>
      <c r="K116" s="33" t="s">
        <v>5314</v>
      </c>
      <c r="L116" s="34" t="s">
        <v>294</v>
      </c>
    </row>
    <row r="117" spans="1:12" ht="13.5" customHeight="1" x14ac:dyDescent="0.3">
      <c r="A117" s="113" t="s">
        <v>1292</v>
      </c>
      <c r="B117" s="114">
        <v>6</v>
      </c>
      <c r="C117" s="114">
        <v>7</v>
      </c>
      <c r="D117" s="114">
        <v>5</v>
      </c>
      <c r="E117" s="114">
        <v>9</v>
      </c>
      <c r="F117" s="120" t="s">
        <v>5427</v>
      </c>
      <c r="G117" s="38">
        <v>46023</v>
      </c>
      <c r="H117" s="39"/>
      <c r="I117" s="38">
        <v>46023</v>
      </c>
      <c r="J117" s="40" t="s">
        <v>292</v>
      </c>
      <c r="K117" s="41" t="s">
        <v>5314</v>
      </c>
      <c r="L117" s="42" t="s">
        <v>294</v>
      </c>
    </row>
    <row r="118" spans="1:12" ht="13.5" customHeight="1" x14ac:dyDescent="0.3">
      <c r="A118" s="113" t="s">
        <v>1292</v>
      </c>
      <c r="B118" s="114">
        <v>8</v>
      </c>
      <c r="C118" s="114">
        <v>9</v>
      </c>
      <c r="D118" s="114">
        <v>5</v>
      </c>
      <c r="E118" s="114">
        <v>10</v>
      </c>
      <c r="F118" s="120" t="s">
        <v>5428</v>
      </c>
      <c r="G118" s="30">
        <v>46023</v>
      </c>
      <c r="H118" s="31"/>
      <c r="I118" s="30">
        <v>46023</v>
      </c>
      <c r="J118" s="32" t="s">
        <v>292</v>
      </c>
      <c r="K118" s="33" t="s">
        <v>5314</v>
      </c>
      <c r="L118" s="34" t="s">
        <v>294</v>
      </c>
    </row>
    <row r="119" spans="1:12" ht="13.5" customHeight="1" x14ac:dyDescent="0.3">
      <c r="A119" s="113" t="s">
        <v>1292</v>
      </c>
      <c r="B119" s="114">
        <v>10</v>
      </c>
      <c r="C119" s="114">
        <v>11</v>
      </c>
      <c r="D119" s="114">
        <v>5</v>
      </c>
      <c r="E119" s="114">
        <v>11</v>
      </c>
      <c r="F119" s="120" t="s">
        <v>5429</v>
      </c>
      <c r="G119" s="38">
        <v>46023</v>
      </c>
      <c r="H119" s="39"/>
      <c r="I119" s="38">
        <v>46023</v>
      </c>
      <c r="J119" s="40" t="s">
        <v>292</v>
      </c>
      <c r="K119" s="41" t="s">
        <v>5314</v>
      </c>
      <c r="L119" s="42" t="s">
        <v>294</v>
      </c>
    </row>
    <row r="120" spans="1:12" ht="13.5" customHeight="1" x14ac:dyDescent="0.3">
      <c r="A120" s="113" t="s">
        <v>1292</v>
      </c>
      <c r="B120" s="114">
        <v>12</v>
      </c>
      <c r="C120" s="114">
        <v>13</v>
      </c>
      <c r="D120" s="114">
        <v>5</v>
      </c>
      <c r="E120" s="114">
        <v>12</v>
      </c>
      <c r="F120" s="120" t="s">
        <v>5430</v>
      </c>
      <c r="G120" s="30">
        <v>46023</v>
      </c>
      <c r="H120" s="31"/>
      <c r="I120" s="30">
        <v>46023</v>
      </c>
      <c r="J120" s="32" t="s">
        <v>292</v>
      </c>
      <c r="K120" s="33" t="s">
        <v>5314</v>
      </c>
      <c r="L120" s="34" t="s">
        <v>294</v>
      </c>
    </row>
    <row r="121" spans="1:12" ht="13.5" customHeight="1" x14ac:dyDescent="0.3">
      <c r="A121" s="113" t="s">
        <v>1292</v>
      </c>
      <c r="B121" s="114">
        <v>14</v>
      </c>
      <c r="C121" s="114">
        <v>15</v>
      </c>
      <c r="D121" s="114">
        <v>5</v>
      </c>
      <c r="E121" s="114">
        <v>13</v>
      </c>
      <c r="F121" s="120" t="s">
        <v>5431</v>
      </c>
      <c r="G121" s="38">
        <v>46023</v>
      </c>
      <c r="H121" s="39"/>
      <c r="I121" s="38">
        <v>46023</v>
      </c>
      <c r="J121" s="40" t="s">
        <v>292</v>
      </c>
      <c r="K121" s="41" t="s">
        <v>5314</v>
      </c>
      <c r="L121" s="42" t="s">
        <v>294</v>
      </c>
    </row>
    <row r="122" spans="1:12" ht="13.5" customHeight="1" x14ac:dyDescent="0.3">
      <c r="A122" s="113" t="s">
        <v>1292</v>
      </c>
      <c r="B122" s="114">
        <v>16</v>
      </c>
      <c r="C122" s="114">
        <v>17</v>
      </c>
      <c r="D122" s="114">
        <v>5</v>
      </c>
      <c r="E122" s="114">
        <v>14</v>
      </c>
      <c r="F122" s="120" t="s">
        <v>5432</v>
      </c>
      <c r="G122" s="30">
        <v>46023</v>
      </c>
      <c r="H122" s="31"/>
      <c r="I122" s="30">
        <v>46023</v>
      </c>
      <c r="J122" s="32" t="s">
        <v>292</v>
      </c>
      <c r="K122" s="33" t="s">
        <v>5314</v>
      </c>
      <c r="L122" s="34" t="s">
        <v>294</v>
      </c>
    </row>
    <row r="123" spans="1:12" ht="13.5" customHeight="1" x14ac:dyDescent="0.3">
      <c r="A123" s="113" t="s">
        <v>1292</v>
      </c>
      <c r="B123" s="114">
        <v>18</v>
      </c>
      <c r="C123" s="114">
        <v>19</v>
      </c>
      <c r="D123" s="114">
        <v>5</v>
      </c>
      <c r="E123" s="114">
        <v>15</v>
      </c>
      <c r="F123" s="120" t="s">
        <v>5433</v>
      </c>
      <c r="G123" s="38">
        <v>46023</v>
      </c>
      <c r="H123" s="39"/>
      <c r="I123" s="38">
        <v>46023</v>
      </c>
      <c r="J123" s="40" t="s">
        <v>292</v>
      </c>
      <c r="K123" s="41" t="s">
        <v>5314</v>
      </c>
      <c r="L123" s="42" t="s">
        <v>294</v>
      </c>
    </row>
    <row r="124" spans="1:12" ht="13.5" customHeight="1" x14ac:dyDescent="0.3">
      <c r="A124" s="113" t="s">
        <v>1292</v>
      </c>
      <c r="B124" s="114">
        <v>20</v>
      </c>
      <c r="C124" s="114">
        <v>21</v>
      </c>
      <c r="D124" s="114">
        <v>5</v>
      </c>
      <c r="E124" s="114">
        <v>1</v>
      </c>
      <c r="F124" s="120" t="s">
        <v>5434</v>
      </c>
      <c r="G124" s="30">
        <v>46023</v>
      </c>
      <c r="H124" s="31"/>
      <c r="I124" s="30">
        <v>46023</v>
      </c>
      <c r="J124" s="32" t="s">
        <v>292</v>
      </c>
      <c r="K124" s="33" t="s">
        <v>5314</v>
      </c>
      <c r="L124" s="34" t="s">
        <v>294</v>
      </c>
    </row>
    <row r="125" spans="1:12" ht="13.5" customHeight="1" x14ac:dyDescent="0.3">
      <c r="A125" s="113" t="s">
        <v>1292</v>
      </c>
      <c r="B125" s="114">
        <v>22</v>
      </c>
      <c r="C125" s="114">
        <v>23</v>
      </c>
      <c r="D125" s="114">
        <v>5</v>
      </c>
      <c r="E125" s="114">
        <v>2</v>
      </c>
      <c r="F125" s="120" t="s">
        <v>5435</v>
      </c>
      <c r="G125" s="38">
        <v>46023</v>
      </c>
      <c r="H125" s="39"/>
      <c r="I125" s="38">
        <v>46023</v>
      </c>
      <c r="J125" s="40" t="s">
        <v>292</v>
      </c>
      <c r="K125" s="41" t="s">
        <v>5314</v>
      </c>
      <c r="L125" s="42" t="s">
        <v>294</v>
      </c>
    </row>
    <row r="126" spans="1:12" ht="13.5" customHeight="1" x14ac:dyDescent="0.3">
      <c r="A126" s="113" t="s">
        <v>1292</v>
      </c>
      <c r="B126" s="114">
        <v>24</v>
      </c>
      <c r="C126" s="114">
        <v>25</v>
      </c>
      <c r="D126" s="114">
        <v>5</v>
      </c>
      <c r="E126" s="114">
        <v>3</v>
      </c>
      <c r="F126" s="120" t="s">
        <v>5436</v>
      </c>
      <c r="G126" s="30">
        <v>46023</v>
      </c>
      <c r="H126" s="31"/>
      <c r="I126" s="30">
        <v>46023</v>
      </c>
      <c r="J126" s="32" t="s">
        <v>292</v>
      </c>
      <c r="K126" s="33" t="s">
        <v>5314</v>
      </c>
      <c r="L126" s="34" t="s">
        <v>294</v>
      </c>
    </row>
    <row r="127" spans="1:12" ht="13.5" customHeight="1" x14ac:dyDescent="0.3">
      <c r="A127" s="113" t="s">
        <v>1292</v>
      </c>
      <c r="B127" s="114">
        <v>26</v>
      </c>
      <c r="C127" s="114">
        <v>27</v>
      </c>
      <c r="D127" s="114">
        <v>5</v>
      </c>
      <c r="E127" s="114">
        <v>4</v>
      </c>
      <c r="F127" s="120" t="s">
        <v>5437</v>
      </c>
      <c r="G127" s="38">
        <v>46023</v>
      </c>
      <c r="H127" s="39"/>
      <c r="I127" s="38">
        <v>46023</v>
      </c>
      <c r="J127" s="40" t="s">
        <v>292</v>
      </c>
      <c r="K127" s="41" t="s">
        <v>5314</v>
      </c>
      <c r="L127" s="42" t="s">
        <v>294</v>
      </c>
    </row>
    <row r="128" spans="1:12" ht="13.5" customHeight="1" x14ac:dyDescent="0.3">
      <c r="A128" s="113" t="s">
        <v>1292</v>
      </c>
      <c r="B128" s="114">
        <v>28</v>
      </c>
      <c r="C128" s="114">
        <v>29</v>
      </c>
      <c r="D128" s="114">
        <v>5</v>
      </c>
      <c r="E128" s="114">
        <v>5</v>
      </c>
      <c r="F128" s="120" t="s">
        <v>5438</v>
      </c>
      <c r="G128" s="30">
        <v>46023</v>
      </c>
      <c r="H128" s="31"/>
      <c r="I128" s="30">
        <v>46023</v>
      </c>
      <c r="J128" s="32" t="s">
        <v>292</v>
      </c>
      <c r="K128" s="33" t="s">
        <v>5314</v>
      </c>
      <c r="L128" s="34" t="s">
        <v>294</v>
      </c>
    </row>
    <row r="129" spans="1:12" ht="13.5" customHeight="1" x14ac:dyDescent="0.3">
      <c r="A129" s="113" t="s">
        <v>1292</v>
      </c>
      <c r="B129" s="114">
        <v>30</v>
      </c>
      <c r="C129" s="114">
        <v>31</v>
      </c>
      <c r="D129" s="114">
        <v>5</v>
      </c>
      <c r="E129" s="114">
        <v>6</v>
      </c>
      <c r="F129" s="120" t="s">
        <v>5439</v>
      </c>
      <c r="G129" s="38">
        <v>46023</v>
      </c>
      <c r="H129" s="39"/>
      <c r="I129" s="38">
        <v>46023</v>
      </c>
      <c r="J129" s="40" t="s">
        <v>292</v>
      </c>
      <c r="K129" s="41" t="s">
        <v>5314</v>
      </c>
      <c r="L129" s="42" t="s">
        <v>294</v>
      </c>
    </row>
    <row r="130" spans="1:12" ht="13.5" customHeight="1" x14ac:dyDescent="0.3">
      <c r="A130" s="113" t="s">
        <v>1292</v>
      </c>
      <c r="B130" s="114">
        <v>32</v>
      </c>
      <c r="C130" s="114">
        <v>33</v>
      </c>
      <c r="D130" s="114">
        <v>5</v>
      </c>
      <c r="E130" s="114">
        <v>7</v>
      </c>
      <c r="F130" s="120" t="s">
        <v>5440</v>
      </c>
      <c r="G130" s="30">
        <v>46023</v>
      </c>
      <c r="H130" s="31"/>
      <c r="I130" s="30">
        <v>46023</v>
      </c>
      <c r="J130" s="32" t="s">
        <v>292</v>
      </c>
      <c r="K130" s="33" t="s">
        <v>5314</v>
      </c>
      <c r="L130" s="34" t="s">
        <v>294</v>
      </c>
    </row>
    <row r="131" spans="1:12" ht="13.5" customHeight="1" x14ac:dyDescent="0.3">
      <c r="A131" s="113" t="s">
        <v>1292</v>
      </c>
      <c r="B131" s="114">
        <v>34</v>
      </c>
      <c r="C131" s="114">
        <v>35</v>
      </c>
      <c r="D131" s="114">
        <v>5</v>
      </c>
      <c r="E131" s="114">
        <v>8</v>
      </c>
      <c r="F131" s="120" t="s">
        <v>5441</v>
      </c>
      <c r="G131" s="38">
        <v>46023</v>
      </c>
      <c r="H131" s="39"/>
      <c r="I131" s="38">
        <v>46023</v>
      </c>
      <c r="J131" s="40" t="s">
        <v>292</v>
      </c>
      <c r="K131" s="41" t="s">
        <v>5314</v>
      </c>
      <c r="L131" s="42" t="s">
        <v>294</v>
      </c>
    </row>
    <row r="132" spans="1:12" ht="13.5" customHeight="1" x14ac:dyDescent="0.3">
      <c r="A132" s="113" t="s">
        <v>1292</v>
      </c>
      <c r="B132" s="114">
        <v>36</v>
      </c>
      <c r="C132" s="114">
        <v>37</v>
      </c>
      <c r="D132" s="114">
        <v>5</v>
      </c>
      <c r="E132" s="114">
        <v>9</v>
      </c>
      <c r="F132" s="120" t="s">
        <v>5442</v>
      </c>
      <c r="G132" s="30">
        <v>46023</v>
      </c>
      <c r="H132" s="31"/>
      <c r="I132" s="30">
        <v>46023</v>
      </c>
      <c r="J132" s="32" t="s">
        <v>292</v>
      </c>
      <c r="K132" s="33" t="s">
        <v>5314</v>
      </c>
      <c r="L132" s="34" t="s">
        <v>294</v>
      </c>
    </row>
    <row r="133" spans="1:12" ht="13.5" customHeight="1" x14ac:dyDescent="0.3">
      <c r="A133" s="113" t="s">
        <v>1292</v>
      </c>
      <c r="B133" s="114">
        <v>38</v>
      </c>
      <c r="C133" s="114">
        <v>39</v>
      </c>
      <c r="D133" s="114">
        <v>5</v>
      </c>
      <c r="E133" s="114">
        <v>10</v>
      </c>
      <c r="F133" s="120" t="s">
        <v>5443</v>
      </c>
      <c r="G133" s="38">
        <v>46023</v>
      </c>
      <c r="H133" s="39"/>
      <c r="I133" s="38">
        <v>46023</v>
      </c>
      <c r="J133" s="40" t="s">
        <v>292</v>
      </c>
      <c r="K133" s="41" t="s">
        <v>5314</v>
      </c>
      <c r="L133" s="42" t="s">
        <v>294</v>
      </c>
    </row>
    <row r="134" spans="1:12" ht="13.5" customHeight="1" x14ac:dyDescent="0.3">
      <c r="A134" s="113" t="s">
        <v>1292</v>
      </c>
      <c r="B134" s="114">
        <v>40</v>
      </c>
      <c r="C134" s="114">
        <v>99</v>
      </c>
      <c r="D134" s="114">
        <v>5</v>
      </c>
      <c r="E134" s="114">
        <v>11</v>
      </c>
      <c r="F134" s="120" t="s">
        <v>5444</v>
      </c>
      <c r="G134" s="30">
        <v>46023</v>
      </c>
      <c r="H134" s="31"/>
      <c r="I134" s="30">
        <v>46023</v>
      </c>
      <c r="J134" s="32" t="s">
        <v>292</v>
      </c>
      <c r="K134" s="33" t="s">
        <v>5314</v>
      </c>
      <c r="L134" s="34" t="s">
        <v>294</v>
      </c>
    </row>
    <row r="135" spans="1:12" ht="13.5" customHeight="1" x14ac:dyDescent="0.3">
      <c r="A135" s="113" t="s">
        <v>1292</v>
      </c>
      <c r="B135" s="114">
        <v>42</v>
      </c>
      <c r="C135" s="114">
        <v>99</v>
      </c>
      <c r="D135" s="114">
        <v>5</v>
      </c>
      <c r="E135" s="114">
        <v>12</v>
      </c>
      <c r="F135" s="120" t="s">
        <v>5445</v>
      </c>
      <c r="G135" s="38">
        <v>46023</v>
      </c>
      <c r="H135" s="39"/>
      <c r="I135" s="38">
        <v>46023</v>
      </c>
      <c r="J135" s="40" t="s">
        <v>292</v>
      </c>
      <c r="K135" s="41" t="s">
        <v>5314</v>
      </c>
      <c r="L135" s="42" t="s">
        <v>294</v>
      </c>
    </row>
  </sheetData>
  <mergeCells count="2">
    <mergeCell ref="A1:L1"/>
    <mergeCell ref="A2:L2"/>
  </mergeCell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7375E"/>
    <pageSetUpPr fitToPage="1"/>
  </sheetPr>
  <dimension ref="A1:N103"/>
  <sheetViews>
    <sheetView showGridLines="0" tabSelected="1" zoomScaleNormal="100" workbookViewId="0">
      <selection activeCell="E51" sqref="E51"/>
    </sheetView>
  </sheetViews>
  <sheetFormatPr defaultColWidth="8.6640625" defaultRowHeight="14.4" x14ac:dyDescent="0.3"/>
  <cols>
    <col min="1" max="1" width="18.77734375" style="14" customWidth="1"/>
    <col min="2" max="2" width="21.33203125" style="14" customWidth="1"/>
    <col min="3" max="4" width="14" style="14" customWidth="1"/>
    <col min="5" max="5" width="18" style="14" customWidth="1"/>
    <col min="6" max="6" width="28" style="14" customWidth="1"/>
    <col min="7" max="7" width="24" style="14" customWidth="1"/>
    <col min="8" max="8" width="28" style="14" customWidth="1"/>
    <col min="9" max="12" width="16" style="14" customWidth="1"/>
    <col min="13" max="13" width="20" style="14" customWidth="1"/>
    <col min="14" max="14" width="32" style="14" customWidth="1"/>
  </cols>
  <sheetData>
    <row r="1" spans="1:14" ht="24" customHeight="1" x14ac:dyDescent="0.3">
      <c r="A1" s="262" t="s">
        <v>5446</v>
      </c>
      <c r="B1" s="262"/>
      <c r="C1" s="262"/>
      <c r="D1" s="262"/>
      <c r="E1" s="262"/>
      <c r="F1" s="262"/>
      <c r="G1" s="262"/>
      <c r="H1" s="262"/>
      <c r="I1" s="262"/>
      <c r="J1" s="262"/>
      <c r="K1" s="262"/>
      <c r="L1" s="262"/>
      <c r="M1" s="262"/>
      <c r="N1" s="262"/>
    </row>
    <row r="2" spans="1:14" ht="31.5" customHeight="1" x14ac:dyDescent="0.3">
      <c r="A2" s="263" t="s">
        <v>5447</v>
      </c>
      <c r="B2" s="263"/>
      <c r="C2" s="263"/>
      <c r="D2" s="263"/>
      <c r="E2" s="263"/>
      <c r="F2" s="263"/>
      <c r="G2" s="263"/>
      <c r="H2" s="263"/>
      <c r="I2" s="263"/>
      <c r="J2" s="263"/>
      <c r="K2" s="263"/>
      <c r="L2" s="263"/>
      <c r="M2" s="263"/>
      <c r="N2" s="263"/>
    </row>
    <row r="3" spans="1:14" ht="25.5" customHeight="1" x14ac:dyDescent="0.3">
      <c r="A3" s="121" t="s">
        <v>695</v>
      </c>
      <c r="B3" s="121" t="s">
        <v>696</v>
      </c>
      <c r="C3" s="121" t="s">
        <v>5448</v>
      </c>
      <c r="D3" s="121" t="s">
        <v>5449</v>
      </c>
      <c r="E3" s="121" t="s">
        <v>5450</v>
      </c>
      <c r="F3" s="121" t="s">
        <v>5451</v>
      </c>
      <c r="G3" s="121" t="s">
        <v>5452</v>
      </c>
      <c r="H3" s="121" t="s">
        <v>278</v>
      </c>
      <c r="I3" s="24" t="s">
        <v>279</v>
      </c>
      <c r="J3" s="24" t="s">
        <v>280</v>
      </c>
      <c r="K3" s="24" t="s">
        <v>281</v>
      </c>
      <c r="L3" s="24" t="s">
        <v>282</v>
      </c>
      <c r="M3" s="24" t="s">
        <v>283</v>
      </c>
      <c r="N3" s="24" t="s">
        <v>284</v>
      </c>
    </row>
    <row r="4" spans="1:14" ht="15" customHeight="1" x14ac:dyDescent="0.3">
      <c r="A4" s="122">
        <v>1</v>
      </c>
      <c r="B4" s="122">
        <v>1</v>
      </c>
      <c r="C4" s="123" t="str">
        <f t="shared" ref="C4:C35" si="0">"G"&amp;TEXT(A4,"00")&amp;"-S"&amp;TEXT(B4,"00")</f>
        <v>G01-S01</v>
      </c>
      <c r="D4" s="124">
        <v>260</v>
      </c>
      <c r="E4" s="125">
        <v>10000</v>
      </c>
      <c r="F4" s="126" t="s">
        <v>5312</v>
      </c>
      <c r="G4" s="122">
        <v>0</v>
      </c>
      <c r="H4" s="127" t="s">
        <v>5453</v>
      </c>
      <c r="I4" s="30">
        <v>46023</v>
      </c>
      <c r="J4" s="31"/>
      <c r="K4" s="30">
        <v>46023</v>
      </c>
      <c r="L4" s="32" t="s">
        <v>292</v>
      </c>
      <c r="M4" s="33" t="s">
        <v>5152</v>
      </c>
      <c r="N4" s="34" t="s">
        <v>294</v>
      </c>
    </row>
    <row r="5" spans="1:14" ht="15" customHeight="1" x14ac:dyDescent="0.3">
      <c r="A5" s="128">
        <v>1</v>
      </c>
      <c r="B5" s="128">
        <v>2</v>
      </c>
      <c r="C5" s="123" t="str">
        <f t="shared" si="0"/>
        <v>G01-S02</v>
      </c>
      <c r="D5" s="124">
        <v>261</v>
      </c>
      <c r="E5" s="125">
        <v>10000</v>
      </c>
      <c r="F5" s="129" t="s">
        <v>5312</v>
      </c>
      <c r="G5" s="128">
        <v>2</v>
      </c>
      <c r="H5" s="130" t="s">
        <v>5454</v>
      </c>
      <c r="I5" s="38">
        <v>46023</v>
      </c>
      <c r="J5" s="39"/>
      <c r="K5" s="38">
        <v>46023</v>
      </c>
      <c r="L5" s="40" t="s">
        <v>292</v>
      </c>
      <c r="M5" s="41" t="s">
        <v>5152</v>
      </c>
      <c r="N5" s="42" t="s">
        <v>294</v>
      </c>
    </row>
    <row r="6" spans="1:14" ht="15" customHeight="1" x14ac:dyDescent="0.3">
      <c r="A6" s="122">
        <v>1</v>
      </c>
      <c r="B6" s="122">
        <v>3</v>
      </c>
      <c r="C6" s="123" t="str">
        <f t="shared" si="0"/>
        <v>G01-S03</v>
      </c>
      <c r="D6" s="124">
        <v>262</v>
      </c>
      <c r="E6" s="125">
        <v>10000</v>
      </c>
      <c r="F6" s="126" t="s">
        <v>5312</v>
      </c>
      <c r="G6" s="122">
        <v>4</v>
      </c>
      <c r="H6" s="127" t="s">
        <v>5455</v>
      </c>
      <c r="I6" s="30">
        <v>46023</v>
      </c>
      <c r="J6" s="31"/>
      <c r="K6" s="30">
        <v>46023</v>
      </c>
      <c r="L6" s="32" t="s">
        <v>292</v>
      </c>
      <c r="M6" s="33" t="s">
        <v>5152</v>
      </c>
      <c r="N6" s="34" t="s">
        <v>294</v>
      </c>
    </row>
    <row r="7" spans="1:14" ht="15" customHeight="1" x14ac:dyDescent="0.3">
      <c r="A7" s="128">
        <v>1</v>
      </c>
      <c r="B7" s="128">
        <v>4</v>
      </c>
      <c r="C7" s="123" t="str">
        <f t="shared" si="0"/>
        <v>G01-S04</v>
      </c>
      <c r="D7" s="124">
        <v>263</v>
      </c>
      <c r="E7" s="125">
        <v>10000</v>
      </c>
      <c r="F7" s="129" t="s">
        <v>5312</v>
      </c>
      <c r="G7" s="128">
        <v>6</v>
      </c>
      <c r="H7" s="130" t="s">
        <v>5456</v>
      </c>
      <c r="I7" s="38">
        <v>46023</v>
      </c>
      <c r="J7" s="39"/>
      <c r="K7" s="38">
        <v>46023</v>
      </c>
      <c r="L7" s="40" t="s">
        <v>292</v>
      </c>
      <c r="M7" s="41" t="s">
        <v>5152</v>
      </c>
      <c r="N7" s="42" t="s">
        <v>294</v>
      </c>
    </row>
    <row r="8" spans="1:14" ht="15" customHeight="1" x14ac:dyDescent="0.3">
      <c r="A8" s="122">
        <v>1</v>
      </c>
      <c r="B8" s="122">
        <v>5</v>
      </c>
      <c r="C8" s="123" t="str">
        <f t="shared" si="0"/>
        <v>G01-S05</v>
      </c>
      <c r="D8" s="124">
        <v>264</v>
      </c>
      <c r="E8" s="125">
        <v>10000</v>
      </c>
      <c r="F8" s="126" t="s">
        <v>5312</v>
      </c>
      <c r="G8" s="122">
        <v>8</v>
      </c>
      <c r="H8" s="127" t="s">
        <v>5457</v>
      </c>
      <c r="I8" s="30">
        <v>46023</v>
      </c>
      <c r="J8" s="31"/>
      <c r="K8" s="30">
        <v>46023</v>
      </c>
      <c r="L8" s="32" t="s">
        <v>292</v>
      </c>
      <c r="M8" s="33" t="s">
        <v>5152</v>
      </c>
      <c r="N8" s="34" t="s">
        <v>294</v>
      </c>
    </row>
    <row r="9" spans="1:14" ht="15" customHeight="1" x14ac:dyDescent="0.3">
      <c r="A9" s="128">
        <v>1</v>
      </c>
      <c r="B9" s="128">
        <v>6</v>
      </c>
      <c r="C9" s="123" t="str">
        <f t="shared" si="0"/>
        <v>G01-S06</v>
      </c>
      <c r="D9" s="124">
        <v>265</v>
      </c>
      <c r="E9" s="125">
        <v>10000</v>
      </c>
      <c r="F9" s="129" t="s">
        <v>5312</v>
      </c>
      <c r="G9" s="128">
        <v>10</v>
      </c>
      <c r="H9" s="130" t="s">
        <v>5458</v>
      </c>
      <c r="I9" s="38">
        <v>46023</v>
      </c>
      <c r="J9" s="39"/>
      <c r="K9" s="38">
        <v>46023</v>
      </c>
      <c r="L9" s="40" t="s">
        <v>292</v>
      </c>
      <c r="M9" s="41" t="s">
        <v>5152</v>
      </c>
      <c r="N9" s="42" t="s">
        <v>294</v>
      </c>
    </row>
    <row r="10" spans="1:14" ht="15" customHeight="1" x14ac:dyDescent="0.3">
      <c r="A10" s="122">
        <v>1</v>
      </c>
      <c r="B10" s="122">
        <v>7</v>
      </c>
      <c r="C10" s="123" t="str">
        <f t="shared" si="0"/>
        <v>G01-S07</v>
      </c>
      <c r="D10" s="124">
        <v>266</v>
      </c>
      <c r="E10" s="125">
        <v>10000</v>
      </c>
      <c r="F10" s="126" t="s">
        <v>5312</v>
      </c>
      <c r="G10" s="122">
        <v>12</v>
      </c>
      <c r="H10" s="127" t="s">
        <v>5459</v>
      </c>
      <c r="I10" s="30">
        <v>46023</v>
      </c>
      <c r="J10" s="31"/>
      <c r="K10" s="30">
        <v>46023</v>
      </c>
      <c r="L10" s="32" t="s">
        <v>292</v>
      </c>
      <c r="M10" s="33" t="s">
        <v>5152</v>
      </c>
      <c r="N10" s="34" t="s">
        <v>294</v>
      </c>
    </row>
    <row r="11" spans="1:14" ht="15" customHeight="1" x14ac:dyDescent="0.3">
      <c r="A11" s="128">
        <v>1</v>
      </c>
      <c r="B11" s="128">
        <v>8</v>
      </c>
      <c r="C11" s="123" t="str">
        <f t="shared" si="0"/>
        <v>G01-S08</v>
      </c>
      <c r="D11" s="124">
        <v>267</v>
      </c>
      <c r="E11" s="125">
        <v>10000</v>
      </c>
      <c r="F11" s="129" t="s">
        <v>5312</v>
      </c>
      <c r="G11" s="128">
        <v>14</v>
      </c>
      <c r="H11" s="130" t="s">
        <v>5460</v>
      </c>
      <c r="I11" s="38">
        <v>46023</v>
      </c>
      <c r="J11" s="39"/>
      <c r="K11" s="38">
        <v>46023</v>
      </c>
      <c r="L11" s="40" t="s">
        <v>292</v>
      </c>
      <c r="M11" s="41" t="s">
        <v>5152</v>
      </c>
      <c r="N11" s="42" t="s">
        <v>294</v>
      </c>
    </row>
    <row r="12" spans="1:14" ht="15" customHeight="1" x14ac:dyDescent="0.3">
      <c r="A12" s="122">
        <v>1</v>
      </c>
      <c r="B12" s="122">
        <v>9</v>
      </c>
      <c r="C12" s="123" t="str">
        <f t="shared" si="0"/>
        <v>G01-S09</v>
      </c>
      <c r="D12" s="124">
        <v>268</v>
      </c>
      <c r="E12" s="125">
        <v>10000</v>
      </c>
      <c r="F12" s="126" t="s">
        <v>5312</v>
      </c>
      <c r="G12" s="122">
        <v>16</v>
      </c>
      <c r="H12" s="127" t="s">
        <v>5461</v>
      </c>
      <c r="I12" s="30">
        <v>46023</v>
      </c>
      <c r="J12" s="31"/>
      <c r="K12" s="30">
        <v>46023</v>
      </c>
      <c r="L12" s="32" t="s">
        <v>292</v>
      </c>
      <c r="M12" s="33" t="s">
        <v>5152</v>
      </c>
      <c r="N12" s="34" t="s">
        <v>294</v>
      </c>
    </row>
    <row r="13" spans="1:14" ht="15" customHeight="1" x14ac:dyDescent="0.3">
      <c r="A13" s="128">
        <v>1</v>
      </c>
      <c r="B13" s="128">
        <v>10</v>
      </c>
      <c r="C13" s="123" t="str">
        <f t="shared" si="0"/>
        <v>G01-S10</v>
      </c>
      <c r="D13" s="124">
        <v>269</v>
      </c>
      <c r="E13" s="125">
        <v>10000</v>
      </c>
      <c r="F13" s="129" t="s">
        <v>5312</v>
      </c>
      <c r="G13" s="128">
        <v>18</v>
      </c>
      <c r="H13" s="130" t="s">
        <v>5462</v>
      </c>
      <c r="I13" s="38">
        <v>46023</v>
      </c>
      <c r="J13" s="39"/>
      <c r="K13" s="38">
        <v>46023</v>
      </c>
      <c r="L13" s="40" t="s">
        <v>292</v>
      </c>
      <c r="M13" s="41" t="s">
        <v>5152</v>
      </c>
      <c r="N13" s="42" t="s">
        <v>294</v>
      </c>
    </row>
    <row r="14" spans="1:14" ht="15" customHeight="1" x14ac:dyDescent="0.3">
      <c r="A14" s="122">
        <v>1</v>
      </c>
      <c r="B14" s="122">
        <v>11</v>
      </c>
      <c r="C14" s="123" t="str">
        <f t="shared" si="0"/>
        <v>G01-S11</v>
      </c>
      <c r="D14" s="124">
        <v>270</v>
      </c>
      <c r="E14" s="125">
        <v>10000</v>
      </c>
      <c r="F14" s="126" t="s">
        <v>5312</v>
      </c>
      <c r="G14" s="122">
        <v>20</v>
      </c>
      <c r="H14" s="127" t="s">
        <v>5463</v>
      </c>
      <c r="I14" s="30">
        <v>46023</v>
      </c>
      <c r="J14" s="31"/>
      <c r="K14" s="30">
        <v>46023</v>
      </c>
      <c r="L14" s="32" t="s">
        <v>292</v>
      </c>
      <c r="M14" s="33" t="s">
        <v>5152</v>
      </c>
      <c r="N14" s="34" t="s">
        <v>294</v>
      </c>
    </row>
    <row r="15" spans="1:14" ht="15" customHeight="1" x14ac:dyDescent="0.3">
      <c r="A15" s="128">
        <v>1</v>
      </c>
      <c r="B15" s="128">
        <v>12</v>
      </c>
      <c r="C15" s="123" t="str">
        <f t="shared" si="0"/>
        <v>G01-S12</v>
      </c>
      <c r="D15" s="124">
        <v>271</v>
      </c>
      <c r="E15" s="125">
        <v>10000</v>
      </c>
      <c r="F15" s="129" t="s">
        <v>5312</v>
      </c>
      <c r="G15" s="128">
        <v>22</v>
      </c>
      <c r="H15" s="130" t="s">
        <v>5464</v>
      </c>
      <c r="I15" s="38">
        <v>46023</v>
      </c>
      <c r="J15" s="39"/>
      <c r="K15" s="38">
        <v>46023</v>
      </c>
      <c r="L15" s="40" t="s">
        <v>292</v>
      </c>
      <c r="M15" s="41" t="s">
        <v>5152</v>
      </c>
      <c r="N15" s="42" t="s">
        <v>294</v>
      </c>
    </row>
    <row r="16" spans="1:14" ht="15" customHeight="1" x14ac:dyDescent="0.3">
      <c r="A16" s="122">
        <v>1</v>
      </c>
      <c r="B16" s="122">
        <v>13</v>
      </c>
      <c r="C16" s="123" t="str">
        <f t="shared" si="0"/>
        <v>G01-S13</v>
      </c>
      <c r="D16" s="124">
        <v>272</v>
      </c>
      <c r="E16" s="125">
        <v>10000</v>
      </c>
      <c r="F16" s="126" t="s">
        <v>5312</v>
      </c>
      <c r="G16" s="122">
        <v>24</v>
      </c>
      <c r="H16" s="127" t="s">
        <v>5465</v>
      </c>
      <c r="I16" s="30">
        <v>46023</v>
      </c>
      <c r="J16" s="31"/>
      <c r="K16" s="30">
        <v>46023</v>
      </c>
      <c r="L16" s="32" t="s">
        <v>292</v>
      </c>
      <c r="M16" s="33" t="s">
        <v>5152</v>
      </c>
      <c r="N16" s="34" t="s">
        <v>294</v>
      </c>
    </row>
    <row r="17" spans="1:14" ht="15" customHeight="1" x14ac:dyDescent="0.3">
      <c r="A17" s="128">
        <v>1</v>
      </c>
      <c r="B17" s="128">
        <v>14</v>
      </c>
      <c r="C17" s="123" t="str">
        <f t="shared" si="0"/>
        <v>G01-S14</v>
      </c>
      <c r="D17" s="124">
        <v>273</v>
      </c>
      <c r="E17" s="125">
        <v>10000</v>
      </c>
      <c r="F17" s="129" t="s">
        <v>5312</v>
      </c>
      <c r="G17" s="128">
        <v>26</v>
      </c>
      <c r="H17" s="130" t="s">
        <v>5466</v>
      </c>
      <c r="I17" s="38">
        <v>46023</v>
      </c>
      <c r="J17" s="39"/>
      <c r="K17" s="38">
        <v>46023</v>
      </c>
      <c r="L17" s="40" t="s">
        <v>292</v>
      </c>
      <c r="M17" s="41" t="s">
        <v>5152</v>
      </c>
      <c r="N17" s="42" t="s">
        <v>294</v>
      </c>
    </row>
    <row r="18" spans="1:14" ht="15" customHeight="1" x14ac:dyDescent="0.3">
      <c r="A18" s="122">
        <v>1</v>
      </c>
      <c r="B18" s="122">
        <v>15</v>
      </c>
      <c r="C18" s="123" t="str">
        <f t="shared" si="0"/>
        <v>G01-S15</v>
      </c>
      <c r="D18" s="124">
        <v>274</v>
      </c>
      <c r="E18" s="125">
        <v>10000</v>
      </c>
      <c r="F18" s="126" t="s">
        <v>5312</v>
      </c>
      <c r="G18" s="122">
        <v>28</v>
      </c>
      <c r="H18" s="127" t="s">
        <v>5467</v>
      </c>
      <c r="I18" s="30">
        <v>46023</v>
      </c>
      <c r="J18" s="31"/>
      <c r="K18" s="30">
        <v>46023</v>
      </c>
      <c r="L18" s="32" t="s">
        <v>292</v>
      </c>
      <c r="M18" s="33" t="s">
        <v>5152</v>
      </c>
      <c r="N18" s="34" t="s">
        <v>294</v>
      </c>
    </row>
    <row r="19" spans="1:14" ht="15" customHeight="1" x14ac:dyDescent="0.3">
      <c r="A19" s="128">
        <v>2</v>
      </c>
      <c r="B19" s="128">
        <v>1</v>
      </c>
      <c r="C19" s="123" t="str">
        <f t="shared" si="0"/>
        <v>G02-S01</v>
      </c>
      <c r="D19" s="124">
        <v>268</v>
      </c>
      <c r="E19" s="125">
        <v>10000</v>
      </c>
      <c r="F19" s="129" t="s">
        <v>779</v>
      </c>
      <c r="G19" s="128">
        <v>0</v>
      </c>
      <c r="H19" s="130" t="s">
        <v>5461</v>
      </c>
      <c r="I19" s="38">
        <v>46023</v>
      </c>
      <c r="J19" s="39"/>
      <c r="K19" s="38">
        <v>46023</v>
      </c>
      <c r="L19" s="40" t="s">
        <v>292</v>
      </c>
      <c r="M19" s="41" t="s">
        <v>5152</v>
      </c>
      <c r="N19" s="42" t="s">
        <v>294</v>
      </c>
    </row>
    <row r="20" spans="1:14" ht="15" customHeight="1" x14ac:dyDescent="0.3">
      <c r="A20" s="122">
        <v>2</v>
      </c>
      <c r="B20" s="122">
        <v>2</v>
      </c>
      <c r="C20" s="123" t="str">
        <f t="shared" si="0"/>
        <v>G02-S02</v>
      </c>
      <c r="D20" s="124">
        <v>269</v>
      </c>
      <c r="E20" s="125">
        <v>10000</v>
      </c>
      <c r="F20" s="126" t="s">
        <v>779</v>
      </c>
      <c r="G20" s="122">
        <v>2</v>
      </c>
      <c r="H20" s="127" t="s">
        <v>5462</v>
      </c>
      <c r="I20" s="30">
        <v>46023</v>
      </c>
      <c r="J20" s="31"/>
      <c r="K20" s="30">
        <v>46023</v>
      </c>
      <c r="L20" s="32" t="s">
        <v>292</v>
      </c>
      <c r="M20" s="33" t="s">
        <v>5152</v>
      </c>
      <c r="N20" s="34" t="s">
        <v>294</v>
      </c>
    </row>
    <row r="21" spans="1:14" ht="15" customHeight="1" x14ac:dyDescent="0.3">
      <c r="A21" s="128">
        <v>2</v>
      </c>
      <c r="B21" s="128">
        <v>3</v>
      </c>
      <c r="C21" s="123" t="str">
        <f t="shared" si="0"/>
        <v>G02-S03</v>
      </c>
      <c r="D21" s="124">
        <v>270</v>
      </c>
      <c r="E21" s="125">
        <v>10000</v>
      </c>
      <c r="F21" s="129" t="s">
        <v>779</v>
      </c>
      <c r="G21" s="128">
        <v>4</v>
      </c>
      <c r="H21" s="130" t="s">
        <v>5463</v>
      </c>
      <c r="I21" s="38">
        <v>46023</v>
      </c>
      <c r="J21" s="39"/>
      <c r="K21" s="38">
        <v>46023</v>
      </c>
      <c r="L21" s="40" t="s">
        <v>292</v>
      </c>
      <c r="M21" s="41" t="s">
        <v>5152</v>
      </c>
      <c r="N21" s="42" t="s">
        <v>294</v>
      </c>
    </row>
    <row r="22" spans="1:14" ht="15" customHeight="1" x14ac:dyDescent="0.3">
      <c r="A22" s="122">
        <v>2</v>
      </c>
      <c r="B22" s="122">
        <v>4</v>
      </c>
      <c r="C22" s="123" t="str">
        <f t="shared" si="0"/>
        <v>G02-S04</v>
      </c>
      <c r="D22" s="124">
        <v>271</v>
      </c>
      <c r="E22" s="125">
        <v>10000</v>
      </c>
      <c r="F22" s="126" t="s">
        <v>779</v>
      </c>
      <c r="G22" s="122">
        <v>6</v>
      </c>
      <c r="H22" s="127" t="s">
        <v>5464</v>
      </c>
      <c r="I22" s="30">
        <v>46023</v>
      </c>
      <c r="J22" s="31"/>
      <c r="K22" s="30">
        <v>46023</v>
      </c>
      <c r="L22" s="32" t="s">
        <v>292</v>
      </c>
      <c r="M22" s="33" t="s">
        <v>5152</v>
      </c>
      <c r="N22" s="34" t="s">
        <v>294</v>
      </c>
    </row>
    <row r="23" spans="1:14" ht="15" customHeight="1" x14ac:dyDescent="0.3">
      <c r="A23" s="128">
        <v>2</v>
      </c>
      <c r="B23" s="128">
        <v>5</v>
      </c>
      <c r="C23" s="123" t="str">
        <f t="shared" si="0"/>
        <v>G02-S05</v>
      </c>
      <c r="D23" s="124">
        <v>272</v>
      </c>
      <c r="E23" s="125">
        <v>10000</v>
      </c>
      <c r="F23" s="129" t="s">
        <v>779</v>
      </c>
      <c r="G23" s="128">
        <v>8</v>
      </c>
      <c r="H23" s="130" t="s">
        <v>5465</v>
      </c>
      <c r="I23" s="38">
        <v>46023</v>
      </c>
      <c r="J23" s="39"/>
      <c r="K23" s="38">
        <v>46023</v>
      </c>
      <c r="L23" s="40" t="s">
        <v>292</v>
      </c>
      <c r="M23" s="41" t="s">
        <v>5152</v>
      </c>
      <c r="N23" s="42" t="s">
        <v>294</v>
      </c>
    </row>
    <row r="24" spans="1:14" ht="15" customHeight="1" x14ac:dyDescent="0.3">
      <c r="A24" s="122">
        <v>2</v>
      </c>
      <c r="B24" s="122">
        <v>6</v>
      </c>
      <c r="C24" s="123" t="str">
        <f t="shared" si="0"/>
        <v>G02-S06</v>
      </c>
      <c r="D24" s="124">
        <v>273</v>
      </c>
      <c r="E24" s="125">
        <v>10000</v>
      </c>
      <c r="F24" s="126" t="s">
        <v>779</v>
      </c>
      <c r="G24" s="122">
        <v>10</v>
      </c>
      <c r="H24" s="127" t="s">
        <v>5466</v>
      </c>
      <c r="I24" s="30">
        <v>46023</v>
      </c>
      <c r="J24" s="31"/>
      <c r="K24" s="30">
        <v>46023</v>
      </c>
      <c r="L24" s="32" t="s">
        <v>292</v>
      </c>
      <c r="M24" s="33" t="s">
        <v>5152</v>
      </c>
      <c r="N24" s="34" t="s">
        <v>294</v>
      </c>
    </row>
    <row r="25" spans="1:14" ht="15" customHeight="1" x14ac:dyDescent="0.3">
      <c r="A25" s="128">
        <v>2</v>
      </c>
      <c r="B25" s="128">
        <v>7</v>
      </c>
      <c r="C25" s="123" t="str">
        <f t="shared" si="0"/>
        <v>G02-S07</v>
      </c>
      <c r="D25" s="124">
        <v>274</v>
      </c>
      <c r="E25" s="125">
        <v>10000</v>
      </c>
      <c r="F25" s="129" t="s">
        <v>779</v>
      </c>
      <c r="G25" s="128">
        <v>12</v>
      </c>
      <c r="H25" s="130" t="s">
        <v>5467</v>
      </c>
      <c r="I25" s="38">
        <v>46023</v>
      </c>
      <c r="J25" s="39"/>
      <c r="K25" s="38">
        <v>46023</v>
      </c>
      <c r="L25" s="40" t="s">
        <v>292</v>
      </c>
      <c r="M25" s="41" t="s">
        <v>5152</v>
      </c>
      <c r="N25" s="42" t="s">
        <v>294</v>
      </c>
    </row>
    <row r="26" spans="1:14" ht="15" customHeight="1" x14ac:dyDescent="0.3">
      <c r="A26" s="122">
        <v>2</v>
      </c>
      <c r="B26" s="122">
        <v>8</v>
      </c>
      <c r="C26" s="123" t="str">
        <f t="shared" si="0"/>
        <v>G02-S08</v>
      </c>
      <c r="D26" s="124">
        <v>275</v>
      </c>
      <c r="E26" s="125">
        <v>10000</v>
      </c>
      <c r="F26" s="126" t="s">
        <v>779</v>
      </c>
      <c r="G26" s="122">
        <v>14</v>
      </c>
      <c r="H26" s="127" t="s">
        <v>5468</v>
      </c>
      <c r="I26" s="30">
        <v>46023</v>
      </c>
      <c r="J26" s="31"/>
      <c r="K26" s="30">
        <v>46023</v>
      </c>
      <c r="L26" s="32" t="s">
        <v>292</v>
      </c>
      <c r="M26" s="33" t="s">
        <v>5152</v>
      </c>
      <c r="N26" s="34" t="s">
        <v>294</v>
      </c>
    </row>
    <row r="27" spans="1:14" ht="15" customHeight="1" x14ac:dyDescent="0.3">
      <c r="A27" s="128">
        <v>2</v>
      </c>
      <c r="B27" s="128">
        <v>9</v>
      </c>
      <c r="C27" s="123" t="str">
        <f t="shared" si="0"/>
        <v>G02-S09</v>
      </c>
      <c r="D27" s="124">
        <v>276</v>
      </c>
      <c r="E27" s="125">
        <v>10000</v>
      </c>
      <c r="F27" s="129" t="s">
        <v>779</v>
      </c>
      <c r="G27" s="128">
        <v>16</v>
      </c>
      <c r="H27" s="130" t="s">
        <v>5469</v>
      </c>
      <c r="I27" s="38">
        <v>46023</v>
      </c>
      <c r="J27" s="39"/>
      <c r="K27" s="38">
        <v>46023</v>
      </c>
      <c r="L27" s="40" t="s">
        <v>292</v>
      </c>
      <c r="M27" s="41" t="s">
        <v>5152</v>
      </c>
      <c r="N27" s="42" t="s">
        <v>294</v>
      </c>
    </row>
    <row r="28" spans="1:14" ht="15" customHeight="1" x14ac:dyDescent="0.3">
      <c r="A28" s="122">
        <v>2</v>
      </c>
      <c r="B28" s="122">
        <v>10</v>
      </c>
      <c r="C28" s="123" t="str">
        <f t="shared" si="0"/>
        <v>G02-S10</v>
      </c>
      <c r="D28" s="124">
        <v>277</v>
      </c>
      <c r="E28" s="125">
        <v>10000</v>
      </c>
      <c r="F28" s="126" t="s">
        <v>779</v>
      </c>
      <c r="G28" s="122">
        <v>18</v>
      </c>
      <c r="H28" s="127" t="s">
        <v>5470</v>
      </c>
      <c r="I28" s="30">
        <v>46023</v>
      </c>
      <c r="J28" s="31"/>
      <c r="K28" s="30">
        <v>46023</v>
      </c>
      <c r="L28" s="32" t="s">
        <v>292</v>
      </c>
      <c r="M28" s="33" t="s">
        <v>5152</v>
      </c>
      <c r="N28" s="34" t="s">
        <v>294</v>
      </c>
    </row>
    <row r="29" spans="1:14" ht="15" customHeight="1" x14ac:dyDescent="0.3">
      <c r="A29" s="128">
        <v>2</v>
      </c>
      <c r="B29" s="128">
        <v>11</v>
      </c>
      <c r="C29" s="123" t="str">
        <f t="shared" si="0"/>
        <v>G02-S11</v>
      </c>
      <c r="D29" s="124">
        <v>278</v>
      </c>
      <c r="E29" s="125">
        <v>10000</v>
      </c>
      <c r="F29" s="129" t="s">
        <v>779</v>
      </c>
      <c r="G29" s="128">
        <v>20</v>
      </c>
      <c r="H29" s="130" t="s">
        <v>5471</v>
      </c>
      <c r="I29" s="38">
        <v>46023</v>
      </c>
      <c r="J29" s="39"/>
      <c r="K29" s="38">
        <v>46023</v>
      </c>
      <c r="L29" s="40" t="s">
        <v>292</v>
      </c>
      <c r="M29" s="41" t="s">
        <v>5152</v>
      </c>
      <c r="N29" s="42" t="s">
        <v>294</v>
      </c>
    </row>
    <row r="30" spans="1:14" ht="15" customHeight="1" x14ac:dyDescent="0.3">
      <c r="A30" s="122">
        <v>2</v>
      </c>
      <c r="B30" s="122">
        <v>12</v>
      </c>
      <c r="C30" s="123" t="str">
        <f t="shared" si="0"/>
        <v>G02-S12</v>
      </c>
      <c r="D30" s="124">
        <v>279</v>
      </c>
      <c r="E30" s="125">
        <v>10000</v>
      </c>
      <c r="F30" s="126" t="s">
        <v>779</v>
      </c>
      <c r="G30" s="122">
        <v>22</v>
      </c>
      <c r="H30" s="127" t="s">
        <v>5472</v>
      </c>
      <c r="I30" s="30">
        <v>46023</v>
      </c>
      <c r="J30" s="31"/>
      <c r="K30" s="30">
        <v>46023</v>
      </c>
      <c r="L30" s="32" t="s">
        <v>292</v>
      </c>
      <c r="M30" s="33" t="s">
        <v>5152</v>
      </c>
      <c r="N30" s="34" t="s">
        <v>294</v>
      </c>
    </row>
    <row r="31" spans="1:14" ht="15" customHeight="1" x14ac:dyDescent="0.3">
      <c r="A31" s="128">
        <v>2</v>
      </c>
      <c r="B31" s="128">
        <v>13</v>
      </c>
      <c r="C31" s="123" t="str">
        <f t="shared" si="0"/>
        <v>G02-S13</v>
      </c>
      <c r="D31" s="124">
        <v>280</v>
      </c>
      <c r="E31" s="125">
        <v>10000</v>
      </c>
      <c r="F31" s="129" t="s">
        <v>779</v>
      </c>
      <c r="G31" s="128">
        <v>24</v>
      </c>
      <c r="H31" s="130" t="s">
        <v>5473</v>
      </c>
      <c r="I31" s="38">
        <v>46023</v>
      </c>
      <c r="J31" s="39"/>
      <c r="K31" s="38">
        <v>46023</v>
      </c>
      <c r="L31" s="40" t="s">
        <v>292</v>
      </c>
      <c r="M31" s="41" t="s">
        <v>5152</v>
      </c>
      <c r="N31" s="42" t="s">
        <v>294</v>
      </c>
    </row>
    <row r="32" spans="1:14" ht="15" customHeight="1" x14ac:dyDescent="0.3">
      <c r="A32" s="122">
        <v>2</v>
      </c>
      <c r="B32" s="122">
        <v>14</v>
      </c>
      <c r="C32" s="123" t="str">
        <f t="shared" si="0"/>
        <v>G02-S14</v>
      </c>
      <c r="D32" s="124">
        <v>281</v>
      </c>
      <c r="E32" s="125">
        <v>10000</v>
      </c>
      <c r="F32" s="126" t="s">
        <v>779</v>
      </c>
      <c r="G32" s="122">
        <v>26</v>
      </c>
      <c r="H32" s="127" t="s">
        <v>5474</v>
      </c>
      <c r="I32" s="30">
        <v>46023</v>
      </c>
      <c r="J32" s="31"/>
      <c r="K32" s="30">
        <v>46023</v>
      </c>
      <c r="L32" s="32" t="s">
        <v>292</v>
      </c>
      <c r="M32" s="33" t="s">
        <v>5152</v>
      </c>
      <c r="N32" s="34" t="s">
        <v>294</v>
      </c>
    </row>
    <row r="33" spans="1:14" ht="15" customHeight="1" x14ac:dyDescent="0.3">
      <c r="A33" s="128">
        <v>2</v>
      </c>
      <c r="B33" s="128">
        <v>15</v>
      </c>
      <c r="C33" s="123" t="str">
        <f t="shared" si="0"/>
        <v>G02-S15</v>
      </c>
      <c r="D33" s="124">
        <v>282</v>
      </c>
      <c r="E33" s="125">
        <v>10000</v>
      </c>
      <c r="F33" s="129" t="s">
        <v>779</v>
      </c>
      <c r="G33" s="128">
        <v>28</v>
      </c>
      <c r="H33" s="130" t="s">
        <v>5475</v>
      </c>
      <c r="I33" s="38">
        <v>46023</v>
      </c>
      <c r="J33" s="39"/>
      <c r="K33" s="38">
        <v>46023</v>
      </c>
      <c r="L33" s="40" t="s">
        <v>292</v>
      </c>
      <c r="M33" s="41" t="s">
        <v>5152</v>
      </c>
      <c r="N33" s="42" t="s">
        <v>294</v>
      </c>
    </row>
    <row r="34" spans="1:14" ht="15" customHeight="1" x14ac:dyDescent="0.3">
      <c r="A34" s="122">
        <v>3</v>
      </c>
      <c r="B34" s="122">
        <v>1</v>
      </c>
      <c r="C34" s="123" t="str">
        <f t="shared" si="0"/>
        <v>G03-S01</v>
      </c>
      <c r="D34" s="124">
        <v>276</v>
      </c>
      <c r="E34" s="125">
        <v>10000</v>
      </c>
      <c r="F34" s="126" t="s">
        <v>1081</v>
      </c>
      <c r="G34" s="122">
        <v>0</v>
      </c>
      <c r="H34" s="127" t="s">
        <v>5469</v>
      </c>
      <c r="I34" s="30">
        <v>46023</v>
      </c>
      <c r="J34" s="31"/>
      <c r="K34" s="30">
        <v>46023</v>
      </c>
      <c r="L34" s="32" t="s">
        <v>292</v>
      </c>
      <c r="M34" s="33" t="s">
        <v>5152</v>
      </c>
      <c r="N34" s="34" t="s">
        <v>294</v>
      </c>
    </row>
    <row r="35" spans="1:14" ht="15" customHeight="1" x14ac:dyDescent="0.3">
      <c r="A35" s="128">
        <v>3</v>
      </c>
      <c r="B35" s="128">
        <v>2</v>
      </c>
      <c r="C35" s="123" t="str">
        <f t="shared" si="0"/>
        <v>G03-S02</v>
      </c>
      <c r="D35" s="124">
        <v>277</v>
      </c>
      <c r="E35" s="125">
        <v>10000</v>
      </c>
      <c r="F35" s="129" t="s">
        <v>1081</v>
      </c>
      <c r="G35" s="128">
        <v>2</v>
      </c>
      <c r="H35" s="130" t="s">
        <v>5470</v>
      </c>
      <c r="I35" s="38">
        <v>46023</v>
      </c>
      <c r="J35" s="39"/>
      <c r="K35" s="38">
        <v>46023</v>
      </c>
      <c r="L35" s="40" t="s">
        <v>292</v>
      </c>
      <c r="M35" s="41" t="s">
        <v>5152</v>
      </c>
      <c r="N35" s="42" t="s">
        <v>294</v>
      </c>
    </row>
    <row r="36" spans="1:14" ht="15" customHeight="1" x14ac:dyDescent="0.3">
      <c r="A36" s="122">
        <v>3</v>
      </c>
      <c r="B36" s="122">
        <v>3</v>
      </c>
      <c r="C36" s="123" t="str">
        <f t="shared" ref="C36:C67" si="1">"G"&amp;TEXT(A36,"00")&amp;"-S"&amp;TEXT(B36,"00")</f>
        <v>G03-S03</v>
      </c>
      <c r="D36" s="124">
        <v>278</v>
      </c>
      <c r="E36" s="125">
        <v>10000</v>
      </c>
      <c r="F36" s="126" t="s">
        <v>1081</v>
      </c>
      <c r="G36" s="122">
        <v>4</v>
      </c>
      <c r="H36" s="127" t="s">
        <v>5471</v>
      </c>
      <c r="I36" s="30">
        <v>46023</v>
      </c>
      <c r="J36" s="31"/>
      <c r="K36" s="30">
        <v>46023</v>
      </c>
      <c r="L36" s="32" t="s">
        <v>292</v>
      </c>
      <c r="M36" s="33" t="s">
        <v>5152</v>
      </c>
      <c r="N36" s="34" t="s">
        <v>294</v>
      </c>
    </row>
    <row r="37" spans="1:14" ht="15" customHeight="1" x14ac:dyDescent="0.3">
      <c r="A37" s="128">
        <v>3</v>
      </c>
      <c r="B37" s="128">
        <v>4</v>
      </c>
      <c r="C37" s="123" t="str">
        <f t="shared" si="1"/>
        <v>G03-S04</v>
      </c>
      <c r="D37" s="124">
        <v>279</v>
      </c>
      <c r="E37" s="125">
        <v>10000</v>
      </c>
      <c r="F37" s="129" t="s">
        <v>1081</v>
      </c>
      <c r="G37" s="128">
        <v>6</v>
      </c>
      <c r="H37" s="130" t="s">
        <v>5472</v>
      </c>
      <c r="I37" s="38">
        <v>46023</v>
      </c>
      <c r="J37" s="39"/>
      <c r="K37" s="38">
        <v>46023</v>
      </c>
      <c r="L37" s="40" t="s">
        <v>292</v>
      </c>
      <c r="M37" s="41" t="s">
        <v>5152</v>
      </c>
      <c r="N37" s="42" t="s">
        <v>294</v>
      </c>
    </row>
    <row r="38" spans="1:14" ht="15" customHeight="1" x14ac:dyDescent="0.3">
      <c r="A38" s="122">
        <v>3</v>
      </c>
      <c r="B38" s="122">
        <v>5</v>
      </c>
      <c r="C38" s="123" t="str">
        <f t="shared" si="1"/>
        <v>G03-S05</v>
      </c>
      <c r="D38" s="124">
        <v>280</v>
      </c>
      <c r="E38" s="125">
        <v>10000</v>
      </c>
      <c r="F38" s="126" t="s">
        <v>1081</v>
      </c>
      <c r="G38" s="122">
        <v>8</v>
      </c>
      <c r="H38" s="127" t="s">
        <v>5473</v>
      </c>
      <c r="I38" s="30">
        <v>46023</v>
      </c>
      <c r="J38" s="31"/>
      <c r="K38" s="30">
        <v>46023</v>
      </c>
      <c r="L38" s="32" t="s">
        <v>292</v>
      </c>
      <c r="M38" s="33" t="s">
        <v>5152</v>
      </c>
      <c r="N38" s="34" t="s">
        <v>294</v>
      </c>
    </row>
    <row r="39" spans="1:14" ht="15" customHeight="1" x14ac:dyDescent="0.3">
      <c r="A39" s="128">
        <v>3</v>
      </c>
      <c r="B39" s="128">
        <v>6</v>
      </c>
      <c r="C39" s="123" t="str">
        <f t="shared" si="1"/>
        <v>G03-S06</v>
      </c>
      <c r="D39" s="124">
        <v>281</v>
      </c>
      <c r="E39" s="125">
        <v>10000</v>
      </c>
      <c r="F39" s="129" t="s">
        <v>1081</v>
      </c>
      <c r="G39" s="128">
        <v>10</v>
      </c>
      <c r="H39" s="130" t="s">
        <v>5474</v>
      </c>
      <c r="I39" s="38">
        <v>46023</v>
      </c>
      <c r="J39" s="39"/>
      <c r="K39" s="38">
        <v>46023</v>
      </c>
      <c r="L39" s="40" t="s">
        <v>292</v>
      </c>
      <c r="M39" s="41" t="s">
        <v>5152</v>
      </c>
      <c r="N39" s="42" t="s">
        <v>294</v>
      </c>
    </row>
    <row r="40" spans="1:14" ht="15" customHeight="1" x14ac:dyDescent="0.3">
      <c r="A40" s="122">
        <v>3</v>
      </c>
      <c r="B40" s="122">
        <v>7</v>
      </c>
      <c r="C40" s="123" t="str">
        <f t="shared" si="1"/>
        <v>G03-S07</v>
      </c>
      <c r="D40" s="124">
        <v>282</v>
      </c>
      <c r="E40" s="125">
        <v>10000</v>
      </c>
      <c r="F40" s="126" t="s">
        <v>1081</v>
      </c>
      <c r="G40" s="122">
        <v>12</v>
      </c>
      <c r="H40" s="127" t="s">
        <v>5475</v>
      </c>
      <c r="I40" s="30">
        <v>46023</v>
      </c>
      <c r="J40" s="31"/>
      <c r="K40" s="30">
        <v>46023</v>
      </c>
      <c r="L40" s="32" t="s">
        <v>292</v>
      </c>
      <c r="M40" s="33" t="s">
        <v>5152</v>
      </c>
      <c r="N40" s="34" t="s">
        <v>294</v>
      </c>
    </row>
    <row r="41" spans="1:14" ht="15" customHeight="1" x14ac:dyDescent="0.3">
      <c r="A41" s="128">
        <v>3</v>
      </c>
      <c r="B41" s="128">
        <v>8</v>
      </c>
      <c r="C41" s="123" t="str">
        <f t="shared" si="1"/>
        <v>G03-S08</v>
      </c>
      <c r="D41" s="124">
        <v>284</v>
      </c>
      <c r="E41" s="125">
        <v>10000</v>
      </c>
      <c r="F41" s="129" t="s">
        <v>1081</v>
      </c>
      <c r="G41" s="128">
        <v>14</v>
      </c>
      <c r="H41" s="130" t="s">
        <v>5476</v>
      </c>
      <c r="I41" s="38">
        <v>46023</v>
      </c>
      <c r="J41" s="39"/>
      <c r="K41" s="38">
        <v>46023</v>
      </c>
      <c r="L41" s="40" t="s">
        <v>292</v>
      </c>
      <c r="M41" s="41" t="s">
        <v>5152</v>
      </c>
      <c r="N41" s="42" t="s">
        <v>294</v>
      </c>
    </row>
    <row r="42" spans="1:14" ht="15" customHeight="1" x14ac:dyDescent="0.3">
      <c r="A42" s="122">
        <v>3</v>
      </c>
      <c r="B42" s="122">
        <v>9</v>
      </c>
      <c r="C42" s="123" t="str">
        <f t="shared" si="1"/>
        <v>G03-S09</v>
      </c>
      <c r="D42" s="124">
        <v>286</v>
      </c>
      <c r="E42" s="125">
        <v>10000</v>
      </c>
      <c r="F42" s="126" t="s">
        <v>1081</v>
      </c>
      <c r="G42" s="122">
        <v>16</v>
      </c>
      <c r="H42" s="127" t="s">
        <v>5477</v>
      </c>
      <c r="I42" s="30">
        <v>46023</v>
      </c>
      <c r="J42" s="31"/>
      <c r="K42" s="30">
        <v>46023</v>
      </c>
      <c r="L42" s="32" t="s">
        <v>292</v>
      </c>
      <c r="M42" s="33" t="s">
        <v>5152</v>
      </c>
      <c r="N42" s="34" t="s">
        <v>294</v>
      </c>
    </row>
    <row r="43" spans="1:14" ht="15" customHeight="1" x14ac:dyDescent="0.3">
      <c r="A43" s="128">
        <v>3</v>
      </c>
      <c r="B43" s="128">
        <v>10</v>
      </c>
      <c r="C43" s="123" t="str">
        <f t="shared" si="1"/>
        <v>G03-S10</v>
      </c>
      <c r="D43" s="124">
        <v>288</v>
      </c>
      <c r="E43" s="125">
        <v>10000</v>
      </c>
      <c r="F43" s="129" t="s">
        <v>1081</v>
      </c>
      <c r="G43" s="128">
        <v>18</v>
      </c>
      <c r="H43" s="130" t="s">
        <v>5478</v>
      </c>
      <c r="I43" s="38">
        <v>46023</v>
      </c>
      <c r="J43" s="39"/>
      <c r="K43" s="38">
        <v>46023</v>
      </c>
      <c r="L43" s="40" t="s">
        <v>292</v>
      </c>
      <c r="M43" s="41" t="s">
        <v>5152</v>
      </c>
      <c r="N43" s="42" t="s">
        <v>294</v>
      </c>
    </row>
    <row r="44" spans="1:14" ht="15" customHeight="1" x14ac:dyDescent="0.3">
      <c r="A44" s="122">
        <v>3</v>
      </c>
      <c r="B44" s="122">
        <v>11</v>
      </c>
      <c r="C44" s="123" t="str">
        <f t="shared" si="1"/>
        <v>G03-S11</v>
      </c>
      <c r="D44" s="124">
        <v>290</v>
      </c>
      <c r="E44" s="125">
        <v>10000</v>
      </c>
      <c r="F44" s="126" t="s">
        <v>1081</v>
      </c>
      <c r="G44" s="122">
        <v>20</v>
      </c>
      <c r="H44" s="127" t="s">
        <v>5479</v>
      </c>
      <c r="I44" s="30">
        <v>46023</v>
      </c>
      <c r="J44" s="31"/>
      <c r="K44" s="30">
        <v>46023</v>
      </c>
      <c r="L44" s="32" t="s">
        <v>292</v>
      </c>
      <c r="M44" s="33" t="s">
        <v>5152</v>
      </c>
      <c r="N44" s="34" t="s">
        <v>294</v>
      </c>
    </row>
    <row r="45" spans="1:14" ht="15" customHeight="1" x14ac:dyDescent="0.3">
      <c r="A45" s="128">
        <v>3</v>
      </c>
      <c r="B45" s="128">
        <v>12</v>
      </c>
      <c r="C45" s="123" t="str">
        <f t="shared" si="1"/>
        <v>G03-S12</v>
      </c>
      <c r="D45" s="124">
        <v>292</v>
      </c>
      <c r="E45" s="125">
        <v>10000</v>
      </c>
      <c r="F45" s="129" t="s">
        <v>1081</v>
      </c>
      <c r="G45" s="128">
        <v>22</v>
      </c>
      <c r="H45" s="130" t="s">
        <v>5480</v>
      </c>
      <c r="I45" s="38">
        <v>46023</v>
      </c>
      <c r="J45" s="39"/>
      <c r="K45" s="38">
        <v>46023</v>
      </c>
      <c r="L45" s="40" t="s">
        <v>292</v>
      </c>
      <c r="M45" s="41" t="s">
        <v>5152</v>
      </c>
      <c r="N45" s="42" t="s">
        <v>294</v>
      </c>
    </row>
    <row r="46" spans="1:14" ht="15" customHeight="1" x14ac:dyDescent="0.3">
      <c r="A46" s="122">
        <v>3</v>
      </c>
      <c r="B46" s="122">
        <v>13</v>
      </c>
      <c r="C46" s="123" t="str">
        <f t="shared" si="1"/>
        <v>G03-S13</v>
      </c>
      <c r="D46" s="124">
        <v>294</v>
      </c>
      <c r="E46" s="125">
        <v>10000</v>
      </c>
      <c r="F46" s="126" t="s">
        <v>1081</v>
      </c>
      <c r="G46" s="122">
        <v>24</v>
      </c>
      <c r="H46" s="127" t="s">
        <v>5481</v>
      </c>
      <c r="I46" s="30">
        <v>46023</v>
      </c>
      <c r="J46" s="31"/>
      <c r="K46" s="30">
        <v>46023</v>
      </c>
      <c r="L46" s="32" t="s">
        <v>292</v>
      </c>
      <c r="M46" s="33" t="s">
        <v>5152</v>
      </c>
      <c r="N46" s="34" t="s">
        <v>294</v>
      </c>
    </row>
    <row r="47" spans="1:14" ht="15" customHeight="1" x14ac:dyDescent="0.3">
      <c r="A47" s="128">
        <v>3</v>
      </c>
      <c r="B47" s="128">
        <v>14</v>
      </c>
      <c r="C47" s="123" t="str">
        <f t="shared" si="1"/>
        <v>G03-S14</v>
      </c>
      <c r="D47" s="124">
        <v>296</v>
      </c>
      <c r="E47" s="125">
        <v>10000</v>
      </c>
      <c r="F47" s="129" t="s">
        <v>1081</v>
      </c>
      <c r="G47" s="128">
        <v>26</v>
      </c>
      <c r="H47" s="130" t="s">
        <v>5482</v>
      </c>
      <c r="I47" s="38">
        <v>46023</v>
      </c>
      <c r="J47" s="39"/>
      <c r="K47" s="38">
        <v>46023</v>
      </c>
      <c r="L47" s="40" t="s">
        <v>292</v>
      </c>
      <c r="M47" s="41" t="s">
        <v>5152</v>
      </c>
      <c r="N47" s="42" t="s">
        <v>294</v>
      </c>
    </row>
    <row r="48" spans="1:14" ht="15" customHeight="1" x14ac:dyDescent="0.3">
      <c r="A48" s="122">
        <v>3</v>
      </c>
      <c r="B48" s="122">
        <v>15</v>
      </c>
      <c r="C48" s="123" t="str">
        <f t="shared" si="1"/>
        <v>G03-S15</v>
      </c>
      <c r="D48" s="124">
        <v>298</v>
      </c>
      <c r="E48" s="125">
        <v>10000</v>
      </c>
      <c r="F48" s="126" t="s">
        <v>1081</v>
      </c>
      <c r="G48" s="122">
        <v>28</v>
      </c>
      <c r="H48" s="127" t="s">
        <v>5483</v>
      </c>
      <c r="I48" s="30">
        <v>46023</v>
      </c>
      <c r="J48" s="31"/>
      <c r="K48" s="30">
        <v>46023</v>
      </c>
      <c r="L48" s="32" t="s">
        <v>292</v>
      </c>
      <c r="M48" s="33" t="s">
        <v>5152</v>
      </c>
      <c r="N48" s="34" t="s">
        <v>294</v>
      </c>
    </row>
    <row r="49" spans="1:14" ht="15" customHeight="1" x14ac:dyDescent="0.3">
      <c r="A49" s="128">
        <v>4</v>
      </c>
      <c r="B49" s="128">
        <v>1</v>
      </c>
      <c r="C49" s="123" t="str">
        <f t="shared" si="1"/>
        <v>G04-S01</v>
      </c>
      <c r="D49" s="124">
        <v>286</v>
      </c>
      <c r="E49" s="125">
        <v>10000</v>
      </c>
      <c r="F49" s="129" t="s">
        <v>737</v>
      </c>
      <c r="G49" s="128">
        <v>0</v>
      </c>
      <c r="H49" s="130" t="s">
        <v>5477</v>
      </c>
      <c r="I49" s="38">
        <v>46023</v>
      </c>
      <c r="J49" s="39"/>
      <c r="K49" s="38">
        <v>46023</v>
      </c>
      <c r="L49" s="40" t="s">
        <v>292</v>
      </c>
      <c r="M49" s="41" t="s">
        <v>5152</v>
      </c>
      <c r="N49" s="42" t="s">
        <v>294</v>
      </c>
    </row>
    <row r="50" spans="1:14" ht="15" customHeight="1" x14ac:dyDescent="0.3">
      <c r="A50" s="122">
        <v>4</v>
      </c>
      <c r="B50" s="122">
        <v>2</v>
      </c>
      <c r="C50" s="123" t="str">
        <f t="shared" si="1"/>
        <v>G04-S02</v>
      </c>
      <c r="D50" s="124">
        <v>288</v>
      </c>
      <c r="E50" s="125">
        <v>10000</v>
      </c>
      <c r="F50" s="126" t="s">
        <v>737</v>
      </c>
      <c r="G50" s="122">
        <v>2</v>
      </c>
      <c r="H50" s="127" t="s">
        <v>5478</v>
      </c>
      <c r="I50" s="30">
        <v>46023</v>
      </c>
      <c r="J50" s="31"/>
      <c r="K50" s="30">
        <v>46023</v>
      </c>
      <c r="L50" s="32" t="s">
        <v>292</v>
      </c>
      <c r="M50" s="33" t="s">
        <v>5152</v>
      </c>
      <c r="N50" s="34" t="s">
        <v>294</v>
      </c>
    </row>
    <row r="51" spans="1:14" ht="15" customHeight="1" x14ac:dyDescent="0.3">
      <c r="A51" s="128">
        <v>4</v>
      </c>
      <c r="B51" s="128">
        <v>3</v>
      </c>
      <c r="C51" s="123" t="str">
        <f t="shared" si="1"/>
        <v>G04-S03</v>
      </c>
      <c r="D51" s="124">
        <v>290</v>
      </c>
      <c r="E51" s="125">
        <v>10000</v>
      </c>
      <c r="F51" s="129" t="s">
        <v>737</v>
      </c>
      <c r="G51" s="128">
        <v>4</v>
      </c>
      <c r="H51" s="130" t="s">
        <v>5479</v>
      </c>
      <c r="I51" s="38">
        <v>46023</v>
      </c>
      <c r="J51" s="39"/>
      <c r="K51" s="38">
        <v>46023</v>
      </c>
      <c r="L51" s="40" t="s">
        <v>292</v>
      </c>
      <c r="M51" s="41" t="s">
        <v>5152</v>
      </c>
      <c r="N51" s="42" t="s">
        <v>294</v>
      </c>
    </row>
    <row r="52" spans="1:14" ht="15" customHeight="1" x14ac:dyDescent="0.3">
      <c r="A52" s="122">
        <v>4</v>
      </c>
      <c r="B52" s="122">
        <v>4</v>
      </c>
      <c r="C52" s="123" t="str">
        <f t="shared" si="1"/>
        <v>G04-S04</v>
      </c>
      <c r="D52" s="124">
        <v>292</v>
      </c>
      <c r="E52" s="125">
        <v>10000</v>
      </c>
      <c r="F52" s="126" t="s">
        <v>737</v>
      </c>
      <c r="G52" s="122">
        <v>6</v>
      </c>
      <c r="H52" s="127" t="s">
        <v>5480</v>
      </c>
      <c r="I52" s="30">
        <v>46023</v>
      </c>
      <c r="J52" s="31"/>
      <c r="K52" s="30">
        <v>46023</v>
      </c>
      <c r="L52" s="32" t="s">
        <v>292</v>
      </c>
      <c r="M52" s="33" t="s">
        <v>5152</v>
      </c>
      <c r="N52" s="34" t="s">
        <v>294</v>
      </c>
    </row>
    <row r="53" spans="1:14" ht="15" customHeight="1" x14ac:dyDescent="0.3">
      <c r="A53" s="128">
        <v>4</v>
      </c>
      <c r="B53" s="128">
        <v>5</v>
      </c>
      <c r="C53" s="123" t="str">
        <f t="shared" si="1"/>
        <v>G04-S05</v>
      </c>
      <c r="D53" s="124">
        <v>294</v>
      </c>
      <c r="E53" s="125">
        <v>10000</v>
      </c>
      <c r="F53" s="129" t="s">
        <v>737</v>
      </c>
      <c r="G53" s="128">
        <v>8</v>
      </c>
      <c r="H53" s="130" t="s">
        <v>5481</v>
      </c>
      <c r="I53" s="38">
        <v>46023</v>
      </c>
      <c r="J53" s="39"/>
      <c r="K53" s="38">
        <v>46023</v>
      </c>
      <c r="L53" s="40" t="s">
        <v>292</v>
      </c>
      <c r="M53" s="41" t="s">
        <v>5152</v>
      </c>
      <c r="N53" s="42" t="s">
        <v>294</v>
      </c>
    </row>
    <row r="54" spans="1:14" ht="15" customHeight="1" x14ac:dyDescent="0.3">
      <c r="A54" s="122">
        <v>4</v>
      </c>
      <c r="B54" s="122">
        <v>6</v>
      </c>
      <c r="C54" s="123" t="str">
        <f t="shared" si="1"/>
        <v>G04-S06</v>
      </c>
      <c r="D54" s="124">
        <v>296</v>
      </c>
      <c r="E54" s="125">
        <v>10000</v>
      </c>
      <c r="F54" s="126" t="s">
        <v>737</v>
      </c>
      <c r="G54" s="122">
        <v>10</v>
      </c>
      <c r="H54" s="127" t="s">
        <v>5482</v>
      </c>
      <c r="I54" s="30">
        <v>46023</v>
      </c>
      <c r="J54" s="31"/>
      <c r="K54" s="30">
        <v>46023</v>
      </c>
      <c r="L54" s="32" t="s">
        <v>292</v>
      </c>
      <c r="M54" s="33" t="s">
        <v>5152</v>
      </c>
      <c r="N54" s="34" t="s">
        <v>294</v>
      </c>
    </row>
    <row r="55" spans="1:14" ht="15" customHeight="1" x14ac:dyDescent="0.3">
      <c r="A55" s="128">
        <v>4</v>
      </c>
      <c r="B55" s="128">
        <v>7</v>
      </c>
      <c r="C55" s="123" t="str">
        <f t="shared" si="1"/>
        <v>G04-S07</v>
      </c>
      <c r="D55" s="124">
        <v>298</v>
      </c>
      <c r="E55" s="125">
        <v>10000</v>
      </c>
      <c r="F55" s="129" t="s">
        <v>737</v>
      </c>
      <c r="G55" s="128">
        <v>12</v>
      </c>
      <c r="H55" s="130" t="s">
        <v>5483</v>
      </c>
      <c r="I55" s="38">
        <v>46023</v>
      </c>
      <c r="J55" s="39"/>
      <c r="K55" s="38">
        <v>46023</v>
      </c>
      <c r="L55" s="40" t="s">
        <v>292</v>
      </c>
      <c r="M55" s="41" t="s">
        <v>5152</v>
      </c>
      <c r="N55" s="42" t="s">
        <v>294</v>
      </c>
    </row>
    <row r="56" spans="1:14" ht="15" customHeight="1" x14ac:dyDescent="0.3">
      <c r="A56" s="122">
        <v>4</v>
      </c>
      <c r="B56" s="122">
        <v>8</v>
      </c>
      <c r="C56" s="123" t="str">
        <f t="shared" si="1"/>
        <v>G04-S08</v>
      </c>
      <c r="D56" s="124">
        <v>303</v>
      </c>
      <c r="E56" s="125">
        <v>10000</v>
      </c>
      <c r="F56" s="126" t="s">
        <v>737</v>
      </c>
      <c r="G56" s="122">
        <v>14</v>
      </c>
      <c r="H56" s="127" t="s">
        <v>5484</v>
      </c>
      <c r="I56" s="30">
        <v>46023</v>
      </c>
      <c r="J56" s="31"/>
      <c r="K56" s="30">
        <v>46023</v>
      </c>
      <c r="L56" s="32" t="s">
        <v>292</v>
      </c>
      <c r="M56" s="33" t="s">
        <v>5152</v>
      </c>
      <c r="N56" s="34" t="s">
        <v>294</v>
      </c>
    </row>
    <row r="57" spans="1:14" ht="15" customHeight="1" x14ac:dyDescent="0.3">
      <c r="A57" s="128">
        <v>4</v>
      </c>
      <c r="B57" s="128">
        <v>9</v>
      </c>
      <c r="C57" s="123" t="str">
        <f t="shared" si="1"/>
        <v>G04-S09</v>
      </c>
      <c r="D57" s="124">
        <v>308</v>
      </c>
      <c r="E57" s="125">
        <v>10000</v>
      </c>
      <c r="F57" s="129" t="s">
        <v>737</v>
      </c>
      <c r="G57" s="128">
        <v>16</v>
      </c>
      <c r="H57" s="130" t="s">
        <v>5485</v>
      </c>
      <c r="I57" s="38">
        <v>46023</v>
      </c>
      <c r="J57" s="39"/>
      <c r="K57" s="38">
        <v>46023</v>
      </c>
      <c r="L57" s="40" t="s">
        <v>292</v>
      </c>
      <c r="M57" s="41" t="s">
        <v>5152</v>
      </c>
      <c r="N57" s="42" t="s">
        <v>294</v>
      </c>
    </row>
    <row r="58" spans="1:14" ht="15" customHeight="1" x14ac:dyDescent="0.3">
      <c r="A58" s="122">
        <v>4</v>
      </c>
      <c r="B58" s="122">
        <v>10</v>
      </c>
      <c r="C58" s="123" t="str">
        <f t="shared" si="1"/>
        <v>G04-S10</v>
      </c>
      <c r="D58" s="124">
        <v>313</v>
      </c>
      <c r="E58" s="125">
        <v>10000</v>
      </c>
      <c r="F58" s="126" t="s">
        <v>737</v>
      </c>
      <c r="G58" s="122">
        <v>18</v>
      </c>
      <c r="H58" s="127" t="s">
        <v>5486</v>
      </c>
      <c r="I58" s="30">
        <v>46023</v>
      </c>
      <c r="J58" s="31"/>
      <c r="K58" s="30">
        <v>46023</v>
      </c>
      <c r="L58" s="32" t="s">
        <v>292</v>
      </c>
      <c r="M58" s="33" t="s">
        <v>5152</v>
      </c>
      <c r="N58" s="34" t="s">
        <v>294</v>
      </c>
    </row>
    <row r="59" spans="1:14" ht="15" customHeight="1" x14ac:dyDescent="0.3">
      <c r="A59" s="128">
        <v>4</v>
      </c>
      <c r="B59" s="128">
        <v>11</v>
      </c>
      <c r="C59" s="123" t="str">
        <f t="shared" si="1"/>
        <v>G04-S11</v>
      </c>
      <c r="D59" s="124">
        <v>318</v>
      </c>
      <c r="E59" s="125">
        <v>10000</v>
      </c>
      <c r="F59" s="129" t="s">
        <v>737</v>
      </c>
      <c r="G59" s="128">
        <v>20</v>
      </c>
      <c r="H59" s="130" t="s">
        <v>5487</v>
      </c>
      <c r="I59" s="38">
        <v>46023</v>
      </c>
      <c r="J59" s="39"/>
      <c r="K59" s="38">
        <v>46023</v>
      </c>
      <c r="L59" s="40" t="s">
        <v>292</v>
      </c>
      <c r="M59" s="41" t="s">
        <v>5152</v>
      </c>
      <c r="N59" s="42" t="s">
        <v>294</v>
      </c>
    </row>
    <row r="60" spans="1:14" ht="15" customHeight="1" x14ac:dyDescent="0.3">
      <c r="A60" s="122">
        <v>4</v>
      </c>
      <c r="B60" s="122">
        <v>12</v>
      </c>
      <c r="C60" s="123" t="str">
        <f t="shared" si="1"/>
        <v>G04-S12</v>
      </c>
      <c r="D60" s="124">
        <v>323</v>
      </c>
      <c r="E60" s="125">
        <v>10000</v>
      </c>
      <c r="F60" s="126" t="s">
        <v>737</v>
      </c>
      <c r="G60" s="122">
        <v>22</v>
      </c>
      <c r="H60" s="127" t="s">
        <v>5488</v>
      </c>
      <c r="I60" s="30">
        <v>46023</v>
      </c>
      <c r="J60" s="31"/>
      <c r="K60" s="30">
        <v>46023</v>
      </c>
      <c r="L60" s="32" t="s">
        <v>292</v>
      </c>
      <c r="M60" s="33" t="s">
        <v>5152</v>
      </c>
      <c r="N60" s="34" t="s">
        <v>294</v>
      </c>
    </row>
    <row r="61" spans="1:14" ht="15" customHeight="1" x14ac:dyDescent="0.3">
      <c r="A61" s="128">
        <v>4</v>
      </c>
      <c r="B61" s="128">
        <v>13</v>
      </c>
      <c r="C61" s="123" t="str">
        <f t="shared" si="1"/>
        <v>G04-S13</v>
      </c>
      <c r="D61" s="124">
        <v>328</v>
      </c>
      <c r="E61" s="125">
        <v>10000</v>
      </c>
      <c r="F61" s="129" t="s">
        <v>737</v>
      </c>
      <c r="G61" s="128">
        <v>24</v>
      </c>
      <c r="H61" s="130" t="s">
        <v>5489</v>
      </c>
      <c r="I61" s="38">
        <v>46023</v>
      </c>
      <c r="J61" s="39"/>
      <c r="K61" s="38">
        <v>46023</v>
      </c>
      <c r="L61" s="40" t="s">
        <v>292</v>
      </c>
      <c r="M61" s="41" t="s">
        <v>5152</v>
      </c>
      <c r="N61" s="42" t="s">
        <v>294</v>
      </c>
    </row>
    <row r="62" spans="1:14" ht="15" customHeight="1" x14ac:dyDescent="0.3">
      <c r="A62" s="122">
        <v>4</v>
      </c>
      <c r="B62" s="122">
        <v>14</v>
      </c>
      <c r="C62" s="123" t="str">
        <f t="shared" si="1"/>
        <v>G04-S14</v>
      </c>
      <c r="D62" s="124">
        <v>333</v>
      </c>
      <c r="E62" s="125">
        <v>10000</v>
      </c>
      <c r="F62" s="126" t="s">
        <v>737</v>
      </c>
      <c r="G62" s="122">
        <v>26</v>
      </c>
      <c r="H62" s="127" t="s">
        <v>5490</v>
      </c>
      <c r="I62" s="30">
        <v>46023</v>
      </c>
      <c r="J62" s="31"/>
      <c r="K62" s="30">
        <v>46023</v>
      </c>
      <c r="L62" s="32" t="s">
        <v>292</v>
      </c>
      <c r="M62" s="33" t="s">
        <v>5152</v>
      </c>
      <c r="N62" s="34" t="s">
        <v>294</v>
      </c>
    </row>
    <row r="63" spans="1:14" ht="15" customHeight="1" x14ac:dyDescent="0.3">
      <c r="A63" s="128">
        <v>4</v>
      </c>
      <c r="B63" s="128">
        <v>15</v>
      </c>
      <c r="C63" s="123" t="str">
        <f t="shared" si="1"/>
        <v>G04-S15</v>
      </c>
      <c r="D63" s="124">
        <v>338</v>
      </c>
      <c r="E63" s="125">
        <v>10000</v>
      </c>
      <c r="F63" s="129" t="s">
        <v>737</v>
      </c>
      <c r="G63" s="128">
        <v>28</v>
      </c>
      <c r="H63" s="130" t="s">
        <v>5491</v>
      </c>
      <c r="I63" s="38">
        <v>46023</v>
      </c>
      <c r="J63" s="39"/>
      <c r="K63" s="38">
        <v>46023</v>
      </c>
      <c r="L63" s="40" t="s">
        <v>292</v>
      </c>
      <c r="M63" s="41" t="s">
        <v>5152</v>
      </c>
      <c r="N63" s="42" t="s">
        <v>294</v>
      </c>
    </row>
    <row r="64" spans="1:14" ht="15" customHeight="1" x14ac:dyDescent="0.3">
      <c r="A64" s="122">
        <v>5</v>
      </c>
      <c r="B64" s="122">
        <v>1</v>
      </c>
      <c r="C64" s="123" t="str">
        <f t="shared" si="1"/>
        <v>G05-S01</v>
      </c>
      <c r="D64" s="124">
        <v>308</v>
      </c>
      <c r="E64" s="125">
        <v>10000</v>
      </c>
      <c r="F64" s="126" t="s">
        <v>5492</v>
      </c>
      <c r="G64" s="122">
        <v>0</v>
      </c>
      <c r="H64" s="127" t="s">
        <v>5485</v>
      </c>
      <c r="I64" s="30">
        <v>46023</v>
      </c>
      <c r="J64" s="31"/>
      <c r="K64" s="30">
        <v>46023</v>
      </c>
      <c r="L64" s="32" t="s">
        <v>292</v>
      </c>
      <c r="M64" s="33" t="s">
        <v>5152</v>
      </c>
      <c r="N64" s="34" t="s">
        <v>294</v>
      </c>
    </row>
    <row r="65" spans="1:14" ht="15" customHeight="1" x14ac:dyDescent="0.3">
      <c r="A65" s="128">
        <v>5</v>
      </c>
      <c r="B65" s="128">
        <v>2</v>
      </c>
      <c r="C65" s="123" t="str">
        <f t="shared" si="1"/>
        <v>G05-S02</v>
      </c>
      <c r="D65" s="124">
        <v>313</v>
      </c>
      <c r="E65" s="125">
        <v>10000</v>
      </c>
      <c r="F65" s="129" t="s">
        <v>5492</v>
      </c>
      <c r="G65" s="128">
        <v>2</v>
      </c>
      <c r="H65" s="130" t="s">
        <v>5486</v>
      </c>
      <c r="I65" s="38">
        <v>46023</v>
      </c>
      <c r="J65" s="39"/>
      <c r="K65" s="38">
        <v>46023</v>
      </c>
      <c r="L65" s="40" t="s">
        <v>292</v>
      </c>
      <c r="M65" s="41" t="s">
        <v>5152</v>
      </c>
      <c r="N65" s="42" t="s">
        <v>294</v>
      </c>
    </row>
    <row r="66" spans="1:14" ht="15" customHeight="1" x14ac:dyDescent="0.3">
      <c r="A66" s="122">
        <v>5</v>
      </c>
      <c r="B66" s="122">
        <v>3</v>
      </c>
      <c r="C66" s="123" t="str">
        <f t="shared" si="1"/>
        <v>G05-S03</v>
      </c>
      <c r="D66" s="124">
        <v>318</v>
      </c>
      <c r="E66" s="125">
        <v>10000</v>
      </c>
      <c r="F66" s="126" t="s">
        <v>5492</v>
      </c>
      <c r="G66" s="122">
        <v>4</v>
      </c>
      <c r="H66" s="127" t="s">
        <v>5487</v>
      </c>
      <c r="I66" s="30">
        <v>46023</v>
      </c>
      <c r="J66" s="31"/>
      <c r="K66" s="30">
        <v>46023</v>
      </c>
      <c r="L66" s="32" t="s">
        <v>292</v>
      </c>
      <c r="M66" s="33" t="s">
        <v>5152</v>
      </c>
      <c r="N66" s="34" t="s">
        <v>294</v>
      </c>
    </row>
    <row r="67" spans="1:14" ht="15" customHeight="1" x14ac:dyDescent="0.3">
      <c r="A67" s="128">
        <v>5</v>
      </c>
      <c r="B67" s="128">
        <v>4</v>
      </c>
      <c r="C67" s="123" t="str">
        <f t="shared" si="1"/>
        <v>G05-S04</v>
      </c>
      <c r="D67" s="124">
        <v>323</v>
      </c>
      <c r="E67" s="125">
        <v>10000</v>
      </c>
      <c r="F67" s="129" t="s">
        <v>5492</v>
      </c>
      <c r="G67" s="128">
        <v>6</v>
      </c>
      <c r="H67" s="130" t="s">
        <v>5488</v>
      </c>
      <c r="I67" s="38">
        <v>46023</v>
      </c>
      <c r="J67" s="39"/>
      <c r="K67" s="38">
        <v>46023</v>
      </c>
      <c r="L67" s="40" t="s">
        <v>292</v>
      </c>
      <c r="M67" s="41" t="s">
        <v>5152</v>
      </c>
      <c r="N67" s="42" t="s">
        <v>294</v>
      </c>
    </row>
    <row r="68" spans="1:14" ht="15" customHeight="1" x14ac:dyDescent="0.3">
      <c r="A68" s="122">
        <v>5</v>
      </c>
      <c r="B68" s="122">
        <v>5</v>
      </c>
      <c r="C68" s="123" t="str">
        <f t="shared" ref="C68:C99" si="2">"G"&amp;TEXT(A68,"00")&amp;"-S"&amp;TEXT(B68,"00")</f>
        <v>G05-S05</v>
      </c>
      <c r="D68" s="124">
        <v>328</v>
      </c>
      <c r="E68" s="125">
        <v>10000</v>
      </c>
      <c r="F68" s="126" t="s">
        <v>5492</v>
      </c>
      <c r="G68" s="122">
        <v>8</v>
      </c>
      <c r="H68" s="127" t="s">
        <v>5489</v>
      </c>
      <c r="I68" s="30">
        <v>46023</v>
      </c>
      <c r="J68" s="31"/>
      <c r="K68" s="30">
        <v>46023</v>
      </c>
      <c r="L68" s="32" t="s">
        <v>292</v>
      </c>
      <c r="M68" s="33" t="s">
        <v>5152</v>
      </c>
      <c r="N68" s="34" t="s">
        <v>294</v>
      </c>
    </row>
    <row r="69" spans="1:14" ht="15" customHeight="1" x14ac:dyDescent="0.3">
      <c r="A69" s="128">
        <v>5</v>
      </c>
      <c r="B69" s="128">
        <v>6</v>
      </c>
      <c r="C69" s="123" t="str">
        <f t="shared" si="2"/>
        <v>G05-S06</v>
      </c>
      <c r="D69" s="124">
        <v>333</v>
      </c>
      <c r="E69" s="125">
        <v>10000</v>
      </c>
      <c r="F69" s="129" t="s">
        <v>5492</v>
      </c>
      <c r="G69" s="128">
        <v>10</v>
      </c>
      <c r="H69" s="130" t="s">
        <v>5490</v>
      </c>
      <c r="I69" s="38">
        <v>46023</v>
      </c>
      <c r="J69" s="39"/>
      <c r="K69" s="38">
        <v>46023</v>
      </c>
      <c r="L69" s="40" t="s">
        <v>292</v>
      </c>
      <c r="M69" s="41" t="s">
        <v>5152</v>
      </c>
      <c r="N69" s="42" t="s">
        <v>294</v>
      </c>
    </row>
    <row r="70" spans="1:14" ht="15" customHeight="1" x14ac:dyDescent="0.3">
      <c r="A70" s="122">
        <v>5</v>
      </c>
      <c r="B70" s="122">
        <v>7</v>
      </c>
      <c r="C70" s="123" t="str">
        <f t="shared" si="2"/>
        <v>G05-S07</v>
      </c>
      <c r="D70" s="124">
        <v>338</v>
      </c>
      <c r="E70" s="125">
        <v>10000</v>
      </c>
      <c r="F70" s="126" t="s">
        <v>5492</v>
      </c>
      <c r="G70" s="122">
        <v>12</v>
      </c>
      <c r="H70" s="127" t="s">
        <v>5491</v>
      </c>
      <c r="I70" s="30">
        <v>46023</v>
      </c>
      <c r="J70" s="31"/>
      <c r="K70" s="30">
        <v>46023</v>
      </c>
      <c r="L70" s="32" t="s">
        <v>292</v>
      </c>
      <c r="M70" s="33" t="s">
        <v>5152</v>
      </c>
      <c r="N70" s="34" t="s">
        <v>294</v>
      </c>
    </row>
    <row r="71" spans="1:14" ht="15" customHeight="1" x14ac:dyDescent="0.3">
      <c r="A71" s="128">
        <v>5</v>
      </c>
      <c r="B71" s="128">
        <v>8</v>
      </c>
      <c r="C71" s="123" t="str">
        <f t="shared" si="2"/>
        <v>G05-S08</v>
      </c>
      <c r="D71" s="124">
        <v>348</v>
      </c>
      <c r="E71" s="125">
        <v>10000</v>
      </c>
      <c r="F71" s="129" t="s">
        <v>5492</v>
      </c>
      <c r="G71" s="128">
        <v>14</v>
      </c>
      <c r="H71" s="130" t="s">
        <v>5493</v>
      </c>
      <c r="I71" s="38">
        <v>46023</v>
      </c>
      <c r="J71" s="39"/>
      <c r="K71" s="38">
        <v>46023</v>
      </c>
      <c r="L71" s="40" t="s">
        <v>292</v>
      </c>
      <c r="M71" s="41" t="s">
        <v>5152</v>
      </c>
      <c r="N71" s="42" t="s">
        <v>294</v>
      </c>
    </row>
    <row r="72" spans="1:14" ht="15" customHeight="1" x14ac:dyDescent="0.3">
      <c r="A72" s="122">
        <v>5</v>
      </c>
      <c r="B72" s="122">
        <v>9</v>
      </c>
      <c r="C72" s="123" t="str">
        <f t="shared" si="2"/>
        <v>G05-S09</v>
      </c>
      <c r="D72" s="124">
        <v>358</v>
      </c>
      <c r="E72" s="125">
        <v>10000</v>
      </c>
      <c r="F72" s="126" t="s">
        <v>5492</v>
      </c>
      <c r="G72" s="122">
        <v>16</v>
      </c>
      <c r="H72" s="127" t="s">
        <v>5494</v>
      </c>
      <c r="I72" s="30">
        <v>46023</v>
      </c>
      <c r="J72" s="31"/>
      <c r="K72" s="30">
        <v>46023</v>
      </c>
      <c r="L72" s="32" t="s">
        <v>292</v>
      </c>
      <c r="M72" s="33" t="s">
        <v>5152</v>
      </c>
      <c r="N72" s="34" t="s">
        <v>294</v>
      </c>
    </row>
    <row r="73" spans="1:14" ht="15" customHeight="1" x14ac:dyDescent="0.3">
      <c r="A73" s="128">
        <v>5</v>
      </c>
      <c r="B73" s="128">
        <v>10</v>
      </c>
      <c r="C73" s="123" t="str">
        <f t="shared" si="2"/>
        <v>G05-S10</v>
      </c>
      <c r="D73" s="124">
        <v>368</v>
      </c>
      <c r="E73" s="125">
        <v>10000</v>
      </c>
      <c r="F73" s="129" t="s">
        <v>5492</v>
      </c>
      <c r="G73" s="128">
        <v>18</v>
      </c>
      <c r="H73" s="130" t="s">
        <v>5495</v>
      </c>
      <c r="I73" s="38">
        <v>46023</v>
      </c>
      <c r="J73" s="39"/>
      <c r="K73" s="38">
        <v>46023</v>
      </c>
      <c r="L73" s="40" t="s">
        <v>292</v>
      </c>
      <c r="M73" s="41" t="s">
        <v>5152</v>
      </c>
      <c r="N73" s="42" t="s">
        <v>294</v>
      </c>
    </row>
    <row r="74" spans="1:14" ht="15" customHeight="1" x14ac:dyDescent="0.3">
      <c r="A74" s="122">
        <v>5</v>
      </c>
      <c r="B74" s="122">
        <v>11</v>
      </c>
      <c r="C74" s="123" t="str">
        <f t="shared" si="2"/>
        <v>G05-S11</v>
      </c>
      <c r="D74" s="124">
        <v>378</v>
      </c>
      <c r="E74" s="125">
        <v>10000</v>
      </c>
      <c r="F74" s="126" t="s">
        <v>5492</v>
      </c>
      <c r="G74" s="122">
        <v>20</v>
      </c>
      <c r="H74" s="127" t="s">
        <v>5496</v>
      </c>
      <c r="I74" s="30">
        <v>46023</v>
      </c>
      <c r="J74" s="31"/>
      <c r="K74" s="30">
        <v>46023</v>
      </c>
      <c r="L74" s="32" t="s">
        <v>292</v>
      </c>
      <c r="M74" s="33" t="s">
        <v>5152</v>
      </c>
      <c r="N74" s="34" t="s">
        <v>294</v>
      </c>
    </row>
    <row r="75" spans="1:14" ht="15" customHeight="1" x14ac:dyDescent="0.3">
      <c r="A75" s="128">
        <v>5</v>
      </c>
      <c r="B75" s="128">
        <v>12</v>
      </c>
      <c r="C75" s="123" t="str">
        <f t="shared" si="2"/>
        <v>G05-S12</v>
      </c>
      <c r="D75" s="124">
        <v>388</v>
      </c>
      <c r="E75" s="125">
        <v>10000</v>
      </c>
      <c r="F75" s="129" t="s">
        <v>5492</v>
      </c>
      <c r="G75" s="128">
        <v>22</v>
      </c>
      <c r="H75" s="130" t="s">
        <v>5497</v>
      </c>
      <c r="I75" s="38">
        <v>46023</v>
      </c>
      <c r="J75" s="39"/>
      <c r="K75" s="38">
        <v>46023</v>
      </c>
      <c r="L75" s="40" t="s">
        <v>292</v>
      </c>
      <c r="M75" s="41" t="s">
        <v>5152</v>
      </c>
      <c r="N75" s="42" t="s">
        <v>294</v>
      </c>
    </row>
    <row r="76" spans="1:14" ht="15" customHeight="1" x14ac:dyDescent="0.3">
      <c r="A76" s="122">
        <v>5</v>
      </c>
      <c r="B76" s="122">
        <v>13</v>
      </c>
      <c r="C76" s="123" t="str">
        <f t="shared" si="2"/>
        <v>G05-S13</v>
      </c>
      <c r="D76" s="124">
        <v>398</v>
      </c>
      <c r="E76" s="125">
        <v>10000</v>
      </c>
      <c r="F76" s="126" t="s">
        <v>5492</v>
      </c>
      <c r="G76" s="122">
        <v>24</v>
      </c>
      <c r="H76" s="127" t="s">
        <v>5498</v>
      </c>
      <c r="I76" s="30">
        <v>46023</v>
      </c>
      <c r="J76" s="31"/>
      <c r="K76" s="30">
        <v>46023</v>
      </c>
      <c r="L76" s="32" t="s">
        <v>292</v>
      </c>
      <c r="M76" s="33" t="s">
        <v>5152</v>
      </c>
      <c r="N76" s="34" t="s">
        <v>294</v>
      </c>
    </row>
    <row r="77" spans="1:14" ht="15" customHeight="1" x14ac:dyDescent="0.3">
      <c r="A77" s="128">
        <v>5</v>
      </c>
      <c r="B77" s="128">
        <v>14</v>
      </c>
      <c r="C77" s="123" t="str">
        <f t="shared" si="2"/>
        <v>G05-S14</v>
      </c>
      <c r="D77" s="124">
        <v>408</v>
      </c>
      <c r="E77" s="125">
        <v>10000</v>
      </c>
      <c r="F77" s="129" t="s">
        <v>5492</v>
      </c>
      <c r="G77" s="128">
        <v>26</v>
      </c>
      <c r="H77" s="130" t="s">
        <v>5499</v>
      </c>
      <c r="I77" s="38">
        <v>46023</v>
      </c>
      <c r="J77" s="39"/>
      <c r="K77" s="38">
        <v>46023</v>
      </c>
      <c r="L77" s="40" t="s">
        <v>292</v>
      </c>
      <c r="M77" s="41" t="s">
        <v>5152</v>
      </c>
      <c r="N77" s="42" t="s">
        <v>294</v>
      </c>
    </row>
    <row r="78" spans="1:14" ht="15" customHeight="1" x14ac:dyDescent="0.3">
      <c r="A78" s="122">
        <v>5</v>
      </c>
      <c r="B78" s="122">
        <v>15</v>
      </c>
      <c r="C78" s="123" t="str">
        <f t="shared" si="2"/>
        <v>G05-S15</v>
      </c>
      <c r="D78" s="124">
        <v>418</v>
      </c>
      <c r="E78" s="125">
        <v>10000</v>
      </c>
      <c r="F78" s="126" t="s">
        <v>5492</v>
      </c>
      <c r="G78" s="122">
        <v>28</v>
      </c>
      <c r="H78" s="127" t="s">
        <v>5500</v>
      </c>
      <c r="I78" s="30">
        <v>46023</v>
      </c>
      <c r="J78" s="31"/>
      <c r="K78" s="30">
        <v>46023</v>
      </c>
      <c r="L78" s="32" t="s">
        <v>292</v>
      </c>
      <c r="M78" s="33" t="s">
        <v>5152</v>
      </c>
      <c r="N78" s="34" t="s">
        <v>294</v>
      </c>
    </row>
    <row r="79" spans="1:14" ht="15" customHeight="1" x14ac:dyDescent="0.3">
      <c r="A79" s="131">
        <v>6</v>
      </c>
      <c r="B79" s="131">
        <v>1</v>
      </c>
      <c r="C79" s="123" t="str">
        <f t="shared" si="2"/>
        <v>G06-S01</v>
      </c>
      <c r="D79" s="124">
        <v>600</v>
      </c>
      <c r="E79" s="125">
        <v>10000</v>
      </c>
      <c r="F79" s="132" t="s">
        <v>5501</v>
      </c>
      <c r="G79" s="131" t="s">
        <v>5502</v>
      </c>
      <c r="H79" s="133" t="s">
        <v>5503</v>
      </c>
      <c r="I79" s="38">
        <v>46023</v>
      </c>
      <c r="J79" s="39"/>
      <c r="K79" s="38">
        <v>46023</v>
      </c>
      <c r="L79" s="40" t="s">
        <v>292</v>
      </c>
      <c r="M79" s="41" t="s">
        <v>5152</v>
      </c>
      <c r="N79" s="42" t="s">
        <v>294</v>
      </c>
    </row>
    <row r="80" spans="1:14" ht="15" customHeight="1" x14ac:dyDescent="0.3">
      <c r="A80" s="131">
        <v>6</v>
      </c>
      <c r="B80" s="131">
        <v>2</v>
      </c>
      <c r="C80" s="123" t="str">
        <f t="shared" si="2"/>
        <v>G06-S02</v>
      </c>
      <c r="D80" s="124">
        <v>700</v>
      </c>
      <c r="E80" s="125">
        <v>10000</v>
      </c>
      <c r="F80" s="132" t="s">
        <v>5501</v>
      </c>
      <c r="G80" s="131" t="s">
        <v>5502</v>
      </c>
      <c r="H80" s="133" t="s">
        <v>5504</v>
      </c>
      <c r="I80" s="30">
        <v>46023</v>
      </c>
      <c r="J80" s="31"/>
      <c r="K80" s="30">
        <v>46023</v>
      </c>
      <c r="L80" s="32" t="s">
        <v>292</v>
      </c>
      <c r="M80" s="33" t="s">
        <v>5152</v>
      </c>
      <c r="N80" s="34" t="s">
        <v>294</v>
      </c>
    </row>
    <row r="81" spans="1:14" ht="15" customHeight="1" x14ac:dyDescent="0.3">
      <c r="A81" s="131">
        <v>6</v>
      </c>
      <c r="B81" s="131">
        <v>3</v>
      </c>
      <c r="C81" s="123" t="str">
        <f t="shared" si="2"/>
        <v>G06-S03</v>
      </c>
      <c r="D81" s="124">
        <v>800</v>
      </c>
      <c r="E81" s="125">
        <v>10000</v>
      </c>
      <c r="F81" s="132" t="s">
        <v>5501</v>
      </c>
      <c r="G81" s="131" t="s">
        <v>5502</v>
      </c>
      <c r="H81" s="133" t="s">
        <v>5505</v>
      </c>
      <c r="I81" s="38">
        <v>46023</v>
      </c>
      <c r="J81" s="39"/>
      <c r="K81" s="38">
        <v>46023</v>
      </c>
      <c r="L81" s="40" t="s">
        <v>292</v>
      </c>
      <c r="M81" s="41" t="s">
        <v>5152</v>
      </c>
      <c r="N81" s="42" t="s">
        <v>294</v>
      </c>
    </row>
    <row r="82" spans="1:14" ht="15" customHeight="1" x14ac:dyDescent="0.3">
      <c r="A82" s="131">
        <v>6</v>
      </c>
      <c r="B82" s="131">
        <v>4</v>
      </c>
      <c r="C82" s="123" t="str">
        <f t="shared" si="2"/>
        <v>G06-S04</v>
      </c>
      <c r="D82" s="124">
        <v>900</v>
      </c>
      <c r="E82" s="125">
        <v>10000</v>
      </c>
      <c r="F82" s="132" t="s">
        <v>5501</v>
      </c>
      <c r="G82" s="131" t="s">
        <v>5502</v>
      </c>
      <c r="H82" s="133" t="s">
        <v>5506</v>
      </c>
      <c r="I82" s="30">
        <v>46023</v>
      </c>
      <c r="J82" s="31"/>
      <c r="K82" s="30">
        <v>46023</v>
      </c>
      <c r="L82" s="32" t="s">
        <v>292</v>
      </c>
      <c r="M82" s="33" t="s">
        <v>5152</v>
      </c>
      <c r="N82" s="34" t="s">
        <v>294</v>
      </c>
    </row>
    <row r="83" spans="1:14" ht="15" customHeight="1" x14ac:dyDescent="0.3">
      <c r="A83" s="131">
        <v>6</v>
      </c>
      <c r="B83" s="131">
        <v>5</v>
      </c>
      <c r="C83" s="123" t="str">
        <f t="shared" si="2"/>
        <v>G06-S05</v>
      </c>
      <c r="D83" s="124">
        <v>1000</v>
      </c>
      <c r="E83" s="125">
        <v>10000</v>
      </c>
      <c r="F83" s="132" t="s">
        <v>5501</v>
      </c>
      <c r="G83" s="131" t="s">
        <v>5502</v>
      </c>
      <c r="H83" s="133" t="s">
        <v>5507</v>
      </c>
      <c r="I83" s="38">
        <v>46023</v>
      </c>
      <c r="J83" s="39"/>
      <c r="K83" s="38">
        <v>46023</v>
      </c>
      <c r="L83" s="40" t="s">
        <v>292</v>
      </c>
      <c r="M83" s="41" t="s">
        <v>5152</v>
      </c>
      <c r="N83" s="42" t="s">
        <v>294</v>
      </c>
    </row>
    <row r="84" spans="1:14" ht="15" customHeight="1" x14ac:dyDescent="0.3">
      <c r="A84" s="131">
        <v>6</v>
      </c>
      <c r="B84" s="131">
        <v>6</v>
      </c>
      <c r="C84" s="123" t="str">
        <f t="shared" si="2"/>
        <v>G06-S06</v>
      </c>
      <c r="D84" s="124">
        <v>1100</v>
      </c>
      <c r="E84" s="125">
        <v>10000</v>
      </c>
      <c r="F84" s="132" t="s">
        <v>5501</v>
      </c>
      <c r="G84" s="131" t="s">
        <v>5502</v>
      </c>
      <c r="H84" s="133" t="s">
        <v>5508</v>
      </c>
      <c r="I84" s="30">
        <v>46023</v>
      </c>
      <c r="J84" s="31"/>
      <c r="K84" s="30">
        <v>46023</v>
      </c>
      <c r="L84" s="32" t="s">
        <v>292</v>
      </c>
      <c r="M84" s="33" t="s">
        <v>5152</v>
      </c>
      <c r="N84" s="34" t="s">
        <v>294</v>
      </c>
    </row>
    <row r="85" spans="1:14" ht="15" customHeight="1" x14ac:dyDescent="0.3">
      <c r="A85" s="131">
        <v>6</v>
      </c>
      <c r="B85" s="131">
        <v>7</v>
      </c>
      <c r="C85" s="123" t="str">
        <f t="shared" si="2"/>
        <v>G06-S07</v>
      </c>
      <c r="D85" s="124">
        <v>1200</v>
      </c>
      <c r="E85" s="125">
        <v>10000</v>
      </c>
      <c r="F85" s="132" t="s">
        <v>5501</v>
      </c>
      <c r="G85" s="131" t="s">
        <v>5502</v>
      </c>
      <c r="H85" s="133" t="s">
        <v>5509</v>
      </c>
      <c r="I85" s="38">
        <v>46023</v>
      </c>
      <c r="J85" s="39"/>
      <c r="K85" s="38">
        <v>46023</v>
      </c>
      <c r="L85" s="40" t="s">
        <v>292</v>
      </c>
      <c r="M85" s="41" t="s">
        <v>5152</v>
      </c>
      <c r="N85" s="42" t="s">
        <v>294</v>
      </c>
    </row>
    <row r="86" spans="1:14" ht="15" customHeight="1" x14ac:dyDescent="0.3">
      <c r="A86" s="134"/>
      <c r="B86" s="134"/>
      <c r="C86" s="135"/>
      <c r="D86" s="136"/>
      <c r="E86" s="137"/>
      <c r="F86" s="138"/>
      <c r="G86" s="134"/>
      <c r="H86" s="138"/>
    </row>
    <row r="87" spans="1:14" ht="15" customHeight="1" x14ac:dyDescent="0.3">
      <c r="A87" s="139"/>
      <c r="B87" s="139"/>
      <c r="C87" s="140"/>
      <c r="D87" s="136"/>
      <c r="E87" s="137"/>
      <c r="F87" s="141"/>
      <c r="G87" s="139"/>
      <c r="H87" s="141"/>
    </row>
    <row r="88" spans="1:14" ht="15" customHeight="1" x14ac:dyDescent="0.3">
      <c r="A88" s="134"/>
      <c r="B88" s="134"/>
      <c r="C88" s="135"/>
      <c r="D88" s="136"/>
      <c r="E88" s="137"/>
      <c r="F88" s="138"/>
      <c r="G88" s="134"/>
      <c r="H88" s="138"/>
    </row>
    <row r="89" spans="1:14" ht="15" customHeight="1" x14ac:dyDescent="0.3">
      <c r="A89" s="139"/>
      <c r="B89" s="139"/>
      <c r="C89" s="140"/>
      <c r="D89" s="136"/>
      <c r="E89" s="137"/>
      <c r="F89" s="141"/>
      <c r="G89" s="139"/>
      <c r="H89" s="141"/>
    </row>
    <row r="90" spans="1:14" ht="15" customHeight="1" x14ac:dyDescent="0.3">
      <c r="A90" s="134"/>
      <c r="B90" s="134"/>
      <c r="C90" s="135"/>
      <c r="D90" s="136"/>
      <c r="E90" s="137"/>
      <c r="F90" s="138"/>
      <c r="G90" s="134"/>
      <c r="H90" s="138"/>
    </row>
    <row r="91" spans="1:14" ht="15" customHeight="1" x14ac:dyDescent="0.3">
      <c r="A91" s="139"/>
      <c r="B91" s="139"/>
      <c r="C91" s="140"/>
      <c r="D91" s="136"/>
      <c r="E91" s="137"/>
      <c r="F91" s="141"/>
      <c r="G91" s="139"/>
      <c r="H91" s="141"/>
    </row>
    <row r="92" spans="1:14" ht="15" customHeight="1" x14ac:dyDescent="0.3">
      <c r="A92" s="134"/>
      <c r="B92" s="134"/>
      <c r="C92" s="135"/>
      <c r="D92" s="136"/>
      <c r="E92" s="137"/>
      <c r="F92" s="138"/>
      <c r="G92" s="134"/>
      <c r="H92" s="138"/>
    </row>
    <row r="93" spans="1:14" ht="15" customHeight="1" x14ac:dyDescent="0.3">
      <c r="A93" s="139"/>
      <c r="B93" s="139"/>
      <c r="C93" s="140"/>
      <c r="D93" s="136"/>
      <c r="E93" s="137"/>
      <c r="F93" s="141"/>
      <c r="G93" s="139"/>
      <c r="H93" s="141"/>
    </row>
    <row r="94" spans="1:14" ht="15" customHeight="1" x14ac:dyDescent="0.3">
      <c r="A94" s="134"/>
      <c r="B94" s="134"/>
      <c r="C94" s="135"/>
      <c r="D94" s="136"/>
      <c r="E94" s="137"/>
      <c r="F94" s="138"/>
      <c r="G94" s="134"/>
      <c r="H94" s="138"/>
    </row>
    <row r="95" spans="1:14" ht="15" customHeight="1" x14ac:dyDescent="0.3">
      <c r="A95" s="139"/>
      <c r="B95" s="139"/>
      <c r="C95" s="140"/>
      <c r="D95" s="136"/>
      <c r="E95" s="137"/>
      <c r="F95" s="141"/>
      <c r="G95" s="139"/>
      <c r="H95" s="141"/>
    </row>
    <row r="96" spans="1:14" ht="15" customHeight="1" x14ac:dyDescent="0.3">
      <c r="A96" s="134"/>
      <c r="B96" s="134"/>
      <c r="C96" s="135"/>
      <c r="D96" s="136"/>
      <c r="E96" s="137"/>
      <c r="F96" s="138"/>
      <c r="G96" s="134"/>
      <c r="H96" s="138"/>
    </row>
    <row r="97" spans="1:8" ht="15" customHeight="1" x14ac:dyDescent="0.3">
      <c r="A97" s="139"/>
      <c r="B97" s="139"/>
      <c r="C97" s="140"/>
      <c r="D97" s="136"/>
      <c r="E97" s="137"/>
      <c r="F97" s="141"/>
      <c r="G97" s="139"/>
      <c r="H97" s="141"/>
    </row>
    <row r="98" spans="1:8" ht="15" customHeight="1" x14ac:dyDescent="0.3">
      <c r="A98" s="134"/>
      <c r="B98" s="134"/>
      <c r="C98" s="135"/>
      <c r="D98" s="136"/>
      <c r="E98" s="137"/>
      <c r="F98" s="138"/>
      <c r="G98" s="134"/>
      <c r="H98" s="138"/>
    </row>
    <row r="99" spans="1:8" ht="15" customHeight="1" x14ac:dyDescent="0.3">
      <c r="A99" s="139"/>
      <c r="B99" s="139"/>
      <c r="C99" s="140"/>
      <c r="D99" s="136"/>
      <c r="E99" s="137"/>
      <c r="F99" s="141"/>
      <c r="G99" s="139"/>
      <c r="H99" s="141"/>
    </row>
    <row r="100" spans="1:8" ht="15" customHeight="1" x14ac:dyDescent="0.3">
      <c r="A100" s="134"/>
      <c r="B100" s="134"/>
      <c r="C100" s="135"/>
      <c r="D100" s="136"/>
      <c r="E100" s="137"/>
      <c r="F100" s="138"/>
      <c r="G100" s="134"/>
      <c r="H100" s="138"/>
    </row>
    <row r="101" spans="1:8" ht="15" customHeight="1" x14ac:dyDescent="0.3">
      <c r="A101" s="139"/>
      <c r="B101" s="139"/>
      <c r="C101" s="140"/>
      <c r="D101" s="136"/>
      <c r="E101" s="137"/>
      <c r="F101" s="141"/>
      <c r="G101" s="139"/>
      <c r="H101" s="141"/>
    </row>
    <row r="102" spans="1:8" ht="15" customHeight="1" x14ac:dyDescent="0.3">
      <c r="A102" s="134"/>
      <c r="B102" s="134"/>
      <c r="C102" s="135"/>
      <c r="D102" s="136"/>
      <c r="E102" s="137"/>
      <c r="F102" s="138"/>
      <c r="G102" s="134"/>
      <c r="H102" s="138"/>
    </row>
    <row r="103" spans="1:8" ht="15" customHeight="1" x14ac:dyDescent="0.3">
      <c r="A103" s="139"/>
      <c r="B103" s="139"/>
      <c r="C103" s="140"/>
      <c r="D103" s="136"/>
      <c r="E103" s="137"/>
      <c r="F103" s="141"/>
      <c r="G103" s="139"/>
      <c r="H103" s="141"/>
    </row>
  </sheetData>
  <mergeCells count="2">
    <mergeCell ref="A1:N1"/>
    <mergeCell ref="A2:N2"/>
  </mergeCell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75623"/>
    <pageSetUpPr fitToPage="1"/>
  </sheetPr>
  <dimension ref="A1:J27"/>
  <sheetViews>
    <sheetView showGridLines="0" zoomScaleNormal="100" workbookViewId="0">
      <selection activeCell="B20" sqref="B20"/>
    </sheetView>
  </sheetViews>
  <sheetFormatPr defaultColWidth="8.6640625" defaultRowHeight="14.4" x14ac:dyDescent="0.3"/>
  <cols>
    <col min="1" max="1" width="50" style="14" customWidth="1"/>
    <col min="2" max="2" width="20" style="14" customWidth="1"/>
    <col min="3" max="3" width="38" style="14" customWidth="1"/>
    <col min="4" max="4" width="52" style="14" customWidth="1"/>
    <col min="5" max="8" width="16" style="14" customWidth="1"/>
    <col min="9" max="9" width="20" style="14" customWidth="1"/>
    <col min="10" max="10" width="32" style="14" customWidth="1"/>
  </cols>
  <sheetData>
    <row r="1" spans="1:10" ht="24" customHeight="1" x14ac:dyDescent="0.3">
      <c r="A1" s="262" t="s">
        <v>5510</v>
      </c>
      <c r="B1" s="262"/>
      <c r="C1" s="262"/>
      <c r="D1" s="262"/>
      <c r="E1" s="262"/>
      <c r="F1" s="262"/>
      <c r="G1" s="262"/>
      <c r="H1" s="262"/>
      <c r="I1" s="262"/>
      <c r="J1" s="262"/>
    </row>
    <row r="2" spans="1:10" ht="36" customHeight="1" x14ac:dyDescent="0.3">
      <c r="A2" s="263" t="s">
        <v>5511</v>
      </c>
      <c r="B2" s="263"/>
      <c r="C2" s="263"/>
      <c r="D2" s="263"/>
      <c r="E2" s="263"/>
      <c r="F2" s="263"/>
      <c r="G2" s="263"/>
      <c r="H2" s="263"/>
      <c r="I2" s="263"/>
      <c r="J2" s="263"/>
    </row>
    <row r="3" spans="1:10" ht="24" customHeight="1" x14ac:dyDescent="0.3">
      <c r="A3" s="112" t="s">
        <v>5512</v>
      </c>
      <c r="B3" s="112" t="s">
        <v>5513</v>
      </c>
      <c r="C3" s="112" t="s">
        <v>5514</v>
      </c>
      <c r="D3" s="112" t="s">
        <v>5515</v>
      </c>
      <c r="E3" s="24" t="s">
        <v>279</v>
      </c>
      <c r="F3" s="24" t="s">
        <v>280</v>
      </c>
      <c r="G3" s="24" t="s">
        <v>281</v>
      </c>
      <c r="H3" s="24" t="s">
        <v>282</v>
      </c>
      <c r="I3" s="24" t="s">
        <v>283</v>
      </c>
      <c r="J3" s="24" t="s">
        <v>284</v>
      </c>
    </row>
    <row r="4" spans="1:10" ht="30" customHeight="1" x14ac:dyDescent="0.3">
      <c r="A4" s="142" t="s">
        <v>5516</v>
      </c>
      <c r="B4" s="143">
        <v>10000</v>
      </c>
      <c r="C4" s="144" t="s">
        <v>5517</v>
      </c>
      <c r="D4" s="145" t="s">
        <v>5518</v>
      </c>
      <c r="E4" s="30">
        <v>46023</v>
      </c>
      <c r="F4" s="31"/>
      <c r="G4" s="30">
        <v>46023</v>
      </c>
      <c r="H4" s="32" t="s">
        <v>292</v>
      </c>
      <c r="I4" s="33" t="s">
        <v>5152</v>
      </c>
      <c r="J4" s="34" t="s">
        <v>294</v>
      </c>
    </row>
    <row r="5" spans="1:10" ht="30" customHeight="1" x14ac:dyDescent="0.3">
      <c r="A5" s="129" t="s">
        <v>5519</v>
      </c>
      <c r="B5" s="125">
        <v>900000</v>
      </c>
      <c r="C5" s="146" t="s">
        <v>5520</v>
      </c>
      <c r="D5" s="147" t="s">
        <v>5521</v>
      </c>
      <c r="E5" s="38">
        <v>46023</v>
      </c>
      <c r="F5" s="39"/>
      <c r="G5" s="38">
        <v>46023</v>
      </c>
      <c r="H5" s="40" t="s">
        <v>292</v>
      </c>
      <c r="I5" s="41" t="s">
        <v>5152</v>
      </c>
      <c r="J5" s="42" t="s">
        <v>294</v>
      </c>
    </row>
    <row r="6" spans="1:10" ht="30" customHeight="1" x14ac:dyDescent="0.3">
      <c r="A6" s="126" t="s">
        <v>5522</v>
      </c>
      <c r="B6" s="125">
        <v>1500000</v>
      </c>
      <c r="C6" s="148" t="s">
        <v>5523</v>
      </c>
      <c r="D6" s="149" t="s">
        <v>5524</v>
      </c>
      <c r="E6" s="30">
        <v>46023</v>
      </c>
      <c r="F6" s="31"/>
      <c r="G6" s="30">
        <v>46023</v>
      </c>
      <c r="H6" s="32" t="s">
        <v>292</v>
      </c>
      <c r="I6" s="33" t="s">
        <v>5152</v>
      </c>
      <c r="J6" s="34" t="s">
        <v>294</v>
      </c>
    </row>
    <row r="7" spans="1:10" ht="30" customHeight="1" x14ac:dyDescent="0.3">
      <c r="A7" s="129" t="s">
        <v>5525</v>
      </c>
      <c r="B7" s="125">
        <v>1900000</v>
      </c>
      <c r="C7" s="146" t="s">
        <v>5526</v>
      </c>
      <c r="D7" s="147" t="s">
        <v>5527</v>
      </c>
      <c r="E7" s="38">
        <v>46023</v>
      </c>
      <c r="F7" s="39"/>
      <c r="G7" s="38">
        <v>46023</v>
      </c>
      <c r="H7" s="40" t="s">
        <v>292</v>
      </c>
      <c r="I7" s="41" t="s">
        <v>5152</v>
      </c>
      <c r="J7" s="42" t="s">
        <v>294</v>
      </c>
    </row>
    <row r="8" spans="1:10" ht="30" customHeight="1" x14ac:dyDescent="0.3">
      <c r="A8" s="126" t="s">
        <v>5528</v>
      </c>
      <c r="B8" s="125">
        <v>2300000</v>
      </c>
      <c r="C8" s="148" t="s">
        <v>5529</v>
      </c>
      <c r="D8" s="149" t="s">
        <v>5530</v>
      </c>
      <c r="E8" s="30">
        <v>46023</v>
      </c>
      <c r="F8" s="31"/>
      <c r="G8" s="30">
        <v>46023</v>
      </c>
      <c r="H8" s="32" t="s">
        <v>292</v>
      </c>
      <c r="I8" s="33" t="s">
        <v>5152</v>
      </c>
      <c r="J8" s="34" t="s">
        <v>294</v>
      </c>
    </row>
    <row r="9" spans="1:10" ht="30" customHeight="1" x14ac:dyDescent="0.3">
      <c r="A9" s="129" t="s">
        <v>5531</v>
      </c>
      <c r="B9" s="125">
        <v>2500000</v>
      </c>
      <c r="C9" s="146" t="s">
        <v>5532</v>
      </c>
      <c r="D9" s="147" t="s">
        <v>5533</v>
      </c>
      <c r="E9" s="38">
        <v>46023</v>
      </c>
      <c r="F9" s="39"/>
      <c r="G9" s="38">
        <v>46023</v>
      </c>
      <c r="H9" s="40" t="s">
        <v>292</v>
      </c>
      <c r="I9" s="41" t="s">
        <v>5152</v>
      </c>
      <c r="J9" s="42" t="s">
        <v>294</v>
      </c>
    </row>
    <row r="10" spans="1:10" ht="30" customHeight="1" x14ac:dyDescent="0.3">
      <c r="A10" s="126" t="s">
        <v>5534</v>
      </c>
      <c r="B10" s="125">
        <v>4000000</v>
      </c>
      <c r="C10" s="148" t="s">
        <v>5535</v>
      </c>
      <c r="D10" s="149" t="s">
        <v>5536</v>
      </c>
      <c r="E10" s="30">
        <v>46023</v>
      </c>
      <c r="F10" s="31"/>
      <c r="G10" s="30">
        <v>46023</v>
      </c>
      <c r="H10" s="32" t="s">
        <v>292</v>
      </c>
      <c r="I10" s="33" t="s">
        <v>5152</v>
      </c>
      <c r="J10" s="34" t="s">
        <v>294</v>
      </c>
    </row>
    <row r="11" spans="1:10" ht="30" customHeight="1" x14ac:dyDescent="0.3">
      <c r="A11" s="129" t="s">
        <v>5537</v>
      </c>
      <c r="B11" s="125">
        <v>9000000</v>
      </c>
      <c r="C11" s="146" t="s">
        <v>5538</v>
      </c>
      <c r="D11" s="147" t="s">
        <v>5539</v>
      </c>
      <c r="E11" s="38">
        <v>46023</v>
      </c>
      <c r="F11" s="39"/>
      <c r="G11" s="38">
        <v>46023</v>
      </c>
      <c r="H11" s="40" t="s">
        <v>292</v>
      </c>
      <c r="I11" s="41" t="s">
        <v>5152</v>
      </c>
      <c r="J11" s="42" t="s">
        <v>294</v>
      </c>
    </row>
    <row r="12" spans="1:10" ht="30" customHeight="1" x14ac:dyDescent="0.3">
      <c r="A12" s="126" t="s">
        <v>5540</v>
      </c>
      <c r="B12" s="125">
        <v>10000</v>
      </c>
      <c r="C12" s="148" t="s">
        <v>5541</v>
      </c>
      <c r="D12" s="149" t="s">
        <v>5542</v>
      </c>
      <c r="E12" s="30">
        <v>46023</v>
      </c>
      <c r="F12" s="31"/>
      <c r="G12" s="30">
        <v>46023</v>
      </c>
      <c r="H12" s="32" t="s">
        <v>292</v>
      </c>
      <c r="I12" s="33" t="s">
        <v>5152</v>
      </c>
      <c r="J12" s="34" t="s">
        <v>294</v>
      </c>
    </row>
    <row r="13" spans="1:10" ht="30" customHeight="1" x14ac:dyDescent="0.3">
      <c r="A13" s="129" t="s">
        <v>5543</v>
      </c>
      <c r="B13" s="125">
        <v>20000</v>
      </c>
      <c r="C13" s="146" t="s">
        <v>5544</v>
      </c>
      <c r="D13" s="147" t="s">
        <v>5545</v>
      </c>
      <c r="E13" s="38">
        <v>46023</v>
      </c>
      <c r="F13" s="39"/>
      <c r="G13" s="38">
        <v>46023</v>
      </c>
      <c r="H13" s="40" t="s">
        <v>292</v>
      </c>
      <c r="I13" s="41" t="s">
        <v>5152</v>
      </c>
      <c r="J13" s="42" t="s">
        <v>294</v>
      </c>
    </row>
    <row r="14" spans="1:10" ht="30" customHeight="1" x14ac:dyDescent="0.3">
      <c r="A14" s="126" t="s">
        <v>5546</v>
      </c>
      <c r="B14" s="125">
        <v>30000</v>
      </c>
      <c r="C14" s="148" t="s">
        <v>5547</v>
      </c>
      <c r="D14" s="149" t="s">
        <v>5548</v>
      </c>
      <c r="E14" s="30">
        <v>46023</v>
      </c>
      <c r="F14" s="31"/>
      <c r="G14" s="30">
        <v>46023</v>
      </c>
      <c r="H14" s="32" t="s">
        <v>292</v>
      </c>
      <c r="I14" s="33" t="s">
        <v>5152</v>
      </c>
      <c r="J14" s="34" t="s">
        <v>294</v>
      </c>
    </row>
    <row r="15" spans="1:10" ht="30" customHeight="1" x14ac:dyDescent="0.3">
      <c r="A15" s="129" t="s">
        <v>5549</v>
      </c>
      <c r="B15" s="125">
        <v>40000</v>
      </c>
      <c r="C15" s="146" t="s">
        <v>5550</v>
      </c>
      <c r="D15" s="147" t="s">
        <v>5551</v>
      </c>
      <c r="E15" s="38">
        <v>46023</v>
      </c>
      <c r="F15" s="39"/>
      <c r="G15" s="38">
        <v>46023</v>
      </c>
      <c r="H15" s="40" t="s">
        <v>292</v>
      </c>
      <c r="I15" s="41" t="s">
        <v>5152</v>
      </c>
      <c r="J15" s="42" t="s">
        <v>294</v>
      </c>
    </row>
    <row r="16" spans="1:10" ht="30" customHeight="1" x14ac:dyDescent="0.3">
      <c r="A16" s="150" t="s">
        <v>5552</v>
      </c>
      <c r="B16" s="151">
        <v>0.2</v>
      </c>
      <c r="C16" s="152" t="s">
        <v>5553</v>
      </c>
      <c r="D16" s="153" t="s">
        <v>5554</v>
      </c>
      <c r="E16" s="30">
        <v>46023</v>
      </c>
      <c r="F16" s="31"/>
      <c r="G16" s="30">
        <v>46023</v>
      </c>
      <c r="H16" s="32" t="s">
        <v>292</v>
      </c>
      <c r="I16" s="33" t="s">
        <v>5152</v>
      </c>
      <c r="J16" s="34" t="s">
        <v>294</v>
      </c>
    </row>
    <row r="17" spans="1:10" ht="30" customHeight="1" x14ac:dyDescent="0.3">
      <c r="A17" s="129" t="s">
        <v>5555</v>
      </c>
      <c r="B17" s="125">
        <v>500000</v>
      </c>
      <c r="C17" s="146" t="s">
        <v>5556</v>
      </c>
      <c r="D17" s="147" t="s">
        <v>5557</v>
      </c>
      <c r="E17" s="38">
        <v>46023</v>
      </c>
      <c r="F17" s="39"/>
      <c r="G17" s="38">
        <v>46023</v>
      </c>
      <c r="H17" s="40" t="s">
        <v>292</v>
      </c>
      <c r="I17" s="41" t="s">
        <v>5152</v>
      </c>
      <c r="J17" s="42" t="s">
        <v>294</v>
      </c>
    </row>
    <row r="18" spans="1:10" ht="30" customHeight="1" x14ac:dyDescent="0.3">
      <c r="A18" s="126" t="s">
        <v>5558</v>
      </c>
      <c r="B18" s="125">
        <v>1000000</v>
      </c>
      <c r="C18" s="148" t="s">
        <v>5559</v>
      </c>
      <c r="D18" s="149" t="s">
        <v>5560</v>
      </c>
      <c r="E18" s="30">
        <v>46023</v>
      </c>
      <c r="F18" s="31"/>
      <c r="G18" s="30">
        <v>46023</v>
      </c>
      <c r="H18" s="32" t="s">
        <v>292</v>
      </c>
      <c r="I18" s="33" t="s">
        <v>5152</v>
      </c>
      <c r="J18" s="34" t="s">
        <v>294</v>
      </c>
    </row>
    <row r="19" spans="1:10" ht="30" customHeight="1" x14ac:dyDescent="0.3">
      <c r="A19" s="129" t="s">
        <v>5561</v>
      </c>
      <c r="B19" s="125">
        <v>1000000</v>
      </c>
      <c r="C19" s="146" t="s">
        <v>5562</v>
      </c>
      <c r="D19" s="147" t="s">
        <v>5563</v>
      </c>
      <c r="E19" s="38">
        <v>46023</v>
      </c>
      <c r="F19" s="39"/>
      <c r="G19" s="38">
        <v>46023</v>
      </c>
      <c r="H19" s="40" t="s">
        <v>292</v>
      </c>
      <c r="I19" s="41" t="s">
        <v>5152</v>
      </c>
      <c r="J19" s="42" t="s">
        <v>294</v>
      </c>
    </row>
    <row r="20" spans="1:10" ht="30" customHeight="1" x14ac:dyDescent="0.3">
      <c r="A20" s="150" t="s">
        <v>5564</v>
      </c>
      <c r="B20" s="151">
        <v>0.25</v>
      </c>
      <c r="C20" s="152" t="s">
        <v>5565</v>
      </c>
      <c r="D20" s="153" t="s">
        <v>5566</v>
      </c>
      <c r="E20" s="30">
        <v>46023</v>
      </c>
      <c r="F20" s="31"/>
      <c r="G20" s="30">
        <v>46023</v>
      </c>
      <c r="H20" s="32" t="s">
        <v>292</v>
      </c>
      <c r="I20" s="33" t="s">
        <v>5152</v>
      </c>
      <c r="J20" s="34" t="s">
        <v>294</v>
      </c>
    </row>
    <row r="21" spans="1:10" ht="30" customHeight="1" x14ac:dyDescent="0.3">
      <c r="A21" s="129" t="s">
        <v>5567</v>
      </c>
      <c r="B21" s="125">
        <v>20240000</v>
      </c>
      <c r="C21" s="146" t="s">
        <v>5568</v>
      </c>
      <c r="D21" s="147" t="s">
        <v>5569</v>
      </c>
      <c r="E21" s="38">
        <v>46023</v>
      </c>
      <c r="F21" s="39"/>
      <c r="G21" s="38">
        <v>46023</v>
      </c>
      <c r="H21" s="40" t="s">
        <v>292</v>
      </c>
      <c r="I21" s="41" t="s">
        <v>5152</v>
      </c>
      <c r="J21" s="42" t="s">
        <v>294</v>
      </c>
    </row>
    <row r="22" spans="1:10" ht="30" customHeight="1" x14ac:dyDescent="0.3">
      <c r="A22" s="126" t="s">
        <v>5570</v>
      </c>
      <c r="B22" s="125">
        <v>0</v>
      </c>
      <c r="C22" s="148" t="s">
        <v>5571</v>
      </c>
      <c r="D22" s="149" t="s">
        <v>5572</v>
      </c>
      <c r="E22" s="30">
        <v>46023</v>
      </c>
      <c r="F22" s="31"/>
      <c r="G22" s="30">
        <v>46023</v>
      </c>
      <c r="H22" s="32" t="s">
        <v>292</v>
      </c>
      <c r="I22" s="33" t="s">
        <v>5152</v>
      </c>
      <c r="J22" s="34" t="s">
        <v>294</v>
      </c>
    </row>
    <row r="23" spans="1:10" ht="30" customHeight="1" x14ac:dyDescent="0.3">
      <c r="A23" s="129" t="s">
        <v>5573</v>
      </c>
      <c r="B23" s="125">
        <v>200000</v>
      </c>
      <c r="C23" s="146" t="s">
        <v>5574</v>
      </c>
      <c r="D23" s="147" t="s">
        <v>5575</v>
      </c>
      <c r="E23" s="38">
        <v>46023</v>
      </c>
      <c r="F23" s="39"/>
      <c r="G23" s="38">
        <v>46023</v>
      </c>
      <c r="H23" s="40" t="s">
        <v>292</v>
      </c>
      <c r="I23" s="41" t="s">
        <v>5152</v>
      </c>
      <c r="J23" s="42" t="s">
        <v>294</v>
      </c>
    </row>
    <row r="24" spans="1:10" ht="30" customHeight="1" x14ac:dyDescent="0.3">
      <c r="A24" s="126" t="s">
        <v>5576</v>
      </c>
      <c r="B24" s="125">
        <v>200000</v>
      </c>
      <c r="C24" s="148" t="s">
        <v>5577</v>
      </c>
      <c r="D24" s="149" t="s">
        <v>5578</v>
      </c>
      <c r="E24" s="30">
        <v>46023</v>
      </c>
      <c r="F24" s="31"/>
      <c r="G24" s="30">
        <v>46023</v>
      </c>
      <c r="H24" s="32" t="s">
        <v>292</v>
      </c>
      <c r="I24" s="33" t="s">
        <v>5152</v>
      </c>
      <c r="J24" s="34" t="s">
        <v>294</v>
      </c>
    </row>
    <row r="25" spans="1:10" ht="30" customHeight="1" x14ac:dyDescent="0.3">
      <c r="A25" s="132" t="s">
        <v>5579</v>
      </c>
      <c r="B25" s="154">
        <v>5.5</v>
      </c>
      <c r="C25" s="155" t="s">
        <v>5580</v>
      </c>
      <c r="D25" s="156" t="s">
        <v>5581</v>
      </c>
      <c r="E25" s="38">
        <v>46023</v>
      </c>
      <c r="F25" s="39"/>
      <c r="G25" s="38">
        <v>46023</v>
      </c>
      <c r="H25" s="40" t="s">
        <v>292</v>
      </c>
      <c r="I25" s="41" t="s">
        <v>5152</v>
      </c>
      <c r="J25" s="42" t="s">
        <v>294</v>
      </c>
    </row>
    <row r="26" spans="1:10" ht="30" customHeight="1" x14ac:dyDescent="0.3">
      <c r="A26" s="132" t="s">
        <v>5582</v>
      </c>
      <c r="B26" s="154">
        <v>6</v>
      </c>
      <c r="C26" s="155" t="s">
        <v>5583</v>
      </c>
      <c r="D26" s="156" t="s">
        <v>5584</v>
      </c>
      <c r="E26" s="30">
        <v>46023</v>
      </c>
      <c r="F26" s="31"/>
      <c r="G26" s="30">
        <v>46023</v>
      </c>
      <c r="H26" s="32" t="s">
        <v>292</v>
      </c>
      <c r="I26" s="33" t="s">
        <v>5152</v>
      </c>
      <c r="J26" s="34" t="s">
        <v>294</v>
      </c>
    </row>
    <row r="27" spans="1:10" ht="30" customHeight="1" x14ac:dyDescent="0.3">
      <c r="A27" s="157"/>
      <c r="B27" s="158"/>
      <c r="C27" s="157"/>
      <c r="D27" s="159"/>
    </row>
  </sheetData>
  <mergeCells count="2">
    <mergeCell ref="A1:J1"/>
    <mergeCell ref="A2:J2"/>
  </mergeCell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A235A"/>
    <pageSetUpPr fitToPage="1"/>
  </sheetPr>
  <dimension ref="A1:M9"/>
  <sheetViews>
    <sheetView showGridLines="0" zoomScaleNormal="100" workbookViewId="0">
      <selection activeCell="E18" sqref="E18"/>
    </sheetView>
  </sheetViews>
  <sheetFormatPr defaultColWidth="8.6640625" defaultRowHeight="14.4" x14ac:dyDescent="0.3"/>
  <cols>
    <col min="1" max="1" width="8" style="14" customWidth="1"/>
    <col min="2" max="2" width="18" style="14" customWidth="1"/>
    <col min="3" max="3" width="59.21875" style="14" customWidth="1"/>
    <col min="4" max="4" width="10" style="14" customWidth="1"/>
    <col min="5" max="5" width="36" style="14" customWidth="1"/>
    <col min="6" max="6" width="22" style="14" customWidth="1"/>
    <col min="7" max="7" width="44" style="14" customWidth="1"/>
    <col min="8" max="11" width="16" style="14" customWidth="1"/>
    <col min="12" max="12" width="20" style="14" customWidth="1"/>
    <col min="13" max="13" width="32" style="14" customWidth="1"/>
  </cols>
  <sheetData>
    <row r="1" spans="1:13" ht="24" customHeight="1" x14ac:dyDescent="0.3">
      <c r="A1" s="262" t="s">
        <v>5585</v>
      </c>
      <c r="B1" s="262"/>
      <c r="C1" s="262"/>
      <c r="D1" s="262"/>
      <c r="E1" s="262"/>
      <c r="F1" s="262"/>
      <c r="G1" s="262"/>
      <c r="H1" s="262"/>
      <c r="I1" s="262"/>
      <c r="J1" s="262"/>
      <c r="K1" s="262"/>
      <c r="L1" s="262"/>
      <c r="M1" s="262"/>
    </row>
    <row r="2" spans="1:13" ht="36" customHeight="1" x14ac:dyDescent="0.3">
      <c r="A2" s="263" t="s">
        <v>5586</v>
      </c>
      <c r="B2" s="263"/>
      <c r="C2" s="263"/>
      <c r="D2" s="263"/>
      <c r="E2" s="263"/>
      <c r="F2" s="263"/>
      <c r="G2" s="263"/>
      <c r="H2" s="263"/>
      <c r="I2" s="263"/>
      <c r="J2" s="263"/>
      <c r="K2" s="263"/>
      <c r="L2" s="263"/>
      <c r="M2" s="263"/>
    </row>
    <row r="3" spans="1:13" ht="30" customHeight="1" x14ac:dyDescent="0.3">
      <c r="A3" s="112" t="s">
        <v>5587</v>
      </c>
      <c r="B3" s="112" t="s">
        <v>5588</v>
      </c>
      <c r="C3" s="112" t="s">
        <v>5589</v>
      </c>
      <c r="D3" s="112" t="s">
        <v>5590</v>
      </c>
      <c r="E3" s="112" t="s">
        <v>17</v>
      </c>
      <c r="F3" s="112" t="s">
        <v>5591</v>
      </c>
      <c r="G3" s="112" t="s">
        <v>5592</v>
      </c>
      <c r="H3" s="24" t="s">
        <v>279</v>
      </c>
      <c r="I3" s="24" t="s">
        <v>280</v>
      </c>
      <c r="J3" s="24" t="s">
        <v>281</v>
      </c>
      <c r="K3" s="24" t="s">
        <v>282</v>
      </c>
      <c r="L3" s="24" t="s">
        <v>283</v>
      </c>
      <c r="M3" s="24" t="s">
        <v>284</v>
      </c>
    </row>
    <row r="4" spans="1:13" ht="19.5" customHeight="1" x14ac:dyDescent="0.3">
      <c r="A4" s="134">
        <v>1</v>
      </c>
      <c r="B4" s="160">
        <v>0</v>
      </c>
      <c r="C4" s="160">
        <v>1300000</v>
      </c>
      <c r="D4" s="161">
        <v>0</v>
      </c>
      <c r="E4" s="138" t="s">
        <v>5593</v>
      </c>
      <c r="F4" s="137">
        <v>0</v>
      </c>
      <c r="G4" s="138" t="s">
        <v>5594</v>
      </c>
      <c r="H4" s="30">
        <v>46023</v>
      </c>
      <c r="I4" s="31"/>
      <c r="J4" s="30">
        <v>46023</v>
      </c>
      <c r="K4" s="32" t="s">
        <v>292</v>
      </c>
      <c r="L4" s="33" t="s">
        <v>5595</v>
      </c>
      <c r="M4" s="34" t="s">
        <v>294</v>
      </c>
    </row>
    <row r="5" spans="1:13" ht="19.5" customHeight="1" x14ac:dyDescent="0.3">
      <c r="A5" s="139">
        <v>2</v>
      </c>
      <c r="B5" s="162">
        <v>1300001</v>
      </c>
      <c r="C5" s="162">
        <v>5000000</v>
      </c>
      <c r="D5" s="161">
        <v>5</v>
      </c>
      <c r="E5" s="141" t="s">
        <v>5596</v>
      </c>
      <c r="F5" s="137">
        <v>0</v>
      </c>
      <c r="G5" s="141" t="s">
        <v>5597</v>
      </c>
      <c r="H5" s="38">
        <v>46023</v>
      </c>
      <c r="I5" s="39"/>
      <c r="J5" s="38">
        <v>46023</v>
      </c>
      <c r="K5" s="40" t="s">
        <v>292</v>
      </c>
      <c r="L5" s="41" t="s">
        <v>5595</v>
      </c>
      <c r="M5" s="42" t="s">
        <v>294</v>
      </c>
    </row>
    <row r="6" spans="1:13" ht="19.5" customHeight="1" x14ac:dyDescent="0.3">
      <c r="A6" s="134">
        <v>3</v>
      </c>
      <c r="B6" s="160">
        <v>5000001</v>
      </c>
      <c r="C6" s="160">
        <v>10000000</v>
      </c>
      <c r="D6" s="161">
        <v>10</v>
      </c>
      <c r="E6" s="138" t="s">
        <v>5598</v>
      </c>
      <c r="F6" s="137">
        <v>185000</v>
      </c>
      <c r="G6" s="138" t="s">
        <v>5599</v>
      </c>
      <c r="H6" s="30">
        <v>46023</v>
      </c>
      <c r="I6" s="31"/>
      <c r="J6" s="30">
        <v>46023</v>
      </c>
      <c r="K6" s="32" t="s">
        <v>292</v>
      </c>
      <c r="L6" s="33" t="s">
        <v>5595</v>
      </c>
      <c r="M6" s="34" t="s">
        <v>294</v>
      </c>
    </row>
    <row r="7" spans="1:13" ht="19.5" customHeight="1" x14ac:dyDescent="0.3">
      <c r="A7" s="139">
        <v>4</v>
      </c>
      <c r="B7" s="162">
        <v>10000001</v>
      </c>
      <c r="C7" s="162">
        <v>20000000</v>
      </c>
      <c r="D7" s="161">
        <v>15</v>
      </c>
      <c r="E7" s="141" t="s">
        <v>5600</v>
      </c>
      <c r="F7" s="137">
        <v>685000</v>
      </c>
      <c r="G7" s="141" t="s">
        <v>5601</v>
      </c>
      <c r="H7" s="38">
        <v>46023</v>
      </c>
      <c r="I7" s="39"/>
      <c r="J7" s="38">
        <v>46023</v>
      </c>
      <c r="K7" s="40" t="s">
        <v>292</v>
      </c>
      <c r="L7" s="41" t="s">
        <v>5595</v>
      </c>
      <c r="M7" s="42" t="s">
        <v>294</v>
      </c>
    </row>
    <row r="8" spans="1:13" ht="19.5" customHeight="1" x14ac:dyDescent="0.3">
      <c r="A8" s="134">
        <v>5</v>
      </c>
      <c r="B8" s="160">
        <v>20000001</v>
      </c>
      <c r="C8" s="160">
        <v>40000000</v>
      </c>
      <c r="D8" s="161">
        <v>20</v>
      </c>
      <c r="E8" s="138" t="s">
        <v>5602</v>
      </c>
      <c r="F8" s="137">
        <v>2185000</v>
      </c>
      <c r="G8" s="138" t="s">
        <v>5603</v>
      </c>
      <c r="H8" s="30">
        <v>46023</v>
      </c>
      <c r="I8" s="31"/>
      <c r="J8" s="30">
        <v>46023</v>
      </c>
      <c r="K8" s="32" t="s">
        <v>292</v>
      </c>
      <c r="L8" s="33" t="s">
        <v>5595</v>
      </c>
      <c r="M8" s="34" t="s">
        <v>294</v>
      </c>
    </row>
    <row r="9" spans="1:13" ht="19.5" customHeight="1" x14ac:dyDescent="0.3">
      <c r="A9" s="139">
        <v>6</v>
      </c>
      <c r="B9" s="162">
        <v>40000001</v>
      </c>
      <c r="C9" s="162" t="s">
        <v>5604</v>
      </c>
      <c r="D9" s="161">
        <v>24</v>
      </c>
      <c r="E9" s="141" t="s">
        <v>5605</v>
      </c>
      <c r="F9" s="137">
        <v>6185000</v>
      </c>
      <c r="G9" s="141" t="s">
        <v>5606</v>
      </c>
      <c r="H9" s="38">
        <v>46023</v>
      </c>
      <c r="I9" s="39"/>
      <c r="J9" s="38">
        <v>46023</v>
      </c>
      <c r="K9" s="40" t="s">
        <v>292</v>
      </c>
      <c r="L9" s="41" t="s">
        <v>5595</v>
      </c>
      <c r="M9" s="42" t="s">
        <v>294</v>
      </c>
    </row>
  </sheetData>
  <mergeCells count="2">
    <mergeCell ref="A1:M1"/>
    <mergeCell ref="A2:M2"/>
  </mergeCells>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08080"/>
    <pageSetUpPr fitToPage="1"/>
  </sheetPr>
  <dimension ref="A1:GN87"/>
  <sheetViews>
    <sheetView showGridLines="0" zoomScaleNormal="100" workbookViewId="0"/>
  </sheetViews>
  <sheetFormatPr defaultColWidth="8.6640625" defaultRowHeight="14.4" x14ac:dyDescent="0.3"/>
  <cols>
    <col min="1" max="167" width="36" style="14" customWidth="1"/>
    <col min="168" max="168" width="65" style="14" customWidth="1"/>
    <col min="169" max="196" width="50" style="14" customWidth="1"/>
  </cols>
  <sheetData>
    <row r="1" spans="1:196" ht="14.25" customHeight="1" x14ac:dyDescent="0.3">
      <c r="A1" s="163" t="s">
        <v>5612</v>
      </c>
      <c r="B1" s="163" t="s">
        <v>5613</v>
      </c>
      <c r="C1" s="163" t="s">
        <v>5614</v>
      </c>
      <c r="D1" s="163" t="s">
        <v>5615</v>
      </c>
      <c r="E1" s="163" t="s">
        <v>5616</v>
      </c>
      <c r="F1" s="163" t="s">
        <v>5617</v>
      </c>
      <c r="G1" s="163" t="s">
        <v>5618</v>
      </c>
      <c r="H1" s="163" t="s">
        <v>5619</v>
      </c>
      <c r="I1" s="163" t="s">
        <v>5620</v>
      </c>
      <c r="J1" s="163" t="s">
        <v>5621</v>
      </c>
      <c r="K1" s="163" t="s">
        <v>5622</v>
      </c>
      <c r="L1" s="163" t="s">
        <v>5623</v>
      </c>
      <c r="M1" s="163" t="s">
        <v>5624</v>
      </c>
      <c r="N1" s="163" t="s">
        <v>5625</v>
      </c>
      <c r="O1" s="163" t="s">
        <v>5626</v>
      </c>
      <c r="P1" s="163" t="s">
        <v>5627</v>
      </c>
      <c r="Q1" s="163" t="s">
        <v>5628</v>
      </c>
      <c r="R1" s="163" t="s">
        <v>5629</v>
      </c>
      <c r="S1" s="163" t="s">
        <v>5630</v>
      </c>
      <c r="T1" s="163" t="s">
        <v>5631</v>
      </c>
      <c r="U1" s="163" t="s">
        <v>5632</v>
      </c>
      <c r="V1" s="163" t="s">
        <v>5633</v>
      </c>
      <c r="W1" s="163" t="s">
        <v>5634</v>
      </c>
      <c r="X1" s="163" t="s">
        <v>5635</v>
      </c>
      <c r="Y1" s="163" t="s">
        <v>5636</v>
      </c>
      <c r="Z1" s="163" t="s">
        <v>5637</v>
      </c>
      <c r="AA1" s="163" t="s">
        <v>5638</v>
      </c>
      <c r="AB1" s="163" t="s">
        <v>5639</v>
      </c>
      <c r="AC1" s="163" t="s">
        <v>5640</v>
      </c>
      <c r="AD1" s="163" t="s">
        <v>5641</v>
      </c>
      <c r="AE1" s="163" t="s">
        <v>5642</v>
      </c>
      <c r="AF1" s="163" t="s">
        <v>5643</v>
      </c>
      <c r="AG1" s="163" t="s">
        <v>5644</v>
      </c>
      <c r="AH1" s="163" t="s">
        <v>5645</v>
      </c>
      <c r="AI1" s="163" t="s">
        <v>5646</v>
      </c>
      <c r="AJ1" s="163" t="s">
        <v>5647</v>
      </c>
      <c r="AK1" s="163" t="s">
        <v>5648</v>
      </c>
      <c r="AL1" s="163" t="s">
        <v>5649</v>
      </c>
      <c r="AM1" s="163" t="s">
        <v>5650</v>
      </c>
      <c r="AN1" s="163" t="s">
        <v>5651</v>
      </c>
      <c r="AO1" s="163" t="s">
        <v>5652</v>
      </c>
      <c r="AP1" s="163" t="s">
        <v>5653</v>
      </c>
      <c r="AQ1" s="163" t="s">
        <v>5654</v>
      </c>
      <c r="AR1" s="163" t="s">
        <v>5655</v>
      </c>
      <c r="AS1" s="163" t="s">
        <v>5656</v>
      </c>
      <c r="AT1" s="163" t="s">
        <v>5657</v>
      </c>
      <c r="AU1" s="163" t="s">
        <v>5658</v>
      </c>
      <c r="AV1" s="163" t="s">
        <v>5659</v>
      </c>
      <c r="AW1" s="163" t="s">
        <v>5660</v>
      </c>
      <c r="AX1" s="163" t="s">
        <v>5661</v>
      </c>
      <c r="AY1" s="163" t="s">
        <v>5662</v>
      </c>
      <c r="AZ1" s="163" t="s">
        <v>5663</v>
      </c>
      <c r="BA1" s="163" t="s">
        <v>5664</v>
      </c>
      <c r="BB1" s="163" t="s">
        <v>5665</v>
      </c>
      <c r="BC1" s="163" t="s">
        <v>5666</v>
      </c>
      <c r="BD1" s="163" t="s">
        <v>5667</v>
      </c>
      <c r="BE1" s="163" t="s">
        <v>5668</v>
      </c>
      <c r="BF1" s="163" t="s">
        <v>5669</v>
      </c>
      <c r="BG1" s="163" t="s">
        <v>5670</v>
      </c>
      <c r="BH1" s="163" t="s">
        <v>5671</v>
      </c>
      <c r="BI1" s="163" t="s">
        <v>5672</v>
      </c>
      <c r="BJ1" s="163" t="s">
        <v>5673</v>
      </c>
      <c r="BK1" s="163" t="s">
        <v>5674</v>
      </c>
      <c r="BL1" s="163" t="s">
        <v>5675</v>
      </c>
      <c r="BM1" s="163" t="s">
        <v>5676</v>
      </c>
      <c r="BN1" s="163" t="s">
        <v>5677</v>
      </c>
      <c r="BO1" s="163" t="s">
        <v>5678</v>
      </c>
      <c r="BP1" s="163" t="s">
        <v>5679</v>
      </c>
      <c r="BQ1" s="163" t="s">
        <v>5680</v>
      </c>
      <c r="BR1" s="163" t="s">
        <v>5681</v>
      </c>
      <c r="BS1" s="163" t="s">
        <v>5682</v>
      </c>
      <c r="BT1" s="163" t="s">
        <v>5683</v>
      </c>
      <c r="BU1" s="163" t="s">
        <v>5684</v>
      </c>
      <c r="BV1" s="163" t="s">
        <v>5685</v>
      </c>
      <c r="BW1" s="163" t="s">
        <v>5686</v>
      </c>
      <c r="BX1" s="163" t="s">
        <v>5687</v>
      </c>
      <c r="BY1" s="163" t="s">
        <v>5688</v>
      </c>
      <c r="BZ1" s="163" t="s">
        <v>5689</v>
      </c>
      <c r="CA1" s="163" t="s">
        <v>5690</v>
      </c>
      <c r="CB1" s="163" t="s">
        <v>5691</v>
      </c>
      <c r="CC1" s="163" t="s">
        <v>5692</v>
      </c>
      <c r="CD1" s="163" t="s">
        <v>5693</v>
      </c>
      <c r="CE1" s="163" t="s">
        <v>5694</v>
      </c>
      <c r="CF1" s="163" t="s">
        <v>5695</v>
      </c>
      <c r="CG1" s="163" t="s">
        <v>5696</v>
      </c>
      <c r="CH1" s="163" t="s">
        <v>5697</v>
      </c>
      <c r="CI1" s="163" t="s">
        <v>5698</v>
      </c>
      <c r="CJ1" s="163" t="s">
        <v>5699</v>
      </c>
      <c r="CK1" s="163" t="s">
        <v>5700</v>
      </c>
      <c r="CL1" s="163" t="s">
        <v>5701</v>
      </c>
      <c r="CM1" s="163" t="s">
        <v>5702</v>
      </c>
      <c r="CN1" s="163" t="s">
        <v>5703</v>
      </c>
      <c r="CO1" s="163" t="s">
        <v>5704</v>
      </c>
      <c r="CP1" s="163" t="s">
        <v>5705</v>
      </c>
      <c r="CQ1" s="163" t="s">
        <v>5706</v>
      </c>
      <c r="CR1" s="163" t="s">
        <v>5707</v>
      </c>
      <c r="CS1" s="163" t="s">
        <v>5708</v>
      </c>
      <c r="CT1" s="163" t="s">
        <v>5709</v>
      </c>
      <c r="CU1" s="163" t="s">
        <v>5710</v>
      </c>
      <c r="CV1" s="163" t="s">
        <v>5711</v>
      </c>
      <c r="CW1" s="163" t="s">
        <v>5712</v>
      </c>
      <c r="CX1" s="163" t="s">
        <v>5713</v>
      </c>
      <c r="CY1" s="163" t="s">
        <v>5714</v>
      </c>
      <c r="CZ1" s="163" t="s">
        <v>5715</v>
      </c>
      <c r="DA1" s="163" t="s">
        <v>5716</v>
      </c>
      <c r="DB1" s="163" t="s">
        <v>5717</v>
      </c>
      <c r="DC1" s="163" t="s">
        <v>5718</v>
      </c>
      <c r="DD1" s="163" t="s">
        <v>5719</v>
      </c>
      <c r="DE1" s="163" t="s">
        <v>5720</v>
      </c>
      <c r="DF1" s="163" t="s">
        <v>5721</v>
      </c>
      <c r="DG1" s="163" t="s">
        <v>5722</v>
      </c>
      <c r="DH1" s="163" t="s">
        <v>5723</v>
      </c>
      <c r="DI1" s="163" t="s">
        <v>5724</v>
      </c>
      <c r="DJ1" s="163" t="s">
        <v>5725</v>
      </c>
      <c r="DK1" s="163" t="s">
        <v>5726</v>
      </c>
      <c r="DL1" s="163" t="s">
        <v>5727</v>
      </c>
      <c r="DM1" s="163" t="s">
        <v>5728</v>
      </c>
      <c r="DN1" s="163" t="s">
        <v>5729</v>
      </c>
      <c r="DO1" s="163" t="s">
        <v>5730</v>
      </c>
      <c r="DP1" s="163" t="s">
        <v>5731</v>
      </c>
      <c r="DQ1" s="163" t="s">
        <v>5732</v>
      </c>
      <c r="DR1" s="163" t="s">
        <v>5733</v>
      </c>
      <c r="DS1" s="163" t="s">
        <v>5734</v>
      </c>
      <c r="DT1" s="163" t="s">
        <v>5735</v>
      </c>
      <c r="DU1" s="163" t="s">
        <v>5736</v>
      </c>
      <c r="DV1" s="163" t="s">
        <v>5737</v>
      </c>
      <c r="DW1" s="163" t="s">
        <v>5738</v>
      </c>
      <c r="DX1" s="163" t="s">
        <v>5739</v>
      </c>
      <c r="DY1" s="163" t="s">
        <v>5740</v>
      </c>
      <c r="DZ1" s="163" t="s">
        <v>5741</v>
      </c>
      <c r="EA1" s="163" t="s">
        <v>5742</v>
      </c>
      <c r="EB1" s="163" t="s">
        <v>5743</v>
      </c>
      <c r="EC1" s="163" t="s">
        <v>5744</v>
      </c>
      <c r="ED1" s="163" t="s">
        <v>5745</v>
      </c>
      <c r="EE1" s="163" t="s">
        <v>5746</v>
      </c>
      <c r="EF1" s="163" t="s">
        <v>5747</v>
      </c>
      <c r="EG1" s="163" t="s">
        <v>5748</v>
      </c>
      <c r="EH1" s="163" t="s">
        <v>5749</v>
      </c>
      <c r="EI1" s="163" t="s">
        <v>5750</v>
      </c>
      <c r="EJ1" s="163" t="s">
        <v>5751</v>
      </c>
      <c r="EK1" s="163" t="s">
        <v>5752</v>
      </c>
      <c r="EL1" s="163" t="s">
        <v>5753</v>
      </c>
      <c r="EM1" s="163" t="s">
        <v>5754</v>
      </c>
      <c r="EN1" s="163" t="s">
        <v>5755</v>
      </c>
      <c r="EO1" s="163" t="s">
        <v>5756</v>
      </c>
      <c r="EP1" s="163" t="s">
        <v>5757</v>
      </c>
      <c r="EQ1" s="163" t="s">
        <v>5758</v>
      </c>
      <c r="ER1" s="163" t="s">
        <v>5759</v>
      </c>
      <c r="ES1" s="163" t="s">
        <v>5760</v>
      </c>
      <c r="ET1" s="163"/>
      <c r="EU1" s="163"/>
      <c r="EV1" s="163"/>
      <c r="EW1" s="163"/>
      <c r="EX1" s="163"/>
      <c r="EY1" s="163"/>
      <c r="EZ1" s="163"/>
      <c r="FA1" s="163"/>
      <c r="FB1" s="163"/>
      <c r="FC1" s="163"/>
      <c r="FD1" s="163" t="s">
        <v>5761</v>
      </c>
      <c r="FE1" s="163" t="s">
        <v>5762</v>
      </c>
      <c r="FF1" s="163" t="s">
        <v>5763</v>
      </c>
      <c r="FG1" s="163" t="s">
        <v>5764</v>
      </c>
      <c r="FH1" s="163" t="s">
        <v>5765</v>
      </c>
      <c r="FI1" s="163" t="s">
        <v>5766</v>
      </c>
      <c r="FJ1" s="163" t="s">
        <v>5767</v>
      </c>
      <c r="FK1" s="163" t="s">
        <v>5768</v>
      </c>
      <c r="FL1" s="14" t="s">
        <v>5769</v>
      </c>
      <c r="FM1" s="14" t="s">
        <v>5770</v>
      </c>
      <c r="FN1" s="14" t="s">
        <v>5771</v>
      </c>
      <c r="FO1" s="14" t="s">
        <v>5772</v>
      </c>
      <c r="FP1" s="14" t="s">
        <v>5773</v>
      </c>
      <c r="FQ1" s="14" t="s">
        <v>5774</v>
      </c>
      <c r="FR1" s="14" t="s">
        <v>5775</v>
      </c>
      <c r="FS1" s="14" t="s">
        <v>5776</v>
      </c>
      <c r="FT1" s="14" t="s">
        <v>5777</v>
      </c>
      <c r="FU1" s="14" t="s">
        <v>5778</v>
      </c>
      <c r="FV1" s="14" t="s">
        <v>5779</v>
      </c>
      <c r="FW1" s="14" t="s">
        <v>5780</v>
      </c>
      <c r="FX1" s="14" t="s">
        <v>5781</v>
      </c>
      <c r="FY1" s="14" t="s">
        <v>5782</v>
      </c>
      <c r="FZ1" s="14" t="s">
        <v>5783</v>
      </c>
      <c r="GA1" s="14" t="s">
        <v>5784</v>
      </c>
      <c r="GB1" s="14" t="s">
        <v>5785</v>
      </c>
      <c r="GC1" s="14" t="s">
        <v>5786</v>
      </c>
      <c r="GD1" s="14" t="s">
        <v>5787</v>
      </c>
      <c r="GE1" s="14" t="s">
        <v>5788</v>
      </c>
      <c r="GF1" s="14" t="s">
        <v>5789</v>
      </c>
      <c r="GG1" s="14" t="s">
        <v>5790</v>
      </c>
      <c r="GH1" s="14" t="s">
        <v>5791</v>
      </c>
      <c r="GI1" s="14" t="s">
        <v>5792</v>
      </c>
      <c r="GJ1" s="14" t="s">
        <v>5793</v>
      </c>
      <c r="GK1" s="14" t="s">
        <v>5794</v>
      </c>
      <c r="GL1" s="14" t="s">
        <v>5795</v>
      </c>
      <c r="GM1" s="14" t="s">
        <v>5796</v>
      </c>
      <c r="GN1" s="14" t="s">
        <v>5797</v>
      </c>
    </row>
    <row r="2" spans="1:196" ht="14.25" customHeight="1" x14ac:dyDescent="0.3">
      <c r="A2" s="14" t="s">
        <v>1084</v>
      </c>
      <c r="B2" s="14" t="s">
        <v>5148</v>
      </c>
      <c r="C2" s="14" t="s">
        <v>2822</v>
      </c>
      <c r="D2" s="14" t="s">
        <v>965</v>
      </c>
      <c r="E2" s="14" t="s">
        <v>741</v>
      </c>
      <c r="F2" s="14" t="s">
        <v>1792</v>
      </c>
      <c r="G2" s="14" t="s">
        <v>860</v>
      </c>
      <c r="H2" s="14" t="s">
        <v>1894</v>
      </c>
      <c r="I2" s="14" t="s">
        <v>2589</v>
      </c>
      <c r="J2" s="14" t="s">
        <v>3245</v>
      </c>
      <c r="K2" s="14" t="s">
        <v>2438</v>
      </c>
      <c r="L2" s="14" t="s">
        <v>845</v>
      </c>
      <c r="M2" s="14" t="s">
        <v>2009</v>
      </c>
      <c r="N2" s="14" t="s">
        <v>1166</v>
      </c>
      <c r="O2" s="14" t="s">
        <v>1314</v>
      </c>
      <c r="P2" s="14" t="s">
        <v>1629</v>
      </c>
      <c r="Q2" s="14" t="s">
        <v>1597</v>
      </c>
      <c r="R2" s="14" t="s">
        <v>1597</v>
      </c>
      <c r="S2" s="14" t="s">
        <v>1597</v>
      </c>
      <c r="T2" s="14" t="s">
        <v>1597</v>
      </c>
      <c r="U2" s="14" t="s">
        <v>2822</v>
      </c>
      <c r="V2" s="14" t="s">
        <v>5149</v>
      </c>
      <c r="W2" s="14" t="s">
        <v>2823</v>
      </c>
      <c r="X2" s="14" t="s">
        <v>5798</v>
      </c>
      <c r="Y2" s="14" t="s">
        <v>2065</v>
      </c>
      <c r="Z2" s="14" t="s">
        <v>1218</v>
      </c>
      <c r="AA2" s="14" t="s">
        <v>1529</v>
      </c>
      <c r="AB2" s="14" t="s">
        <v>4677</v>
      </c>
      <c r="AC2" s="14" t="s">
        <v>966</v>
      </c>
      <c r="AD2" s="14" t="s">
        <v>2947</v>
      </c>
      <c r="AE2" s="14" t="s">
        <v>3473</v>
      </c>
      <c r="AF2" s="14" t="s">
        <v>1773</v>
      </c>
      <c r="AG2" s="14" t="s">
        <v>830</v>
      </c>
      <c r="AH2" s="14" t="s">
        <v>3138</v>
      </c>
      <c r="AI2" s="14" t="s">
        <v>742</v>
      </c>
      <c r="AJ2" s="14" t="s">
        <v>742</v>
      </c>
      <c r="AK2" s="14" t="s">
        <v>1325</v>
      </c>
      <c r="AL2" s="14" t="s">
        <v>1389</v>
      </c>
      <c r="AM2" s="14" t="s">
        <v>1864</v>
      </c>
      <c r="AN2" s="14" t="s">
        <v>1295</v>
      </c>
      <c r="AO2" s="14" t="s">
        <v>4426</v>
      </c>
      <c r="AP2" s="14" t="s">
        <v>1357</v>
      </c>
      <c r="AQ2" s="14" t="s">
        <v>1649</v>
      </c>
      <c r="AR2" s="14" t="s">
        <v>5799</v>
      </c>
      <c r="AS2" s="14" t="s">
        <v>4799</v>
      </c>
      <c r="AT2" s="14" t="s">
        <v>3911</v>
      </c>
      <c r="AU2" s="14" t="s">
        <v>5800</v>
      </c>
      <c r="AV2" s="14" t="s">
        <v>1010</v>
      </c>
      <c r="AW2" s="14" t="s">
        <v>941</v>
      </c>
      <c r="AX2" s="14" t="s">
        <v>3129</v>
      </c>
      <c r="AY2" s="14" t="s">
        <v>2832</v>
      </c>
      <c r="AZ2" s="14" t="s">
        <v>4885</v>
      </c>
      <c r="BA2" s="14" t="s">
        <v>3789</v>
      </c>
      <c r="BB2" s="14" t="s">
        <v>5801</v>
      </c>
      <c r="BC2" s="14" t="s">
        <v>4045</v>
      </c>
      <c r="BD2" s="14" t="s">
        <v>2590</v>
      </c>
      <c r="BE2" s="14" t="s">
        <v>5802</v>
      </c>
      <c r="BF2" s="14" t="s">
        <v>1025</v>
      </c>
      <c r="BG2" s="14" t="s">
        <v>5803</v>
      </c>
      <c r="BH2" s="14" t="s">
        <v>1131</v>
      </c>
      <c r="BI2" s="14" t="s">
        <v>3246</v>
      </c>
      <c r="BJ2" s="14" t="s">
        <v>5804</v>
      </c>
      <c r="BK2" s="14" t="s">
        <v>1206</v>
      </c>
      <c r="BL2" s="14" t="s">
        <v>3483</v>
      </c>
      <c r="BM2" s="14" t="s">
        <v>2352</v>
      </c>
      <c r="BN2" s="14" t="s">
        <v>2554</v>
      </c>
      <c r="BO2" s="14" t="s">
        <v>5805</v>
      </c>
      <c r="BP2" s="14" t="s">
        <v>3637</v>
      </c>
      <c r="BQ2" s="14" t="s">
        <v>1547</v>
      </c>
      <c r="BR2" s="14" t="s">
        <v>2156</v>
      </c>
      <c r="BS2" s="14" t="s">
        <v>4590</v>
      </c>
      <c r="BT2" s="14" t="s">
        <v>1346</v>
      </c>
      <c r="BU2" s="14" t="s">
        <v>1926</v>
      </c>
      <c r="BV2" s="14" t="s">
        <v>2010</v>
      </c>
      <c r="BW2" s="14" t="s">
        <v>3602</v>
      </c>
      <c r="BX2" s="14" t="s">
        <v>3349</v>
      </c>
      <c r="BY2" s="14" t="s">
        <v>2450</v>
      </c>
      <c r="BZ2" s="14" t="s">
        <v>5806</v>
      </c>
      <c r="CA2" s="14" t="s">
        <v>1496</v>
      </c>
      <c r="CB2" s="14" t="s">
        <v>981</v>
      </c>
      <c r="CC2" s="14" t="s">
        <v>2955</v>
      </c>
      <c r="CD2" s="14" t="s">
        <v>1726</v>
      </c>
      <c r="CE2" s="14" t="s">
        <v>2781</v>
      </c>
      <c r="CF2" s="14" t="s">
        <v>5807</v>
      </c>
      <c r="CG2" s="14" t="s">
        <v>3297</v>
      </c>
      <c r="CH2" s="14" t="s">
        <v>5808</v>
      </c>
      <c r="CI2" s="14" t="s">
        <v>5074</v>
      </c>
      <c r="CJ2" s="14" t="s">
        <v>2251</v>
      </c>
      <c r="CK2" s="14" t="s">
        <v>5809</v>
      </c>
      <c r="CL2" s="14" t="s">
        <v>2624</v>
      </c>
      <c r="CM2" s="14" t="s">
        <v>1845</v>
      </c>
      <c r="CN2" s="14" t="s">
        <v>2294</v>
      </c>
      <c r="CO2" s="14" t="s">
        <v>2251</v>
      </c>
      <c r="CP2" s="14" t="s">
        <v>1230</v>
      </c>
      <c r="CQ2" s="14" t="s">
        <v>954</v>
      </c>
      <c r="CR2" s="14" t="s">
        <v>4334</v>
      </c>
      <c r="CS2" s="14" t="s">
        <v>2251</v>
      </c>
      <c r="CT2" s="14" t="s">
        <v>1230</v>
      </c>
      <c r="CU2" s="14" t="s">
        <v>954</v>
      </c>
      <c r="CV2" s="14" t="s">
        <v>3070</v>
      </c>
      <c r="CW2" s="14" t="s">
        <v>2251</v>
      </c>
      <c r="CX2" s="14" t="s">
        <v>1230</v>
      </c>
      <c r="CY2" s="14" t="s">
        <v>954</v>
      </c>
      <c r="CZ2" s="14" t="s">
        <v>4498</v>
      </c>
      <c r="DA2" s="14" t="s">
        <v>2251</v>
      </c>
      <c r="DB2" s="14" t="s">
        <v>1230</v>
      </c>
      <c r="DC2" s="14" t="s">
        <v>954</v>
      </c>
      <c r="DD2" s="14" t="s">
        <v>4334</v>
      </c>
      <c r="DE2" s="14" t="s">
        <v>285</v>
      </c>
      <c r="DF2" s="14" t="s">
        <v>286</v>
      </c>
      <c r="DG2" s="14" t="s">
        <v>288</v>
      </c>
      <c r="DH2" s="14" t="s">
        <v>601</v>
      </c>
      <c r="DI2" s="14" t="s">
        <v>288</v>
      </c>
      <c r="DJ2" s="14" t="s">
        <v>287</v>
      </c>
      <c r="DK2" s="14" t="s">
        <v>290</v>
      </c>
      <c r="DL2" s="14" t="s">
        <v>312</v>
      </c>
      <c r="DM2" s="14" t="s">
        <v>329</v>
      </c>
      <c r="DN2" s="14" t="s">
        <v>342</v>
      </c>
      <c r="DO2" s="14" t="s">
        <v>358</v>
      </c>
      <c r="DP2" s="14" t="s">
        <v>368</v>
      </c>
      <c r="DQ2" s="14" t="s">
        <v>393</v>
      </c>
      <c r="DR2" s="14" t="s">
        <v>408</v>
      </c>
      <c r="DS2" s="14" t="s">
        <v>431</v>
      </c>
      <c r="DT2" s="14" t="s">
        <v>445</v>
      </c>
      <c r="DU2" s="14" t="s">
        <v>465</v>
      </c>
      <c r="DV2" s="14" t="s">
        <v>479</v>
      </c>
      <c r="DW2" s="14" t="s">
        <v>502</v>
      </c>
      <c r="DX2" s="14" t="s">
        <v>527</v>
      </c>
      <c r="DY2" s="14" t="s">
        <v>546</v>
      </c>
      <c r="DZ2" s="14" t="s">
        <v>556</v>
      </c>
      <c r="EA2" s="14" t="s">
        <v>577</v>
      </c>
      <c r="EB2" s="14" t="s">
        <v>589</v>
      </c>
      <c r="EC2" s="14" t="s">
        <v>603</v>
      </c>
      <c r="ED2" s="14" t="s">
        <v>608</v>
      </c>
      <c r="EE2" s="14" t="s">
        <v>612</v>
      </c>
      <c r="EF2" s="14" t="s">
        <v>616</v>
      </c>
      <c r="EG2" s="14" t="s">
        <v>620</v>
      </c>
      <c r="EH2" s="14" t="s">
        <v>624</v>
      </c>
      <c r="EI2" s="14" t="s">
        <v>628</v>
      </c>
      <c r="EJ2" s="14" t="s">
        <v>632</v>
      </c>
      <c r="EK2" s="14" t="s">
        <v>636</v>
      </c>
      <c r="EL2" s="14" t="s">
        <v>640</v>
      </c>
      <c r="EM2" s="14" t="s">
        <v>644</v>
      </c>
      <c r="EN2" s="14" t="s">
        <v>648</v>
      </c>
      <c r="EO2" s="14" t="s">
        <v>652</v>
      </c>
      <c r="EP2" s="14" t="s">
        <v>656</v>
      </c>
      <c r="EQ2" s="14" t="s">
        <v>660</v>
      </c>
      <c r="ER2" s="14" t="s">
        <v>664</v>
      </c>
      <c r="ES2" s="14" t="s">
        <v>668</v>
      </c>
      <c r="FD2" s="14" t="s">
        <v>796</v>
      </c>
      <c r="FE2" s="14" t="s">
        <v>2735</v>
      </c>
      <c r="FF2" s="14" t="s">
        <v>2172</v>
      </c>
      <c r="FG2" s="14" t="s">
        <v>1201</v>
      </c>
      <c r="FH2" s="14" t="s">
        <v>1433</v>
      </c>
      <c r="FI2" s="14" t="s">
        <v>2006</v>
      </c>
      <c r="FJ2" s="14" t="s">
        <v>1175</v>
      </c>
      <c r="FK2" s="14" t="s">
        <v>5810</v>
      </c>
      <c r="FL2" s="14" t="s">
        <v>5811</v>
      </c>
      <c r="FM2" s="14" t="s">
        <v>5812</v>
      </c>
      <c r="FN2" s="14" t="s">
        <v>5813</v>
      </c>
      <c r="FO2" s="14" t="s">
        <v>5814</v>
      </c>
      <c r="FP2" s="14" t="s">
        <v>5815</v>
      </c>
      <c r="FQ2" s="14" t="s">
        <v>5816</v>
      </c>
      <c r="FR2" s="14" t="s">
        <v>5817</v>
      </c>
      <c r="FS2" s="14" t="s">
        <v>5818</v>
      </c>
      <c r="FT2" s="14" t="s">
        <v>5819</v>
      </c>
      <c r="FU2" s="14" t="s">
        <v>5820</v>
      </c>
      <c r="FV2" s="14" t="s">
        <v>5821</v>
      </c>
      <c r="FW2" s="14" t="s">
        <v>5822</v>
      </c>
      <c r="FX2" s="14" t="s">
        <v>5823</v>
      </c>
      <c r="FY2" s="14" t="s">
        <v>5824</v>
      </c>
      <c r="FZ2" s="14" t="s">
        <v>5825</v>
      </c>
      <c r="GA2" s="14" t="s">
        <v>5826</v>
      </c>
      <c r="GB2" s="14" t="s">
        <v>5827</v>
      </c>
      <c r="GC2" s="14" t="s">
        <v>5828</v>
      </c>
      <c r="GD2" s="14" t="s">
        <v>5829</v>
      </c>
      <c r="GE2" s="14" t="s">
        <v>5830</v>
      </c>
      <c r="GF2" s="14" t="s">
        <v>5831</v>
      </c>
      <c r="GG2" s="14" t="s">
        <v>5832</v>
      </c>
      <c r="GH2" s="14" t="s">
        <v>5833</v>
      </c>
      <c r="GI2" s="14" t="s">
        <v>5834</v>
      </c>
      <c r="GJ2" s="14" t="s">
        <v>5835</v>
      </c>
      <c r="GK2" s="14" t="s">
        <v>5836</v>
      </c>
      <c r="GL2" s="14" t="s">
        <v>5837</v>
      </c>
      <c r="GM2" s="14" t="s">
        <v>5838</v>
      </c>
      <c r="GN2" s="14" t="s">
        <v>5839</v>
      </c>
    </row>
    <row r="3" spans="1:196" ht="14.25" customHeight="1" x14ac:dyDescent="0.3">
      <c r="A3" s="14" t="s">
        <v>782</v>
      </c>
      <c r="B3" s="14" t="s">
        <v>5158</v>
      </c>
      <c r="C3" s="14" t="s">
        <v>3611</v>
      </c>
      <c r="D3" s="14" t="s">
        <v>813</v>
      </c>
      <c r="E3" s="14" t="s">
        <v>927</v>
      </c>
      <c r="F3" s="14" t="s">
        <v>897</v>
      </c>
      <c r="G3" s="14" t="s">
        <v>2476</v>
      </c>
      <c r="H3" s="14" t="s">
        <v>2930</v>
      </c>
      <c r="I3" s="14" t="s">
        <v>3885</v>
      </c>
      <c r="J3" s="14" t="s">
        <v>3659</v>
      </c>
      <c r="K3" s="14" t="s">
        <v>1059</v>
      </c>
      <c r="L3" s="14" t="s">
        <v>1961</v>
      </c>
      <c r="M3" s="14" t="s">
        <v>883</v>
      </c>
      <c r="N3" s="14" t="s">
        <v>1475</v>
      </c>
      <c r="O3" s="14" t="s">
        <v>1980</v>
      </c>
      <c r="P3" s="14" t="s">
        <v>2755</v>
      </c>
      <c r="Q3" s="14" t="s">
        <v>1229</v>
      </c>
      <c r="R3" s="14" t="s">
        <v>1229</v>
      </c>
      <c r="S3" s="14" t="s">
        <v>1229</v>
      </c>
      <c r="T3" s="14" t="s">
        <v>1229</v>
      </c>
      <c r="U3" s="14" t="s">
        <v>3611</v>
      </c>
      <c r="V3" s="14" t="s">
        <v>5153</v>
      </c>
      <c r="W3" s="14" t="s">
        <v>5840</v>
      </c>
      <c r="X3" s="14" t="s">
        <v>5841</v>
      </c>
      <c r="Y3" s="14" t="s">
        <v>1698</v>
      </c>
      <c r="Z3" s="14" t="s">
        <v>3852</v>
      </c>
      <c r="AA3" s="14" t="s">
        <v>2388</v>
      </c>
      <c r="AB3" s="14" t="s">
        <v>1086</v>
      </c>
      <c r="AC3" s="14" t="s">
        <v>3724</v>
      </c>
      <c r="AD3" s="14" t="s">
        <v>4783</v>
      </c>
      <c r="AE3" s="14" t="s">
        <v>1424</v>
      </c>
      <c r="AF3" s="14" t="s">
        <v>2537</v>
      </c>
      <c r="AG3" s="14" t="s">
        <v>3570</v>
      </c>
      <c r="AH3" s="14" t="s">
        <v>784</v>
      </c>
      <c r="AI3" s="14" t="s">
        <v>1367</v>
      </c>
      <c r="AJ3" s="14" t="s">
        <v>2335</v>
      </c>
      <c r="AK3" s="14" t="s">
        <v>1467</v>
      </c>
      <c r="AL3" s="14" t="s">
        <v>1457</v>
      </c>
      <c r="AM3" s="14" t="s">
        <v>4612</v>
      </c>
      <c r="AN3" s="14" t="s">
        <v>1970</v>
      </c>
      <c r="AO3" s="14" t="s">
        <v>830</v>
      </c>
      <c r="AP3" s="14" t="s">
        <v>898</v>
      </c>
      <c r="AQ3" s="14" t="s">
        <v>5842</v>
      </c>
      <c r="AR3" s="14" t="s">
        <v>5843</v>
      </c>
      <c r="AS3" s="14" t="s">
        <v>2269</v>
      </c>
      <c r="AT3" s="14" t="s">
        <v>861</v>
      </c>
      <c r="AU3" s="14" t="s">
        <v>2477</v>
      </c>
      <c r="AV3" s="14" t="s">
        <v>4739</v>
      </c>
      <c r="AW3" s="14" t="s">
        <v>1142</v>
      </c>
      <c r="AX3" s="14" t="s">
        <v>2129</v>
      </c>
      <c r="AY3" s="14" t="s">
        <v>1895</v>
      </c>
      <c r="AZ3" s="14" t="s">
        <v>2931</v>
      </c>
      <c r="BA3" s="14" t="s">
        <v>2091</v>
      </c>
      <c r="BB3" s="14" t="s">
        <v>5844</v>
      </c>
      <c r="BC3" s="14" t="s">
        <v>1179</v>
      </c>
      <c r="BD3" s="14" t="s">
        <v>5845</v>
      </c>
      <c r="BE3" s="14" t="s">
        <v>5846</v>
      </c>
      <c r="BF3" s="14" t="s">
        <v>3734</v>
      </c>
      <c r="BG3" s="14" t="s">
        <v>2056</v>
      </c>
      <c r="BH3" s="14" t="s">
        <v>5847</v>
      </c>
      <c r="BI3" s="14" t="s">
        <v>3389</v>
      </c>
      <c r="BJ3" s="14" t="s">
        <v>3660</v>
      </c>
      <c r="BK3" s="14" t="s">
        <v>5848</v>
      </c>
      <c r="BL3" s="14" t="s">
        <v>2101</v>
      </c>
      <c r="BM3" s="14" t="s">
        <v>5849</v>
      </c>
      <c r="BN3" s="14" t="s">
        <v>2685</v>
      </c>
      <c r="BO3" s="14" t="s">
        <v>1060</v>
      </c>
      <c r="BP3" s="14" t="s">
        <v>4037</v>
      </c>
      <c r="BQ3" s="14" t="s">
        <v>2459</v>
      </c>
      <c r="BR3" s="14" t="s">
        <v>4961</v>
      </c>
      <c r="BS3" s="14" t="s">
        <v>1962</v>
      </c>
      <c r="BT3" s="14" t="s">
        <v>4123</v>
      </c>
      <c r="BU3" s="14" t="s">
        <v>5850</v>
      </c>
      <c r="BV3" s="14" t="s">
        <v>2781</v>
      </c>
      <c r="BW3" s="14" t="s">
        <v>5851</v>
      </c>
      <c r="BX3" s="14" t="s">
        <v>5852</v>
      </c>
      <c r="BY3" s="14" t="s">
        <v>2675</v>
      </c>
      <c r="BZ3" s="14" t="s">
        <v>5853</v>
      </c>
      <c r="CA3" s="14" t="s">
        <v>5854</v>
      </c>
      <c r="CB3" s="14" t="s">
        <v>1811</v>
      </c>
      <c r="CC3" s="14" t="s">
        <v>1273</v>
      </c>
      <c r="CD3" s="14" t="s">
        <v>1315</v>
      </c>
      <c r="CE3" s="14" t="s">
        <v>5855</v>
      </c>
      <c r="CF3" s="14" t="s">
        <v>1854</v>
      </c>
      <c r="CG3" s="14" t="s">
        <v>5856</v>
      </c>
      <c r="CH3" s="14" t="s">
        <v>2890</v>
      </c>
      <c r="CI3" s="14" t="s">
        <v>1167</v>
      </c>
      <c r="CJ3" s="14" t="s">
        <v>1598</v>
      </c>
      <c r="CK3" s="14" t="s">
        <v>2029</v>
      </c>
      <c r="CL3" s="14" t="s">
        <v>1577</v>
      </c>
      <c r="CM3" s="14" t="s">
        <v>1010</v>
      </c>
      <c r="CN3" s="14" t="s">
        <v>898</v>
      </c>
      <c r="CO3" s="14" t="s">
        <v>1598</v>
      </c>
      <c r="CP3" s="14" t="s">
        <v>2029</v>
      </c>
      <c r="CQ3" s="14" t="s">
        <v>1577</v>
      </c>
      <c r="CR3" s="14" t="s">
        <v>1764</v>
      </c>
      <c r="CS3" s="14" t="s">
        <v>1598</v>
      </c>
      <c r="CT3" s="14" t="s">
        <v>2029</v>
      </c>
      <c r="CU3" s="14" t="s">
        <v>1577</v>
      </c>
      <c r="CV3" s="14" t="s">
        <v>2370</v>
      </c>
      <c r="CW3" s="14" t="s">
        <v>1598</v>
      </c>
      <c r="CX3" s="14" t="s">
        <v>2029</v>
      </c>
      <c r="CY3" s="14" t="s">
        <v>1577</v>
      </c>
      <c r="CZ3" s="14" t="s">
        <v>2973</v>
      </c>
      <c r="DA3" s="14" t="s">
        <v>1598</v>
      </c>
      <c r="DB3" s="14" t="s">
        <v>2029</v>
      </c>
      <c r="DC3" s="14" t="s">
        <v>1577</v>
      </c>
      <c r="DD3" s="14" t="s">
        <v>1764</v>
      </c>
      <c r="DE3" s="14" t="s">
        <v>598</v>
      </c>
      <c r="DF3" s="14" t="s">
        <v>599</v>
      </c>
      <c r="DG3" s="14" t="s">
        <v>312</v>
      </c>
      <c r="DH3" s="14" t="s">
        <v>606</v>
      </c>
      <c r="DI3" s="14" t="s">
        <v>312</v>
      </c>
      <c r="DJ3" s="14" t="s">
        <v>311</v>
      </c>
      <c r="DK3" s="14" t="s">
        <v>296</v>
      </c>
      <c r="DL3" s="14" t="s">
        <v>317</v>
      </c>
      <c r="DM3" s="14" t="s">
        <v>332</v>
      </c>
      <c r="DN3" s="14" t="s">
        <v>344</v>
      </c>
      <c r="DO3" s="14" t="s">
        <v>360</v>
      </c>
      <c r="DP3" s="14" t="s">
        <v>371</v>
      </c>
      <c r="DQ3" s="14" t="s">
        <v>396</v>
      </c>
      <c r="DR3" s="14" t="s">
        <v>411</v>
      </c>
      <c r="DS3" s="14" t="s">
        <v>433</v>
      </c>
      <c r="DT3" s="14" t="s">
        <v>447</v>
      </c>
      <c r="DU3" s="14" t="s">
        <v>467</v>
      </c>
      <c r="DV3" s="14" t="s">
        <v>482</v>
      </c>
      <c r="DW3" s="14" t="s">
        <v>504</v>
      </c>
      <c r="DX3" s="14" t="s">
        <v>530</v>
      </c>
      <c r="DY3" s="14" t="s">
        <v>548</v>
      </c>
      <c r="DZ3" s="14" t="s">
        <v>558</v>
      </c>
      <c r="EA3" s="14" t="s">
        <v>579</v>
      </c>
      <c r="EB3" s="14" t="s">
        <v>591</v>
      </c>
      <c r="FD3" s="14" t="s">
        <v>1163</v>
      </c>
      <c r="FE3" s="14" t="s">
        <v>778</v>
      </c>
      <c r="FF3" s="14" t="s">
        <v>5857</v>
      </c>
      <c r="FG3" s="14" t="s">
        <v>1045</v>
      </c>
      <c r="FH3" s="14" t="s">
        <v>937</v>
      </c>
      <c r="FI3" s="14" t="s">
        <v>1616</v>
      </c>
      <c r="FJ3" s="14" t="s">
        <v>1248</v>
      </c>
      <c r="FK3" s="14" t="s">
        <v>5858</v>
      </c>
      <c r="FL3" s="14" t="s">
        <v>833</v>
      </c>
      <c r="FM3" s="14" t="s">
        <v>5859</v>
      </c>
      <c r="FN3" s="14" t="s">
        <v>5860</v>
      </c>
      <c r="FO3" s="14" t="s">
        <v>1122</v>
      </c>
      <c r="FP3" s="14" t="s">
        <v>5861</v>
      </c>
      <c r="FQ3" s="14" t="s">
        <v>5862</v>
      </c>
      <c r="FR3" s="14" t="s">
        <v>5863</v>
      </c>
      <c r="FS3" s="14" t="s">
        <v>5864</v>
      </c>
      <c r="FT3" s="14" t="s">
        <v>5865</v>
      </c>
      <c r="FU3" s="14" t="s">
        <v>5866</v>
      </c>
      <c r="FV3" s="14" t="s">
        <v>5867</v>
      </c>
      <c r="FW3" s="14" t="s">
        <v>5868</v>
      </c>
      <c r="FZ3" s="14" t="s">
        <v>5869</v>
      </c>
      <c r="GA3" s="14" t="s">
        <v>5870</v>
      </c>
      <c r="GD3" s="14" t="s">
        <v>5871</v>
      </c>
    </row>
    <row r="4" spans="1:196" ht="14.25" customHeight="1" x14ac:dyDescent="0.3">
      <c r="A4" s="14" t="s">
        <v>740</v>
      </c>
      <c r="B4" s="14" t="s">
        <v>5166</v>
      </c>
      <c r="C4" s="14" t="s">
        <v>1687</v>
      </c>
      <c r="D4" s="14" t="s">
        <v>1191</v>
      </c>
      <c r="E4" s="14" t="s">
        <v>1262</v>
      </c>
      <c r="F4" s="14" t="s">
        <v>1486</v>
      </c>
      <c r="G4" s="14" t="s">
        <v>1009</v>
      </c>
      <c r="H4" s="14" t="s">
        <v>1874</v>
      </c>
      <c r="I4" s="14" t="s">
        <v>1024</v>
      </c>
      <c r="J4" s="14" t="s">
        <v>1205</v>
      </c>
      <c r="K4" s="14" t="s">
        <v>1446</v>
      </c>
      <c r="L4" s="14" t="s">
        <v>1345</v>
      </c>
      <c r="M4" s="14" t="s">
        <v>1658</v>
      </c>
      <c r="N4" s="14" t="s">
        <v>980</v>
      </c>
      <c r="O4" s="14" t="s">
        <v>762</v>
      </c>
      <c r="P4" s="14" t="s">
        <v>1639</v>
      </c>
      <c r="Q4" s="14" t="s">
        <v>953</v>
      </c>
      <c r="R4" s="14" t="s">
        <v>953</v>
      </c>
      <c r="S4" s="14" t="s">
        <v>953</v>
      </c>
      <c r="T4" s="14" t="s">
        <v>953</v>
      </c>
      <c r="U4" s="14" t="s">
        <v>1687</v>
      </c>
      <c r="V4" s="14" t="s">
        <v>5154</v>
      </c>
      <c r="W4" s="14" t="s">
        <v>5005</v>
      </c>
      <c r="X4" s="14" t="s">
        <v>3612</v>
      </c>
      <c r="Y4" s="14" t="s">
        <v>5872</v>
      </c>
      <c r="Z4" s="14" t="s">
        <v>5873</v>
      </c>
      <c r="AA4" s="14" t="s">
        <v>5874</v>
      </c>
      <c r="AB4" s="14" t="s">
        <v>5875</v>
      </c>
      <c r="AC4" s="14" t="s">
        <v>2738</v>
      </c>
      <c r="AD4" s="14" t="s">
        <v>814</v>
      </c>
      <c r="AE4" s="14" t="s">
        <v>1192</v>
      </c>
      <c r="AF4" s="14" t="s">
        <v>1915</v>
      </c>
      <c r="AG4" s="14" t="s">
        <v>4005</v>
      </c>
      <c r="AH4" s="14" t="s">
        <v>1970</v>
      </c>
      <c r="AI4" s="14" t="s">
        <v>995</v>
      </c>
      <c r="AJ4" s="14" t="s">
        <v>928</v>
      </c>
      <c r="AK4" s="14" t="s">
        <v>1263</v>
      </c>
      <c r="AL4" s="14" t="s">
        <v>2841</v>
      </c>
      <c r="AM4" s="14" t="s">
        <v>2711</v>
      </c>
      <c r="AN4" s="14" t="s">
        <v>1167</v>
      </c>
      <c r="AO4" s="14" t="s">
        <v>2600</v>
      </c>
      <c r="AP4" s="14" t="s">
        <v>5876</v>
      </c>
      <c r="AQ4" s="14" t="s">
        <v>1487</v>
      </c>
      <c r="AR4" s="14" t="s">
        <v>1559</v>
      </c>
      <c r="AS4" s="14" t="s">
        <v>3340</v>
      </c>
      <c r="AT4" s="14" t="s">
        <v>1668</v>
      </c>
      <c r="AU4" s="14" t="s">
        <v>2608</v>
      </c>
      <c r="AV4" s="14" t="s">
        <v>5877</v>
      </c>
      <c r="AW4" s="14" t="s">
        <v>1811</v>
      </c>
      <c r="AX4" s="14" t="s">
        <v>5878</v>
      </c>
      <c r="AY4" s="14" t="s">
        <v>5879</v>
      </c>
      <c r="AZ4" s="14" t="s">
        <v>5880</v>
      </c>
      <c r="BA4" s="14" t="s">
        <v>3172</v>
      </c>
      <c r="BB4" s="14" t="s">
        <v>5881</v>
      </c>
      <c r="BC4" s="14" t="s">
        <v>1284</v>
      </c>
      <c r="BD4" s="14" t="s">
        <v>2772</v>
      </c>
      <c r="BE4" s="14" t="s">
        <v>3886</v>
      </c>
      <c r="BF4" s="14" t="s">
        <v>5882</v>
      </c>
      <c r="BG4" s="14" t="s">
        <v>2720</v>
      </c>
      <c r="BH4" s="14" t="s">
        <v>2420</v>
      </c>
      <c r="BI4" s="14" t="s">
        <v>3280</v>
      </c>
      <c r="BJ4" s="14" t="s">
        <v>5883</v>
      </c>
      <c r="BK4" s="14" t="s">
        <v>4342</v>
      </c>
      <c r="BL4" s="14" t="s">
        <v>2303</v>
      </c>
      <c r="BM4" s="14" t="s">
        <v>3861</v>
      </c>
      <c r="BN4" s="14" t="s">
        <v>2439</v>
      </c>
      <c r="BO4" s="14" t="s">
        <v>4946</v>
      </c>
      <c r="BP4" s="14" t="s">
        <v>1447</v>
      </c>
      <c r="BQ4" s="14" t="s">
        <v>1411</v>
      </c>
      <c r="BR4" s="14" t="s">
        <v>4366</v>
      </c>
      <c r="BS4" s="14" t="s">
        <v>5884</v>
      </c>
      <c r="BT4" s="14" t="s">
        <v>5885</v>
      </c>
      <c r="BU4" s="14" t="s">
        <v>1049</v>
      </c>
      <c r="BV4" s="14" t="s">
        <v>2225</v>
      </c>
      <c r="BW4" s="14" t="s">
        <v>884</v>
      </c>
      <c r="BX4" s="14" t="s">
        <v>4537</v>
      </c>
      <c r="BY4" s="14" t="s">
        <v>2360</v>
      </c>
      <c r="BZ4" s="14" t="s">
        <v>2849</v>
      </c>
      <c r="CA4" s="14" t="s">
        <v>1476</v>
      </c>
      <c r="CB4" s="14" t="s">
        <v>1904</v>
      </c>
      <c r="CC4" s="14" t="s">
        <v>3315</v>
      </c>
      <c r="CD4" s="14" t="s">
        <v>2495</v>
      </c>
      <c r="CE4" s="14" t="s">
        <v>1981</v>
      </c>
      <c r="CF4" s="14" t="s">
        <v>4164</v>
      </c>
      <c r="CG4" s="14" t="s">
        <v>4014</v>
      </c>
      <c r="CH4" s="14" t="s">
        <v>4521</v>
      </c>
      <c r="CI4" s="14" t="s">
        <v>5886</v>
      </c>
      <c r="CJ4" s="14" t="s">
        <v>2397</v>
      </c>
      <c r="CK4" s="14" t="s">
        <v>5887</v>
      </c>
      <c r="CL4" s="14" t="s">
        <v>1640</v>
      </c>
      <c r="CM4" s="14" t="s">
        <v>5888</v>
      </c>
      <c r="CN4" s="14" t="s">
        <v>913</v>
      </c>
      <c r="CO4" s="14" t="s">
        <v>2397</v>
      </c>
      <c r="CP4" s="14" t="s">
        <v>1735</v>
      </c>
      <c r="CQ4" s="14" t="s">
        <v>1640</v>
      </c>
      <c r="CR4" s="14" t="s">
        <v>5889</v>
      </c>
      <c r="CS4" s="14" t="s">
        <v>2397</v>
      </c>
      <c r="CT4" s="14" t="s">
        <v>5890</v>
      </c>
      <c r="CU4" s="14" t="s">
        <v>2701</v>
      </c>
      <c r="CV4" s="14" t="s">
        <v>2580</v>
      </c>
      <c r="CW4" s="14" t="s">
        <v>2397</v>
      </c>
      <c r="CX4" s="14" t="s">
        <v>2234</v>
      </c>
      <c r="CY4" s="14" t="s">
        <v>1640</v>
      </c>
      <c r="CZ4" s="14" t="s">
        <v>4755</v>
      </c>
      <c r="DA4" s="14" t="s">
        <v>2397</v>
      </c>
      <c r="DB4" s="14" t="s">
        <v>1735</v>
      </c>
      <c r="DC4" s="14" t="s">
        <v>814</v>
      </c>
      <c r="DD4" s="14" t="s">
        <v>5891</v>
      </c>
      <c r="DG4" s="14" t="s">
        <v>329</v>
      </c>
      <c r="DH4" s="14" t="s">
        <v>610</v>
      </c>
      <c r="DI4" s="14" t="s">
        <v>329</v>
      </c>
      <c r="DJ4" s="14" t="s">
        <v>328</v>
      </c>
      <c r="DK4" s="14" t="s">
        <v>298</v>
      </c>
      <c r="DL4" s="14" t="s">
        <v>319</v>
      </c>
      <c r="DM4" s="14" t="s">
        <v>334</v>
      </c>
      <c r="DN4" s="14" t="s">
        <v>346</v>
      </c>
      <c r="DO4" s="14" t="s">
        <v>362</v>
      </c>
      <c r="DP4" s="14" t="s">
        <v>373</v>
      </c>
      <c r="DQ4" s="14" t="s">
        <v>398</v>
      </c>
      <c r="DR4" s="14" t="s">
        <v>413</v>
      </c>
      <c r="DS4" s="14" t="s">
        <v>435</v>
      </c>
      <c r="DT4" s="14" t="s">
        <v>449</v>
      </c>
      <c r="DU4" s="14" t="s">
        <v>469</v>
      </c>
      <c r="DV4" s="14" t="s">
        <v>484</v>
      </c>
      <c r="DW4" s="14" t="s">
        <v>506</v>
      </c>
      <c r="DX4" s="14" t="s">
        <v>532</v>
      </c>
      <c r="DY4" s="14" t="s">
        <v>550</v>
      </c>
      <c r="DZ4" s="14" t="s">
        <v>560</v>
      </c>
      <c r="EA4" s="14" t="s">
        <v>581</v>
      </c>
      <c r="EB4" s="14" t="s">
        <v>593</v>
      </c>
      <c r="FD4" s="14" t="s">
        <v>1454</v>
      </c>
      <c r="FE4" s="14" t="s">
        <v>1988</v>
      </c>
      <c r="FF4" s="14" t="s">
        <v>2062</v>
      </c>
      <c r="FG4" s="14" t="s">
        <v>841</v>
      </c>
      <c r="FH4" s="14" t="s">
        <v>2117</v>
      </c>
      <c r="FI4" s="14" t="s">
        <v>2447</v>
      </c>
      <c r="FJ4" s="14" t="s">
        <v>1891</v>
      </c>
      <c r="FK4" s="14" t="s">
        <v>5892</v>
      </c>
      <c r="FL4" s="14" t="s">
        <v>5893</v>
      </c>
      <c r="FM4" s="14" t="s">
        <v>5894</v>
      </c>
      <c r="FN4" s="14" t="s">
        <v>917</v>
      </c>
      <c r="FO4" s="14" t="s">
        <v>769</v>
      </c>
      <c r="FP4" s="14" t="s">
        <v>5895</v>
      </c>
      <c r="FQ4" s="14" t="s">
        <v>5896</v>
      </c>
      <c r="FR4" s="14" t="s">
        <v>5897</v>
      </c>
      <c r="FT4" s="14" t="s">
        <v>5898</v>
      </c>
      <c r="FU4" s="14" t="s">
        <v>5899</v>
      </c>
      <c r="GA4" s="14" t="s">
        <v>5900</v>
      </c>
    </row>
    <row r="5" spans="1:196" ht="14.25" customHeight="1" x14ac:dyDescent="0.3">
      <c r="A5" s="14" t="s">
        <v>1305</v>
      </c>
      <c r="B5" s="14" t="s">
        <v>5175</v>
      </c>
      <c r="C5" s="14" t="s">
        <v>1217</v>
      </c>
      <c r="D5" s="14" t="s">
        <v>1772</v>
      </c>
      <c r="E5" s="14" t="s">
        <v>1388</v>
      </c>
      <c r="F5" s="14" t="s">
        <v>1558</v>
      </c>
      <c r="G5" s="14" t="s">
        <v>940</v>
      </c>
      <c r="H5" s="14" t="s">
        <v>1119</v>
      </c>
      <c r="I5" s="14" t="s">
        <v>2055</v>
      </c>
      <c r="J5" s="14" t="s">
        <v>2100</v>
      </c>
      <c r="K5" s="14" t="s">
        <v>1410</v>
      </c>
      <c r="L5" s="14" t="s">
        <v>1048</v>
      </c>
      <c r="M5" s="14" t="s">
        <v>1619</v>
      </c>
      <c r="N5" s="14" t="s">
        <v>1272</v>
      </c>
      <c r="O5" s="14" t="s">
        <v>1072</v>
      </c>
      <c r="P5" s="14" t="s">
        <v>940</v>
      </c>
      <c r="Q5" s="14" t="s">
        <v>1036</v>
      </c>
      <c r="R5" s="14" t="s">
        <v>2369</v>
      </c>
      <c r="S5" s="14" t="s">
        <v>2972</v>
      </c>
      <c r="T5" s="14" t="s">
        <v>1036</v>
      </c>
      <c r="U5" s="14" t="s">
        <v>1217</v>
      </c>
      <c r="V5" s="14" t="s">
        <v>5155</v>
      </c>
      <c r="W5" s="14" t="s">
        <v>763</v>
      </c>
      <c r="X5" s="14" t="s">
        <v>5901</v>
      </c>
      <c r="Y5" s="14" t="s">
        <v>763</v>
      </c>
      <c r="Z5" s="14" t="s">
        <v>2165</v>
      </c>
      <c r="AA5" s="14" t="s">
        <v>763</v>
      </c>
      <c r="AB5" s="14" t="s">
        <v>763</v>
      </c>
      <c r="AC5" s="14" t="s">
        <v>1240</v>
      </c>
      <c r="AD5" s="14" t="s">
        <v>3844</v>
      </c>
      <c r="AE5" s="14" t="s">
        <v>1991</v>
      </c>
      <c r="AF5" s="14" t="s">
        <v>763</v>
      </c>
      <c r="AG5" s="14" t="s">
        <v>763</v>
      </c>
      <c r="AH5" s="14" t="s">
        <v>763</v>
      </c>
      <c r="AI5" s="14" t="s">
        <v>763</v>
      </c>
      <c r="AJ5" s="14" t="s">
        <v>763</v>
      </c>
      <c r="AK5" s="14" t="s">
        <v>763</v>
      </c>
      <c r="AL5" s="14" t="s">
        <v>763</v>
      </c>
      <c r="AM5" s="14" t="s">
        <v>763</v>
      </c>
      <c r="AN5" s="14" t="s">
        <v>763</v>
      </c>
      <c r="AO5" s="14" t="s">
        <v>763</v>
      </c>
      <c r="AP5" s="14" t="s">
        <v>763</v>
      </c>
      <c r="AQ5" s="14" t="s">
        <v>763</v>
      </c>
      <c r="AR5" s="14" t="s">
        <v>763</v>
      </c>
      <c r="AS5" s="14" t="s">
        <v>763</v>
      </c>
      <c r="AT5" s="14" t="s">
        <v>763</v>
      </c>
      <c r="AU5" s="14" t="s">
        <v>763</v>
      </c>
      <c r="AV5" s="14" t="s">
        <v>763</v>
      </c>
      <c r="AW5" s="14" t="s">
        <v>763</v>
      </c>
      <c r="AX5" s="14" t="s">
        <v>763</v>
      </c>
      <c r="AY5" s="14" t="s">
        <v>763</v>
      </c>
      <c r="AZ5" s="14" t="s">
        <v>763</v>
      </c>
      <c r="BA5" s="14" t="s">
        <v>763</v>
      </c>
      <c r="BB5" s="14" t="s">
        <v>763</v>
      </c>
      <c r="BC5" s="14" t="s">
        <v>763</v>
      </c>
      <c r="BD5" s="14" t="s">
        <v>763</v>
      </c>
      <c r="BE5" s="14" t="s">
        <v>763</v>
      </c>
      <c r="BF5" s="14" t="s">
        <v>763</v>
      </c>
      <c r="BG5" s="14" t="s">
        <v>763</v>
      </c>
      <c r="BH5" s="14" t="s">
        <v>763</v>
      </c>
      <c r="BI5" s="14" t="s">
        <v>763</v>
      </c>
      <c r="BJ5" s="14" t="s">
        <v>763</v>
      </c>
      <c r="BK5" s="14" t="s">
        <v>763</v>
      </c>
      <c r="BL5" s="14" t="s">
        <v>763</v>
      </c>
      <c r="BM5" s="14" t="s">
        <v>763</v>
      </c>
      <c r="BN5" s="14" t="s">
        <v>763</v>
      </c>
      <c r="BO5" s="14" t="s">
        <v>763</v>
      </c>
      <c r="BP5" s="14" t="s">
        <v>763</v>
      </c>
      <c r="BQ5" s="14" t="s">
        <v>763</v>
      </c>
      <c r="BR5" s="14" t="s">
        <v>763</v>
      </c>
      <c r="BS5" s="14" t="s">
        <v>763</v>
      </c>
      <c r="BT5" s="14" t="s">
        <v>763</v>
      </c>
      <c r="BU5" s="14" t="s">
        <v>763</v>
      </c>
      <c r="BV5" s="14" t="s">
        <v>763</v>
      </c>
      <c r="BW5" s="14" t="s">
        <v>763</v>
      </c>
      <c r="BX5" s="14" t="s">
        <v>763</v>
      </c>
      <c r="BY5" s="14" t="s">
        <v>763</v>
      </c>
      <c r="BZ5" s="14" t="s">
        <v>763</v>
      </c>
      <c r="CA5" s="14" t="s">
        <v>763</v>
      </c>
      <c r="CB5" s="14" t="s">
        <v>763</v>
      </c>
      <c r="CC5" s="14" t="s">
        <v>763</v>
      </c>
      <c r="CD5" s="14" t="s">
        <v>763</v>
      </c>
      <c r="CE5" s="14" t="s">
        <v>763</v>
      </c>
      <c r="CF5" s="14" t="s">
        <v>763</v>
      </c>
      <c r="CG5" s="14" t="s">
        <v>763</v>
      </c>
      <c r="CH5" s="14" t="s">
        <v>763</v>
      </c>
      <c r="CI5" s="14" t="s">
        <v>913</v>
      </c>
      <c r="CJ5" s="14" t="s">
        <v>763</v>
      </c>
      <c r="CK5" s="14" t="s">
        <v>2756</v>
      </c>
      <c r="CL5" s="14" t="s">
        <v>763</v>
      </c>
      <c r="CM5" s="14" t="s">
        <v>763</v>
      </c>
      <c r="CN5" s="14" t="s">
        <v>763</v>
      </c>
      <c r="CO5" s="14" t="s">
        <v>763</v>
      </c>
      <c r="CP5" s="14" t="s">
        <v>763</v>
      </c>
      <c r="CQ5" s="14" t="s">
        <v>763</v>
      </c>
      <c r="CR5" s="14" t="s">
        <v>763</v>
      </c>
      <c r="CS5" s="14" t="s">
        <v>763</v>
      </c>
      <c r="CT5" s="14" t="s">
        <v>763</v>
      </c>
      <c r="CU5" s="14" t="s">
        <v>763</v>
      </c>
      <c r="CV5" s="14" t="s">
        <v>763</v>
      </c>
      <c r="CW5" s="14" t="s">
        <v>763</v>
      </c>
      <c r="CX5" s="14" t="s">
        <v>763</v>
      </c>
      <c r="CY5" s="14" t="s">
        <v>763</v>
      </c>
      <c r="CZ5" s="14" t="s">
        <v>763</v>
      </c>
      <c r="DA5" s="14" t="s">
        <v>763</v>
      </c>
      <c r="DB5" s="14" t="s">
        <v>763</v>
      </c>
      <c r="DC5" s="14" t="s">
        <v>763</v>
      </c>
      <c r="DD5" s="14" t="s">
        <v>763</v>
      </c>
      <c r="DG5" s="14" t="s">
        <v>340</v>
      </c>
      <c r="DH5" s="14" t="s">
        <v>614</v>
      </c>
      <c r="DI5" s="14" t="s">
        <v>340</v>
      </c>
      <c r="DJ5" s="14" t="s">
        <v>339</v>
      </c>
      <c r="DK5" s="14" t="s">
        <v>300</v>
      </c>
      <c r="DL5" s="14" t="s">
        <v>321</v>
      </c>
      <c r="DM5" s="14" t="s">
        <v>336</v>
      </c>
      <c r="DN5" s="14" t="s">
        <v>348</v>
      </c>
      <c r="DO5" s="14" t="s">
        <v>364</v>
      </c>
      <c r="DP5" s="14" t="s">
        <v>375</v>
      </c>
      <c r="DQ5" s="14" t="s">
        <v>400</v>
      </c>
      <c r="DR5" s="14" t="s">
        <v>415</v>
      </c>
      <c r="DS5" s="14" t="s">
        <v>437</v>
      </c>
      <c r="DT5" s="14" t="s">
        <v>451</v>
      </c>
      <c r="DU5" s="14" t="s">
        <v>471</v>
      </c>
      <c r="DV5" s="14" t="s">
        <v>486</v>
      </c>
      <c r="DW5" s="14" t="s">
        <v>507</v>
      </c>
      <c r="DX5" s="14" t="s">
        <v>534</v>
      </c>
      <c r="DY5" s="14" t="s">
        <v>552</v>
      </c>
      <c r="DZ5" s="14" t="s">
        <v>562</v>
      </c>
      <c r="EA5" s="14" t="s">
        <v>583</v>
      </c>
      <c r="EB5" s="14" t="s">
        <v>595</v>
      </c>
      <c r="FD5" s="14" t="s">
        <v>1950</v>
      </c>
      <c r="FE5" s="14" t="s">
        <v>1421</v>
      </c>
      <c r="FF5" s="14" t="s">
        <v>1525</v>
      </c>
      <c r="FG5" s="14" t="s">
        <v>1574</v>
      </c>
      <c r="FH5" s="14" t="s">
        <v>856</v>
      </c>
      <c r="FI5" s="14" t="s">
        <v>1743</v>
      </c>
      <c r="FJ5" s="14" t="s">
        <v>1871</v>
      </c>
      <c r="FK5" s="14" t="s">
        <v>5902</v>
      </c>
      <c r="FL5" s="14" t="s">
        <v>5903</v>
      </c>
      <c r="FM5" s="14" t="s">
        <v>1146</v>
      </c>
      <c r="FN5" s="14" t="s">
        <v>5904</v>
      </c>
      <c r="FO5" s="14" t="s">
        <v>1063</v>
      </c>
      <c r="FQ5" s="14" t="s">
        <v>944</v>
      </c>
      <c r="FU5" s="14" t="s">
        <v>5905</v>
      </c>
    </row>
    <row r="6" spans="1:196" ht="14.25" customHeight="1" x14ac:dyDescent="0.3">
      <c r="A6" s="14" t="s">
        <v>859</v>
      </c>
      <c r="B6" s="14" t="s">
        <v>5182</v>
      </c>
      <c r="C6" s="14" t="s">
        <v>1528</v>
      </c>
      <c r="D6" s="14" t="s">
        <v>829</v>
      </c>
      <c r="E6" s="14" t="s">
        <v>1154</v>
      </c>
      <c r="F6" s="14" t="s">
        <v>2268</v>
      </c>
      <c r="G6" s="14" t="s">
        <v>2128</v>
      </c>
      <c r="H6" s="14" t="s">
        <v>1178</v>
      </c>
      <c r="I6" s="14" t="s">
        <v>1130</v>
      </c>
      <c r="J6" s="14" t="s">
        <v>1801</v>
      </c>
      <c r="O6" s="14" t="s">
        <v>2889</v>
      </c>
      <c r="P6" s="14" t="s">
        <v>897</v>
      </c>
      <c r="U6" s="14" t="s">
        <v>1528</v>
      </c>
      <c r="V6" s="14" t="s">
        <v>5156</v>
      </c>
      <c r="DG6" s="14" t="s">
        <v>356</v>
      </c>
      <c r="DH6" s="14" t="s">
        <v>618</v>
      </c>
      <c r="DI6" s="14" t="s">
        <v>356</v>
      </c>
      <c r="DJ6" s="14" t="s">
        <v>355</v>
      </c>
      <c r="DK6" s="14" t="s">
        <v>302</v>
      </c>
      <c r="DL6" s="14" t="s">
        <v>323</v>
      </c>
      <c r="DM6" s="14" t="s">
        <v>338</v>
      </c>
      <c r="DN6" s="14" t="s">
        <v>350</v>
      </c>
      <c r="DO6" s="14" t="s">
        <v>366</v>
      </c>
      <c r="DP6" s="14" t="s">
        <v>377</v>
      </c>
      <c r="DQ6" s="14" t="s">
        <v>402</v>
      </c>
      <c r="DR6" s="14" t="s">
        <v>417</v>
      </c>
      <c r="DS6" s="14" t="s">
        <v>439</v>
      </c>
      <c r="DT6" s="14" t="s">
        <v>453</v>
      </c>
      <c r="DU6" s="14" t="s">
        <v>473</v>
      </c>
      <c r="DV6" s="14" t="s">
        <v>488</v>
      </c>
      <c r="DW6" s="14" t="s">
        <v>509</v>
      </c>
      <c r="DX6" s="14" t="s">
        <v>536</v>
      </c>
      <c r="DZ6" s="14" t="s">
        <v>564</v>
      </c>
      <c r="EA6" s="14" t="s">
        <v>585</v>
      </c>
      <c r="EB6" s="14" t="s">
        <v>597</v>
      </c>
      <c r="FD6" s="14" t="s">
        <v>924</v>
      </c>
      <c r="FE6" s="14" t="s">
        <v>826</v>
      </c>
      <c r="FF6" s="14" t="s">
        <v>1080</v>
      </c>
      <c r="FG6" s="14" t="s">
        <v>910</v>
      </c>
      <c r="FH6" s="14" t="s">
        <v>1104</v>
      </c>
      <c r="FI6" s="14" t="s">
        <v>879</v>
      </c>
      <c r="FJ6" s="14" t="s">
        <v>1281</v>
      </c>
      <c r="FK6" s="14" t="s">
        <v>5906</v>
      </c>
      <c r="FL6" s="14" t="s">
        <v>818</v>
      </c>
      <c r="FM6" s="14" t="s">
        <v>1370</v>
      </c>
      <c r="FN6" s="14" t="s">
        <v>5907</v>
      </c>
      <c r="FO6" s="14" t="s">
        <v>803</v>
      </c>
      <c r="FQ6" s="14" t="s">
        <v>5908</v>
      </c>
      <c r="FU6" s="14" t="s">
        <v>5909</v>
      </c>
    </row>
    <row r="7" spans="1:196" ht="14.25" customHeight="1" x14ac:dyDescent="0.3">
      <c r="A7" s="14" t="s">
        <v>1118</v>
      </c>
      <c r="B7" s="14" t="s">
        <v>5189</v>
      </c>
      <c r="C7" s="14" t="s">
        <v>1085</v>
      </c>
      <c r="D7" s="14" t="s">
        <v>783</v>
      </c>
      <c r="E7" s="14" t="s">
        <v>1166</v>
      </c>
      <c r="O7" s="14" t="s">
        <v>1942</v>
      </c>
      <c r="U7" s="14" t="s">
        <v>1085</v>
      </c>
      <c r="V7" s="14" t="s">
        <v>5157</v>
      </c>
      <c r="DG7" s="14" t="s">
        <v>368</v>
      </c>
      <c r="DH7" s="14" t="s">
        <v>622</v>
      </c>
      <c r="DI7" s="14" t="s">
        <v>368</v>
      </c>
      <c r="DJ7" s="14" t="s">
        <v>367</v>
      </c>
      <c r="DK7" s="14" t="s">
        <v>304</v>
      </c>
      <c r="DL7" s="14" t="s">
        <v>325</v>
      </c>
      <c r="DN7" s="14" t="s">
        <v>352</v>
      </c>
      <c r="DP7" s="14" t="s">
        <v>379</v>
      </c>
      <c r="DQ7" s="14" t="s">
        <v>404</v>
      </c>
      <c r="DR7" s="14" t="s">
        <v>419</v>
      </c>
      <c r="DS7" s="14" t="s">
        <v>441</v>
      </c>
      <c r="DT7" s="14" t="s">
        <v>455</v>
      </c>
      <c r="DU7" s="14" t="s">
        <v>475</v>
      </c>
      <c r="DV7" s="14" t="s">
        <v>490</v>
      </c>
      <c r="DW7" s="14" t="s">
        <v>511</v>
      </c>
      <c r="DX7" s="14" t="s">
        <v>538</v>
      </c>
      <c r="DZ7" s="14" t="s">
        <v>566</v>
      </c>
      <c r="FD7" s="14" t="s">
        <v>1259</v>
      </c>
      <c r="FE7" s="14" t="s">
        <v>1376</v>
      </c>
      <c r="FF7" s="14" t="s">
        <v>1695</v>
      </c>
      <c r="FG7" s="14" t="s">
        <v>1020</v>
      </c>
      <c r="FH7" s="14" t="s">
        <v>1607</v>
      </c>
      <c r="FI7" s="14" t="s">
        <v>1020</v>
      </c>
      <c r="FJ7" s="14" t="s">
        <v>1115</v>
      </c>
      <c r="FK7" s="14" t="s">
        <v>5910</v>
      </c>
      <c r="FL7" s="14" t="s">
        <v>5911</v>
      </c>
      <c r="FM7" s="14" t="s">
        <v>5912</v>
      </c>
      <c r="FN7" s="14" t="s">
        <v>1013</v>
      </c>
      <c r="FO7" s="14" t="s">
        <v>5913</v>
      </c>
      <c r="FU7" s="14" t="s">
        <v>5914</v>
      </c>
    </row>
    <row r="8" spans="1:196" ht="14.25" customHeight="1" x14ac:dyDescent="0.3">
      <c r="A8" s="14" t="s">
        <v>1023</v>
      </c>
      <c r="B8" s="14" t="s">
        <v>5196</v>
      </c>
      <c r="U8" s="14" t="s">
        <v>965</v>
      </c>
      <c r="V8" s="14" t="s">
        <v>5159</v>
      </c>
      <c r="DG8" s="14" t="s">
        <v>391</v>
      </c>
      <c r="DH8" s="14" t="s">
        <v>626</v>
      </c>
      <c r="DI8" s="14" t="s">
        <v>391</v>
      </c>
      <c r="DJ8" s="14" t="s">
        <v>390</v>
      </c>
      <c r="DK8" s="14" t="s">
        <v>306</v>
      </c>
      <c r="DL8" s="14" t="s">
        <v>327</v>
      </c>
      <c r="DN8" s="14" t="s">
        <v>354</v>
      </c>
      <c r="DP8" s="14" t="s">
        <v>381</v>
      </c>
      <c r="DQ8" s="14" t="s">
        <v>406</v>
      </c>
      <c r="DR8" s="14" t="s">
        <v>421</v>
      </c>
      <c r="DT8" s="14" t="s">
        <v>457</v>
      </c>
      <c r="DV8" s="14" t="s">
        <v>492</v>
      </c>
      <c r="DW8" s="14" t="s">
        <v>513</v>
      </c>
      <c r="DX8" s="14" t="s">
        <v>540</v>
      </c>
      <c r="DZ8" s="14" t="s">
        <v>554</v>
      </c>
      <c r="FD8" s="14" t="s">
        <v>736</v>
      </c>
      <c r="FE8" s="14" t="s">
        <v>1504</v>
      </c>
      <c r="FF8" s="14" t="s">
        <v>1214</v>
      </c>
      <c r="FG8" s="14" t="s">
        <v>757</v>
      </c>
      <c r="FH8" s="14" t="s">
        <v>1407</v>
      </c>
      <c r="FI8" s="14" t="s">
        <v>910</v>
      </c>
      <c r="FJ8" s="14" t="s">
        <v>3028</v>
      </c>
      <c r="FK8" s="14" t="s">
        <v>5915</v>
      </c>
      <c r="FL8" s="14" t="s">
        <v>5916</v>
      </c>
      <c r="FM8" s="14" t="s">
        <v>5917</v>
      </c>
      <c r="FN8" s="14" t="s">
        <v>5918</v>
      </c>
      <c r="FO8" s="14" t="s">
        <v>5919</v>
      </c>
    </row>
    <row r="9" spans="1:196" ht="14.25" customHeight="1" x14ac:dyDescent="0.3">
      <c r="A9" s="14" t="s">
        <v>1204</v>
      </c>
      <c r="B9" s="14" t="s">
        <v>5202</v>
      </c>
      <c r="U9" s="14" t="s">
        <v>813</v>
      </c>
      <c r="V9" s="14" t="s">
        <v>5161</v>
      </c>
      <c r="DG9" s="14" t="s">
        <v>408</v>
      </c>
      <c r="DH9" s="14" t="s">
        <v>630</v>
      </c>
      <c r="DI9" s="14" t="s">
        <v>408</v>
      </c>
      <c r="DJ9" s="14" t="s">
        <v>407</v>
      </c>
      <c r="DK9" s="14" t="s">
        <v>308</v>
      </c>
      <c r="DP9" s="14" t="s">
        <v>383</v>
      </c>
      <c r="DR9" s="14" t="s">
        <v>423</v>
      </c>
      <c r="DT9" s="14" t="s">
        <v>459</v>
      </c>
      <c r="DV9" s="14" t="s">
        <v>494</v>
      </c>
      <c r="DW9" s="14" t="s">
        <v>515</v>
      </c>
      <c r="DX9" s="14" t="s">
        <v>542</v>
      </c>
      <c r="DZ9" s="14" t="s">
        <v>569</v>
      </c>
      <c r="FD9" s="14" t="s">
        <v>1334</v>
      </c>
      <c r="FE9" s="14" t="s">
        <v>810</v>
      </c>
      <c r="FF9" s="14" t="s">
        <v>3764</v>
      </c>
      <c r="FG9" s="14" t="s">
        <v>893</v>
      </c>
      <c r="FH9" s="14" t="s">
        <v>1006</v>
      </c>
      <c r="FJ9" s="14" t="s">
        <v>2927</v>
      </c>
      <c r="FK9" s="14" t="s">
        <v>5920</v>
      </c>
      <c r="FL9" s="14" t="s">
        <v>5921</v>
      </c>
      <c r="FM9" s="14" t="s">
        <v>5922</v>
      </c>
    </row>
    <row r="10" spans="1:196" ht="14.25" customHeight="1" x14ac:dyDescent="0.3">
      <c r="A10" s="14" t="s">
        <v>1058</v>
      </c>
      <c r="B10" s="14" t="s">
        <v>5208</v>
      </c>
      <c r="U10" s="14" t="s">
        <v>1191</v>
      </c>
      <c r="V10" s="14" t="s">
        <v>5162</v>
      </c>
      <c r="DG10" s="14" t="s">
        <v>429</v>
      </c>
      <c r="DH10" s="14" t="s">
        <v>634</v>
      </c>
      <c r="DI10" s="14" t="s">
        <v>429</v>
      </c>
      <c r="DJ10" s="14" t="s">
        <v>428</v>
      </c>
      <c r="DK10" s="14" t="s">
        <v>310</v>
      </c>
      <c r="DP10" s="14" t="s">
        <v>385</v>
      </c>
      <c r="DR10" s="14" t="s">
        <v>425</v>
      </c>
      <c r="DT10" s="14" t="s">
        <v>461</v>
      </c>
      <c r="DV10" s="14" t="s">
        <v>496</v>
      </c>
      <c r="DW10" s="14" t="s">
        <v>517</v>
      </c>
      <c r="DZ10" s="14" t="s">
        <v>571</v>
      </c>
      <c r="FD10" s="14" t="s">
        <v>992</v>
      </c>
      <c r="FE10" s="14" t="s">
        <v>2545</v>
      </c>
      <c r="FF10" s="14" t="s">
        <v>5923</v>
      </c>
      <c r="FG10" s="14" t="s">
        <v>1483</v>
      </c>
      <c r="FH10" s="14" t="s">
        <v>1443</v>
      </c>
      <c r="FK10" s="14" t="s">
        <v>5924</v>
      </c>
      <c r="FL10" s="14" t="s">
        <v>5925</v>
      </c>
      <c r="FM10" s="14" t="s">
        <v>5926</v>
      </c>
    </row>
    <row r="11" spans="1:196" ht="14.25" customHeight="1" x14ac:dyDescent="0.3">
      <c r="A11" s="14" t="s">
        <v>844</v>
      </c>
      <c r="B11" s="14" t="s">
        <v>5213</v>
      </c>
      <c r="U11" s="14" t="s">
        <v>1772</v>
      </c>
      <c r="V11" s="14" t="s">
        <v>5163</v>
      </c>
      <c r="DG11" s="14" t="s">
        <v>443</v>
      </c>
      <c r="DH11" s="14" t="s">
        <v>638</v>
      </c>
      <c r="DI11" s="14" t="s">
        <v>443</v>
      </c>
      <c r="DJ11" s="14" t="s">
        <v>442</v>
      </c>
      <c r="DP11" s="14" t="s">
        <v>387</v>
      </c>
      <c r="DR11" s="14" t="s">
        <v>427</v>
      </c>
      <c r="DV11" s="14" t="s">
        <v>498</v>
      </c>
      <c r="DW11" s="14" t="s">
        <v>519</v>
      </c>
      <c r="DZ11" s="14" t="s">
        <v>573</v>
      </c>
      <c r="FE11" s="14" t="s">
        <v>1237</v>
      </c>
      <c r="FF11" s="14" t="s">
        <v>1020</v>
      </c>
      <c r="FG11" s="14" t="s">
        <v>1069</v>
      </c>
      <c r="FH11" s="14" t="s">
        <v>1020</v>
      </c>
      <c r="FK11" s="14" t="s">
        <v>1020</v>
      </c>
      <c r="FL11" s="14" t="s">
        <v>5927</v>
      </c>
      <c r="FM11" s="14" t="s">
        <v>5928</v>
      </c>
    </row>
    <row r="12" spans="1:196" ht="14.25" customHeight="1" x14ac:dyDescent="0.3">
      <c r="A12" s="14" t="s">
        <v>882</v>
      </c>
      <c r="B12" s="14" t="s">
        <v>5218</v>
      </c>
      <c r="U12" s="14" t="s">
        <v>829</v>
      </c>
      <c r="V12" s="14" t="s">
        <v>5164</v>
      </c>
      <c r="DG12" s="14" t="s">
        <v>463</v>
      </c>
      <c r="DH12" s="14" t="s">
        <v>642</v>
      </c>
      <c r="DI12" s="14" t="s">
        <v>463</v>
      </c>
      <c r="DJ12" s="14" t="s">
        <v>462</v>
      </c>
      <c r="DP12" s="14" t="s">
        <v>389</v>
      </c>
      <c r="DW12" s="14" t="s">
        <v>521</v>
      </c>
      <c r="FE12" s="14" t="s">
        <v>1781</v>
      </c>
      <c r="FF12" s="14" t="s">
        <v>910</v>
      </c>
      <c r="FL12" s="14" t="s">
        <v>5929</v>
      </c>
      <c r="FM12" s="14" t="s">
        <v>5930</v>
      </c>
    </row>
    <row r="13" spans="1:196" ht="14.25" customHeight="1" x14ac:dyDescent="0.3">
      <c r="A13" s="14" t="s">
        <v>979</v>
      </c>
      <c r="B13" s="14" t="s">
        <v>5224</v>
      </c>
      <c r="U13" s="14" t="s">
        <v>783</v>
      </c>
      <c r="V13" s="14" t="s">
        <v>5165</v>
      </c>
      <c r="DG13" s="14" t="s">
        <v>477</v>
      </c>
      <c r="DH13" s="14" t="s">
        <v>646</v>
      </c>
      <c r="DI13" s="14" t="s">
        <v>477</v>
      </c>
      <c r="DJ13" s="14" t="s">
        <v>476</v>
      </c>
      <c r="DW13" s="14" t="s">
        <v>523</v>
      </c>
      <c r="FE13" s="14" t="s">
        <v>1912</v>
      </c>
      <c r="FL13" s="14" t="s">
        <v>5931</v>
      </c>
      <c r="FM13" s="14" t="s">
        <v>5932</v>
      </c>
    </row>
    <row r="14" spans="1:196" ht="14.25" customHeight="1" x14ac:dyDescent="0.3">
      <c r="A14" s="14" t="s">
        <v>761</v>
      </c>
      <c r="B14" s="14" t="s">
        <v>5229</v>
      </c>
      <c r="U14" s="14" t="s">
        <v>741</v>
      </c>
      <c r="V14" s="14" t="s">
        <v>5167</v>
      </c>
      <c r="DG14" s="14" t="s">
        <v>500</v>
      </c>
      <c r="DH14" s="14" t="s">
        <v>650</v>
      </c>
      <c r="DI14" s="14" t="s">
        <v>500</v>
      </c>
      <c r="DJ14" s="14" t="s">
        <v>499</v>
      </c>
      <c r="DW14" s="14" t="s">
        <v>525</v>
      </c>
      <c r="FL14" s="14" t="s">
        <v>5933</v>
      </c>
    </row>
    <row r="15" spans="1:196" ht="14.25" customHeight="1" x14ac:dyDescent="0.3">
      <c r="A15" s="14" t="s">
        <v>896</v>
      </c>
      <c r="B15" s="14" t="s">
        <v>5236</v>
      </c>
      <c r="U15" s="14" t="s">
        <v>927</v>
      </c>
      <c r="V15" s="14" t="s">
        <v>5170</v>
      </c>
      <c r="DG15" s="14" t="s">
        <v>527</v>
      </c>
      <c r="DH15" s="14" t="s">
        <v>654</v>
      </c>
      <c r="DI15" s="14" t="s">
        <v>527</v>
      </c>
      <c r="DJ15" s="14" t="s">
        <v>526</v>
      </c>
      <c r="FL15" s="14" t="s">
        <v>5934</v>
      </c>
    </row>
    <row r="16" spans="1:196" ht="14.25" customHeight="1" x14ac:dyDescent="0.3">
      <c r="A16" s="14" t="s">
        <v>1035</v>
      </c>
      <c r="B16" s="14" t="s">
        <v>5242</v>
      </c>
      <c r="U16" s="14" t="s">
        <v>1262</v>
      </c>
      <c r="V16" s="14" t="s">
        <v>5171</v>
      </c>
      <c r="DG16" s="14" t="s">
        <v>544</v>
      </c>
      <c r="DH16" s="14" t="s">
        <v>658</v>
      </c>
      <c r="DI16" s="14" t="s">
        <v>544</v>
      </c>
      <c r="DJ16" s="14" t="s">
        <v>543</v>
      </c>
      <c r="FL16" s="14" t="s">
        <v>5935</v>
      </c>
    </row>
    <row r="17" spans="1:168" ht="14.25" customHeight="1" x14ac:dyDescent="0.3">
      <c r="A17" s="14" t="s">
        <v>1096</v>
      </c>
      <c r="B17" s="14" t="s">
        <v>5247</v>
      </c>
      <c r="U17" s="14" t="s">
        <v>1388</v>
      </c>
      <c r="V17" s="14" t="s">
        <v>5172</v>
      </c>
      <c r="DG17" s="14" t="s">
        <v>554</v>
      </c>
      <c r="DH17" s="14" t="s">
        <v>662</v>
      </c>
      <c r="DI17" s="14" t="s">
        <v>554</v>
      </c>
      <c r="DJ17" s="14" t="s">
        <v>553</v>
      </c>
      <c r="FL17" s="14" t="s">
        <v>5936</v>
      </c>
    </row>
    <row r="18" spans="1:168" ht="14.25" customHeight="1" x14ac:dyDescent="0.3">
      <c r="A18" s="14" t="s">
        <v>952</v>
      </c>
      <c r="B18" s="14" t="s">
        <v>5252</v>
      </c>
      <c r="U18" s="14" t="s">
        <v>1154</v>
      </c>
      <c r="V18" s="14" t="s">
        <v>5173</v>
      </c>
      <c r="DG18" s="14" t="s">
        <v>575</v>
      </c>
      <c r="DH18" s="14" t="s">
        <v>666</v>
      </c>
      <c r="DI18" s="14" t="s">
        <v>575</v>
      </c>
      <c r="DJ18" s="14" t="s">
        <v>574</v>
      </c>
      <c r="FL18" s="14" t="s">
        <v>5937</v>
      </c>
    </row>
    <row r="19" spans="1:168" ht="14.25" customHeight="1" x14ac:dyDescent="0.3">
      <c r="A19" s="14" t="s">
        <v>2790</v>
      </c>
      <c r="B19" s="14" t="s">
        <v>5257</v>
      </c>
      <c r="U19" s="14" t="s">
        <v>1166</v>
      </c>
      <c r="V19" s="14" t="s">
        <v>5174</v>
      </c>
      <c r="DG19" s="14" t="s">
        <v>587</v>
      </c>
      <c r="DI19" s="14" t="s">
        <v>587</v>
      </c>
      <c r="DJ19" s="14" t="s">
        <v>586</v>
      </c>
      <c r="FL19" s="14" t="s">
        <v>5938</v>
      </c>
    </row>
    <row r="20" spans="1:168" ht="14.25" customHeight="1" x14ac:dyDescent="0.3">
      <c r="U20" s="14" t="s">
        <v>1792</v>
      </c>
      <c r="V20" s="14" t="s">
        <v>5176</v>
      </c>
      <c r="DI20" s="14" t="s">
        <v>601</v>
      </c>
      <c r="DJ20" s="14" t="s">
        <v>600</v>
      </c>
      <c r="FL20" s="14" t="s">
        <v>5939</v>
      </c>
    </row>
    <row r="21" spans="1:168" ht="14.25" customHeight="1" x14ac:dyDescent="0.3">
      <c r="U21" s="14" t="s">
        <v>897</v>
      </c>
      <c r="V21" s="14" t="s">
        <v>5178</v>
      </c>
      <c r="DI21" s="14" t="s">
        <v>606</v>
      </c>
      <c r="DJ21" s="14" t="s">
        <v>605</v>
      </c>
      <c r="FL21" s="14" t="s">
        <v>5940</v>
      </c>
    </row>
    <row r="22" spans="1:168" ht="14.25" customHeight="1" x14ac:dyDescent="0.3">
      <c r="U22" s="14" t="s">
        <v>1486</v>
      </c>
      <c r="V22" s="14" t="s">
        <v>5179</v>
      </c>
      <c r="DI22" s="14" t="s">
        <v>610</v>
      </c>
      <c r="DJ22" s="14" t="s">
        <v>609</v>
      </c>
      <c r="FL22" s="14" t="s">
        <v>5941</v>
      </c>
    </row>
    <row r="23" spans="1:168" ht="14.25" customHeight="1" x14ac:dyDescent="0.3">
      <c r="U23" s="14" t="s">
        <v>1558</v>
      </c>
      <c r="V23" s="14" t="s">
        <v>5180</v>
      </c>
      <c r="DI23" s="14" t="s">
        <v>614</v>
      </c>
      <c r="DJ23" s="14" t="s">
        <v>613</v>
      </c>
      <c r="FL23" s="14" t="s">
        <v>5942</v>
      </c>
    </row>
    <row r="24" spans="1:168" ht="14.25" customHeight="1" x14ac:dyDescent="0.3">
      <c r="U24" s="14" t="s">
        <v>2268</v>
      </c>
      <c r="V24" s="14" t="s">
        <v>5181</v>
      </c>
      <c r="DI24" s="14" t="s">
        <v>618</v>
      </c>
      <c r="DJ24" s="14" t="s">
        <v>617</v>
      </c>
      <c r="FL24" s="14" t="s">
        <v>5943</v>
      </c>
    </row>
    <row r="25" spans="1:168" ht="14.25" customHeight="1" x14ac:dyDescent="0.3">
      <c r="U25" s="14" t="s">
        <v>860</v>
      </c>
      <c r="V25" s="14" t="s">
        <v>5183</v>
      </c>
      <c r="DI25" s="14" t="s">
        <v>622</v>
      </c>
      <c r="DJ25" s="14" t="s">
        <v>621</v>
      </c>
      <c r="FL25" s="14" t="s">
        <v>5944</v>
      </c>
    </row>
    <row r="26" spans="1:168" ht="14.25" customHeight="1" x14ac:dyDescent="0.3">
      <c r="U26" s="14" t="s">
        <v>2476</v>
      </c>
      <c r="V26" s="14" t="s">
        <v>5185</v>
      </c>
      <c r="DI26" s="14" t="s">
        <v>626</v>
      </c>
      <c r="DJ26" s="14" t="s">
        <v>625</v>
      </c>
      <c r="FL26" s="14" t="s">
        <v>5945</v>
      </c>
    </row>
    <row r="27" spans="1:168" ht="14.25" customHeight="1" x14ac:dyDescent="0.3">
      <c r="U27" s="14" t="s">
        <v>1009</v>
      </c>
      <c r="V27" s="14" t="s">
        <v>5186</v>
      </c>
      <c r="DI27" s="14" t="s">
        <v>630</v>
      </c>
      <c r="DJ27" s="14" t="s">
        <v>629</v>
      </c>
      <c r="FL27" s="14" t="s">
        <v>5946</v>
      </c>
    </row>
    <row r="28" spans="1:168" ht="14.25" customHeight="1" x14ac:dyDescent="0.3">
      <c r="U28" s="14" t="s">
        <v>940</v>
      </c>
      <c r="V28" s="14" t="s">
        <v>5187</v>
      </c>
      <c r="DI28" s="14" t="s">
        <v>634</v>
      </c>
      <c r="DJ28" s="14" t="s">
        <v>633</v>
      </c>
      <c r="FL28" s="14" t="s">
        <v>5947</v>
      </c>
    </row>
    <row r="29" spans="1:168" ht="14.25" customHeight="1" x14ac:dyDescent="0.3">
      <c r="U29" s="14" t="s">
        <v>2128</v>
      </c>
      <c r="V29" s="14" t="s">
        <v>5188</v>
      </c>
      <c r="DI29" s="14" t="s">
        <v>638</v>
      </c>
      <c r="DJ29" s="14" t="s">
        <v>637</v>
      </c>
      <c r="FL29" s="14" t="s">
        <v>5948</v>
      </c>
    </row>
    <row r="30" spans="1:168" ht="14.25" customHeight="1" x14ac:dyDescent="0.3">
      <c r="U30" s="14" t="s">
        <v>1894</v>
      </c>
      <c r="V30" s="14" t="s">
        <v>5190</v>
      </c>
      <c r="DI30" s="14" t="s">
        <v>642</v>
      </c>
      <c r="DJ30" s="14" t="s">
        <v>641</v>
      </c>
    </row>
    <row r="31" spans="1:168" ht="14.25" customHeight="1" x14ac:dyDescent="0.3">
      <c r="U31" s="14" t="s">
        <v>2930</v>
      </c>
      <c r="V31" s="14" t="s">
        <v>5192</v>
      </c>
      <c r="DI31" s="14" t="s">
        <v>646</v>
      </c>
      <c r="DJ31" s="14" t="s">
        <v>645</v>
      </c>
    </row>
    <row r="32" spans="1:168" ht="14.25" customHeight="1" x14ac:dyDescent="0.3">
      <c r="U32" s="14" t="s">
        <v>1874</v>
      </c>
      <c r="V32" s="14" t="s">
        <v>5193</v>
      </c>
      <c r="DI32" s="14" t="s">
        <v>650</v>
      </c>
      <c r="DJ32" s="14" t="s">
        <v>649</v>
      </c>
    </row>
    <row r="33" spans="21:114" ht="14.25" customHeight="1" x14ac:dyDescent="0.3">
      <c r="U33" s="14" t="s">
        <v>1119</v>
      </c>
      <c r="V33" s="14" t="s">
        <v>5194</v>
      </c>
      <c r="DI33" s="14" t="s">
        <v>654</v>
      </c>
      <c r="DJ33" s="14" t="s">
        <v>653</v>
      </c>
    </row>
    <row r="34" spans="21:114" ht="14.25" customHeight="1" x14ac:dyDescent="0.3">
      <c r="U34" s="14" t="s">
        <v>1178</v>
      </c>
      <c r="V34" s="14" t="s">
        <v>5195</v>
      </c>
      <c r="DI34" s="14" t="s">
        <v>658</v>
      </c>
      <c r="DJ34" s="14" t="s">
        <v>657</v>
      </c>
    </row>
    <row r="35" spans="21:114" ht="14.25" customHeight="1" x14ac:dyDescent="0.3">
      <c r="U35" s="14" t="s">
        <v>2589</v>
      </c>
      <c r="V35" s="14" t="s">
        <v>5197</v>
      </c>
      <c r="DI35" s="14" t="s">
        <v>662</v>
      </c>
      <c r="DJ35" s="14" t="s">
        <v>661</v>
      </c>
    </row>
    <row r="36" spans="21:114" ht="14.25" customHeight="1" x14ac:dyDescent="0.3">
      <c r="U36" s="14" t="s">
        <v>3885</v>
      </c>
      <c r="V36" s="14" t="s">
        <v>5198</v>
      </c>
      <c r="DI36" s="14" t="s">
        <v>666</v>
      </c>
      <c r="DJ36" s="14" t="s">
        <v>665</v>
      </c>
    </row>
    <row r="37" spans="21:114" ht="14.25" customHeight="1" x14ac:dyDescent="0.3">
      <c r="U37" s="14" t="s">
        <v>1024</v>
      </c>
      <c r="V37" s="14" t="s">
        <v>5199</v>
      </c>
    </row>
    <row r="38" spans="21:114" ht="14.25" customHeight="1" x14ac:dyDescent="0.3">
      <c r="U38" s="14" t="s">
        <v>2055</v>
      </c>
      <c r="V38" s="14" t="s">
        <v>5200</v>
      </c>
    </row>
    <row r="39" spans="21:114" ht="14.25" customHeight="1" x14ac:dyDescent="0.3">
      <c r="U39" s="14" t="s">
        <v>1130</v>
      </c>
      <c r="V39" s="14" t="s">
        <v>5201</v>
      </c>
    </row>
    <row r="40" spans="21:114" ht="14.25" customHeight="1" x14ac:dyDescent="0.3">
      <c r="U40" s="14" t="s">
        <v>3245</v>
      </c>
      <c r="V40" s="14" t="s">
        <v>5203</v>
      </c>
    </row>
    <row r="41" spans="21:114" ht="14.25" customHeight="1" x14ac:dyDescent="0.3">
      <c r="U41" s="14" t="s">
        <v>3659</v>
      </c>
      <c r="V41" s="14" t="s">
        <v>5204</v>
      </c>
    </row>
    <row r="42" spans="21:114" ht="14.25" customHeight="1" x14ac:dyDescent="0.3">
      <c r="U42" s="14" t="s">
        <v>1205</v>
      </c>
      <c r="V42" s="14" t="s">
        <v>5205</v>
      </c>
    </row>
    <row r="43" spans="21:114" ht="14.25" customHeight="1" x14ac:dyDescent="0.3">
      <c r="U43" s="14" t="s">
        <v>2100</v>
      </c>
      <c r="V43" s="14" t="s">
        <v>5206</v>
      </c>
    </row>
    <row r="44" spans="21:114" ht="14.25" customHeight="1" x14ac:dyDescent="0.3">
      <c r="U44" s="14" t="s">
        <v>1801</v>
      </c>
      <c r="V44" s="14" t="s">
        <v>5207</v>
      </c>
    </row>
    <row r="45" spans="21:114" ht="14.25" customHeight="1" x14ac:dyDescent="0.3">
      <c r="U45" s="14" t="s">
        <v>2438</v>
      </c>
      <c r="V45" s="14" t="s">
        <v>5209</v>
      </c>
    </row>
    <row r="46" spans="21:114" ht="14.25" customHeight="1" x14ac:dyDescent="0.3">
      <c r="U46" s="14" t="s">
        <v>1059</v>
      </c>
      <c r="V46" s="14" t="s">
        <v>5210</v>
      </c>
    </row>
    <row r="47" spans="21:114" ht="14.25" customHeight="1" x14ac:dyDescent="0.3">
      <c r="U47" s="14" t="s">
        <v>1446</v>
      </c>
      <c r="V47" s="14" t="s">
        <v>5211</v>
      </c>
    </row>
    <row r="48" spans="21:114" ht="14.25" customHeight="1" x14ac:dyDescent="0.3">
      <c r="U48" s="14" t="s">
        <v>1410</v>
      </c>
      <c r="V48" s="14" t="s">
        <v>5212</v>
      </c>
    </row>
    <row r="49" spans="21:22" ht="14.25" customHeight="1" x14ac:dyDescent="0.3">
      <c r="U49" s="14" t="s">
        <v>845</v>
      </c>
      <c r="V49" s="14" t="s">
        <v>5214</v>
      </c>
    </row>
    <row r="50" spans="21:22" ht="14.25" customHeight="1" x14ac:dyDescent="0.3">
      <c r="U50" s="14" t="s">
        <v>1961</v>
      </c>
      <c r="V50" s="14" t="s">
        <v>5215</v>
      </c>
    </row>
    <row r="51" spans="21:22" ht="14.25" customHeight="1" x14ac:dyDescent="0.3">
      <c r="U51" s="14" t="s">
        <v>1345</v>
      </c>
      <c r="V51" s="14" t="s">
        <v>5216</v>
      </c>
    </row>
    <row r="52" spans="21:22" ht="14.25" customHeight="1" x14ac:dyDescent="0.3">
      <c r="U52" s="14" t="s">
        <v>1048</v>
      </c>
      <c r="V52" s="14" t="s">
        <v>5217</v>
      </c>
    </row>
    <row r="53" spans="21:22" ht="14.25" customHeight="1" x14ac:dyDescent="0.3">
      <c r="U53" s="14" t="s">
        <v>2009</v>
      </c>
      <c r="V53" s="14" t="s">
        <v>5219</v>
      </c>
    </row>
    <row r="54" spans="21:22" ht="14.25" customHeight="1" x14ac:dyDescent="0.3">
      <c r="U54" s="14" t="s">
        <v>883</v>
      </c>
      <c r="V54" s="14" t="s">
        <v>5221</v>
      </c>
    </row>
    <row r="55" spans="21:22" ht="14.25" customHeight="1" x14ac:dyDescent="0.3">
      <c r="U55" s="14" t="s">
        <v>1658</v>
      </c>
      <c r="V55" s="14" t="s">
        <v>5222</v>
      </c>
    </row>
    <row r="56" spans="21:22" ht="14.25" customHeight="1" x14ac:dyDescent="0.3">
      <c r="U56" s="14" t="s">
        <v>1619</v>
      </c>
      <c r="V56" s="14" t="s">
        <v>5223</v>
      </c>
    </row>
    <row r="57" spans="21:22" ht="14.25" customHeight="1" x14ac:dyDescent="0.3">
      <c r="U57" s="14" t="s">
        <v>1166</v>
      </c>
      <c r="V57" s="14" t="s">
        <v>5225</v>
      </c>
    </row>
    <row r="58" spans="21:22" ht="14.25" customHeight="1" x14ac:dyDescent="0.3">
      <c r="U58" s="14" t="s">
        <v>1475</v>
      </c>
      <c r="V58" s="14" t="s">
        <v>5226</v>
      </c>
    </row>
    <row r="59" spans="21:22" ht="14.25" customHeight="1" x14ac:dyDescent="0.3">
      <c r="U59" s="14" t="s">
        <v>980</v>
      </c>
      <c r="V59" s="14" t="s">
        <v>5227</v>
      </c>
    </row>
    <row r="60" spans="21:22" ht="14.25" customHeight="1" x14ac:dyDescent="0.3">
      <c r="U60" s="14" t="s">
        <v>1272</v>
      </c>
      <c r="V60" s="14" t="s">
        <v>5228</v>
      </c>
    </row>
    <row r="61" spans="21:22" ht="14.25" customHeight="1" x14ac:dyDescent="0.3">
      <c r="U61" s="14" t="s">
        <v>1314</v>
      </c>
      <c r="V61" s="14" t="s">
        <v>5230</v>
      </c>
    </row>
    <row r="62" spans="21:22" ht="14.25" customHeight="1" x14ac:dyDescent="0.3">
      <c r="U62" s="14" t="s">
        <v>1980</v>
      </c>
      <c r="V62" s="14" t="s">
        <v>5231</v>
      </c>
    </row>
    <row r="63" spans="21:22" ht="14.25" customHeight="1" x14ac:dyDescent="0.3">
      <c r="U63" s="14" t="s">
        <v>762</v>
      </c>
      <c r="V63" s="14" t="s">
        <v>5232</v>
      </c>
    </row>
    <row r="64" spans="21:22" ht="14.25" customHeight="1" x14ac:dyDescent="0.3">
      <c r="U64" s="14" t="s">
        <v>1072</v>
      </c>
      <c r="V64" s="14" t="s">
        <v>5233</v>
      </c>
    </row>
    <row r="65" spans="21:22" ht="14.25" customHeight="1" x14ac:dyDescent="0.3">
      <c r="U65" s="14" t="s">
        <v>2889</v>
      </c>
      <c r="V65" s="14" t="s">
        <v>5234</v>
      </c>
    </row>
    <row r="66" spans="21:22" ht="14.25" customHeight="1" x14ac:dyDescent="0.3">
      <c r="U66" s="14" t="s">
        <v>1942</v>
      </c>
      <c r="V66" s="14" t="s">
        <v>5235</v>
      </c>
    </row>
    <row r="67" spans="21:22" ht="14.25" customHeight="1" x14ac:dyDescent="0.3">
      <c r="U67" s="14" t="s">
        <v>1629</v>
      </c>
      <c r="V67" s="14" t="s">
        <v>5237</v>
      </c>
    </row>
    <row r="68" spans="21:22" ht="14.25" customHeight="1" x14ac:dyDescent="0.3">
      <c r="U68" s="14" t="s">
        <v>2755</v>
      </c>
      <c r="V68" s="14" t="s">
        <v>5238</v>
      </c>
    </row>
    <row r="69" spans="21:22" ht="14.25" customHeight="1" x14ac:dyDescent="0.3">
      <c r="U69" s="14" t="s">
        <v>1639</v>
      </c>
      <c r="V69" s="14" t="s">
        <v>5239</v>
      </c>
    </row>
    <row r="70" spans="21:22" ht="14.25" customHeight="1" x14ac:dyDescent="0.3">
      <c r="U70" s="14" t="s">
        <v>940</v>
      </c>
      <c r="V70" s="14" t="s">
        <v>5240</v>
      </c>
    </row>
    <row r="71" spans="21:22" ht="14.25" customHeight="1" x14ac:dyDescent="0.3">
      <c r="U71" s="14" t="s">
        <v>897</v>
      </c>
      <c r="V71" s="14" t="s">
        <v>5241</v>
      </c>
    </row>
    <row r="72" spans="21:22" ht="14.25" customHeight="1" x14ac:dyDescent="0.3">
      <c r="U72" s="14" t="s">
        <v>1597</v>
      </c>
      <c r="V72" s="14" t="s">
        <v>5243</v>
      </c>
    </row>
    <row r="73" spans="21:22" ht="14.25" customHeight="1" x14ac:dyDescent="0.3">
      <c r="U73" s="14" t="s">
        <v>1229</v>
      </c>
      <c r="V73" s="14" t="s">
        <v>5244</v>
      </c>
    </row>
    <row r="74" spans="21:22" ht="14.25" customHeight="1" x14ac:dyDescent="0.3">
      <c r="U74" s="14" t="s">
        <v>953</v>
      </c>
      <c r="V74" s="14" t="s">
        <v>5245</v>
      </c>
    </row>
    <row r="75" spans="21:22" ht="14.25" customHeight="1" x14ac:dyDescent="0.3">
      <c r="U75" s="14" t="s">
        <v>1036</v>
      </c>
      <c r="V75" s="14" t="s">
        <v>5246</v>
      </c>
    </row>
    <row r="76" spans="21:22" ht="14.25" customHeight="1" x14ac:dyDescent="0.3">
      <c r="U76" s="14" t="s">
        <v>1597</v>
      </c>
      <c r="V76" s="14" t="s">
        <v>5248</v>
      </c>
    </row>
    <row r="77" spans="21:22" ht="14.25" customHeight="1" x14ac:dyDescent="0.3">
      <c r="U77" s="14" t="s">
        <v>1229</v>
      </c>
      <c r="V77" s="14" t="s">
        <v>5249</v>
      </c>
    </row>
    <row r="78" spans="21:22" ht="14.25" customHeight="1" x14ac:dyDescent="0.3">
      <c r="U78" s="14" t="s">
        <v>953</v>
      </c>
      <c r="V78" s="14" t="s">
        <v>5250</v>
      </c>
    </row>
    <row r="79" spans="21:22" ht="14.25" customHeight="1" x14ac:dyDescent="0.3">
      <c r="U79" s="14" t="s">
        <v>2369</v>
      </c>
      <c r="V79" s="14" t="s">
        <v>5251</v>
      </c>
    </row>
    <row r="80" spans="21:22" ht="14.25" customHeight="1" x14ac:dyDescent="0.3">
      <c r="U80" s="14" t="s">
        <v>1597</v>
      </c>
      <c r="V80" s="14" t="s">
        <v>5253</v>
      </c>
    </row>
    <row r="81" spans="21:22" ht="14.25" customHeight="1" x14ac:dyDescent="0.3">
      <c r="U81" s="14" t="s">
        <v>1229</v>
      </c>
      <c r="V81" s="14" t="s">
        <v>5254</v>
      </c>
    </row>
    <row r="82" spans="21:22" ht="14.25" customHeight="1" x14ac:dyDescent="0.3">
      <c r="U82" s="14" t="s">
        <v>953</v>
      </c>
      <c r="V82" s="14" t="s">
        <v>5255</v>
      </c>
    </row>
    <row r="83" spans="21:22" ht="14.25" customHeight="1" x14ac:dyDescent="0.3">
      <c r="U83" s="14" t="s">
        <v>2972</v>
      </c>
      <c r="V83" s="14" t="s">
        <v>5256</v>
      </c>
    </row>
    <row r="84" spans="21:22" ht="14.25" customHeight="1" x14ac:dyDescent="0.3">
      <c r="U84" s="14" t="s">
        <v>1597</v>
      </c>
      <c r="V84" s="14" t="s">
        <v>5258</v>
      </c>
    </row>
    <row r="85" spans="21:22" ht="14.25" customHeight="1" x14ac:dyDescent="0.3">
      <c r="U85" s="14" t="s">
        <v>1229</v>
      </c>
      <c r="V85" s="14" t="s">
        <v>5259</v>
      </c>
    </row>
    <row r="86" spans="21:22" ht="14.25" customHeight="1" x14ac:dyDescent="0.3">
      <c r="U86" s="14" t="s">
        <v>953</v>
      </c>
      <c r="V86" s="14" t="s">
        <v>5260</v>
      </c>
    </row>
    <row r="87" spans="21:22" ht="14.25" customHeight="1" x14ac:dyDescent="0.3">
      <c r="U87" s="14" t="s">
        <v>1036</v>
      </c>
      <c r="V87" s="14" t="s">
        <v>5261</v>
      </c>
    </row>
  </sheetData>
  <pageMargins left="0.75" right="0.75" top="1" bottom="1" header="0.511811023622047" footer="0.511811023622047"/>
  <pageSetup fitToHeight="0" orientation="landscape" horizontalDpi="300" verticalDpi="300"/>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202</vt:i4>
      </vt:variant>
    </vt:vector>
  </HeadingPairs>
  <TitlesOfParts>
    <vt:vector size="215" baseType="lpstr">
      <vt:lpstr>HOME</vt:lpstr>
      <vt:lpstr>INSTRUCTIONS</vt:lpstr>
      <vt:lpstr>NOTES</vt:lpstr>
      <vt:lpstr>EMPLOYEE_MASTER</vt:lpstr>
      <vt:lpstr>PAYROLL_CALC</vt:lpstr>
      <vt:lpstr>LK_OrgMaster</vt:lpstr>
      <vt:lpstr>LK_LocationMaster</vt:lpstr>
      <vt:lpstr>LK_BankMaster</vt:lpstr>
      <vt:lpstr>LK_GradeDerivation</vt:lpstr>
      <vt:lpstr>LK_GradeStep</vt:lpstr>
      <vt:lpstr>LK_AllowanceRates</vt:lpstr>
      <vt:lpstr>LK_PIT</vt:lpstr>
      <vt:lpstr>LK_DropdownLists</vt:lpstr>
      <vt:lpstr>ALL_BRANCH_CODES</vt:lpstr>
      <vt:lpstr>ALL_BRANCH_NAMES</vt:lpstr>
      <vt:lpstr>ALL_BRANCH_SWIFTS</vt:lpstr>
      <vt:lpstr>ALL_DEPT_KEYS</vt:lpstr>
      <vt:lpstr>ALL_DEPT_NAMES</vt:lpstr>
      <vt:lpstr>ALL_PROV_KEYS</vt:lpstr>
      <vt:lpstr>ALL_PROV_NAMES</vt:lpstr>
      <vt:lpstr>BANK_KEYS</vt:lpstr>
      <vt:lpstr>BANK_LIST</vt:lpstr>
      <vt:lpstr>BRANCH_ABL</vt:lpstr>
      <vt:lpstr>BRANCH_ANZ</vt:lpstr>
      <vt:lpstr>BRANCH_APB</vt:lpstr>
      <vt:lpstr>BRANCH_BAY</vt:lpstr>
      <vt:lpstr>BRANCH_BBL</vt:lpstr>
      <vt:lpstr>BRANCH_BCEL</vt:lpstr>
      <vt:lpstr>BRANCH_BFL</vt:lpstr>
      <vt:lpstr>BRANCH_BIC</vt:lpstr>
      <vt:lpstr>BRANCH_BOC</vt:lpstr>
      <vt:lpstr>BRANCH_CAB</vt:lpstr>
      <vt:lpstr>BRANCH_ICB</vt:lpstr>
      <vt:lpstr>BRANCH_ICBC</vt:lpstr>
      <vt:lpstr>BRANCH_JDB</vt:lpstr>
      <vt:lpstr>BRANCH_KTB</vt:lpstr>
      <vt:lpstr>BRANCH_LCNB</vt:lpstr>
      <vt:lpstr>BRANCH_LDB</vt:lpstr>
      <vt:lpstr>BRANCH_LMI</vt:lpstr>
      <vt:lpstr>BRANCH_LVB</vt:lpstr>
      <vt:lpstr>BRANCH_MJBL</vt:lpstr>
      <vt:lpstr>BRANCH_NBB</vt:lpstr>
      <vt:lpstr>BRANCH_PBL</vt:lpstr>
      <vt:lpstr>BRANCH_PSV</vt:lpstr>
      <vt:lpstr>BRANCH_SCBV</vt:lpstr>
      <vt:lpstr>BRANCH_SCL</vt:lpstr>
      <vt:lpstr>BRANCH_SHB</vt:lpstr>
      <vt:lpstr>BRANCH_STB</vt:lpstr>
      <vt:lpstr>BRANCH_VCB</vt:lpstr>
      <vt:lpstr>BRANCH_VTB</vt:lpstr>
      <vt:lpstr>COUNTRY_KEYS</vt:lpstr>
      <vt:lpstr>COUNTRY_LIST</vt:lpstr>
      <vt:lpstr>DEPT_CHAM</vt:lpstr>
      <vt:lpstr>DEPT_KHAMM</vt:lpstr>
      <vt:lpstr>DEPT_LUANGPB</vt:lpstr>
      <vt:lpstr>DEPT_MFA</vt:lpstr>
      <vt:lpstr>DEPT_MLSW</vt:lpstr>
      <vt:lpstr>DEPT_MOAF</vt:lpstr>
      <vt:lpstr>DEPT_MOES</vt:lpstr>
      <vt:lpstr>DEPT_MOF</vt:lpstr>
      <vt:lpstr>DEPT_MOH</vt:lpstr>
      <vt:lpstr>DEPT_MOHA</vt:lpstr>
      <vt:lpstr>DEPT_MOIC</vt:lpstr>
      <vt:lpstr>DEPT_MOJ</vt:lpstr>
      <vt:lpstr>DEPT_MONRE</vt:lpstr>
      <vt:lpstr>DEPT_MPI</vt:lpstr>
      <vt:lpstr>DEPT_MPWT</vt:lpstr>
      <vt:lpstr>DEPT_NA</vt:lpstr>
      <vt:lpstr>DEPT_SAVAN</vt:lpstr>
      <vt:lpstr>DEPT_VTCAP</vt:lpstr>
      <vt:lpstr>DIST_ATP</vt:lpstr>
      <vt:lpstr>DIST_BKO</vt:lpstr>
      <vt:lpstr>DIST_BLK</vt:lpstr>
      <vt:lpstr>DIST_CHP</vt:lpstr>
      <vt:lpstr>DIST_FOR_AUS</vt:lpstr>
      <vt:lpstr>DIST_FOR_CHE</vt:lpstr>
      <vt:lpstr>DIST_FOR_CHN</vt:lpstr>
      <vt:lpstr>DIST_FOR_DEU</vt:lpstr>
      <vt:lpstr>DIST_FOR_FRA</vt:lpstr>
      <vt:lpstr>DIST_FOR_IDN</vt:lpstr>
      <vt:lpstr>DIST_FOR_IND</vt:lpstr>
      <vt:lpstr>DIST_FOR_JPN</vt:lpstr>
      <vt:lpstr>DIST_FOR_KHM</vt:lpstr>
      <vt:lpstr>DIST_FOR_KOR</vt:lpstr>
      <vt:lpstr>DIST_FOR_MMR</vt:lpstr>
      <vt:lpstr>DIST_FOR_MYS</vt:lpstr>
      <vt:lpstr>DIST_FOR_RUS</vt:lpstr>
      <vt:lpstr>DIST_FOR_SGP</vt:lpstr>
      <vt:lpstr>DIST_FOR_THA</vt:lpstr>
      <vt:lpstr>DIST_FOR_USA</vt:lpstr>
      <vt:lpstr>DIST_FOR_VNM</vt:lpstr>
      <vt:lpstr>DIST_HUA</vt:lpstr>
      <vt:lpstr>DIST_KMN</vt:lpstr>
      <vt:lpstr>DIST_LNT</vt:lpstr>
      <vt:lpstr>DIST_LPB</vt:lpstr>
      <vt:lpstr>DIST_ODX</vt:lpstr>
      <vt:lpstr>DIST_PGS</vt:lpstr>
      <vt:lpstr>DIST_SAY</vt:lpstr>
      <vt:lpstr>DIST_SKG</vt:lpstr>
      <vt:lpstr>DIST_SLV</vt:lpstr>
      <vt:lpstr>DIST_SVK</vt:lpstr>
      <vt:lpstr>DIST_VTE</vt:lpstr>
      <vt:lpstr>DIST_VTP</vt:lpstr>
      <vt:lpstr>DIST_XKH</vt:lpstr>
      <vt:lpstr>DIST_XYS</vt:lpstr>
      <vt:lpstr>DIV_CHP_AGR</vt:lpstr>
      <vt:lpstr>DIV_CHP_EDU</vt:lpstr>
      <vt:lpstr>DIV_CHP_FIN</vt:lpstr>
      <vt:lpstr>DIV_CHP_HLT</vt:lpstr>
      <vt:lpstr>DIV_KMN_AGR</vt:lpstr>
      <vt:lpstr>DIV_KMN_EDU</vt:lpstr>
      <vt:lpstr>DIV_KMN_FIN</vt:lpstr>
      <vt:lpstr>DIV_KMN_HLT</vt:lpstr>
      <vt:lpstr>DIV_LPB_EDU</vt:lpstr>
      <vt:lpstr>DIV_LPB_FIN</vt:lpstr>
      <vt:lpstr>DIV_LPB_HLT</vt:lpstr>
      <vt:lpstr>DIV_LPB_TCO</vt:lpstr>
      <vt:lpstr>DIV_MFA_ASN</vt:lpstr>
      <vt:lpstr>DIV_MFA_BIL</vt:lpstr>
      <vt:lpstr>DIV_MFA_CON</vt:lpstr>
      <vt:lpstr>DIV_MFA_MUL</vt:lpstr>
      <vt:lpstr>DIV_MFA_PRO</vt:lpstr>
      <vt:lpstr>DIV_MLSW_EMP</vt:lpstr>
      <vt:lpstr>DIV_MLSW_LAB</vt:lpstr>
      <vt:lpstr>DIV_MLSW_SKL</vt:lpstr>
      <vt:lpstr>DIV_MLSW_SOC</vt:lpstr>
      <vt:lpstr>DIV_MLSW_SSO</vt:lpstr>
      <vt:lpstr>DIV_MOAF_AGR</vt:lpstr>
      <vt:lpstr>DIV_MOAF_FOR</vt:lpstr>
      <vt:lpstr>DIV_MOAF_IRR</vt:lpstr>
      <vt:lpstr>DIV_MOAF_LIV</vt:lpstr>
      <vt:lpstr>DIV_MOAF_LND</vt:lpstr>
      <vt:lpstr>DIV_MOES_HED</vt:lpstr>
      <vt:lpstr>DIV_MOES_NFE</vt:lpstr>
      <vt:lpstr>DIV_MOES_PLN</vt:lpstr>
      <vt:lpstr>DIV_MOES_PRI</vt:lpstr>
      <vt:lpstr>DIV_MOES_SEC</vt:lpstr>
      <vt:lpstr>DIV_MOES_TVE</vt:lpstr>
      <vt:lpstr>DIV_MOF_AST</vt:lpstr>
      <vt:lpstr>DIV_MOF_BUD</vt:lpstr>
      <vt:lpstr>DIV_MOF_CUS</vt:lpstr>
      <vt:lpstr>DIV_MOF_FIN</vt:lpstr>
      <vt:lpstr>DIV_MOF_TAX</vt:lpstr>
      <vt:lpstr>DIV_MOF_TRY</vt:lpstr>
      <vt:lpstr>DIV_MOH_CUR</vt:lpstr>
      <vt:lpstr>DIV_MOH_EQP</vt:lpstr>
      <vt:lpstr>DIV_MOH_FDD</vt:lpstr>
      <vt:lpstr>DIV_MOH_HYG</vt:lpstr>
      <vt:lpstr>DIV_MOH_PER</vt:lpstr>
      <vt:lpstr>DIV_MOH_PLN</vt:lpstr>
      <vt:lpstr>DIV_MOHA_ADM</vt:lpstr>
      <vt:lpstr>DIV_MOHA_CIV</vt:lpstr>
      <vt:lpstr>DIV_MOHA_COM</vt:lpstr>
      <vt:lpstr>DIV_MOHA_LOC</vt:lpstr>
      <vt:lpstr>DIV_MOHA_PER</vt:lpstr>
      <vt:lpstr>DIV_MOIC_DOM</vt:lpstr>
      <vt:lpstr>DIV_MOIC_IMP</vt:lpstr>
      <vt:lpstr>DIV_MOIC_IND</vt:lpstr>
      <vt:lpstr>DIV_MOIC_SME</vt:lpstr>
      <vt:lpstr>DIV_MOJ_ANC</vt:lpstr>
      <vt:lpstr>DIV_MOJ_INT</vt:lpstr>
      <vt:lpstr>DIV_MOJ_JUD</vt:lpstr>
      <vt:lpstr>DIV_MOJ_LEG</vt:lpstr>
      <vt:lpstr>DIV_MONRE_CLM</vt:lpstr>
      <vt:lpstr>DIV_MONRE_ENV</vt:lpstr>
      <vt:lpstr>DIV_MONRE_LSV</vt:lpstr>
      <vt:lpstr>DIV_MONRE_NAT</vt:lpstr>
      <vt:lpstr>DIV_MPI_INT</vt:lpstr>
      <vt:lpstr>DIV_MPI_INV</vt:lpstr>
      <vt:lpstr>DIV_MPI_PLN</vt:lpstr>
      <vt:lpstr>DIV_MPI_STA</vt:lpstr>
      <vt:lpstr>DIV_MPWT_HOU</vt:lpstr>
      <vt:lpstr>DIV_MPWT_MET</vt:lpstr>
      <vt:lpstr>DIV_MPWT_PUB</vt:lpstr>
      <vt:lpstr>DIV_MPWT_ROD</vt:lpstr>
      <vt:lpstr>DIV_MPWT_TRP</vt:lpstr>
      <vt:lpstr>DIV_NA_ADM</vt:lpstr>
      <vt:lpstr>DIV_NA_CSA</vt:lpstr>
      <vt:lpstr>DIV_NA_ECF</vt:lpstr>
      <vt:lpstr>DIV_NA_LAW</vt:lpstr>
      <vt:lpstr>DIV_NA_NSC</vt:lpstr>
      <vt:lpstr>DIV_NA_SEC</vt:lpstr>
      <vt:lpstr>DIV_SVK_EDU</vt:lpstr>
      <vt:lpstr>DIV_SVK_FIN</vt:lpstr>
      <vt:lpstr>DIV_SVK_HLT</vt:lpstr>
      <vt:lpstr>DIV_SVK_IC</vt:lpstr>
      <vt:lpstr>DIV_VTC_ADM</vt:lpstr>
      <vt:lpstr>DIV_VTC_EDU</vt:lpstr>
      <vt:lpstr>DIV_VTC_FIN</vt:lpstr>
      <vt:lpstr>DIV_VTC_HLT</vt:lpstr>
      <vt:lpstr>DIV_VTC_PUB</vt:lpstr>
      <vt:lpstr>MINISTRY_KEYS</vt:lpstr>
      <vt:lpstr>MINISTRY_LIST</vt:lpstr>
      <vt:lpstr>POS_ADMINISTRATI</vt:lpstr>
      <vt:lpstr>POS_DIPLOMATIC</vt:lpstr>
      <vt:lpstr>POS_FINANCE</vt:lpstr>
      <vt:lpstr>POS_GENERAL</vt:lpstr>
      <vt:lpstr>POS_LEGAL</vt:lpstr>
      <vt:lpstr>POS_MEDICAL</vt:lpstr>
      <vt:lpstr>POS_TEACHER</vt:lpstr>
      <vt:lpstr>POS_TECHNICAL</vt:lpstr>
      <vt:lpstr>EMPLOYEE_MASTER!Print_Titles</vt:lpstr>
      <vt:lpstr>HOME!Print_Titles</vt:lpstr>
      <vt:lpstr>INSTRUCTIONS!Print_Titles</vt:lpstr>
      <vt:lpstr>LK_AllowanceRates!Print_Titles</vt:lpstr>
      <vt:lpstr>LK_DropdownLists!Print_Titles</vt:lpstr>
      <vt:lpstr>LK_GradeDerivation!Print_Titles</vt:lpstr>
      <vt:lpstr>LK_GradeStep!Print_Titles</vt:lpstr>
      <vt:lpstr>LK_LocationMaster!Print_Titles</vt:lpstr>
      <vt:lpstr>LK_OrgMaster!Print_Titles</vt:lpstr>
      <vt:lpstr>LK_PIT!Print_Titles</vt:lpstr>
      <vt:lpstr>NOTES!Print_Titles</vt:lpstr>
      <vt:lpstr>PAYROLL_CALC!Print_Titles</vt:lpstr>
      <vt:lpstr>PROV_FOR</vt:lpstr>
      <vt:lpstr>PROV_LAO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Sanyal, Pritha</cp:lastModifiedBy>
  <cp:revision>0</cp:revision>
  <dcterms:created xsi:type="dcterms:W3CDTF">2026-03-14T22:29:32Z</dcterms:created>
  <dcterms:modified xsi:type="dcterms:W3CDTF">2026-03-17T09:44:10Z</dcterms:modified>
  <dc:language>en-US</dc:language>
</cp:coreProperties>
</file>